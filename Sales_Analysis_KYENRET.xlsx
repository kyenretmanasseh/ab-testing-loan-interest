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5558cb5d3066b4b/"/>
    </mc:Choice>
  </mc:AlternateContent>
  <xr:revisionPtr revIDLastSave="0" documentId="8_{EB41E23C-4B53-4CB2-8DDB-5E03823F6D2F}" xr6:coauthVersionLast="47" xr6:coauthVersionMax="47" xr10:uidLastSave="{00000000-0000-0000-0000-000000000000}"/>
  <bookViews>
    <workbookView xWindow="-110" yWindow="-110" windowWidth="19420" windowHeight="10300" firstSheet="1" activeTab="5" xr2:uid="{00000000-000D-0000-FFFF-FFFF00000000}"/>
  </bookViews>
  <sheets>
    <sheet name="Raw_Sales_Data" sheetId="1" r:id="rId1"/>
    <sheet name="Summary" sheetId="6" r:id="rId2"/>
    <sheet name="Clean_Data" sheetId="4" r:id="rId3"/>
    <sheet name="Input" sheetId="5" r:id="rId4"/>
    <sheet name="Dashboard" sheetId="9" r:id="rId5"/>
    <sheet name="Explanation" sheetId="10" r:id="rId6"/>
    <sheet name="Product_Lookup" sheetId="2" r:id="rId7"/>
    <sheet name="Customer_Lookup" sheetId="3" r:id="rId8"/>
  </sheets>
  <definedNames>
    <definedName name="_xlnm._FilterDatabase" localSheetId="0" hidden="1">Raw_Sales_Data!$A$2:$I$3357</definedName>
  </definedNames>
  <calcPr calcId="191029"/>
  <pivotCaches>
    <pivotCache cacheId="15" r:id="rId9"/>
  </pivotCaches>
</workbook>
</file>

<file path=xl/calcChain.xml><?xml version="1.0" encoding="utf-8"?>
<calcChain xmlns="http://schemas.openxmlformats.org/spreadsheetml/2006/main">
  <c r="B4" i="6" l="1"/>
  <c r="B3" i="6"/>
  <c r="B2" i="6"/>
  <c r="B1" i="6"/>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 i="4"/>
  <c r="P939" i="4"/>
  <c r="P1131" i="4"/>
  <c r="P1195" i="4"/>
  <c r="P1375" i="4"/>
  <c r="P1406" i="4"/>
  <c r="P1470" i="4"/>
  <c r="P1491" i="4"/>
  <c r="P1543" i="4"/>
  <c r="P1559" i="4"/>
  <c r="P2563" i="4"/>
  <c r="P2574" i="4"/>
  <c r="P2595" i="4"/>
  <c r="P2659" i="4"/>
  <c r="P2667" i="4"/>
  <c r="P2675" i="4"/>
  <c r="P2683" i="4"/>
  <c r="P2691" i="4"/>
  <c r="P2699" i="4"/>
  <c r="P2707" i="4"/>
  <c r="P2715" i="4"/>
  <c r="P2723" i="4"/>
  <c r="P2731" i="4"/>
  <c r="P2739" i="4"/>
  <c r="P2747" i="4"/>
  <c r="P2755" i="4"/>
  <c r="P2763" i="4"/>
  <c r="P2771" i="4"/>
  <c r="P2779" i="4"/>
  <c r="P2787" i="4"/>
  <c r="P2795" i="4"/>
  <c r="P2803" i="4"/>
  <c r="P2811" i="4"/>
  <c r="P2819" i="4"/>
  <c r="P2827" i="4"/>
  <c r="P2835" i="4"/>
  <c r="P2843" i="4"/>
  <c r="P2851" i="4"/>
  <c r="P2859" i="4"/>
  <c r="P2867" i="4"/>
  <c r="P2875" i="4"/>
  <c r="P2883" i="4"/>
  <c r="P2891" i="4"/>
  <c r="P2899" i="4"/>
  <c r="P2907" i="4"/>
  <c r="P2915" i="4"/>
  <c r="P2923" i="4"/>
  <c r="P2931" i="4"/>
  <c r="P2939" i="4"/>
  <c r="P2947" i="4"/>
  <c r="P2955" i="4"/>
  <c r="P2963" i="4"/>
  <c r="P2971" i="4"/>
  <c r="P2979" i="4"/>
  <c r="P2987" i="4"/>
  <c r="P2995" i="4"/>
  <c r="P3003" i="4"/>
  <c r="P3011" i="4"/>
  <c r="P3019" i="4"/>
  <c r="P3027" i="4"/>
  <c r="P3035" i="4"/>
  <c r="P3043" i="4"/>
  <c r="P3051" i="4"/>
  <c r="P3059" i="4"/>
  <c r="P3067" i="4"/>
  <c r="P3075" i="4"/>
  <c r="P3083" i="4"/>
  <c r="P3091" i="4"/>
  <c r="P3099" i="4"/>
  <c r="P3107" i="4"/>
  <c r="P3115" i="4"/>
  <c r="P3123" i="4"/>
  <c r="P3131" i="4"/>
  <c r="P3139" i="4"/>
  <c r="P3147" i="4"/>
  <c r="P3155" i="4"/>
  <c r="P3163" i="4"/>
  <c r="P3171" i="4"/>
  <c r="P3179" i="4"/>
  <c r="P3187" i="4"/>
  <c r="P3195" i="4"/>
  <c r="P3203" i="4"/>
  <c r="P3211" i="4"/>
  <c r="P3219" i="4"/>
  <c r="P3227" i="4"/>
  <c r="P3235" i="4"/>
  <c r="P3243" i="4"/>
  <c r="P3251" i="4"/>
  <c r="P3259" i="4"/>
  <c r="P3267" i="4"/>
  <c r="P3275" i="4"/>
  <c r="P3283" i="4"/>
  <c r="P3291" i="4"/>
  <c r="P3299"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O514" i="4" s="1"/>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O939" i="4" s="1"/>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O1003" i="4" s="1"/>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O1067" i="4" s="1"/>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O1131" i="4" s="1"/>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O1195" i="4" s="1"/>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O1259" i="4" s="1"/>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O1323" i="4" s="1"/>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O1375" i="4" s="1"/>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O1406" i="4" s="1"/>
  <c r="N1407" i="4"/>
  <c r="N1408" i="4"/>
  <c r="N1409" i="4"/>
  <c r="N1410" i="4"/>
  <c r="N1411" i="4"/>
  <c r="N1412" i="4"/>
  <c r="N1413" i="4"/>
  <c r="N1414" i="4"/>
  <c r="N1415" i="4"/>
  <c r="N1416" i="4"/>
  <c r="N1417" i="4"/>
  <c r="N1418" i="4"/>
  <c r="N1419" i="4"/>
  <c r="N1420" i="4"/>
  <c r="N1421" i="4"/>
  <c r="N1422" i="4"/>
  <c r="N1423" i="4"/>
  <c r="N1424" i="4"/>
  <c r="N1425" i="4"/>
  <c r="N1426" i="4"/>
  <c r="N1427" i="4"/>
  <c r="O1427" i="4" s="1"/>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O1470" i="4" s="1"/>
  <c r="N1471" i="4"/>
  <c r="N1472" i="4"/>
  <c r="N1473" i="4"/>
  <c r="N1474" i="4"/>
  <c r="N1475" i="4"/>
  <c r="N1476" i="4"/>
  <c r="N1477" i="4"/>
  <c r="N1478" i="4"/>
  <c r="N1479" i="4"/>
  <c r="N1480" i="4"/>
  <c r="N1481" i="4"/>
  <c r="N1482" i="4"/>
  <c r="N1483" i="4"/>
  <c r="N1484" i="4"/>
  <c r="N1485" i="4"/>
  <c r="N1486" i="4"/>
  <c r="N1487" i="4"/>
  <c r="N1488" i="4"/>
  <c r="N1489" i="4"/>
  <c r="N1490" i="4"/>
  <c r="N1491" i="4"/>
  <c r="O1491" i="4" s="1"/>
  <c r="N1492" i="4"/>
  <c r="N1493" i="4"/>
  <c r="N1494" i="4"/>
  <c r="N1495" i="4"/>
  <c r="N1496" i="4"/>
  <c r="N1497" i="4"/>
  <c r="N1498" i="4"/>
  <c r="N1499" i="4"/>
  <c r="N1500" i="4"/>
  <c r="N1501" i="4"/>
  <c r="N1502" i="4"/>
  <c r="N1503" i="4"/>
  <c r="N1504" i="4"/>
  <c r="N1505" i="4"/>
  <c r="N1506" i="4"/>
  <c r="N1507" i="4"/>
  <c r="N1508" i="4"/>
  <c r="N1509" i="4"/>
  <c r="N1510" i="4"/>
  <c r="N1511" i="4"/>
  <c r="O1511" i="4" s="1"/>
  <c r="N1512" i="4"/>
  <c r="N1513" i="4"/>
  <c r="N1514" i="4"/>
  <c r="N1515" i="4"/>
  <c r="N1516" i="4"/>
  <c r="N1517" i="4"/>
  <c r="N1518" i="4"/>
  <c r="N1519" i="4"/>
  <c r="N1520" i="4"/>
  <c r="N1521" i="4"/>
  <c r="N1522" i="4"/>
  <c r="N1523" i="4"/>
  <c r="N1524" i="4"/>
  <c r="N1525" i="4"/>
  <c r="N1526" i="4"/>
  <c r="N1527" i="4"/>
  <c r="O1527" i="4" s="1"/>
  <c r="N1528" i="4"/>
  <c r="N1529" i="4"/>
  <c r="N1530" i="4"/>
  <c r="N1531" i="4"/>
  <c r="N1532" i="4"/>
  <c r="N1533" i="4"/>
  <c r="N1534" i="4"/>
  <c r="N1535" i="4"/>
  <c r="N1536" i="4"/>
  <c r="N1537" i="4"/>
  <c r="N1538" i="4"/>
  <c r="N1539" i="4"/>
  <c r="N1540" i="4"/>
  <c r="N1541" i="4"/>
  <c r="N1542" i="4"/>
  <c r="N1543" i="4"/>
  <c r="O1543" i="4" s="1"/>
  <c r="N1544" i="4"/>
  <c r="N1545" i="4"/>
  <c r="N1546" i="4"/>
  <c r="N1547" i="4"/>
  <c r="N1548" i="4"/>
  <c r="N1549" i="4"/>
  <c r="N1550" i="4"/>
  <c r="N1551" i="4"/>
  <c r="N1552" i="4"/>
  <c r="N1553" i="4"/>
  <c r="N1554" i="4"/>
  <c r="N1555" i="4"/>
  <c r="N1556" i="4"/>
  <c r="N1557" i="4"/>
  <c r="N1558" i="4"/>
  <c r="N1559" i="4"/>
  <c r="O1559" i="4" s="1"/>
  <c r="N1560" i="4"/>
  <c r="N1561" i="4"/>
  <c r="N1562" i="4"/>
  <c r="N1563" i="4"/>
  <c r="N1564" i="4"/>
  <c r="N1565" i="4"/>
  <c r="N1566" i="4"/>
  <c r="N1567" i="4"/>
  <c r="N1568" i="4"/>
  <c r="N1569" i="4"/>
  <c r="N1570" i="4"/>
  <c r="N1571" i="4"/>
  <c r="N1572" i="4"/>
  <c r="N1573" i="4"/>
  <c r="N1574" i="4"/>
  <c r="N1575" i="4"/>
  <c r="O1575" i="4" s="1"/>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P1855" i="4" s="1"/>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O2542" i="4" s="1"/>
  <c r="N2543" i="4"/>
  <c r="N2544" i="4"/>
  <c r="N2545" i="4"/>
  <c r="N2546" i="4"/>
  <c r="N2547" i="4"/>
  <c r="O2547" i="4" s="1"/>
  <c r="N2548" i="4"/>
  <c r="N2549" i="4"/>
  <c r="N2550" i="4"/>
  <c r="N2551" i="4"/>
  <c r="N2552" i="4"/>
  <c r="N2553" i="4"/>
  <c r="N2554" i="4"/>
  <c r="N2555" i="4"/>
  <c r="O2555" i="4" s="1"/>
  <c r="N2556" i="4"/>
  <c r="N2557" i="4"/>
  <c r="N2558" i="4"/>
  <c r="O2558" i="4" s="1"/>
  <c r="N2559" i="4"/>
  <c r="N2560" i="4"/>
  <c r="N2561" i="4"/>
  <c r="N2562" i="4"/>
  <c r="N2563" i="4"/>
  <c r="O2563" i="4" s="1"/>
  <c r="N2564" i="4"/>
  <c r="N2565" i="4"/>
  <c r="N2566" i="4"/>
  <c r="O2566" i="4" s="1"/>
  <c r="N2567" i="4"/>
  <c r="N2568" i="4"/>
  <c r="N2569" i="4"/>
  <c r="N2570" i="4"/>
  <c r="N2571" i="4"/>
  <c r="O2571" i="4" s="1"/>
  <c r="N2572" i="4"/>
  <c r="N2573" i="4"/>
  <c r="N2574" i="4"/>
  <c r="O2574" i="4" s="1"/>
  <c r="N2575" i="4"/>
  <c r="N2576" i="4"/>
  <c r="N2577" i="4"/>
  <c r="N2578" i="4"/>
  <c r="N2579" i="4"/>
  <c r="O2579" i="4" s="1"/>
  <c r="N2580" i="4"/>
  <c r="N2581" i="4"/>
  <c r="N2582" i="4"/>
  <c r="O2582" i="4" s="1"/>
  <c r="N2583" i="4"/>
  <c r="N2584" i="4"/>
  <c r="N2585" i="4"/>
  <c r="N2586" i="4"/>
  <c r="N2587" i="4"/>
  <c r="O2587" i="4" s="1"/>
  <c r="N2588" i="4"/>
  <c r="N2589" i="4"/>
  <c r="N2590" i="4"/>
  <c r="O2590" i="4" s="1"/>
  <c r="N2591" i="4"/>
  <c r="N2592" i="4"/>
  <c r="N2593" i="4"/>
  <c r="N2594" i="4"/>
  <c r="N2595" i="4"/>
  <c r="O2595" i="4" s="1"/>
  <c r="N2596" i="4"/>
  <c r="N2597" i="4"/>
  <c r="N2598" i="4"/>
  <c r="O2598" i="4" s="1"/>
  <c r="N2599" i="4"/>
  <c r="N2600" i="4"/>
  <c r="N2601" i="4"/>
  <c r="N2602" i="4"/>
  <c r="N2603" i="4"/>
  <c r="O2603" i="4" s="1"/>
  <c r="N2604" i="4"/>
  <c r="N2605" i="4"/>
  <c r="N2606" i="4"/>
  <c r="N2607" i="4"/>
  <c r="O2607" i="4" s="1"/>
  <c r="N2608" i="4"/>
  <c r="N2609" i="4"/>
  <c r="N2610" i="4"/>
  <c r="N2611" i="4"/>
  <c r="O2611" i="4" s="1"/>
  <c r="N2612" i="4"/>
  <c r="N2613" i="4"/>
  <c r="N2614" i="4"/>
  <c r="N2615" i="4"/>
  <c r="O2615" i="4" s="1"/>
  <c r="N2616" i="4"/>
  <c r="N2617" i="4"/>
  <c r="N2618" i="4"/>
  <c r="N2619" i="4"/>
  <c r="O2619" i="4" s="1"/>
  <c r="N2620" i="4"/>
  <c r="N2621" i="4"/>
  <c r="N2622" i="4"/>
  <c r="N2623" i="4"/>
  <c r="O2623" i="4" s="1"/>
  <c r="N2624" i="4"/>
  <c r="N2625" i="4"/>
  <c r="N2626" i="4"/>
  <c r="N2627" i="4"/>
  <c r="O2627" i="4" s="1"/>
  <c r="N2628" i="4"/>
  <c r="N2629" i="4"/>
  <c r="N2630" i="4"/>
  <c r="N2631" i="4"/>
  <c r="O2631" i="4" s="1"/>
  <c r="N2632" i="4"/>
  <c r="N2633" i="4"/>
  <c r="N2634" i="4"/>
  <c r="N2635" i="4"/>
  <c r="O2635" i="4" s="1"/>
  <c r="N2636" i="4"/>
  <c r="N2637" i="4"/>
  <c r="N2638" i="4"/>
  <c r="N2639" i="4"/>
  <c r="O2639" i="4" s="1"/>
  <c r="N2640" i="4"/>
  <c r="N2641" i="4"/>
  <c r="N2642" i="4"/>
  <c r="N2643" i="4"/>
  <c r="O2643" i="4" s="1"/>
  <c r="N2644" i="4"/>
  <c r="N2645" i="4"/>
  <c r="N2646" i="4"/>
  <c r="N2647" i="4"/>
  <c r="O2647" i="4" s="1"/>
  <c r="N2648" i="4"/>
  <c r="N2649" i="4"/>
  <c r="N2650" i="4"/>
  <c r="N2651" i="4"/>
  <c r="O2651" i="4" s="1"/>
  <c r="N2652" i="4"/>
  <c r="N2653" i="4"/>
  <c r="N2654" i="4"/>
  <c r="N2655" i="4"/>
  <c r="O2655" i="4" s="1"/>
  <c r="N2656" i="4"/>
  <c r="N2657" i="4"/>
  <c r="N2658" i="4"/>
  <c r="N2659" i="4"/>
  <c r="O2659" i="4" s="1"/>
  <c r="N2660" i="4"/>
  <c r="N2661" i="4"/>
  <c r="N2662" i="4"/>
  <c r="N2663" i="4"/>
  <c r="O2663" i="4" s="1"/>
  <c r="N2664" i="4"/>
  <c r="N2665" i="4"/>
  <c r="N2666" i="4"/>
  <c r="N2667" i="4"/>
  <c r="O2667" i="4" s="1"/>
  <c r="N2668" i="4"/>
  <c r="N2669" i="4"/>
  <c r="N2670" i="4"/>
  <c r="N2671" i="4"/>
  <c r="O2671" i="4" s="1"/>
  <c r="N2672" i="4"/>
  <c r="N2673" i="4"/>
  <c r="N2674" i="4"/>
  <c r="N2675" i="4"/>
  <c r="O2675" i="4" s="1"/>
  <c r="N2676" i="4"/>
  <c r="N2677" i="4"/>
  <c r="N2678" i="4"/>
  <c r="N2679" i="4"/>
  <c r="O2679" i="4" s="1"/>
  <c r="N2680" i="4"/>
  <c r="N2681" i="4"/>
  <c r="N2682" i="4"/>
  <c r="N2683" i="4"/>
  <c r="O2683" i="4" s="1"/>
  <c r="N2684" i="4"/>
  <c r="N2685" i="4"/>
  <c r="N2686" i="4"/>
  <c r="N2687" i="4"/>
  <c r="O2687" i="4" s="1"/>
  <c r="N2688" i="4"/>
  <c r="N2689" i="4"/>
  <c r="N2690" i="4"/>
  <c r="N2691" i="4"/>
  <c r="O2691" i="4" s="1"/>
  <c r="N2692" i="4"/>
  <c r="N2693" i="4"/>
  <c r="N2694" i="4"/>
  <c r="N2695" i="4"/>
  <c r="O2695" i="4" s="1"/>
  <c r="N2696" i="4"/>
  <c r="N2697" i="4"/>
  <c r="N2698" i="4"/>
  <c r="N2699" i="4"/>
  <c r="O2699" i="4" s="1"/>
  <c r="N2700" i="4"/>
  <c r="N2701" i="4"/>
  <c r="N2702" i="4"/>
  <c r="N2703" i="4"/>
  <c r="O2703" i="4" s="1"/>
  <c r="N2704" i="4"/>
  <c r="N2705" i="4"/>
  <c r="N2706" i="4"/>
  <c r="N2707" i="4"/>
  <c r="O2707" i="4" s="1"/>
  <c r="N2708" i="4"/>
  <c r="N2709" i="4"/>
  <c r="N2710" i="4"/>
  <c r="N2711" i="4"/>
  <c r="O2711" i="4" s="1"/>
  <c r="N2712" i="4"/>
  <c r="N2713" i="4"/>
  <c r="N2714" i="4"/>
  <c r="N2715" i="4"/>
  <c r="O2715" i="4" s="1"/>
  <c r="N2716" i="4"/>
  <c r="N2717" i="4"/>
  <c r="N2718" i="4"/>
  <c r="N2719" i="4"/>
  <c r="O2719" i="4" s="1"/>
  <c r="N2720" i="4"/>
  <c r="N2721" i="4"/>
  <c r="N2722" i="4"/>
  <c r="N2723" i="4"/>
  <c r="O2723" i="4" s="1"/>
  <c r="N2724" i="4"/>
  <c r="N2725" i="4"/>
  <c r="N2726" i="4"/>
  <c r="N2727" i="4"/>
  <c r="O2727" i="4" s="1"/>
  <c r="N2728" i="4"/>
  <c r="N2729" i="4"/>
  <c r="N2730" i="4"/>
  <c r="N2731" i="4"/>
  <c r="O2731" i="4" s="1"/>
  <c r="N2732" i="4"/>
  <c r="N2733" i="4"/>
  <c r="N2734" i="4"/>
  <c r="N2735" i="4"/>
  <c r="O2735" i="4" s="1"/>
  <c r="N2736" i="4"/>
  <c r="N2737" i="4"/>
  <c r="N2738" i="4"/>
  <c r="N2739" i="4"/>
  <c r="O2739" i="4" s="1"/>
  <c r="N2740" i="4"/>
  <c r="N2741" i="4"/>
  <c r="N2742" i="4"/>
  <c r="N2743" i="4"/>
  <c r="O2743" i="4" s="1"/>
  <c r="N2744" i="4"/>
  <c r="N2745" i="4"/>
  <c r="N2746" i="4"/>
  <c r="N2747" i="4"/>
  <c r="O2747" i="4" s="1"/>
  <c r="N2748" i="4"/>
  <c r="N2749" i="4"/>
  <c r="N2750" i="4"/>
  <c r="N2751" i="4"/>
  <c r="O2751" i="4" s="1"/>
  <c r="N2752" i="4"/>
  <c r="N2753" i="4"/>
  <c r="N2754" i="4"/>
  <c r="N2755" i="4"/>
  <c r="O2755" i="4" s="1"/>
  <c r="N2756" i="4"/>
  <c r="N2757" i="4"/>
  <c r="N2758" i="4"/>
  <c r="N2759" i="4"/>
  <c r="O2759" i="4" s="1"/>
  <c r="N2760" i="4"/>
  <c r="N2761" i="4"/>
  <c r="N2762" i="4"/>
  <c r="N2763" i="4"/>
  <c r="O2763" i="4" s="1"/>
  <c r="N2764" i="4"/>
  <c r="N2765" i="4"/>
  <c r="N2766" i="4"/>
  <c r="N2767" i="4"/>
  <c r="O2767" i="4" s="1"/>
  <c r="N2768" i="4"/>
  <c r="N2769" i="4"/>
  <c r="N2770" i="4"/>
  <c r="N2771" i="4"/>
  <c r="O2771" i="4" s="1"/>
  <c r="N2772" i="4"/>
  <c r="N2773" i="4"/>
  <c r="N2774" i="4"/>
  <c r="N2775" i="4"/>
  <c r="O2775" i="4" s="1"/>
  <c r="N2776" i="4"/>
  <c r="N2777" i="4"/>
  <c r="N2778" i="4"/>
  <c r="N2779" i="4"/>
  <c r="O2779" i="4" s="1"/>
  <c r="N2780" i="4"/>
  <c r="N2781" i="4"/>
  <c r="N2782" i="4"/>
  <c r="N2783" i="4"/>
  <c r="O2783" i="4" s="1"/>
  <c r="N2784" i="4"/>
  <c r="N2785" i="4"/>
  <c r="N2786" i="4"/>
  <c r="N2787" i="4"/>
  <c r="O2787" i="4" s="1"/>
  <c r="N2788" i="4"/>
  <c r="N2789" i="4"/>
  <c r="N2790" i="4"/>
  <c r="N2791" i="4"/>
  <c r="O2791" i="4" s="1"/>
  <c r="N2792" i="4"/>
  <c r="N2793" i="4"/>
  <c r="N2794" i="4"/>
  <c r="N2795" i="4"/>
  <c r="O2795" i="4" s="1"/>
  <c r="N2796" i="4"/>
  <c r="N2797" i="4"/>
  <c r="N2798" i="4"/>
  <c r="N2799" i="4"/>
  <c r="O2799" i="4" s="1"/>
  <c r="N2800" i="4"/>
  <c r="N2801" i="4"/>
  <c r="N2802" i="4"/>
  <c r="N2803" i="4"/>
  <c r="O2803" i="4" s="1"/>
  <c r="N2804" i="4"/>
  <c r="N2805" i="4"/>
  <c r="N2806" i="4"/>
  <c r="N2807" i="4"/>
  <c r="O2807" i="4" s="1"/>
  <c r="N2808" i="4"/>
  <c r="N2809" i="4"/>
  <c r="N2810" i="4"/>
  <c r="N2811" i="4"/>
  <c r="O2811" i="4" s="1"/>
  <c r="N2812" i="4"/>
  <c r="N2813" i="4"/>
  <c r="N2814" i="4"/>
  <c r="N2815" i="4"/>
  <c r="O2815" i="4" s="1"/>
  <c r="N2816" i="4"/>
  <c r="N2817" i="4"/>
  <c r="N2818" i="4"/>
  <c r="N2819" i="4"/>
  <c r="O2819" i="4" s="1"/>
  <c r="N2820" i="4"/>
  <c r="N2821" i="4"/>
  <c r="N2822" i="4"/>
  <c r="N2823" i="4"/>
  <c r="O2823" i="4" s="1"/>
  <c r="N2824" i="4"/>
  <c r="N2825" i="4"/>
  <c r="N2826" i="4"/>
  <c r="N2827" i="4"/>
  <c r="O2827" i="4" s="1"/>
  <c r="N2828" i="4"/>
  <c r="N2829" i="4"/>
  <c r="N2830" i="4"/>
  <c r="N2831" i="4"/>
  <c r="O2831" i="4" s="1"/>
  <c r="N2832" i="4"/>
  <c r="N2833" i="4"/>
  <c r="N2834" i="4"/>
  <c r="N2835" i="4"/>
  <c r="O2835" i="4" s="1"/>
  <c r="N2836" i="4"/>
  <c r="N2837" i="4"/>
  <c r="N2838" i="4"/>
  <c r="N2839" i="4"/>
  <c r="O2839" i="4" s="1"/>
  <c r="N2840" i="4"/>
  <c r="N2841" i="4"/>
  <c r="N2842" i="4"/>
  <c r="N2843" i="4"/>
  <c r="O2843" i="4" s="1"/>
  <c r="N2844" i="4"/>
  <c r="N2845" i="4"/>
  <c r="N2846" i="4"/>
  <c r="N2847" i="4"/>
  <c r="O2847" i="4" s="1"/>
  <c r="N2848" i="4"/>
  <c r="N2849" i="4"/>
  <c r="N2850" i="4"/>
  <c r="N2851" i="4"/>
  <c r="O2851" i="4" s="1"/>
  <c r="N2852" i="4"/>
  <c r="N2853" i="4"/>
  <c r="N2854" i="4"/>
  <c r="N2855" i="4"/>
  <c r="O2855" i="4" s="1"/>
  <c r="N2856" i="4"/>
  <c r="N2857" i="4"/>
  <c r="N2858" i="4"/>
  <c r="N2859" i="4"/>
  <c r="O2859" i="4" s="1"/>
  <c r="N2860" i="4"/>
  <c r="N2861" i="4"/>
  <c r="N2862" i="4"/>
  <c r="N2863" i="4"/>
  <c r="O2863" i="4" s="1"/>
  <c r="N2864" i="4"/>
  <c r="N2865" i="4"/>
  <c r="N2866" i="4"/>
  <c r="N2867" i="4"/>
  <c r="O2867" i="4" s="1"/>
  <c r="N2868" i="4"/>
  <c r="N2869" i="4"/>
  <c r="N2870" i="4"/>
  <c r="N2871" i="4"/>
  <c r="O2871" i="4" s="1"/>
  <c r="N2872" i="4"/>
  <c r="N2873" i="4"/>
  <c r="N2874" i="4"/>
  <c r="N2875" i="4"/>
  <c r="O2875" i="4" s="1"/>
  <c r="N2876" i="4"/>
  <c r="N2877" i="4"/>
  <c r="N2878" i="4"/>
  <c r="N2879" i="4"/>
  <c r="O2879" i="4" s="1"/>
  <c r="N2880" i="4"/>
  <c r="N2881" i="4"/>
  <c r="N2882" i="4"/>
  <c r="N2883" i="4"/>
  <c r="O2883" i="4" s="1"/>
  <c r="N2884" i="4"/>
  <c r="N2885" i="4"/>
  <c r="N2886" i="4"/>
  <c r="N2887" i="4"/>
  <c r="O2887" i="4" s="1"/>
  <c r="N2888" i="4"/>
  <c r="N2889" i="4"/>
  <c r="N2890" i="4"/>
  <c r="N2891" i="4"/>
  <c r="O2891" i="4" s="1"/>
  <c r="N2892" i="4"/>
  <c r="N2893" i="4"/>
  <c r="N2894" i="4"/>
  <c r="N2895" i="4"/>
  <c r="O2895" i="4" s="1"/>
  <c r="N2896" i="4"/>
  <c r="N2897" i="4"/>
  <c r="N2898" i="4"/>
  <c r="N2899" i="4"/>
  <c r="O2899" i="4" s="1"/>
  <c r="N2900" i="4"/>
  <c r="N2901" i="4"/>
  <c r="N2902" i="4"/>
  <c r="N2903" i="4"/>
  <c r="O2903" i="4" s="1"/>
  <c r="N2904" i="4"/>
  <c r="N2905" i="4"/>
  <c r="N2906" i="4"/>
  <c r="N2907" i="4"/>
  <c r="O2907" i="4" s="1"/>
  <c r="N2908" i="4"/>
  <c r="N2909" i="4"/>
  <c r="N2910" i="4"/>
  <c r="N2911" i="4"/>
  <c r="O2911" i="4" s="1"/>
  <c r="N2912" i="4"/>
  <c r="N2913" i="4"/>
  <c r="N2914" i="4"/>
  <c r="N2915" i="4"/>
  <c r="O2915" i="4" s="1"/>
  <c r="N2916" i="4"/>
  <c r="N2917" i="4"/>
  <c r="N2918" i="4"/>
  <c r="N2919" i="4"/>
  <c r="O2919" i="4" s="1"/>
  <c r="N2920" i="4"/>
  <c r="N2921" i="4"/>
  <c r="N2922" i="4"/>
  <c r="N2923" i="4"/>
  <c r="O2923" i="4" s="1"/>
  <c r="N2924" i="4"/>
  <c r="N2925" i="4"/>
  <c r="N2926" i="4"/>
  <c r="N2927" i="4"/>
  <c r="O2927" i="4" s="1"/>
  <c r="N2928" i="4"/>
  <c r="N2929" i="4"/>
  <c r="N2930" i="4"/>
  <c r="N2931" i="4"/>
  <c r="O2931" i="4" s="1"/>
  <c r="N2932" i="4"/>
  <c r="N2933" i="4"/>
  <c r="N2934" i="4"/>
  <c r="N2935" i="4"/>
  <c r="O2935" i="4" s="1"/>
  <c r="N2936" i="4"/>
  <c r="N2937" i="4"/>
  <c r="N2938" i="4"/>
  <c r="N2939" i="4"/>
  <c r="O2939" i="4" s="1"/>
  <c r="N2940" i="4"/>
  <c r="N2941" i="4"/>
  <c r="N2942" i="4"/>
  <c r="N2943" i="4"/>
  <c r="O2943" i="4" s="1"/>
  <c r="N2944" i="4"/>
  <c r="N2945" i="4"/>
  <c r="N2946" i="4"/>
  <c r="N2947" i="4"/>
  <c r="O2947" i="4" s="1"/>
  <c r="N2948" i="4"/>
  <c r="N2949" i="4"/>
  <c r="N2950" i="4"/>
  <c r="N2951" i="4"/>
  <c r="O2951" i="4" s="1"/>
  <c r="N2952" i="4"/>
  <c r="N2953" i="4"/>
  <c r="N2954" i="4"/>
  <c r="N2955" i="4"/>
  <c r="O2955" i="4" s="1"/>
  <c r="N2956" i="4"/>
  <c r="N2957" i="4"/>
  <c r="N2958" i="4"/>
  <c r="N2959" i="4"/>
  <c r="O2959" i="4" s="1"/>
  <c r="N2960" i="4"/>
  <c r="N2961" i="4"/>
  <c r="N2962" i="4"/>
  <c r="N2963" i="4"/>
  <c r="O2963" i="4" s="1"/>
  <c r="N2964" i="4"/>
  <c r="N2965" i="4"/>
  <c r="N2966" i="4"/>
  <c r="N2967" i="4"/>
  <c r="O2967" i="4" s="1"/>
  <c r="N2968" i="4"/>
  <c r="N2969" i="4"/>
  <c r="N2970" i="4"/>
  <c r="N2971" i="4"/>
  <c r="O2971" i="4" s="1"/>
  <c r="N2972" i="4"/>
  <c r="N2973" i="4"/>
  <c r="N2974" i="4"/>
  <c r="N2975" i="4"/>
  <c r="O2975" i="4" s="1"/>
  <c r="N2976" i="4"/>
  <c r="N2977" i="4"/>
  <c r="N2978" i="4"/>
  <c r="N2979" i="4"/>
  <c r="O2979" i="4" s="1"/>
  <c r="N2980" i="4"/>
  <c r="N2981" i="4"/>
  <c r="N2982" i="4"/>
  <c r="N2983" i="4"/>
  <c r="O2983" i="4" s="1"/>
  <c r="N2984" i="4"/>
  <c r="N2985" i="4"/>
  <c r="N2986" i="4"/>
  <c r="N2987" i="4"/>
  <c r="O2987" i="4" s="1"/>
  <c r="N2988" i="4"/>
  <c r="N2989" i="4"/>
  <c r="N2990" i="4"/>
  <c r="N2991" i="4"/>
  <c r="O2991" i="4" s="1"/>
  <c r="N2992" i="4"/>
  <c r="N2993" i="4"/>
  <c r="N2994" i="4"/>
  <c r="N2995" i="4"/>
  <c r="O2995" i="4" s="1"/>
  <c r="N2996" i="4"/>
  <c r="N2997" i="4"/>
  <c r="N2998" i="4"/>
  <c r="N2999" i="4"/>
  <c r="O2999" i="4" s="1"/>
  <c r="N3000" i="4"/>
  <c r="N3001" i="4"/>
  <c r="N3002" i="4"/>
  <c r="N3003" i="4"/>
  <c r="O3003" i="4" s="1"/>
  <c r="N3004" i="4"/>
  <c r="N3005" i="4"/>
  <c r="N3006" i="4"/>
  <c r="N3007" i="4"/>
  <c r="O3007" i="4" s="1"/>
  <c r="N3008" i="4"/>
  <c r="N3009" i="4"/>
  <c r="N3010" i="4"/>
  <c r="N3011" i="4"/>
  <c r="O3011" i="4" s="1"/>
  <c r="N3012" i="4"/>
  <c r="N3013" i="4"/>
  <c r="N3014" i="4"/>
  <c r="N3015" i="4"/>
  <c r="O3015" i="4" s="1"/>
  <c r="N3016" i="4"/>
  <c r="N3017" i="4"/>
  <c r="N3018" i="4"/>
  <c r="N3019" i="4"/>
  <c r="O3019" i="4" s="1"/>
  <c r="N3020" i="4"/>
  <c r="N3021" i="4"/>
  <c r="N3022" i="4"/>
  <c r="N3023" i="4"/>
  <c r="O3023" i="4" s="1"/>
  <c r="N3024" i="4"/>
  <c r="N3025" i="4"/>
  <c r="N3026" i="4"/>
  <c r="N3027" i="4"/>
  <c r="O3027" i="4" s="1"/>
  <c r="N3028" i="4"/>
  <c r="N3029" i="4"/>
  <c r="O3029" i="4" s="1"/>
  <c r="N3030" i="4"/>
  <c r="N3031" i="4"/>
  <c r="O3031" i="4" s="1"/>
  <c r="N3032" i="4"/>
  <c r="N3033" i="4"/>
  <c r="N3034" i="4"/>
  <c r="N3035" i="4"/>
  <c r="O3035" i="4" s="1"/>
  <c r="N3036" i="4"/>
  <c r="N3037" i="4"/>
  <c r="O3037" i="4" s="1"/>
  <c r="N3038" i="4"/>
  <c r="N3039" i="4"/>
  <c r="O3039" i="4" s="1"/>
  <c r="N3040" i="4"/>
  <c r="N3041" i="4"/>
  <c r="N3042" i="4"/>
  <c r="N3043" i="4"/>
  <c r="O3043" i="4" s="1"/>
  <c r="N3044" i="4"/>
  <c r="N3045" i="4"/>
  <c r="O3045" i="4" s="1"/>
  <c r="N3046" i="4"/>
  <c r="N3047" i="4"/>
  <c r="O3047" i="4" s="1"/>
  <c r="N3048" i="4"/>
  <c r="N3049" i="4"/>
  <c r="N3050" i="4"/>
  <c r="N3051" i="4"/>
  <c r="O3051" i="4" s="1"/>
  <c r="N3052" i="4"/>
  <c r="N3053" i="4"/>
  <c r="O3053" i="4" s="1"/>
  <c r="N3054" i="4"/>
  <c r="N3055" i="4"/>
  <c r="O3055" i="4" s="1"/>
  <c r="N3056" i="4"/>
  <c r="N3057" i="4"/>
  <c r="N3058" i="4"/>
  <c r="N3059" i="4"/>
  <c r="O3059" i="4" s="1"/>
  <c r="N3060" i="4"/>
  <c r="N3061" i="4"/>
  <c r="O3061" i="4" s="1"/>
  <c r="N3062" i="4"/>
  <c r="N3063" i="4"/>
  <c r="O3063" i="4" s="1"/>
  <c r="N3064" i="4"/>
  <c r="N3065" i="4"/>
  <c r="N3066" i="4"/>
  <c r="N3067" i="4"/>
  <c r="O3067" i="4" s="1"/>
  <c r="N3068" i="4"/>
  <c r="N3069" i="4"/>
  <c r="O3069" i="4" s="1"/>
  <c r="N3070" i="4"/>
  <c r="N3071" i="4"/>
  <c r="O3071" i="4" s="1"/>
  <c r="N3072" i="4"/>
  <c r="N3073" i="4"/>
  <c r="N3074" i="4"/>
  <c r="N3075" i="4"/>
  <c r="O3075" i="4" s="1"/>
  <c r="N3076" i="4"/>
  <c r="N3077" i="4"/>
  <c r="O3077" i="4" s="1"/>
  <c r="N3078" i="4"/>
  <c r="N3079" i="4"/>
  <c r="O3079" i="4" s="1"/>
  <c r="N3080" i="4"/>
  <c r="N3081" i="4"/>
  <c r="N3082" i="4"/>
  <c r="N3083" i="4"/>
  <c r="O3083" i="4" s="1"/>
  <c r="N3084" i="4"/>
  <c r="N3085" i="4"/>
  <c r="O3085" i="4" s="1"/>
  <c r="N3086" i="4"/>
  <c r="N3087" i="4"/>
  <c r="O3087" i="4" s="1"/>
  <c r="N3088" i="4"/>
  <c r="N3089" i="4"/>
  <c r="N3090" i="4"/>
  <c r="N3091" i="4"/>
  <c r="O3091" i="4" s="1"/>
  <c r="N3092" i="4"/>
  <c r="N3093" i="4"/>
  <c r="O3093" i="4" s="1"/>
  <c r="N3094" i="4"/>
  <c r="N3095" i="4"/>
  <c r="O3095" i="4" s="1"/>
  <c r="N3096" i="4"/>
  <c r="N3097" i="4"/>
  <c r="N3098" i="4"/>
  <c r="N3099" i="4"/>
  <c r="O3099" i="4" s="1"/>
  <c r="N3100" i="4"/>
  <c r="N3101" i="4"/>
  <c r="O3101" i="4" s="1"/>
  <c r="N3102" i="4"/>
  <c r="N3103" i="4"/>
  <c r="O3103" i="4" s="1"/>
  <c r="N3104" i="4"/>
  <c r="N3105" i="4"/>
  <c r="N3106" i="4"/>
  <c r="N3107" i="4"/>
  <c r="O3107" i="4" s="1"/>
  <c r="N3108" i="4"/>
  <c r="N3109" i="4"/>
  <c r="O3109" i="4" s="1"/>
  <c r="N3110" i="4"/>
  <c r="N3111" i="4"/>
  <c r="O3111" i="4" s="1"/>
  <c r="N3112" i="4"/>
  <c r="N3113" i="4"/>
  <c r="N3114" i="4"/>
  <c r="N3115" i="4"/>
  <c r="O3115" i="4" s="1"/>
  <c r="N3116" i="4"/>
  <c r="N3117" i="4"/>
  <c r="O3117" i="4" s="1"/>
  <c r="N3118" i="4"/>
  <c r="N3119" i="4"/>
  <c r="O3119" i="4" s="1"/>
  <c r="N3120" i="4"/>
  <c r="N3121" i="4"/>
  <c r="N3122" i="4"/>
  <c r="N3123" i="4"/>
  <c r="O3123" i="4" s="1"/>
  <c r="N3124" i="4"/>
  <c r="N3125" i="4"/>
  <c r="O3125" i="4" s="1"/>
  <c r="N3126" i="4"/>
  <c r="N3127" i="4"/>
  <c r="O3127" i="4" s="1"/>
  <c r="N3128" i="4"/>
  <c r="N3129" i="4"/>
  <c r="N3130" i="4"/>
  <c r="N3131" i="4"/>
  <c r="O3131" i="4" s="1"/>
  <c r="N3132" i="4"/>
  <c r="N3133" i="4"/>
  <c r="O3133" i="4" s="1"/>
  <c r="N3134" i="4"/>
  <c r="N3135" i="4"/>
  <c r="O3135" i="4" s="1"/>
  <c r="N3136" i="4"/>
  <c r="N3137" i="4"/>
  <c r="N3138" i="4"/>
  <c r="N3139" i="4"/>
  <c r="O3139" i="4" s="1"/>
  <c r="N3140" i="4"/>
  <c r="N3141" i="4"/>
  <c r="O3141" i="4" s="1"/>
  <c r="N3142" i="4"/>
  <c r="N3143" i="4"/>
  <c r="O3143" i="4" s="1"/>
  <c r="N3144" i="4"/>
  <c r="N3145" i="4"/>
  <c r="N3146" i="4"/>
  <c r="N3147" i="4"/>
  <c r="O3147" i="4" s="1"/>
  <c r="N3148" i="4"/>
  <c r="N3149" i="4"/>
  <c r="O3149" i="4" s="1"/>
  <c r="N3150" i="4"/>
  <c r="N3151" i="4"/>
  <c r="O3151" i="4" s="1"/>
  <c r="N3152" i="4"/>
  <c r="N3153" i="4"/>
  <c r="N3154" i="4"/>
  <c r="N3155" i="4"/>
  <c r="O3155" i="4" s="1"/>
  <c r="N3156" i="4"/>
  <c r="N3157" i="4"/>
  <c r="O3157" i="4" s="1"/>
  <c r="N3158" i="4"/>
  <c r="N3159" i="4"/>
  <c r="O3159" i="4" s="1"/>
  <c r="N3160" i="4"/>
  <c r="N3161" i="4"/>
  <c r="N3162" i="4"/>
  <c r="N3163" i="4"/>
  <c r="O3163" i="4" s="1"/>
  <c r="N3164" i="4"/>
  <c r="N3165" i="4"/>
  <c r="O3165" i="4" s="1"/>
  <c r="N3166" i="4"/>
  <c r="N3167" i="4"/>
  <c r="O3167" i="4" s="1"/>
  <c r="N3168" i="4"/>
  <c r="N3169" i="4"/>
  <c r="N3170" i="4"/>
  <c r="N3171" i="4"/>
  <c r="O3171" i="4" s="1"/>
  <c r="N3172" i="4"/>
  <c r="N3173" i="4"/>
  <c r="O3173" i="4" s="1"/>
  <c r="N3174" i="4"/>
  <c r="N3175" i="4"/>
  <c r="O3175" i="4" s="1"/>
  <c r="N3176" i="4"/>
  <c r="N3177" i="4"/>
  <c r="N3178" i="4"/>
  <c r="N3179" i="4"/>
  <c r="O3179" i="4" s="1"/>
  <c r="N3180" i="4"/>
  <c r="N3181" i="4"/>
  <c r="O3181" i="4" s="1"/>
  <c r="N3182" i="4"/>
  <c r="N3183" i="4"/>
  <c r="O3183" i="4" s="1"/>
  <c r="N3184" i="4"/>
  <c r="N3185" i="4"/>
  <c r="N3186" i="4"/>
  <c r="N3187" i="4"/>
  <c r="O3187" i="4" s="1"/>
  <c r="N3188" i="4"/>
  <c r="N3189" i="4"/>
  <c r="O3189" i="4" s="1"/>
  <c r="N3190" i="4"/>
  <c r="N3191" i="4"/>
  <c r="O3191" i="4" s="1"/>
  <c r="N3192" i="4"/>
  <c r="N3193" i="4"/>
  <c r="N3194" i="4"/>
  <c r="N3195" i="4"/>
  <c r="O3195" i="4" s="1"/>
  <c r="N3196" i="4"/>
  <c r="N3197" i="4"/>
  <c r="O3197" i="4" s="1"/>
  <c r="N3198" i="4"/>
  <c r="N3199" i="4"/>
  <c r="O3199" i="4" s="1"/>
  <c r="N3200" i="4"/>
  <c r="N3201" i="4"/>
  <c r="N3202" i="4"/>
  <c r="N3203" i="4"/>
  <c r="O3203" i="4" s="1"/>
  <c r="N3204" i="4"/>
  <c r="N3205" i="4"/>
  <c r="O3205" i="4" s="1"/>
  <c r="N3206" i="4"/>
  <c r="N3207" i="4"/>
  <c r="O3207" i="4" s="1"/>
  <c r="N3208" i="4"/>
  <c r="N3209" i="4"/>
  <c r="N3210" i="4"/>
  <c r="N3211" i="4"/>
  <c r="O3211" i="4" s="1"/>
  <c r="N3212" i="4"/>
  <c r="N3213" i="4"/>
  <c r="O3213" i="4" s="1"/>
  <c r="N3214" i="4"/>
  <c r="N3215" i="4"/>
  <c r="O3215" i="4" s="1"/>
  <c r="N3216" i="4"/>
  <c r="N3217" i="4"/>
  <c r="N3218" i="4"/>
  <c r="N3219" i="4"/>
  <c r="O3219" i="4" s="1"/>
  <c r="N3220" i="4"/>
  <c r="N3221" i="4"/>
  <c r="O3221" i="4" s="1"/>
  <c r="N3222" i="4"/>
  <c r="N3223" i="4"/>
  <c r="O3223" i="4" s="1"/>
  <c r="N3224" i="4"/>
  <c r="N3225" i="4"/>
  <c r="N3226" i="4"/>
  <c r="N3227" i="4"/>
  <c r="O3227" i="4" s="1"/>
  <c r="N3228" i="4"/>
  <c r="N3229" i="4"/>
  <c r="O3229" i="4" s="1"/>
  <c r="N3230" i="4"/>
  <c r="N3231" i="4"/>
  <c r="O3231" i="4" s="1"/>
  <c r="N3232" i="4"/>
  <c r="N3233" i="4"/>
  <c r="N3234" i="4"/>
  <c r="N3235" i="4"/>
  <c r="O3235" i="4" s="1"/>
  <c r="N3236" i="4"/>
  <c r="N3237" i="4"/>
  <c r="O3237" i="4" s="1"/>
  <c r="N3238" i="4"/>
  <c r="N3239" i="4"/>
  <c r="O3239" i="4" s="1"/>
  <c r="N3240" i="4"/>
  <c r="N3241" i="4"/>
  <c r="N3242" i="4"/>
  <c r="N3243" i="4"/>
  <c r="O3243" i="4" s="1"/>
  <c r="N3244" i="4"/>
  <c r="N3245" i="4"/>
  <c r="O3245" i="4" s="1"/>
  <c r="N3246" i="4"/>
  <c r="N3247" i="4"/>
  <c r="O3247" i="4" s="1"/>
  <c r="N3248" i="4"/>
  <c r="N3249" i="4"/>
  <c r="N3250" i="4"/>
  <c r="N3251" i="4"/>
  <c r="O3251" i="4" s="1"/>
  <c r="N3252" i="4"/>
  <c r="N3253" i="4"/>
  <c r="O3253" i="4" s="1"/>
  <c r="N3254" i="4"/>
  <c r="N3255" i="4"/>
  <c r="O3255" i="4" s="1"/>
  <c r="N3256" i="4"/>
  <c r="N3257" i="4"/>
  <c r="N3258" i="4"/>
  <c r="N3259" i="4"/>
  <c r="O3259" i="4" s="1"/>
  <c r="N3260" i="4"/>
  <c r="N3261" i="4"/>
  <c r="O3261" i="4" s="1"/>
  <c r="N3262" i="4"/>
  <c r="N3263" i="4"/>
  <c r="O3263" i="4" s="1"/>
  <c r="N3264" i="4"/>
  <c r="N3265" i="4"/>
  <c r="N3266" i="4"/>
  <c r="N3267" i="4"/>
  <c r="O3267" i="4" s="1"/>
  <c r="N3268" i="4"/>
  <c r="N3269" i="4"/>
  <c r="O3269" i="4" s="1"/>
  <c r="N3270" i="4"/>
  <c r="N3271" i="4"/>
  <c r="O3271" i="4" s="1"/>
  <c r="N3272" i="4"/>
  <c r="N3273" i="4"/>
  <c r="N3274" i="4"/>
  <c r="N3275" i="4"/>
  <c r="O3275" i="4" s="1"/>
  <c r="N3276" i="4"/>
  <c r="N3277" i="4"/>
  <c r="O3277" i="4" s="1"/>
  <c r="N3278" i="4"/>
  <c r="N3279" i="4"/>
  <c r="O3279" i="4" s="1"/>
  <c r="N3280" i="4"/>
  <c r="N3281" i="4"/>
  <c r="N3282" i="4"/>
  <c r="N3283" i="4"/>
  <c r="O3283" i="4" s="1"/>
  <c r="N3284" i="4"/>
  <c r="N3285" i="4"/>
  <c r="O3285" i="4" s="1"/>
  <c r="N3286" i="4"/>
  <c r="N3287" i="4"/>
  <c r="O3287" i="4" s="1"/>
  <c r="N3288" i="4"/>
  <c r="N3289" i="4"/>
  <c r="N3290" i="4"/>
  <c r="N3291" i="4"/>
  <c r="O3291" i="4" s="1"/>
  <c r="N3292" i="4"/>
  <c r="N3293" i="4"/>
  <c r="O3293" i="4" s="1"/>
  <c r="N3294" i="4"/>
  <c r="N3295" i="4"/>
  <c r="O3295" i="4" s="1"/>
  <c r="N3296" i="4"/>
  <c r="N3297" i="4"/>
  <c r="N3298" i="4"/>
  <c r="N3299" i="4"/>
  <c r="O3299" i="4" s="1"/>
  <c r="N3300" i="4"/>
  <c r="N3301" i="4"/>
  <c r="O3301" i="4" s="1"/>
  <c r="N3302" i="4"/>
  <c r="N3" i="4"/>
  <c r="O3" i="4" s="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2" i="4"/>
  <c r="P3301" i="4" l="1"/>
  <c r="P3285" i="4"/>
  <c r="P3269" i="4"/>
  <c r="P3253" i="4"/>
  <c r="P3237" i="4"/>
  <c r="P3221" i="4"/>
  <c r="P3205" i="4"/>
  <c r="P3189" i="4"/>
  <c r="P3173" i="4"/>
  <c r="P3157" i="4"/>
  <c r="P3141" i="4"/>
  <c r="P3125" i="4"/>
  <c r="P3109" i="4"/>
  <c r="P3093" i="4"/>
  <c r="P3077" i="4"/>
  <c r="P3061" i="4"/>
  <c r="P3045" i="4"/>
  <c r="P3029" i="4"/>
  <c r="O3302" i="4"/>
  <c r="P3302" i="4"/>
  <c r="O3298" i="4"/>
  <c r="P3298" i="4"/>
  <c r="O3294" i="4"/>
  <c r="P3294" i="4"/>
  <c r="O3290" i="4"/>
  <c r="P3290" i="4"/>
  <c r="O3286" i="4"/>
  <c r="P3286" i="4"/>
  <c r="O3282" i="4"/>
  <c r="P3282" i="4"/>
  <c r="O3278" i="4"/>
  <c r="P3278" i="4"/>
  <c r="O3274" i="4"/>
  <c r="P3274" i="4"/>
  <c r="O3270" i="4"/>
  <c r="P3270" i="4"/>
  <c r="O3266" i="4"/>
  <c r="P3266" i="4"/>
  <c r="O3262" i="4"/>
  <c r="P3262" i="4"/>
  <c r="O3258" i="4"/>
  <c r="P3258" i="4"/>
  <c r="O3254" i="4"/>
  <c r="P3254" i="4"/>
  <c r="O3250" i="4"/>
  <c r="P3250" i="4"/>
  <c r="O3246" i="4"/>
  <c r="P3246" i="4"/>
  <c r="O3242" i="4"/>
  <c r="P3242" i="4"/>
  <c r="O3238" i="4"/>
  <c r="P3238" i="4"/>
  <c r="O3234" i="4"/>
  <c r="P3234" i="4"/>
  <c r="O3230" i="4"/>
  <c r="P3230" i="4"/>
  <c r="O3226" i="4"/>
  <c r="P3226" i="4"/>
  <c r="O3222" i="4"/>
  <c r="P3222" i="4"/>
  <c r="O3218" i="4"/>
  <c r="P3218" i="4"/>
  <c r="O3214" i="4"/>
  <c r="P3214" i="4"/>
  <c r="O3210" i="4"/>
  <c r="P3210" i="4"/>
  <c r="O3206" i="4"/>
  <c r="P3206" i="4"/>
  <c r="O3202" i="4"/>
  <c r="P3202" i="4"/>
  <c r="O3198" i="4"/>
  <c r="P3198" i="4"/>
  <c r="O3194" i="4"/>
  <c r="P3194" i="4"/>
  <c r="O3190" i="4"/>
  <c r="P3190" i="4"/>
  <c r="O3186" i="4"/>
  <c r="P3186" i="4"/>
  <c r="O3182" i="4"/>
  <c r="P3182" i="4"/>
  <c r="O3178" i="4"/>
  <c r="P3178" i="4"/>
  <c r="O3174" i="4"/>
  <c r="P3174" i="4"/>
  <c r="O3170" i="4"/>
  <c r="P3170" i="4"/>
  <c r="O3166" i="4"/>
  <c r="P3166" i="4"/>
  <c r="O3162" i="4"/>
  <c r="P3162" i="4"/>
  <c r="O3158" i="4"/>
  <c r="P3158" i="4"/>
  <c r="O3154" i="4"/>
  <c r="P3154" i="4"/>
  <c r="O3150" i="4"/>
  <c r="P3150" i="4"/>
  <c r="O3146" i="4"/>
  <c r="P3146" i="4"/>
  <c r="O3142" i="4"/>
  <c r="P3142" i="4"/>
  <c r="O3138" i="4"/>
  <c r="P3138" i="4"/>
  <c r="O3134" i="4"/>
  <c r="P3134" i="4"/>
  <c r="O3130" i="4"/>
  <c r="P3130" i="4"/>
  <c r="O3126" i="4"/>
  <c r="P3126" i="4"/>
  <c r="O3122" i="4"/>
  <c r="P3122" i="4"/>
  <c r="O3118" i="4"/>
  <c r="P3118" i="4"/>
  <c r="O3114" i="4"/>
  <c r="P3114" i="4"/>
  <c r="O3110" i="4"/>
  <c r="P3110" i="4"/>
  <c r="O3106" i="4"/>
  <c r="P3106" i="4"/>
  <c r="O3102" i="4"/>
  <c r="P3102" i="4"/>
  <c r="O3098" i="4"/>
  <c r="P3098" i="4"/>
  <c r="O3094" i="4"/>
  <c r="P3094" i="4"/>
  <c r="O3090" i="4"/>
  <c r="P3090" i="4"/>
  <c r="O3086" i="4"/>
  <c r="P3086" i="4"/>
  <c r="O3082" i="4"/>
  <c r="P3082" i="4"/>
  <c r="O3078" i="4"/>
  <c r="P3078" i="4"/>
  <c r="O3074" i="4"/>
  <c r="P3074" i="4"/>
  <c r="O3070" i="4"/>
  <c r="P3070" i="4"/>
  <c r="O3066" i="4"/>
  <c r="P3066" i="4"/>
  <c r="O3062" i="4"/>
  <c r="P3062" i="4"/>
  <c r="O3058" i="4"/>
  <c r="P3058" i="4"/>
  <c r="O3054" i="4"/>
  <c r="P3054" i="4"/>
  <c r="O3297" i="4"/>
  <c r="P3297" i="4"/>
  <c r="O3289" i="4"/>
  <c r="P3289" i="4"/>
  <c r="O3281" i="4"/>
  <c r="P3281" i="4"/>
  <c r="O3273" i="4"/>
  <c r="P3273" i="4"/>
  <c r="O3265" i="4"/>
  <c r="P3265" i="4"/>
  <c r="O3257" i="4"/>
  <c r="P3257" i="4"/>
  <c r="O3249" i="4"/>
  <c r="P3249" i="4"/>
  <c r="O3241" i="4"/>
  <c r="P3241" i="4"/>
  <c r="O3233" i="4"/>
  <c r="P3233" i="4"/>
  <c r="O3225" i="4"/>
  <c r="P3225" i="4"/>
  <c r="O3217" i="4"/>
  <c r="P3217" i="4"/>
  <c r="O3209" i="4"/>
  <c r="P3209" i="4"/>
  <c r="O3201" i="4"/>
  <c r="P3201" i="4"/>
  <c r="O3193" i="4"/>
  <c r="P3193" i="4"/>
  <c r="O3185" i="4"/>
  <c r="P3185" i="4"/>
  <c r="O3177" i="4"/>
  <c r="P3177" i="4"/>
  <c r="O3169" i="4"/>
  <c r="P3169" i="4"/>
  <c r="O3161" i="4"/>
  <c r="P3161" i="4"/>
  <c r="O3153" i="4"/>
  <c r="P3153" i="4"/>
  <c r="O3145" i="4"/>
  <c r="P3145" i="4"/>
  <c r="O3137" i="4"/>
  <c r="P3137" i="4"/>
  <c r="O3129" i="4"/>
  <c r="P3129" i="4"/>
  <c r="O3121" i="4"/>
  <c r="P3121" i="4"/>
  <c r="O3113" i="4"/>
  <c r="P3113" i="4"/>
  <c r="O3105" i="4"/>
  <c r="P3105" i="4"/>
  <c r="O3097" i="4"/>
  <c r="P3097" i="4"/>
  <c r="O3089" i="4"/>
  <c r="P3089" i="4"/>
  <c r="O3081" i="4"/>
  <c r="P3081" i="4"/>
  <c r="O3073" i="4"/>
  <c r="P3073" i="4"/>
  <c r="O3065" i="4"/>
  <c r="P3065" i="4"/>
  <c r="O3057" i="4"/>
  <c r="P3057" i="4"/>
  <c r="O3049" i="4"/>
  <c r="P3049" i="4"/>
  <c r="O3041" i="4"/>
  <c r="P3041" i="4"/>
  <c r="O3033" i="4"/>
  <c r="P3033" i="4"/>
  <c r="O3025" i="4"/>
  <c r="P3025" i="4"/>
  <c r="O3021" i="4"/>
  <c r="P3021" i="4"/>
  <c r="O3017" i="4"/>
  <c r="P3017" i="4"/>
  <c r="O3013" i="4"/>
  <c r="P3013" i="4"/>
  <c r="O3009" i="4"/>
  <c r="P3009" i="4"/>
  <c r="O3005" i="4"/>
  <c r="P3005" i="4"/>
  <c r="O3001" i="4"/>
  <c r="P3001" i="4"/>
  <c r="O2997" i="4"/>
  <c r="P2997" i="4"/>
  <c r="O2993" i="4"/>
  <c r="P2993" i="4"/>
  <c r="O2989" i="4"/>
  <c r="P2989" i="4"/>
  <c r="O2985" i="4"/>
  <c r="P2985" i="4"/>
  <c r="O2981" i="4"/>
  <c r="P2981" i="4"/>
  <c r="O2977" i="4"/>
  <c r="P2977" i="4"/>
  <c r="O2973" i="4"/>
  <c r="P2973" i="4"/>
  <c r="O2969" i="4"/>
  <c r="P2969" i="4"/>
  <c r="O2965" i="4"/>
  <c r="P2965" i="4"/>
  <c r="O2961" i="4"/>
  <c r="P2961" i="4"/>
  <c r="O2957" i="4"/>
  <c r="P2957" i="4"/>
  <c r="O2953" i="4"/>
  <c r="P2953" i="4"/>
  <c r="O2949" i="4"/>
  <c r="P2949" i="4"/>
  <c r="O2945" i="4"/>
  <c r="P2945" i="4"/>
  <c r="O2941" i="4"/>
  <c r="P2941" i="4"/>
  <c r="O2937" i="4"/>
  <c r="P2937" i="4"/>
  <c r="O2933" i="4"/>
  <c r="P2933" i="4"/>
  <c r="O2929" i="4"/>
  <c r="P2929" i="4"/>
  <c r="O2925" i="4"/>
  <c r="P2925" i="4"/>
  <c r="O2921" i="4"/>
  <c r="P2921" i="4"/>
  <c r="O2917" i="4"/>
  <c r="P2917" i="4"/>
  <c r="O2913" i="4"/>
  <c r="P2913" i="4"/>
  <c r="O2909" i="4"/>
  <c r="P2909" i="4"/>
  <c r="O2905" i="4"/>
  <c r="P2905" i="4"/>
  <c r="O2901" i="4"/>
  <c r="P2901" i="4"/>
  <c r="O2897" i="4"/>
  <c r="P2897" i="4"/>
  <c r="O2893" i="4"/>
  <c r="P2893" i="4"/>
  <c r="O2889" i="4"/>
  <c r="P2889" i="4"/>
  <c r="O2885" i="4"/>
  <c r="P2885" i="4"/>
  <c r="O2881" i="4"/>
  <c r="P2881" i="4"/>
  <c r="O2877" i="4"/>
  <c r="P2877" i="4"/>
  <c r="O2873" i="4"/>
  <c r="P2873" i="4"/>
  <c r="O2869" i="4"/>
  <c r="P2869" i="4"/>
  <c r="O2865" i="4"/>
  <c r="P2865" i="4"/>
  <c r="O2861" i="4"/>
  <c r="P2861" i="4"/>
  <c r="O2857" i="4"/>
  <c r="P2857" i="4"/>
  <c r="O2853" i="4"/>
  <c r="P2853" i="4"/>
  <c r="O2849" i="4"/>
  <c r="P2849" i="4"/>
  <c r="O2845" i="4"/>
  <c r="P2845" i="4"/>
  <c r="O2841" i="4"/>
  <c r="P2841" i="4"/>
  <c r="O2837" i="4"/>
  <c r="P2837" i="4"/>
  <c r="O2833" i="4"/>
  <c r="P2833" i="4"/>
  <c r="O2829" i="4"/>
  <c r="P2829" i="4"/>
  <c r="O2825" i="4"/>
  <c r="P2825" i="4"/>
  <c r="O2821" i="4"/>
  <c r="P2821" i="4"/>
  <c r="O2817" i="4"/>
  <c r="P2817" i="4"/>
  <c r="O2813" i="4"/>
  <c r="P2813" i="4"/>
  <c r="O2809" i="4"/>
  <c r="P2809" i="4"/>
  <c r="O2805" i="4"/>
  <c r="P2805" i="4"/>
  <c r="O2801" i="4"/>
  <c r="P2801" i="4"/>
  <c r="O2797" i="4"/>
  <c r="P2797" i="4"/>
  <c r="O2793" i="4"/>
  <c r="P2793" i="4"/>
  <c r="O2789" i="4"/>
  <c r="P2789" i="4"/>
  <c r="O2785" i="4"/>
  <c r="P2785" i="4"/>
  <c r="O2781" i="4"/>
  <c r="P2781" i="4"/>
  <c r="O2777" i="4"/>
  <c r="P2777" i="4"/>
  <c r="O2773" i="4"/>
  <c r="P2773" i="4"/>
  <c r="O2769" i="4"/>
  <c r="P2769" i="4"/>
  <c r="O2765" i="4"/>
  <c r="P2765" i="4"/>
  <c r="O2761" i="4"/>
  <c r="P2761" i="4"/>
  <c r="O2757" i="4"/>
  <c r="P2757" i="4"/>
  <c r="O2753" i="4"/>
  <c r="P2753" i="4"/>
  <c r="O2749" i="4"/>
  <c r="P2749" i="4"/>
  <c r="O2745" i="4"/>
  <c r="P2745" i="4"/>
  <c r="O2741" i="4"/>
  <c r="P2741" i="4"/>
  <c r="O2737" i="4"/>
  <c r="P2737" i="4"/>
  <c r="O2733" i="4"/>
  <c r="P2733" i="4"/>
  <c r="O2729" i="4"/>
  <c r="P2729" i="4"/>
  <c r="O2725" i="4"/>
  <c r="P2725" i="4"/>
  <c r="O2721" i="4"/>
  <c r="P2721" i="4"/>
  <c r="O2717" i="4"/>
  <c r="P2717" i="4"/>
  <c r="O2713" i="4"/>
  <c r="P2713" i="4"/>
  <c r="O2709" i="4"/>
  <c r="P2709" i="4"/>
  <c r="O2705" i="4"/>
  <c r="P2705" i="4"/>
  <c r="O2701" i="4"/>
  <c r="P2701" i="4"/>
  <c r="O2697" i="4"/>
  <c r="P2697" i="4"/>
  <c r="O2693" i="4"/>
  <c r="P2693" i="4"/>
  <c r="O2689" i="4"/>
  <c r="P2689" i="4"/>
  <c r="O2685" i="4"/>
  <c r="P2685" i="4"/>
  <c r="O2681" i="4"/>
  <c r="P2681" i="4"/>
  <c r="O2677" i="4"/>
  <c r="P2677" i="4"/>
  <c r="O2673" i="4"/>
  <c r="P2673" i="4"/>
  <c r="O2669" i="4"/>
  <c r="P2669" i="4"/>
  <c r="O2665" i="4"/>
  <c r="P2665" i="4"/>
  <c r="O2661" i="4"/>
  <c r="P2661" i="4"/>
  <c r="O2657" i="4"/>
  <c r="P2657" i="4"/>
  <c r="O2653" i="4"/>
  <c r="P2653" i="4"/>
  <c r="O2649" i="4"/>
  <c r="P2649" i="4"/>
  <c r="O2645" i="4"/>
  <c r="P2645" i="4"/>
  <c r="O2641" i="4"/>
  <c r="P2641" i="4"/>
  <c r="O2637" i="4"/>
  <c r="P2637" i="4"/>
  <c r="O2633" i="4"/>
  <c r="P2633" i="4"/>
  <c r="O2629" i="4"/>
  <c r="P2629" i="4"/>
  <c r="O2625" i="4"/>
  <c r="P2625" i="4"/>
  <c r="O2621" i="4"/>
  <c r="P2621" i="4"/>
  <c r="O2617" i="4"/>
  <c r="P2617" i="4"/>
  <c r="O2613" i="4"/>
  <c r="P2613" i="4"/>
  <c r="O2609" i="4"/>
  <c r="P2609" i="4"/>
  <c r="O2605" i="4"/>
  <c r="P2605" i="4"/>
  <c r="O2601" i="4"/>
  <c r="P2601" i="4"/>
  <c r="O2597" i="4"/>
  <c r="P2597" i="4"/>
  <c r="O2593" i="4"/>
  <c r="P2593" i="4"/>
  <c r="O2589" i="4"/>
  <c r="P2589" i="4"/>
  <c r="O2585" i="4"/>
  <c r="P2585" i="4"/>
  <c r="O2581" i="4"/>
  <c r="P2581" i="4"/>
  <c r="O2577" i="4"/>
  <c r="P2577" i="4"/>
  <c r="O2573" i="4"/>
  <c r="P2573" i="4"/>
  <c r="O2569" i="4"/>
  <c r="P2569" i="4"/>
  <c r="O2565" i="4"/>
  <c r="P2565" i="4"/>
  <c r="O2561" i="4"/>
  <c r="P2561" i="4"/>
  <c r="O2557" i="4"/>
  <c r="P2557" i="4"/>
  <c r="O2553" i="4"/>
  <c r="P2553" i="4"/>
  <c r="O2549" i="4"/>
  <c r="P2549" i="4"/>
  <c r="O2545" i="4"/>
  <c r="P2545" i="4"/>
  <c r="O2541" i="4"/>
  <c r="P2541" i="4"/>
  <c r="O2537" i="4"/>
  <c r="P2537" i="4"/>
  <c r="O2533" i="4"/>
  <c r="P2533" i="4"/>
  <c r="O2529" i="4"/>
  <c r="P2529" i="4"/>
  <c r="O2525" i="4"/>
  <c r="P2525" i="4"/>
  <c r="O2521" i="4"/>
  <c r="P2521" i="4"/>
  <c r="O2517" i="4"/>
  <c r="P2517" i="4"/>
  <c r="O2513" i="4"/>
  <c r="P2513" i="4"/>
  <c r="O2509" i="4"/>
  <c r="P2509" i="4"/>
  <c r="O2505" i="4"/>
  <c r="P2505" i="4"/>
  <c r="O2501" i="4"/>
  <c r="P2501" i="4"/>
  <c r="O2497" i="4"/>
  <c r="P2497" i="4"/>
  <c r="O2493" i="4"/>
  <c r="P2493" i="4"/>
  <c r="O2489" i="4"/>
  <c r="P2489" i="4"/>
  <c r="O2485" i="4"/>
  <c r="P2485" i="4"/>
  <c r="O2481" i="4"/>
  <c r="P2481" i="4"/>
  <c r="O2477" i="4"/>
  <c r="P2477" i="4"/>
  <c r="O2473" i="4"/>
  <c r="P2473" i="4"/>
  <c r="O2469" i="4"/>
  <c r="P2469" i="4"/>
  <c r="O2465" i="4"/>
  <c r="P2465" i="4"/>
  <c r="O2461" i="4"/>
  <c r="P2461" i="4"/>
  <c r="O2457" i="4"/>
  <c r="P2457" i="4"/>
  <c r="O2453" i="4"/>
  <c r="P2453" i="4"/>
  <c r="O2449" i="4"/>
  <c r="P2449" i="4"/>
  <c r="O2445" i="4"/>
  <c r="P2445" i="4"/>
  <c r="O2441" i="4"/>
  <c r="P2441" i="4"/>
  <c r="O2437" i="4"/>
  <c r="P2437" i="4"/>
  <c r="O2433" i="4"/>
  <c r="P2433" i="4"/>
  <c r="O2429" i="4"/>
  <c r="P2429" i="4"/>
  <c r="O2425" i="4"/>
  <c r="P2425" i="4"/>
  <c r="O2421" i="4"/>
  <c r="P2421" i="4"/>
  <c r="O2417" i="4"/>
  <c r="P2417" i="4"/>
  <c r="O2413" i="4"/>
  <c r="P2413" i="4"/>
  <c r="O2409" i="4"/>
  <c r="P2409" i="4"/>
  <c r="O2405" i="4"/>
  <c r="P2405" i="4"/>
  <c r="O2401" i="4"/>
  <c r="P2401" i="4"/>
  <c r="O2397" i="4"/>
  <c r="P2397" i="4"/>
  <c r="O2393" i="4"/>
  <c r="P2393" i="4"/>
  <c r="O2389" i="4"/>
  <c r="P2389" i="4"/>
  <c r="O2385" i="4"/>
  <c r="P2385" i="4"/>
  <c r="O2381" i="4"/>
  <c r="P2381" i="4"/>
  <c r="O2377" i="4"/>
  <c r="P2377" i="4"/>
  <c r="O2373" i="4"/>
  <c r="P2373" i="4"/>
  <c r="O2369" i="4"/>
  <c r="P2369" i="4"/>
  <c r="O2365" i="4"/>
  <c r="P2365" i="4"/>
  <c r="O2361" i="4"/>
  <c r="P2361" i="4"/>
  <c r="O2357" i="4"/>
  <c r="P2357" i="4"/>
  <c r="O2353" i="4"/>
  <c r="P2353" i="4"/>
  <c r="O2349" i="4"/>
  <c r="P2349" i="4"/>
  <c r="O2345" i="4"/>
  <c r="P2345" i="4"/>
  <c r="O2341" i="4"/>
  <c r="P2341" i="4"/>
  <c r="O2337" i="4"/>
  <c r="P2337" i="4"/>
  <c r="O2333" i="4"/>
  <c r="P2333" i="4"/>
  <c r="O2329" i="4"/>
  <c r="P2329" i="4"/>
  <c r="O2325" i="4"/>
  <c r="P2325" i="4"/>
  <c r="O2321" i="4"/>
  <c r="P2321" i="4"/>
  <c r="O2317" i="4"/>
  <c r="P2317" i="4"/>
  <c r="O2313" i="4"/>
  <c r="P2313" i="4"/>
  <c r="O2309" i="4"/>
  <c r="P2309" i="4"/>
  <c r="O2305" i="4"/>
  <c r="P2305" i="4"/>
  <c r="O2301" i="4"/>
  <c r="P2301" i="4"/>
  <c r="O2297" i="4"/>
  <c r="P2297" i="4"/>
  <c r="O2293" i="4"/>
  <c r="P2293" i="4"/>
  <c r="O2289" i="4"/>
  <c r="P2289" i="4"/>
  <c r="O2285" i="4"/>
  <c r="P2285" i="4"/>
  <c r="O2281" i="4"/>
  <c r="P2281" i="4"/>
  <c r="O2277" i="4"/>
  <c r="P2277" i="4"/>
  <c r="O2273" i="4"/>
  <c r="P2273" i="4"/>
  <c r="O2269" i="4"/>
  <c r="P2269" i="4"/>
  <c r="O2265" i="4"/>
  <c r="P2265" i="4"/>
  <c r="O2261" i="4"/>
  <c r="P2261" i="4"/>
  <c r="O2257" i="4"/>
  <c r="P2257" i="4"/>
  <c r="O2253" i="4"/>
  <c r="P2253" i="4"/>
  <c r="O2249" i="4"/>
  <c r="P2249" i="4"/>
  <c r="O2245" i="4"/>
  <c r="P2245" i="4"/>
  <c r="O2241" i="4"/>
  <c r="P2241" i="4"/>
  <c r="O2237" i="4"/>
  <c r="P2237" i="4"/>
  <c r="O2233" i="4"/>
  <c r="P2233" i="4"/>
  <c r="O2229" i="4"/>
  <c r="P2229" i="4"/>
  <c r="O2225" i="4"/>
  <c r="P2225" i="4"/>
  <c r="O2221" i="4"/>
  <c r="P2221" i="4"/>
  <c r="O2217" i="4"/>
  <c r="P2217" i="4"/>
  <c r="O2213" i="4"/>
  <c r="P2213" i="4"/>
  <c r="O2209" i="4"/>
  <c r="P2209" i="4"/>
  <c r="O2205" i="4"/>
  <c r="P2205" i="4"/>
  <c r="O2201" i="4"/>
  <c r="P2201" i="4"/>
  <c r="O2197" i="4"/>
  <c r="P2197" i="4"/>
  <c r="O2193" i="4"/>
  <c r="P2193" i="4"/>
  <c r="O2189" i="4"/>
  <c r="P2189" i="4"/>
  <c r="O2185" i="4"/>
  <c r="P2185" i="4"/>
  <c r="O2181" i="4"/>
  <c r="P2181" i="4"/>
  <c r="O2177" i="4"/>
  <c r="P2177" i="4"/>
  <c r="O2173" i="4"/>
  <c r="P2173" i="4"/>
  <c r="O2169" i="4"/>
  <c r="P2169" i="4"/>
  <c r="O2165" i="4"/>
  <c r="P2165" i="4"/>
  <c r="O2161" i="4"/>
  <c r="P2161" i="4"/>
  <c r="O2157" i="4"/>
  <c r="P2157" i="4"/>
  <c r="O2153" i="4"/>
  <c r="P2153" i="4"/>
  <c r="O2149" i="4"/>
  <c r="P2149" i="4"/>
  <c r="O2145" i="4"/>
  <c r="P2145" i="4"/>
  <c r="O2141" i="4"/>
  <c r="P2141" i="4"/>
  <c r="O2137" i="4"/>
  <c r="P2137" i="4"/>
  <c r="O2133" i="4"/>
  <c r="P2133" i="4"/>
  <c r="O2129" i="4"/>
  <c r="P2129" i="4"/>
  <c r="O2125" i="4"/>
  <c r="P2125" i="4"/>
  <c r="O2121" i="4"/>
  <c r="P2121" i="4"/>
  <c r="O2117" i="4"/>
  <c r="P2117" i="4"/>
  <c r="O2113" i="4"/>
  <c r="P2113" i="4"/>
  <c r="O2109" i="4"/>
  <c r="P2109" i="4"/>
  <c r="O2105" i="4"/>
  <c r="P2105" i="4"/>
  <c r="O2101" i="4"/>
  <c r="P2101" i="4"/>
  <c r="O2097" i="4"/>
  <c r="P2097" i="4"/>
  <c r="O2093" i="4"/>
  <c r="P2093" i="4"/>
  <c r="O2089" i="4"/>
  <c r="P2089" i="4"/>
  <c r="O2085" i="4"/>
  <c r="P2085" i="4"/>
  <c r="O2081" i="4"/>
  <c r="P2081" i="4"/>
  <c r="O2077" i="4"/>
  <c r="P2077" i="4"/>
  <c r="O2073" i="4"/>
  <c r="P2073" i="4"/>
  <c r="O2069" i="4"/>
  <c r="P2069" i="4"/>
  <c r="O2065" i="4"/>
  <c r="P2065" i="4"/>
  <c r="O2061" i="4"/>
  <c r="P2061" i="4"/>
  <c r="O2057" i="4"/>
  <c r="P2057" i="4"/>
  <c r="O2053" i="4"/>
  <c r="P2053" i="4"/>
  <c r="O2049" i="4"/>
  <c r="P2049" i="4"/>
  <c r="O2045" i="4"/>
  <c r="P2045" i="4"/>
  <c r="O2041" i="4"/>
  <c r="P2041" i="4"/>
  <c r="O2037" i="4"/>
  <c r="P2037" i="4"/>
  <c r="O2033" i="4"/>
  <c r="P2033" i="4"/>
  <c r="O2029" i="4"/>
  <c r="P2029" i="4"/>
  <c r="O2025" i="4"/>
  <c r="P2025" i="4"/>
  <c r="O2021" i="4"/>
  <c r="P2021" i="4"/>
  <c r="O2017" i="4"/>
  <c r="P2017" i="4"/>
  <c r="O2013" i="4"/>
  <c r="P2013" i="4"/>
  <c r="O2009" i="4"/>
  <c r="P2009" i="4"/>
  <c r="O2005" i="4"/>
  <c r="P2005" i="4"/>
  <c r="O2001" i="4"/>
  <c r="P2001" i="4"/>
  <c r="O1997" i="4"/>
  <c r="P1997" i="4"/>
  <c r="O1993" i="4"/>
  <c r="P1993" i="4"/>
  <c r="O1989" i="4"/>
  <c r="P1989" i="4"/>
  <c r="O1985" i="4"/>
  <c r="P1985" i="4"/>
  <c r="O1981" i="4"/>
  <c r="P1981" i="4"/>
  <c r="O1977" i="4"/>
  <c r="P1977" i="4"/>
  <c r="O1973" i="4"/>
  <c r="P1973" i="4"/>
  <c r="O1969" i="4"/>
  <c r="P1969" i="4"/>
  <c r="O1965" i="4"/>
  <c r="P1965" i="4"/>
  <c r="O1961" i="4"/>
  <c r="P1961" i="4"/>
  <c r="O1957" i="4"/>
  <c r="P1957" i="4"/>
  <c r="O1953" i="4"/>
  <c r="P1953" i="4"/>
  <c r="O1949" i="4"/>
  <c r="P1949" i="4"/>
  <c r="O1945" i="4"/>
  <c r="P1945" i="4"/>
  <c r="O1941" i="4"/>
  <c r="P1941" i="4"/>
  <c r="O1937" i="4"/>
  <c r="P1937" i="4"/>
  <c r="O1933" i="4"/>
  <c r="P1933" i="4"/>
  <c r="O1929" i="4"/>
  <c r="P1929" i="4"/>
  <c r="O1925" i="4"/>
  <c r="P1925" i="4"/>
  <c r="O1921" i="4"/>
  <c r="P1921" i="4"/>
  <c r="O1917" i="4"/>
  <c r="P1917" i="4"/>
  <c r="O1913" i="4"/>
  <c r="P1913" i="4"/>
  <c r="O1909" i="4"/>
  <c r="P1909" i="4"/>
  <c r="O1905" i="4"/>
  <c r="P1905" i="4"/>
  <c r="O1901" i="4"/>
  <c r="P1901" i="4"/>
  <c r="O1897" i="4"/>
  <c r="P1897" i="4"/>
  <c r="O1893" i="4"/>
  <c r="P1893" i="4"/>
  <c r="O1889" i="4"/>
  <c r="P1889" i="4"/>
  <c r="O1885" i="4"/>
  <c r="P1885" i="4"/>
  <c r="O1881" i="4"/>
  <c r="P1881" i="4"/>
  <c r="O1877" i="4"/>
  <c r="P1877" i="4"/>
  <c r="O1873" i="4"/>
  <c r="P1873" i="4"/>
  <c r="O1869" i="4"/>
  <c r="P1869" i="4"/>
  <c r="O1865" i="4"/>
  <c r="P1865" i="4"/>
  <c r="O1861" i="4"/>
  <c r="P1861" i="4"/>
  <c r="O1857" i="4"/>
  <c r="P1857" i="4"/>
  <c r="O1853" i="4"/>
  <c r="P1853" i="4"/>
  <c r="O1849" i="4"/>
  <c r="P1849" i="4"/>
  <c r="O1845" i="4"/>
  <c r="P1845" i="4"/>
  <c r="O1841" i="4"/>
  <c r="P1841" i="4"/>
  <c r="O1837" i="4"/>
  <c r="P1837" i="4"/>
  <c r="O1833" i="4"/>
  <c r="P1833" i="4"/>
  <c r="O1829" i="4"/>
  <c r="P1829" i="4"/>
  <c r="O1825" i="4"/>
  <c r="P1825" i="4"/>
  <c r="O1821" i="4"/>
  <c r="P1821" i="4"/>
  <c r="O1817" i="4"/>
  <c r="P1817" i="4"/>
  <c r="O1813" i="4"/>
  <c r="P1813" i="4"/>
  <c r="O1809" i="4"/>
  <c r="P1809" i="4"/>
  <c r="O1805" i="4"/>
  <c r="P1805" i="4"/>
  <c r="O1801" i="4"/>
  <c r="P1801" i="4"/>
  <c r="O1797" i="4"/>
  <c r="P1797" i="4"/>
  <c r="O1793" i="4"/>
  <c r="P1793" i="4"/>
  <c r="O1789" i="4"/>
  <c r="P1789" i="4"/>
  <c r="O1785" i="4"/>
  <c r="P1785" i="4"/>
  <c r="O1781" i="4"/>
  <c r="P1781" i="4"/>
  <c r="O1777" i="4"/>
  <c r="P1777" i="4"/>
  <c r="O1773" i="4"/>
  <c r="P1773" i="4"/>
  <c r="O1769" i="4"/>
  <c r="P1769" i="4"/>
  <c r="O1765" i="4"/>
  <c r="P1765" i="4"/>
  <c r="O1761" i="4"/>
  <c r="P1761" i="4"/>
  <c r="O1757" i="4"/>
  <c r="P1757" i="4"/>
  <c r="O1753" i="4"/>
  <c r="P1753" i="4"/>
  <c r="O1749" i="4"/>
  <c r="P1749" i="4"/>
  <c r="O1745" i="4"/>
  <c r="P1745" i="4"/>
  <c r="O1741" i="4"/>
  <c r="P1741" i="4"/>
  <c r="O1737" i="4"/>
  <c r="P1737" i="4"/>
  <c r="O1733" i="4"/>
  <c r="P1733" i="4"/>
  <c r="O1729" i="4"/>
  <c r="P1729" i="4"/>
  <c r="O1725" i="4"/>
  <c r="P1725" i="4"/>
  <c r="O1721" i="4"/>
  <c r="P1721" i="4"/>
  <c r="O1717" i="4"/>
  <c r="P1717" i="4"/>
  <c r="O1713" i="4"/>
  <c r="P1713" i="4"/>
  <c r="O1709" i="4"/>
  <c r="P1709" i="4"/>
  <c r="O1705" i="4"/>
  <c r="P1705" i="4"/>
  <c r="O1701" i="4"/>
  <c r="P1701" i="4"/>
  <c r="O1697" i="4"/>
  <c r="P1697" i="4"/>
  <c r="O1693" i="4"/>
  <c r="P1693" i="4"/>
  <c r="O1689" i="4"/>
  <c r="P1689" i="4"/>
  <c r="O1685" i="4"/>
  <c r="P1685" i="4"/>
  <c r="O1681" i="4"/>
  <c r="P1681" i="4"/>
  <c r="O1677" i="4"/>
  <c r="P1677" i="4"/>
  <c r="O1673" i="4"/>
  <c r="P1673" i="4"/>
  <c r="O1669" i="4"/>
  <c r="P1669" i="4"/>
  <c r="O1665" i="4"/>
  <c r="P1665" i="4"/>
  <c r="O1661" i="4"/>
  <c r="P1661" i="4"/>
  <c r="O1657" i="4"/>
  <c r="P1657" i="4"/>
  <c r="O1653" i="4"/>
  <c r="P1653" i="4"/>
  <c r="O1649" i="4"/>
  <c r="P1649" i="4"/>
  <c r="O1645" i="4"/>
  <c r="P1645" i="4"/>
  <c r="O1641" i="4"/>
  <c r="P1641" i="4"/>
  <c r="O1637" i="4"/>
  <c r="P1637" i="4"/>
  <c r="O1633" i="4"/>
  <c r="P1633" i="4"/>
  <c r="O1629" i="4"/>
  <c r="P1629" i="4"/>
  <c r="O1625" i="4"/>
  <c r="P1625" i="4"/>
  <c r="O1621" i="4"/>
  <c r="P1621" i="4"/>
  <c r="O1617" i="4"/>
  <c r="P1617" i="4"/>
  <c r="O1613" i="4"/>
  <c r="P1613" i="4"/>
  <c r="O1609" i="4"/>
  <c r="P1609" i="4"/>
  <c r="O1605" i="4"/>
  <c r="P1605" i="4"/>
  <c r="O1601" i="4"/>
  <c r="P1601" i="4"/>
  <c r="O1597" i="4"/>
  <c r="P1597" i="4"/>
  <c r="O1593" i="4"/>
  <c r="P1593" i="4"/>
  <c r="O1589" i="4"/>
  <c r="P1589" i="4"/>
  <c r="O1585" i="4"/>
  <c r="P1585" i="4"/>
  <c r="O1581" i="4"/>
  <c r="P1581" i="4"/>
  <c r="O1577" i="4"/>
  <c r="P1577" i="4"/>
  <c r="O1573" i="4"/>
  <c r="P1573" i="4"/>
  <c r="O1569" i="4"/>
  <c r="P1569" i="4"/>
  <c r="O1565" i="4"/>
  <c r="P1565" i="4"/>
  <c r="O1561" i="4"/>
  <c r="P1561" i="4"/>
  <c r="O1557" i="4"/>
  <c r="P1557" i="4"/>
  <c r="O1553" i="4"/>
  <c r="P1553" i="4"/>
  <c r="O1549" i="4"/>
  <c r="P1549" i="4"/>
  <c r="O1545" i="4"/>
  <c r="P1545" i="4"/>
  <c r="O1541" i="4"/>
  <c r="P1541" i="4"/>
  <c r="O1537" i="4"/>
  <c r="P1537" i="4"/>
  <c r="O1533" i="4"/>
  <c r="P1533" i="4"/>
  <c r="O1529" i="4"/>
  <c r="P1529" i="4"/>
  <c r="O1525" i="4"/>
  <c r="P1525" i="4"/>
  <c r="O1521" i="4"/>
  <c r="P1521" i="4"/>
  <c r="O1517" i="4"/>
  <c r="P1517" i="4"/>
  <c r="O1513" i="4"/>
  <c r="P1513" i="4"/>
  <c r="O1509" i="4"/>
  <c r="P1509" i="4"/>
  <c r="O1505" i="4"/>
  <c r="P1505" i="4"/>
  <c r="O1501" i="4"/>
  <c r="P1501" i="4"/>
  <c r="O1497" i="4"/>
  <c r="P1497" i="4"/>
  <c r="O1493" i="4"/>
  <c r="P1493" i="4"/>
  <c r="O1489" i="4"/>
  <c r="P1489" i="4"/>
  <c r="O1485" i="4"/>
  <c r="P1485" i="4"/>
  <c r="O1481" i="4"/>
  <c r="P1481" i="4"/>
  <c r="O1477" i="4"/>
  <c r="P1477" i="4"/>
  <c r="O1473" i="4"/>
  <c r="P1473" i="4"/>
  <c r="O1469" i="4"/>
  <c r="P1469" i="4"/>
  <c r="O1465" i="4"/>
  <c r="P1465" i="4"/>
  <c r="O1461" i="4"/>
  <c r="P1461" i="4"/>
  <c r="O1457" i="4"/>
  <c r="P1457" i="4"/>
  <c r="O1453" i="4"/>
  <c r="P1453" i="4"/>
  <c r="O1449" i="4"/>
  <c r="P1449" i="4"/>
  <c r="O1445" i="4"/>
  <c r="P1445" i="4"/>
  <c r="O1441" i="4"/>
  <c r="P1441" i="4"/>
  <c r="O1437" i="4"/>
  <c r="P1437" i="4"/>
  <c r="O1433" i="4"/>
  <c r="P1433" i="4"/>
  <c r="O1429" i="4"/>
  <c r="P1429" i="4"/>
  <c r="O1425" i="4"/>
  <c r="P1425" i="4"/>
  <c r="O1421" i="4"/>
  <c r="P1421" i="4"/>
  <c r="O1417" i="4"/>
  <c r="P1417" i="4"/>
  <c r="O1413" i="4"/>
  <c r="P1413" i="4"/>
  <c r="O1409" i="4"/>
  <c r="P1409" i="4"/>
  <c r="O1405" i="4"/>
  <c r="P1405" i="4"/>
  <c r="O1401" i="4"/>
  <c r="P1401" i="4"/>
  <c r="O1397" i="4"/>
  <c r="P1397" i="4"/>
  <c r="O1393" i="4"/>
  <c r="P1393" i="4"/>
  <c r="O1389" i="4"/>
  <c r="P1389" i="4"/>
  <c r="O1385" i="4"/>
  <c r="P1385" i="4"/>
  <c r="O1381" i="4"/>
  <c r="P1381" i="4"/>
  <c r="O1377" i="4"/>
  <c r="P1377" i="4"/>
  <c r="O1373" i="4"/>
  <c r="P1373" i="4"/>
  <c r="O1369" i="4"/>
  <c r="P1369" i="4"/>
  <c r="O1365" i="4"/>
  <c r="P1365" i="4"/>
  <c r="O1361" i="4"/>
  <c r="P1361" i="4"/>
  <c r="O1357" i="4"/>
  <c r="P1357" i="4"/>
  <c r="O1353" i="4"/>
  <c r="P1353" i="4"/>
  <c r="O1349" i="4"/>
  <c r="P1349" i="4"/>
  <c r="O1345" i="4"/>
  <c r="P1345" i="4"/>
  <c r="O1341" i="4"/>
  <c r="P1341" i="4"/>
  <c r="O1337" i="4"/>
  <c r="P1337" i="4"/>
  <c r="O1333" i="4"/>
  <c r="P1333" i="4"/>
  <c r="O1329" i="4"/>
  <c r="P1329" i="4"/>
  <c r="O1325" i="4"/>
  <c r="P1325" i="4"/>
  <c r="O1321" i="4"/>
  <c r="P1321" i="4"/>
  <c r="O1317" i="4"/>
  <c r="P1317" i="4"/>
  <c r="O1313" i="4"/>
  <c r="P1313" i="4"/>
  <c r="O1309" i="4"/>
  <c r="P1309" i="4"/>
  <c r="O1305" i="4"/>
  <c r="P1305" i="4"/>
  <c r="O1301" i="4"/>
  <c r="P1301" i="4"/>
  <c r="O1297" i="4"/>
  <c r="P1297" i="4"/>
  <c r="O1293" i="4"/>
  <c r="P1293" i="4"/>
  <c r="O1289" i="4"/>
  <c r="P1289" i="4"/>
  <c r="O1285" i="4"/>
  <c r="P1285" i="4"/>
  <c r="O1281" i="4"/>
  <c r="P1281" i="4"/>
  <c r="O1277" i="4"/>
  <c r="P1277" i="4"/>
  <c r="O1273" i="4"/>
  <c r="P1273" i="4"/>
  <c r="O1269" i="4"/>
  <c r="P1269" i="4"/>
  <c r="O1265" i="4"/>
  <c r="P1265" i="4"/>
  <c r="O1261" i="4"/>
  <c r="P1261" i="4"/>
  <c r="O1257" i="4"/>
  <c r="P1257" i="4"/>
  <c r="O1253" i="4"/>
  <c r="P1253" i="4"/>
  <c r="O1249" i="4"/>
  <c r="P1249" i="4"/>
  <c r="O1245" i="4"/>
  <c r="P1245" i="4"/>
  <c r="O1241" i="4"/>
  <c r="P1241" i="4"/>
  <c r="O1237" i="4"/>
  <c r="P1237" i="4"/>
  <c r="O1233" i="4"/>
  <c r="P1233" i="4"/>
  <c r="O1229" i="4"/>
  <c r="P1229" i="4"/>
  <c r="O1225" i="4"/>
  <c r="P1225" i="4"/>
  <c r="O1221" i="4"/>
  <c r="P1221" i="4"/>
  <c r="O1217" i="4"/>
  <c r="P1217" i="4"/>
  <c r="O1213" i="4"/>
  <c r="P1213" i="4"/>
  <c r="O1209" i="4"/>
  <c r="P1209" i="4"/>
  <c r="O1205" i="4"/>
  <c r="P1205" i="4"/>
  <c r="O1201" i="4"/>
  <c r="P1201" i="4"/>
  <c r="O1197" i="4"/>
  <c r="P1197" i="4"/>
  <c r="O1193" i="4"/>
  <c r="P1193" i="4"/>
  <c r="O1189" i="4"/>
  <c r="P1189" i="4"/>
  <c r="O1185" i="4"/>
  <c r="P1185" i="4"/>
  <c r="O1181" i="4"/>
  <c r="P1181" i="4"/>
  <c r="O1177" i="4"/>
  <c r="P1177" i="4"/>
  <c r="O1173" i="4"/>
  <c r="P1173" i="4"/>
  <c r="O1169" i="4"/>
  <c r="P1169" i="4"/>
  <c r="O1165" i="4"/>
  <c r="P1165" i="4"/>
  <c r="O1161" i="4"/>
  <c r="P1161" i="4"/>
  <c r="O1157" i="4"/>
  <c r="P1157" i="4"/>
  <c r="O1153" i="4"/>
  <c r="P1153" i="4"/>
  <c r="O1149" i="4"/>
  <c r="P1149" i="4"/>
  <c r="O1145" i="4"/>
  <c r="P1145" i="4"/>
  <c r="O1141" i="4"/>
  <c r="P1141" i="4"/>
  <c r="O1137" i="4"/>
  <c r="P1137" i="4"/>
  <c r="O1133" i="4"/>
  <c r="P1133" i="4"/>
  <c r="O1129" i="4"/>
  <c r="P1129" i="4"/>
  <c r="O1125" i="4"/>
  <c r="P1125" i="4"/>
  <c r="O1121" i="4"/>
  <c r="P1121" i="4"/>
  <c r="O1117" i="4"/>
  <c r="P1117" i="4"/>
  <c r="O1113" i="4"/>
  <c r="P1113" i="4"/>
  <c r="O1109" i="4"/>
  <c r="P1109" i="4"/>
  <c r="O1105" i="4"/>
  <c r="P1105" i="4"/>
  <c r="O1101" i="4"/>
  <c r="P1101" i="4"/>
  <c r="O1097" i="4"/>
  <c r="P1097" i="4"/>
  <c r="O1093" i="4"/>
  <c r="P1093" i="4"/>
  <c r="O1089" i="4"/>
  <c r="P1089" i="4"/>
  <c r="O1085" i="4"/>
  <c r="P1085" i="4"/>
  <c r="O1081" i="4"/>
  <c r="P1081" i="4"/>
  <c r="O1077" i="4"/>
  <c r="P1077" i="4"/>
  <c r="O1073" i="4"/>
  <c r="P1073" i="4"/>
  <c r="O1069" i="4"/>
  <c r="P1069" i="4"/>
  <c r="O1065" i="4"/>
  <c r="P1065" i="4"/>
  <c r="O1061" i="4"/>
  <c r="P1061" i="4"/>
  <c r="O1057" i="4"/>
  <c r="P1057" i="4"/>
  <c r="O1053" i="4"/>
  <c r="P1053" i="4"/>
  <c r="O1049" i="4"/>
  <c r="P1049" i="4"/>
  <c r="O1045" i="4"/>
  <c r="P1045" i="4"/>
  <c r="O1041" i="4"/>
  <c r="P1041" i="4"/>
  <c r="O1037" i="4"/>
  <c r="P1037" i="4"/>
  <c r="O1033" i="4"/>
  <c r="P1033" i="4"/>
  <c r="O1029" i="4"/>
  <c r="P1029" i="4"/>
  <c r="O1025" i="4"/>
  <c r="P1025" i="4"/>
  <c r="O1021" i="4"/>
  <c r="P1021" i="4"/>
  <c r="O1017" i="4"/>
  <c r="P1017" i="4"/>
  <c r="O1013" i="4"/>
  <c r="P1013" i="4"/>
  <c r="O1009" i="4"/>
  <c r="P1009" i="4"/>
  <c r="O1005" i="4"/>
  <c r="P1005" i="4"/>
  <c r="O1001" i="4"/>
  <c r="P1001" i="4"/>
  <c r="O997" i="4"/>
  <c r="P997" i="4"/>
  <c r="O993" i="4"/>
  <c r="P993" i="4"/>
  <c r="O989" i="4"/>
  <c r="P989" i="4"/>
  <c r="O985" i="4"/>
  <c r="P985" i="4"/>
  <c r="O981" i="4"/>
  <c r="P981" i="4"/>
  <c r="O977" i="4"/>
  <c r="P977" i="4"/>
  <c r="O973" i="4"/>
  <c r="P973" i="4"/>
  <c r="O969" i="4"/>
  <c r="P969" i="4"/>
  <c r="O965" i="4"/>
  <c r="P965" i="4"/>
  <c r="O961" i="4"/>
  <c r="P961" i="4"/>
  <c r="O957" i="4"/>
  <c r="P957" i="4"/>
  <c r="O953" i="4"/>
  <c r="P953" i="4"/>
  <c r="O949" i="4"/>
  <c r="P949" i="4"/>
  <c r="O945" i="4"/>
  <c r="P945" i="4"/>
  <c r="O941" i="4"/>
  <c r="P941" i="4"/>
  <c r="O937" i="4"/>
  <c r="P937" i="4"/>
  <c r="O933" i="4"/>
  <c r="P933" i="4"/>
  <c r="O929" i="4"/>
  <c r="P929" i="4"/>
  <c r="O925" i="4"/>
  <c r="P925" i="4"/>
  <c r="O921" i="4"/>
  <c r="P921" i="4"/>
  <c r="O917" i="4"/>
  <c r="P917" i="4"/>
  <c r="O913" i="4"/>
  <c r="P913" i="4"/>
  <c r="O909" i="4"/>
  <c r="P909" i="4"/>
  <c r="O905" i="4"/>
  <c r="P905" i="4"/>
  <c r="O901" i="4"/>
  <c r="P901" i="4"/>
  <c r="O897" i="4"/>
  <c r="P897" i="4"/>
  <c r="O893" i="4"/>
  <c r="P893" i="4"/>
  <c r="O889" i="4"/>
  <c r="P889" i="4"/>
  <c r="O885" i="4"/>
  <c r="P885" i="4"/>
  <c r="O881" i="4"/>
  <c r="P881" i="4"/>
  <c r="O877" i="4"/>
  <c r="P877" i="4"/>
  <c r="O873" i="4"/>
  <c r="P873" i="4"/>
  <c r="O869" i="4"/>
  <c r="P869" i="4"/>
  <c r="O865" i="4"/>
  <c r="P865" i="4"/>
  <c r="O861" i="4"/>
  <c r="P861" i="4"/>
  <c r="O857" i="4"/>
  <c r="P857" i="4"/>
  <c r="O853" i="4"/>
  <c r="P853" i="4"/>
  <c r="O849" i="4"/>
  <c r="P849" i="4"/>
  <c r="O845" i="4"/>
  <c r="P845" i="4"/>
  <c r="O841" i="4"/>
  <c r="P841" i="4"/>
  <c r="O837" i="4"/>
  <c r="P837" i="4"/>
  <c r="O833" i="4"/>
  <c r="P833" i="4"/>
  <c r="O829" i="4"/>
  <c r="P829" i="4"/>
  <c r="O825" i="4"/>
  <c r="P825" i="4"/>
  <c r="O821" i="4"/>
  <c r="P821" i="4"/>
  <c r="O817" i="4"/>
  <c r="P817" i="4"/>
  <c r="O813" i="4"/>
  <c r="P813" i="4"/>
  <c r="O809" i="4"/>
  <c r="P809" i="4"/>
  <c r="O805" i="4"/>
  <c r="P805" i="4"/>
  <c r="O801" i="4"/>
  <c r="P801" i="4"/>
  <c r="O797" i="4"/>
  <c r="P797" i="4"/>
  <c r="O793" i="4"/>
  <c r="P793" i="4"/>
  <c r="O789" i="4"/>
  <c r="P789" i="4"/>
  <c r="O785" i="4"/>
  <c r="P785" i="4"/>
  <c r="O781" i="4"/>
  <c r="P781" i="4"/>
  <c r="O777" i="4"/>
  <c r="P777" i="4"/>
  <c r="O773" i="4"/>
  <c r="P773" i="4"/>
  <c r="O769" i="4"/>
  <c r="P769" i="4"/>
  <c r="O765" i="4"/>
  <c r="P765" i="4"/>
  <c r="O761" i="4"/>
  <c r="P761" i="4"/>
  <c r="O757" i="4"/>
  <c r="P757" i="4"/>
  <c r="O753" i="4"/>
  <c r="P753" i="4"/>
  <c r="O749" i="4"/>
  <c r="P749" i="4"/>
  <c r="O745" i="4"/>
  <c r="P745" i="4"/>
  <c r="O741" i="4"/>
  <c r="P741" i="4"/>
  <c r="O737" i="4"/>
  <c r="P737" i="4"/>
  <c r="O733" i="4"/>
  <c r="P733" i="4"/>
  <c r="O729" i="4"/>
  <c r="P729" i="4"/>
  <c r="O725" i="4"/>
  <c r="P725" i="4"/>
  <c r="O721" i="4"/>
  <c r="P721" i="4"/>
  <c r="O717" i="4"/>
  <c r="P717" i="4"/>
  <c r="O713" i="4"/>
  <c r="P713" i="4"/>
  <c r="O709" i="4"/>
  <c r="P709" i="4"/>
  <c r="O705" i="4"/>
  <c r="P705" i="4"/>
  <c r="O701" i="4"/>
  <c r="P701" i="4"/>
  <c r="O697" i="4"/>
  <c r="P697" i="4"/>
  <c r="O693" i="4"/>
  <c r="P693" i="4"/>
  <c r="O689" i="4"/>
  <c r="P689" i="4"/>
  <c r="O685" i="4"/>
  <c r="P685" i="4"/>
  <c r="O681" i="4"/>
  <c r="P681" i="4"/>
  <c r="O677" i="4"/>
  <c r="P677" i="4"/>
  <c r="O673" i="4"/>
  <c r="P673" i="4"/>
  <c r="O669" i="4"/>
  <c r="P669" i="4"/>
  <c r="O665" i="4"/>
  <c r="P665" i="4"/>
  <c r="O661" i="4"/>
  <c r="P661" i="4"/>
  <c r="O657" i="4"/>
  <c r="P657" i="4"/>
  <c r="O653" i="4"/>
  <c r="P653" i="4"/>
  <c r="O649" i="4"/>
  <c r="P649" i="4"/>
  <c r="O645" i="4"/>
  <c r="P645" i="4"/>
  <c r="O641" i="4"/>
  <c r="P641" i="4"/>
  <c r="O637" i="4"/>
  <c r="P637" i="4"/>
  <c r="O633" i="4"/>
  <c r="P633" i="4"/>
  <c r="O629" i="4"/>
  <c r="P629" i="4"/>
  <c r="O625" i="4"/>
  <c r="P625" i="4"/>
  <c r="O621" i="4"/>
  <c r="P621" i="4"/>
  <c r="O617" i="4"/>
  <c r="P617" i="4"/>
  <c r="O613" i="4"/>
  <c r="P613" i="4"/>
  <c r="O609" i="4"/>
  <c r="P609" i="4"/>
  <c r="O605" i="4"/>
  <c r="P605" i="4"/>
  <c r="O601" i="4"/>
  <c r="P601" i="4"/>
  <c r="O597" i="4"/>
  <c r="P597" i="4"/>
  <c r="O593" i="4"/>
  <c r="P593" i="4"/>
  <c r="O589" i="4"/>
  <c r="P589" i="4"/>
  <c r="O585" i="4"/>
  <c r="P585" i="4"/>
  <c r="O581" i="4"/>
  <c r="P581" i="4"/>
  <c r="O577" i="4"/>
  <c r="P577" i="4"/>
  <c r="O573" i="4"/>
  <c r="P573" i="4"/>
  <c r="O569" i="4"/>
  <c r="P569" i="4"/>
  <c r="O565" i="4"/>
  <c r="P565" i="4"/>
  <c r="O561" i="4"/>
  <c r="P561" i="4"/>
  <c r="O557" i="4"/>
  <c r="P557" i="4"/>
  <c r="O553" i="4"/>
  <c r="P553" i="4"/>
  <c r="O549" i="4"/>
  <c r="P549" i="4"/>
  <c r="O545" i="4"/>
  <c r="P545" i="4"/>
  <c r="O541" i="4"/>
  <c r="P541" i="4"/>
  <c r="O537" i="4"/>
  <c r="P537" i="4"/>
  <c r="O533" i="4"/>
  <c r="P533" i="4"/>
  <c r="O529" i="4"/>
  <c r="P529" i="4"/>
  <c r="O525" i="4"/>
  <c r="P525" i="4"/>
  <c r="O521" i="4"/>
  <c r="P521" i="4"/>
  <c r="O517" i="4"/>
  <c r="P517" i="4"/>
  <c r="O513" i="4"/>
  <c r="P513" i="4"/>
  <c r="O509" i="4"/>
  <c r="P509" i="4"/>
  <c r="O505" i="4"/>
  <c r="P505" i="4"/>
  <c r="O501" i="4"/>
  <c r="P501" i="4"/>
  <c r="O497" i="4"/>
  <c r="P497" i="4"/>
  <c r="O493" i="4"/>
  <c r="P493" i="4"/>
  <c r="O489" i="4"/>
  <c r="P489" i="4"/>
  <c r="O485" i="4"/>
  <c r="P485" i="4"/>
  <c r="O481" i="4"/>
  <c r="P481" i="4"/>
  <c r="O477" i="4"/>
  <c r="P477" i="4"/>
  <c r="O473" i="4"/>
  <c r="P473" i="4"/>
  <c r="O469" i="4"/>
  <c r="P469" i="4"/>
  <c r="O465" i="4"/>
  <c r="P465" i="4"/>
  <c r="O461" i="4"/>
  <c r="P461" i="4"/>
  <c r="O457" i="4"/>
  <c r="P457" i="4"/>
  <c r="O453" i="4"/>
  <c r="P453" i="4"/>
  <c r="O449" i="4"/>
  <c r="P449" i="4"/>
  <c r="O445" i="4"/>
  <c r="P445" i="4"/>
  <c r="O441" i="4"/>
  <c r="P441" i="4"/>
  <c r="O437" i="4"/>
  <c r="P437" i="4"/>
  <c r="O433" i="4"/>
  <c r="P433" i="4"/>
  <c r="O429" i="4"/>
  <c r="P429" i="4"/>
  <c r="O425" i="4"/>
  <c r="P425" i="4"/>
  <c r="O421" i="4"/>
  <c r="P421" i="4"/>
  <c r="O417" i="4"/>
  <c r="P417" i="4"/>
  <c r="O413" i="4"/>
  <c r="P413" i="4"/>
  <c r="O409" i="4"/>
  <c r="P409" i="4"/>
  <c r="O405" i="4"/>
  <c r="P405" i="4"/>
  <c r="O401" i="4"/>
  <c r="P401" i="4"/>
  <c r="O397" i="4"/>
  <c r="P397" i="4"/>
  <c r="O393" i="4"/>
  <c r="P393" i="4"/>
  <c r="O389" i="4"/>
  <c r="P389" i="4"/>
  <c r="O385" i="4"/>
  <c r="P385" i="4"/>
  <c r="O381" i="4"/>
  <c r="P381" i="4"/>
  <c r="O377" i="4"/>
  <c r="P377" i="4"/>
  <c r="O373" i="4"/>
  <c r="P373" i="4"/>
  <c r="O369" i="4"/>
  <c r="P369" i="4"/>
  <c r="O365" i="4"/>
  <c r="P365" i="4"/>
  <c r="O361" i="4"/>
  <c r="P361" i="4"/>
  <c r="O357" i="4"/>
  <c r="P357" i="4"/>
  <c r="O353" i="4"/>
  <c r="P353" i="4"/>
  <c r="O349" i="4"/>
  <c r="P349" i="4"/>
  <c r="O345" i="4"/>
  <c r="P345" i="4"/>
  <c r="O341" i="4"/>
  <c r="P341" i="4"/>
  <c r="O337" i="4"/>
  <c r="P337" i="4"/>
  <c r="O333" i="4"/>
  <c r="P333" i="4"/>
  <c r="O329" i="4"/>
  <c r="P329" i="4"/>
  <c r="O325" i="4"/>
  <c r="P325" i="4"/>
  <c r="O321" i="4"/>
  <c r="P321" i="4"/>
  <c r="O317" i="4"/>
  <c r="P317" i="4"/>
  <c r="O313" i="4"/>
  <c r="P313" i="4"/>
  <c r="O309" i="4"/>
  <c r="P309" i="4"/>
  <c r="O305" i="4"/>
  <c r="P305" i="4"/>
  <c r="O301" i="4"/>
  <c r="P301" i="4"/>
  <c r="O297" i="4"/>
  <c r="P297" i="4"/>
  <c r="O293" i="4"/>
  <c r="P293" i="4"/>
  <c r="O289" i="4"/>
  <c r="P289" i="4"/>
  <c r="O285" i="4"/>
  <c r="P285" i="4"/>
  <c r="O281" i="4"/>
  <c r="P281" i="4"/>
  <c r="O277" i="4"/>
  <c r="P277" i="4"/>
  <c r="O273" i="4"/>
  <c r="P273" i="4"/>
  <c r="O269" i="4"/>
  <c r="P269" i="4"/>
  <c r="O265" i="4"/>
  <c r="P265" i="4"/>
  <c r="O261" i="4"/>
  <c r="P261" i="4"/>
  <c r="O257" i="4"/>
  <c r="P257" i="4"/>
  <c r="O253" i="4"/>
  <c r="P253" i="4"/>
  <c r="O249" i="4"/>
  <c r="P249" i="4"/>
  <c r="O245" i="4"/>
  <c r="P245" i="4"/>
  <c r="O241" i="4"/>
  <c r="P241" i="4"/>
  <c r="O237" i="4"/>
  <c r="P237" i="4"/>
  <c r="O233" i="4"/>
  <c r="P233" i="4"/>
  <c r="O229" i="4"/>
  <c r="P229" i="4"/>
  <c r="O225" i="4"/>
  <c r="P225" i="4"/>
  <c r="O221" i="4"/>
  <c r="P221" i="4"/>
  <c r="O217" i="4"/>
  <c r="P217" i="4"/>
  <c r="O213" i="4"/>
  <c r="P213" i="4"/>
  <c r="O209" i="4"/>
  <c r="P209" i="4"/>
  <c r="O205" i="4"/>
  <c r="P205" i="4"/>
  <c r="O201" i="4"/>
  <c r="P201" i="4"/>
  <c r="O197" i="4"/>
  <c r="P197" i="4"/>
  <c r="O193" i="4"/>
  <c r="P193" i="4"/>
  <c r="O189" i="4"/>
  <c r="P189" i="4"/>
  <c r="O185" i="4"/>
  <c r="P185" i="4"/>
  <c r="O181" i="4"/>
  <c r="P181" i="4"/>
  <c r="O177" i="4"/>
  <c r="P177" i="4"/>
  <c r="O173" i="4"/>
  <c r="P173" i="4"/>
  <c r="O169" i="4"/>
  <c r="P169" i="4"/>
  <c r="O165" i="4"/>
  <c r="P165" i="4"/>
  <c r="O161" i="4"/>
  <c r="P161" i="4"/>
  <c r="O157" i="4"/>
  <c r="P157" i="4"/>
  <c r="O153" i="4"/>
  <c r="P153" i="4"/>
  <c r="O149" i="4"/>
  <c r="P149" i="4"/>
  <c r="O145" i="4"/>
  <c r="P145" i="4"/>
  <c r="O141" i="4"/>
  <c r="P141" i="4"/>
  <c r="O137" i="4"/>
  <c r="P137" i="4"/>
  <c r="O133" i="4"/>
  <c r="P133" i="4"/>
  <c r="O129" i="4"/>
  <c r="P129" i="4"/>
  <c r="O125" i="4"/>
  <c r="P125" i="4"/>
  <c r="O121" i="4"/>
  <c r="P121" i="4"/>
  <c r="O117" i="4"/>
  <c r="P117" i="4"/>
  <c r="O113" i="4"/>
  <c r="P113" i="4"/>
  <c r="O109" i="4"/>
  <c r="P109" i="4"/>
  <c r="O105" i="4"/>
  <c r="P105" i="4"/>
  <c r="O101" i="4"/>
  <c r="P101" i="4"/>
  <c r="O97" i="4"/>
  <c r="P97" i="4"/>
  <c r="O93" i="4"/>
  <c r="P93" i="4"/>
  <c r="O89" i="4"/>
  <c r="P89" i="4"/>
  <c r="O85" i="4"/>
  <c r="P85" i="4"/>
  <c r="O81" i="4"/>
  <c r="P81" i="4"/>
  <c r="O77" i="4"/>
  <c r="P77" i="4"/>
  <c r="O73" i="4"/>
  <c r="P73" i="4"/>
  <c r="O69" i="4"/>
  <c r="P69" i="4"/>
  <c r="O65" i="4"/>
  <c r="P65" i="4"/>
  <c r="O61" i="4"/>
  <c r="P61" i="4"/>
  <c r="O57" i="4"/>
  <c r="P57" i="4"/>
  <c r="O53" i="4"/>
  <c r="P53" i="4"/>
  <c r="O49" i="4"/>
  <c r="P49" i="4"/>
  <c r="O45" i="4"/>
  <c r="P45" i="4"/>
  <c r="O41" i="4"/>
  <c r="P41" i="4"/>
  <c r="O37" i="4"/>
  <c r="P37" i="4"/>
  <c r="O33" i="4"/>
  <c r="P33" i="4"/>
  <c r="O29" i="4"/>
  <c r="P29" i="4"/>
  <c r="O25" i="4"/>
  <c r="P25" i="4"/>
  <c r="O21" i="4"/>
  <c r="P21" i="4"/>
  <c r="O17" i="4"/>
  <c r="P17" i="4"/>
  <c r="O13" i="4"/>
  <c r="P13" i="4"/>
  <c r="O9" i="4"/>
  <c r="P9" i="4"/>
  <c r="O5" i="4"/>
  <c r="P5" i="4"/>
  <c r="P3293" i="4"/>
  <c r="P3277" i="4"/>
  <c r="P3261" i="4"/>
  <c r="P3245" i="4"/>
  <c r="P3229" i="4"/>
  <c r="P3213" i="4"/>
  <c r="P3197" i="4"/>
  <c r="P3181" i="4"/>
  <c r="P3165" i="4"/>
  <c r="P3149" i="4"/>
  <c r="P3133" i="4"/>
  <c r="P3117" i="4"/>
  <c r="P3101" i="4"/>
  <c r="P3085" i="4"/>
  <c r="P3069" i="4"/>
  <c r="P3053" i="4"/>
  <c r="P3037" i="4"/>
  <c r="O3300" i="4"/>
  <c r="P3300" i="4"/>
  <c r="O3296" i="4"/>
  <c r="P3296" i="4"/>
  <c r="O3292" i="4"/>
  <c r="P3292" i="4"/>
  <c r="O3288" i="4"/>
  <c r="P3288" i="4"/>
  <c r="O3284" i="4"/>
  <c r="P3284" i="4"/>
  <c r="O3280" i="4"/>
  <c r="P3280" i="4"/>
  <c r="O3276" i="4"/>
  <c r="P3276" i="4"/>
  <c r="O3272" i="4"/>
  <c r="P3272" i="4"/>
  <c r="O3268" i="4"/>
  <c r="P3268" i="4"/>
  <c r="O3264" i="4"/>
  <c r="P3264" i="4"/>
  <c r="O3260" i="4"/>
  <c r="P3260" i="4"/>
  <c r="O3256" i="4"/>
  <c r="P3256" i="4"/>
  <c r="O3252" i="4"/>
  <c r="P3252" i="4"/>
  <c r="O3248" i="4"/>
  <c r="P3248" i="4"/>
  <c r="O3244" i="4"/>
  <c r="P3244" i="4"/>
  <c r="O3240" i="4"/>
  <c r="P3240" i="4"/>
  <c r="O3236" i="4"/>
  <c r="P3236" i="4"/>
  <c r="O3232" i="4"/>
  <c r="P3232" i="4"/>
  <c r="O3228" i="4"/>
  <c r="P3228" i="4"/>
  <c r="O3224" i="4"/>
  <c r="P3224" i="4"/>
  <c r="O3220" i="4"/>
  <c r="P3220" i="4"/>
  <c r="O3216" i="4"/>
  <c r="P3216" i="4"/>
  <c r="O3212" i="4"/>
  <c r="P3212" i="4"/>
  <c r="O3208" i="4"/>
  <c r="P3208" i="4"/>
  <c r="O3204" i="4"/>
  <c r="P3204" i="4"/>
  <c r="O3200" i="4"/>
  <c r="P3200" i="4"/>
  <c r="O3196" i="4"/>
  <c r="P3196" i="4"/>
  <c r="O3192" i="4"/>
  <c r="P3192" i="4"/>
  <c r="O3188" i="4"/>
  <c r="P3188" i="4"/>
  <c r="O3184" i="4"/>
  <c r="P3184" i="4"/>
  <c r="O3180" i="4"/>
  <c r="P3180" i="4"/>
  <c r="O3176" i="4"/>
  <c r="P3176" i="4"/>
  <c r="O3172" i="4"/>
  <c r="P3172" i="4"/>
  <c r="O3168" i="4"/>
  <c r="P3168" i="4"/>
  <c r="O3164" i="4"/>
  <c r="P3164" i="4"/>
  <c r="O3160" i="4"/>
  <c r="P3160" i="4"/>
  <c r="O3156" i="4"/>
  <c r="P3156" i="4"/>
  <c r="O3152" i="4"/>
  <c r="P3152" i="4"/>
  <c r="O3148" i="4"/>
  <c r="P3148" i="4"/>
  <c r="O3144" i="4"/>
  <c r="P3144" i="4"/>
  <c r="O3140" i="4"/>
  <c r="P3140" i="4"/>
  <c r="O3136" i="4"/>
  <c r="P3136" i="4"/>
  <c r="O3132" i="4"/>
  <c r="P3132" i="4"/>
  <c r="O3128" i="4"/>
  <c r="P3128" i="4"/>
  <c r="O3124" i="4"/>
  <c r="P3124" i="4"/>
  <c r="O3120" i="4"/>
  <c r="P3120" i="4"/>
  <c r="O3116" i="4"/>
  <c r="P3116" i="4"/>
  <c r="O3112" i="4"/>
  <c r="P3112" i="4"/>
  <c r="O3108" i="4"/>
  <c r="P3108" i="4"/>
  <c r="O3104" i="4"/>
  <c r="P3104" i="4"/>
  <c r="O3100" i="4"/>
  <c r="P3100" i="4"/>
  <c r="O3096" i="4"/>
  <c r="P3096" i="4"/>
  <c r="O3092" i="4"/>
  <c r="P3092" i="4"/>
  <c r="O3088" i="4"/>
  <c r="P3088" i="4"/>
  <c r="O3084" i="4"/>
  <c r="P3084" i="4"/>
  <c r="O3080" i="4"/>
  <c r="P3080" i="4"/>
  <c r="O3076" i="4"/>
  <c r="P3076" i="4"/>
  <c r="O3072" i="4"/>
  <c r="P3072" i="4"/>
  <c r="O3068" i="4"/>
  <c r="P3068" i="4"/>
  <c r="O3064" i="4"/>
  <c r="P3064" i="4"/>
  <c r="O3060" i="4"/>
  <c r="P3060" i="4"/>
  <c r="O3056" i="4"/>
  <c r="P3056" i="4"/>
  <c r="O3052" i="4"/>
  <c r="P3052" i="4"/>
  <c r="O3048" i="4"/>
  <c r="P3048" i="4"/>
  <c r="O3044" i="4"/>
  <c r="P3044" i="4"/>
  <c r="O3040" i="4"/>
  <c r="P3040" i="4"/>
  <c r="O3036" i="4"/>
  <c r="P3036" i="4"/>
  <c r="O3032" i="4"/>
  <c r="P3032" i="4"/>
  <c r="O3028" i="4"/>
  <c r="P3028" i="4"/>
  <c r="O3024" i="4"/>
  <c r="P3024" i="4"/>
  <c r="O3020" i="4"/>
  <c r="P3020" i="4"/>
  <c r="O3016" i="4"/>
  <c r="P3016" i="4"/>
  <c r="O3012" i="4"/>
  <c r="P3012" i="4"/>
  <c r="O3008" i="4"/>
  <c r="P3008" i="4"/>
  <c r="O3004" i="4"/>
  <c r="P3004" i="4"/>
  <c r="O3000" i="4"/>
  <c r="P3000" i="4"/>
  <c r="O2996" i="4"/>
  <c r="P2996" i="4"/>
  <c r="O2992" i="4"/>
  <c r="P2992" i="4"/>
  <c r="O2988" i="4"/>
  <c r="P2988" i="4"/>
  <c r="O2984" i="4"/>
  <c r="P2984" i="4"/>
  <c r="O2980" i="4"/>
  <c r="P2980" i="4"/>
  <c r="O2976" i="4"/>
  <c r="P2976" i="4"/>
  <c r="O2972" i="4"/>
  <c r="P2972" i="4"/>
  <c r="O2968" i="4"/>
  <c r="P2968" i="4"/>
  <c r="O2964" i="4"/>
  <c r="P2964" i="4"/>
  <c r="O2960" i="4"/>
  <c r="P2960" i="4"/>
  <c r="O2956" i="4"/>
  <c r="P2956" i="4"/>
  <c r="O2952" i="4"/>
  <c r="P2952" i="4"/>
  <c r="O2948" i="4"/>
  <c r="P2948" i="4"/>
  <c r="O2944" i="4"/>
  <c r="P2944" i="4"/>
  <c r="O2940" i="4"/>
  <c r="P2940" i="4"/>
  <c r="O2936" i="4"/>
  <c r="P2936" i="4"/>
  <c r="O2932" i="4"/>
  <c r="P2932" i="4"/>
  <c r="O2928" i="4"/>
  <c r="P2928" i="4"/>
  <c r="O2924" i="4"/>
  <c r="P2924" i="4"/>
  <c r="O2920" i="4"/>
  <c r="P2920" i="4"/>
  <c r="O2916" i="4"/>
  <c r="P2916" i="4"/>
  <c r="O2912" i="4"/>
  <c r="P2912" i="4"/>
  <c r="O2908" i="4"/>
  <c r="P2908" i="4"/>
  <c r="O2904" i="4"/>
  <c r="P2904" i="4"/>
  <c r="O2900" i="4"/>
  <c r="P2900" i="4"/>
  <c r="O2896" i="4"/>
  <c r="P2896" i="4"/>
  <c r="O2892" i="4"/>
  <c r="P2892" i="4"/>
  <c r="O2888" i="4"/>
  <c r="P2888" i="4"/>
  <c r="O2884" i="4"/>
  <c r="P2884" i="4"/>
  <c r="O2880" i="4"/>
  <c r="P2880" i="4"/>
  <c r="O2876" i="4"/>
  <c r="P2876" i="4"/>
  <c r="O2872" i="4"/>
  <c r="P2872" i="4"/>
  <c r="O2868" i="4"/>
  <c r="P2868" i="4"/>
  <c r="O2864" i="4"/>
  <c r="P2864" i="4"/>
  <c r="O2860" i="4"/>
  <c r="P2860" i="4"/>
  <c r="O2856" i="4"/>
  <c r="P2856" i="4"/>
  <c r="O2852" i="4"/>
  <c r="P2852" i="4"/>
  <c r="O2848" i="4"/>
  <c r="P2848" i="4"/>
  <c r="O2844" i="4"/>
  <c r="P2844" i="4"/>
  <c r="O2840" i="4"/>
  <c r="P2840" i="4"/>
  <c r="O2836" i="4"/>
  <c r="P2836" i="4"/>
  <c r="O2832" i="4"/>
  <c r="P2832" i="4"/>
  <c r="O2828" i="4"/>
  <c r="P2828" i="4"/>
  <c r="O2824" i="4"/>
  <c r="P2824" i="4"/>
  <c r="O2820" i="4"/>
  <c r="P2820" i="4"/>
  <c r="O2816" i="4"/>
  <c r="P2816" i="4"/>
  <c r="O2812" i="4"/>
  <c r="P2812" i="4"/>
  <c r="O2808" i="4"/>
  <c r="P2808" i="4"/>
  <c r="O2804" i="4"/>
  <c r="P2804" i="4"/>
  <c r="O2800" i="4"/>
  <c r="P2800" i="4"/>
  <c r="O2796" i="4"/>
  <c r="P2796" i="4"/>
  <c r="O2792" i="4"/>
  <c r="P2792" i="4"/>
  <c r="O2788" i="4"/>
  <c r="P2788" i="4"/>
  <c r="O2784" i="4"/>
  <c r="P2784" i="4"/>
  <c r="O2780" i="4"/>
  <c r="P2780" i="4"/>
  <c r="O2776" i="4"/>
  <c r="P2776" i="4"/>
  <c r="O2772" i="4"/>
  <c r="P2772" i="4"/>
  <c r="O2768" i="4"/>
  <c r="P2768" i="4"/>
  <c r="O2764" i="4"/>
  <c r="P2764" i="4"/>
  <c r="O2760" i="4"/>
  <c r="P2760" i="4"/>
  <c r="O2756" i="4"/>
  <c r="P2756" i="4"/>
  <c r="O2752" i="4"/>
  <c r="P2752" i="4"/>
  <c r="O2748" i="4"/>
  <c r="P2748" i="4"/>
  <c r="O2744" i="4"/>
  <c r="P2744" i="4"/>
  <c r="O2740" i="4"/>
  <c r="P2740" i="4"/>
  <c r="O2736" i="4"/>
  <c r="P2736" i="4"/>
  <c r="O2732" i="4"/>
  <c r="P2732" i="4"/>
  <c r="O2728" i="4"/>
  <c r="P2728" i="4"/>
  <c r="O2724" i="4"/>
  <c r="P2724" i="4"/>
  <c r="O2720" i="4"/>
  <c r="P2720" i="4"/>
  <c r="O2716" i="4"/>
  <c r="P2716" i="4"/>
  <c r="O2712" i="4"/>
  <c r="P2712" i="4"/>
  <c r="O2708" i="4"/>
  <c r="P2708" i="4"/>
  <c r="O2704" i="4"/>
  <c r="P2704" i="4"/>
  <c r="O2700" i="4"/>
  <c r="P2700" i="4"/>
  <c r="O2696" i="4"/>
  <c r="P2696" i="4"/>
  <c r="O2692" i="4"/>
  <c r="P2692" i="4"/>
  <c r="O2688" i="4"/>
  <c r="P2688" i="4"/>
  <c r="O2684" i="4"/>
  <c r="P2684" i="4"/>
  <c r="O2680" i="4"/>
  <c r="P2680" i="4"/>
  <c r="O2676" i="4"/>
  <c r="P2676" i="4"/>
  <c r="O2672" i="4"/>
  <c r="P2672" i="4"/>
  <c r="O2668" i="4"/>
  <c r="P2668" i="4"/>
  <c r="O2664" i="4"/>
  <c r="P2664" i="4"/>
  <c r="O2660" i="4"/>
  <c r="P2660" i="4"/>
  <c r="O2656" i="4"/>
  <c r="P2656" i="4"/>
  <c r="O2652" i="4"/>
  <c r="P2652" i="4"/>
  <c r="O2648" i="4"/>
  <c r="P2648" i="4"/>
  <c r="O2644" i="4"/>
  <c r="P2644" i="4"/>
  <c r="O2640" i="4"/>
  <c r="P2640" i="4"/>
  <c r="O2636" i="4"/>
  <c r="P2636" i="4"/>
  <c r="O2632" i="4"/>
  <c r="P2632" i="4"/>
  <c r="O2628" i="4"/>
  <c r="P2628" i="4"/>
  <c r="O2624" i="4"/>
  <c r="P2624" i="4"/>
  <c r="O2620" i="4"/>
  <c r="P2620" i="4"/>
  <c r="O2616" i="4"/>
  <c r="P2616" i="4"/>
  <c r="O2612" i="4"/>
  <c r="P2612" i="4"/>
  <c r="O2608" i="4"/>
  <c r="P2608" i="4"/>
  <c r="O2604" i="4"/>
  <c r="P2604" i="4"/>
  <c r="O2600" i="4"/>
  <c r="P2600" i="4"/>
  <c r="O2596" i="4"/>
  <c r="P2596" i="4"/>
  <c r="O2592" i="4"/>
  <c r="P2592" i="4"/>
  <c r="O2588" i="4"/>
  <c r="P2588" i="4"/>
  <c r="O2584" i="4"/>
  <c r="P2584" i="4"/>
  <c r="O2580" i="4"/>
  <c r="P2580" i="4"/>
  <c r="O2576" i="4"/>
  <c r="P2576" i="4"/>
  <c r="O2572" i="4"/>
  <c r="P2572" i="4"/>
  <c r="O2568" i="4"/>
  <c r="P2568" i="4"/>
  <c r="O2564" i="4"/>
  <c r="P2564" i="4"/>
  <c r="O2560" i="4"/>
  <c r="P2560" i="4"/>
  <c r="O2556" i="4"/>
  <c r="P2556" i="4"/>
  <c r="O2552" i="4"/>
  <c r="P2552" i="4"/>
  <c r="O2548" i="4"/>
  <c r="P2548" i="4"/>
  <c r="O2544" i="4"/>
  <c r="P2544" i="4"/>
  <c r="O2540" i="4"/>
  <c r="P2540" i="4"/>
  <c r="O2536" i="4"/>
  <c r="P2536" i="4"/>
  <c r="O2532" i="4"/>
  <c r="P2532" i="4"/>
  <c r="O2528" i="4"/>
  <c r="P2528" i="4"/>
  <c r="O2524" i="4"/>
  <c r="P2524" i="4"/>
  <c r="O2520" i="4"/>
  <c r="P2520" i="4"/>
  <c r="O2516" i="4"/>
  <c r="P2516" i="4"/>
  <c r="O2512" i="4"/>
  <c r="P2512" i="4"/>
  <c r="O2508" i="4"/>
  <c r="P2508" i="4"/>
  <c r="O2504" i="4"/>
  <c r="P2504" i="4"/>
  <c r="O2500" i="4"/>
  <c r="P2500" i="4"/>
  <c r="O2496" i="4"/>
  <c r="P2496" i="4"/>
  <c r="O2492" i="4"/>
  <c r="P2492" i="4"/>
  <c r="O2488" i="4"/>
  <c r="P2488" i="4"/>
  <c r="O2484" i="4"/>
  <c r="P2484" i="4"/>
  <c r="O2480" i="4"/>
  <c r="P2480" i="4"/>
  <c r="O2476" i="4"/>
  <c r="P2476" i="4"/>
  <c r="O2472" i="4"/>
  <c r="P2472" i="4"/>
  <c r="O2468" i="4"/>
  <c r="P2468" i="4"/>
  <c r="O2464" i="4"/>
  <c r="P2464" i="4"/>
  <c r="O2460" i="4"/>
  <c r="P2460" i="4"/>
  <c r="O2456" i="4"/>
  <c r="P2456" i="4"/>
  <c r="O2452" i="4"/>
  <c r="P2452" i="4"/>
  <c r="O2448" i="4"/>
  <c r="P2448" i="4"/>
  <c r="O2444" i="4"/>
  <c r="P2444" i="4"/>
  <c r="O2440" i="4"/>
  <c r="P2440" i="4"/>
  <c r="O2436" i="4"/>
  <c r="P2436" i="4"/>
  <c r="O2432" i="4"/>
  <c r="P2432" i="4"/>
  <c r="O2428" i="4"/>
  <c r="P2428" i="4"/>
  <c r="O2424" i="4"/>
  <c r="P2424" i="4"/>
  <c r="O2420" i="4"/>
  <c r="P2420" i="4"/>
  <c r="O2416" i="4"/>
  <c r="P2416" i="4"/>
  <c r="O2412" i="4"/>
  <c r="P2412" i="4"/>
  <c r="O2408" i="4"/>
  <c r="P2408" i="4"/>
  <c r="O2404" i="4"/>
  <c r="P2404" i="4"/>
  <c r="O2400" i="4"/>
  <c r="P2400" i="4"/>
  <c r="O2396" i="4"/>
  <c r="P2396" i="4"/>
  <c r="O2392" i="4"/>
  <c r="P2392" i="4"/>
  <c r="O2388" i="4"/>
  <c r="P2388" i="4"/>
  <c r="O2384" i="4"/>
  <c r="P2384" i="4"/>
  <c r="O2380" i="4"/>
  <c r="P2380" i="4"/>
  <c r="O2376" i="4"/>
  <c r="P2376" i="4"/>
  <c r="O2372" i="4"/>
  <c r="P2372" i="4"/>
  <c r="O2368" i="4"/>
  <c r="P2368" i="4"/>
  <c r="O2364" i="4"/>
  <c r="P2364" i="4"/>
  <c r="O2360" i="4"/>
  <c r="P2360" i="4"/>
  <c r="O2356" i="4"/>
  <c r="P2356" i="4"/>
  <c r="O2352" i="4"/>
  <c r="P2352" i="4"/>
  <c r="O2348" i="4"/>
  <c r="P2348" i="4"/>
  <c r="O2344" i="4"/>
  <c r="P2344" i="4"/>
  <c r="O2340" i="4"/>
  <c r="P2340" i="4"/>
  <c r="O2336" i="4"/>
  <c r="P2336" i="4"/>
  <c r="O2332" i="4"/>
  <c r="P2332" i="4"/>
  <c r="O2328" i="4"/>
  <c r="P2328" i="4"/>
  <c r="O2324" i="4"/>
  <c r="P2324" i="4"/>
  <c r="O2320" i="4"/>
  <c r="P2320" i="4"/>
  <c r="O2316" i="4"/>
  <c r="P2316" i="4"/>
  <c r="O2312" i="4"/>
  <c r="P2312" i="4"/>
  <c r="O2308" i="4"/>
  <c r="P2308" i="4"/>
  <c r="O2304" i="4"/>
  <c r="P2304" i="4"/>
  <c r="O2300" i="4"/>
  <c r="P2300" i="4"/>
  <c r="O2296" i="4"/>
  <c r="P2296" i="4"/>
  <c r="O2292" i="4"/>
  <c r="P2292" i="4"/>
  <c r="O2288" i="4"/>
  <c r="P2288" i="4"/>
  <c r="O2284" i="4"/>
  <c r="P2284" i="4"/>
  <c r="O2280" i="4"/>
  <c r="P2280" i="4"/>
  <c r="O2276" i="4"/>
  <c r="P2276" i="4"/>
  <c r="O2272" i="4"/>
  <c r="P2272" i="4"/>
  <c r="O2268" i="4"/>
  <c r="P2268" i="4"/>
  <c r="O2264" i="4"/>
  <c r="P2264" i="4"/>
  <c r="O2260" i="4"/>
  <c r="P2260" i="4"/>
  <c r="O2256" i="4"/>
  <c r="P2256" i="4"/>
  <c r="O2252" i="4"/>
  <c r="P2252" i="4"/>
  <c r="O2248" i="4"/>
  <c r="P2248" i="4"/>
  <c r="O2244" i="4"/>
  <c r="P2244" i="4"/>
  <c r="O2240" i="4"/>
  <c r="P2240" i="4"/>
  <c r="O2236" i="4"/>
  <c r="P2236" i="4"/>
  <c r="O2232" i="4"/>
  <c r="P2232" i="4"/>
  <c r="O2228" i="4"/>
  <c r="P2228" i="4"/>
  <c r="O2224" i="4"/>
  <c r="P2224" i="4"/>
  <c r="O2220" i="4"/>
  <c r="P2220" i="4"/>
  <c r="O2216" i="4"/>
  <c r="P2216" i="4"/>
  <c r="O2212" i="4"/>
  <c r="P2212" i="4"/>
  <c r="O2208" i="4"/>
  <c r="P2208" i="4"/>
  <c r="O2204" i="4"/>
  <c r="P2204" i="4"/>
  <c r="O2200" i="4"/>
  <c r="P2200" i="4"/>
  <c r="O2196" i="4"/>
  <c r="P2196" i="4"/>
  <c r="O2192" i="4"/>
  <c r="P2192" i="4"/>
  <c r="O2188" i="4"/>
  <c r="P2188" i="4"/>
  <c r="O2184" i="4"/>
  <c r="P2184" i="4"/>
  <c r="O2180" i="4"/>
  <c r="P2180" i="4"/>
  <c r="O2176" i="4"/>
  <c r="P2176" i="4"/>
  <c r="O2172" i="4"/>
  <c r="P2172" i="4"/>
  <c r="O2168" i="4"/>
  <c r="P2168" i="4"/>
  <c r="O2164" i="4"/>
  <c r="P2164" i="4"/>
  <c r="O2160" i="4"/>
  <c r="P2160" i="4"/>
  <c r="O2156" i="4"/>
  <c r="P2156" i="4"/>
  <c r="O2152" i="4"/>
  <c r="P2152" i="4"/>
  <c r="O2148" i="4"/>
  <c r="P2148" i="4"/>
  <c r="O2144" i="4"/>
  <c r="P2144" i="4"/>
  <c r="O2140" i="4"/>
  <c r="P2140" i="4"/>
  <c r="O2136" i="4"/>
  <c r="P2136" i="4"/>
  <c r="O2132" i="4"/>
  <c r="P2132" i="4"/>
  <c r="O2128" i="4"/>
  <c r="P2128" i="4"/>
  <c r="O2124" i="4"/>
  <c r="P2124" i="4"/>
  <c r="O2120" i="4"/>
  <c r="P2120" i="4"/>
  <c r="O2116" i="4"/>
  <c r="P2116" i="4"/>
  <c r="O2112" i="4"/>
  <c r="P2112" i="4"/>
  <c r="O2108" i="4"/>
  <c r="P2108" i="4"/>
  <c r="O2104" i="4"/>
  <c r="P2104" i="4"/>
  <c r="O2100" i="4"/>
  <c r="P2100" i="4"/>
  <c r="O2096" i="4"/>
  <c r="P2096" i="4"/>
  <c r="O2092" i="4"/>
  <c r="P2092" i="4"/>
  <c r="O2088" i="4"/>
  <c r="P2088" i="4"/>
  <c r="O2084" i="4"/>
  <c r="P2084" i="4"/>
  <c r="O2080" i="4"/>
  <c r="P2080" i="4"/>
  <c r="O2076" i="4"/>
  <c r="P2076" i="4"/>
  <c r="O2072" i="4"/>
  <c r="P2072" i="4"/>
  <c r="O2068" i="4"/>
  <c r="P2068" i="4"/>
  <c r="O2064" i="4"/>
  <c r="P2064" i="4"/>
  <c r="O2060" i="4"/>
  <c r="P2060" i="4"/>
  <c r="O2056" i="4"/>
  <c r="P2056" i="4"/>
  <c r="O2052" i="4"/>
  <c r="P2052" i="4"/>
  <c r="O2048" i="4"/>
  <c r="P2048" i="4"/>
  <c r="O2044" i="4"/>
  <c r="P2044" i="4"/>
  <c r="O2040" i="4"/>
  <c r="P2040" i="4"/>
  <c r="O2036" i="4"/>
  <c r="P2036" i="4"/>
  <c r="O2032" i="4"/>
  <c r="P2032" i="4"/>
  <c r="O2028" i="4"/>
  <c r="P2028" i="4"/>
  <c r="O2024" i="4"/>
  <c r="P2024" i="4"/>
  <c r="O2020" i="4"/>
  <c r="P2020" i="4"/>
  <c r="O2016" i="4"/>
  <c r="P2016" i="4"/>
  <c r="O2012" i="4"/>
  <c r="P2012" i="4"/>
  <c r="O2008" i="4"/>
  <c r="P2008" i="4"/>
  <c r="O2004" i="4"/>
  <c r="P2004" i="4"/>
  <c r="O2000" i="4"/>
  <c r="P2000" i="4"/>
  <c r="O1996" i="4"/>
  <c r="P1996" i="4"/>
  <c r="O1992" i="4"/>
  <c r="P1992" i="4"/>
  <c r="O1988" i="4"/>
  <c r="P1988" i="4"/>
  <c r="O1984" i="4"/>
  <c r="P1984" i="4"/>
  <c r="O1980" i="4"/>
  <c r="P1980" i="4"/>
  <c r="O1976" i="4"/>
  <c r="P1976" i="4"/>
  <c r="O1972" i="4"/>
  <c r="P1972" i="4"/>
  <c r="O1968" i="4"/>
  <c r="P1968" i="4"/>
  <c r="O1964" i="4"/>
  <c r="P1964" i="4"/>
  <c r="O1960" i="4"/>
  <c r="P1960" i="4"/>
  <c r="O1956" i="4"/>
  <c r="P1956" i="4"/>
  <c r="O1952" i="4"/>
  <c r="P1952" i="4"/>
  <c r="O1948" i="4"/>
  <c r="P1948" i="4"/>
  <c r="O1944" i="4"/>
  <c r="P1944" i="4"/>
  <c r="O1940" i="4"/>
  <c r="P1940" i="4"/>
  <c r="O1936" i="4"/>
  <c r="P1936" i="4"/>
  <c r="O1932" i="4"/>
  <c r="P1932" i="4"/>
  <c r="O1928" i="4"/>
  <c r="P1928" i="4"/>
  <c r="O1924" i="4"/>
  <c r="P1924" i="4"/>
  <c r="O1920" i="4"/>
  <c r="P1920" i="4"/>
  <c r="O1916" i="4"/>
  <c r="P1916" i="4"/>
  <c r="O1912" i="4"/>
  <c r="P1912" i="4"/>
  <c r="O1908" i="4"/>
  <c r="P1908" i="4"/>
  <c r="O1904" i="4"/>
  <c r="P1904" i="4"/>
  <c r="O1900" i="4"/>
  <c r="P1900" i="4"/>
  <c r="O1896" i="4"/>
  <c r="P1896" i="4"/>
  <c r="O1892" i="4"/>
  <c r="P1892" i="4"/>
  <c r="O1888" i="4"/>
  <c r="P1888" i="4"/>
  <c r="O1884" i="4"/>
  <c r="P1884" i="4"/>
  <c r="O1880" i="4"/>
  <c r="P1880" i="4"/>
  <c r="O1876" i="4"/>
  <c r="P1876" i="4"/>
  <c r="O1872" i="4"/>
  <c r="P1872" i="4"/>
  <c r="O1868" i="4"/>
  <c r="P1868" i="4"/>
  <c r="O1864" i="4"/>
  <c r="P1864" i="4"/>
  <c r="O1860" i="4"/>
  <c r="P1860" i="4"/>
  <c r="O1856" i="4"/>
  <c r="P1856" i="4"/>
  <c r="O1852" i="4"/>
  <c r="P1852" i="4"/>
  <c r="O1848" i="4"/>
  <c r="P1848" i="4"/>
  <c r="O1844" i="4"/>
  <c r="P1844" i="4"/>
  <c r="O1840" i="4"/>
  <c r="P1840" i="4"/>
  <c r="O1836" i="4"/>
  <c r="P1836" i="4"/>
  <c r="O1832" i="4"/>
  <c r="P1832" i="4"/>
  <c r="O1828" i="4"/>
  <c r="P1828" i="4"/>
  <c r="O1824" i="4"/>
  <c r="P1824" i="4"/>
  <c r="O1820" i="4"/>
  <c r="P1820" i="4"/>
  <c r="O1816" i="4"/>
  <c r="P1816" i="4"/>
  <c r="O1812" i="4"/>
  <c r="P1812" i="4"/>
  <c r="O1808" i="4"/>
  <c r="P1808" i="4"/>
  <c r="O1804" i="4"/>
  <c r="P1804" i="4"/>
  <c r="O1800" i="4"/>
  <c r="P1800" i="4"/>
  <c r="O1796" i="4"/>
  <c r="P1796" i="4"/>
  <c r="O1792" i="4"/>
  <c r="P1792" i="4"/>
  <c r="O1788" i="4"/>
  <c r="P1788" i="4"/>
  <c r="O1784" i="4"/>
  <c r="P1784" i="4"/>
  <c r="O1780" i="4"/>
  <c r="P1780" i="4"/>
  <c r="O1776" i="4"/>
  <c r="P1776" i="4"/>
  <c r="O1772" i="4"/>
  <c r="P1772" i="4"/>
  <c r="O1768" i="4"/>
  <c r="P1768" i="4"/>
  <c r="O1764" i="4"/>
  <c r="P1764" i="4"/>
  <c r="O1760" i="4"/>
  <c r="P1760" i="4"/>
  <c r="O1756" i="4"/>
  <c r="P1756" i="4"/>
  <c r="O1752" i="4"/>
  <c r="P1752" i="4"/>
  <c r="O1748" i="4"/>
  <c r="P1748" i="4"/>
  <c r="O1744" i="4"/>
  <c r="P1744" i="4"/>
  <c r="O1740" i="4"/>
  <c r="P1740" i="4"/>
  <c r="O1736" i="4"/>
  <c r="P1736" i="4"/>
  <c r="O1732" i="4"/>
  <c r="P1732" i="4"/>
  <c r="O1728" i="4"/>
  <c r="P1728" i="4"/>
  <c r="O1724" i="4"/>
  <c r="P1724" i="4"/>
  <c r="O1720" i="4"/>
  <c r="P1720" i="4"/>
  <c r="O1716" i="4"/>
  <c r="P1716" i="4"/>
  <c r="O1712" i="4"/>
  <c r="P1712" i="4"/>
  <c r="O1708" i="4"/>
  <c r="P1708" i="4"/>
  <c r="O1704" i="4"/>
  <c r="P1704" i="4"/>
  <c r="O1700" i="4"/>
  <c r="P1700" i="4"/>
  <c r="O1696" i="4"/>
  <c r="P1696" i="4"/>
  <c r="O1692" i="4"/>
  <c r="P1692" i="4"/>
  <c r="O1688" i="4"/>
  <c r="P1688" i="4"/>
  <c r="O1684" i="4"/>
  <c r="P1684" i="4"/>
  <c r="O1680" i="4"/>
  <c r="P1680" i="4"/>
  <c r="O1676" i="4"/>
  <c r="P1676" i="4"/>
  <c r="O1672" i="4"/>
  <c r="P1672" i="4"/>
  <c r="O1668" i="4"/>
  <c r="P1668" i="4"/>
  <c r="O1664" i="4"/>
  <c r="P1664" i="4"/>
  <c r="O1660" i="4"/>
  <c r="P1660" i="4"/>
  <c r="O1656" i="4"/>
  <c r="P1656" i="4"/>
  <c r="O1652" i="4"/>
  <c r="P1652" i="4"/>
  <c r="O1648" i="4"/>
  <c r="P1648" i="4"/>
  <c r="O1644" i="4"/>
  <c r="P1644" i="4"/>
  <c r="O1640" i="4"/>
  <c r="P1640" i="4"/>
  <c r="O1636" i="4"/>
  <c r="P1636" i="4"/>
  <c r="O1632" i="4"/>
  <c r="P1632" i="4"/>
  <c r="O1628" i="4"/>
  <c r="P1628" i="4"/>
  <c r="O1624" i="4"/>
  <c r="P1624" i="4"/>
  <c r="O1620" i="4"/>
  <c r="P1620" i="4"/>
  <c r="O1616" i="4"/>
  <c r="P1616" i="4"/>
  <c r="O1612" i="4"/>
  <c r="P1612" i="4"/>
  <c r="O1608" i="4"/>
  <c r="P1608" i="4"/>
  <c r="O1604" i="4"/>
  <c r="P1604" i="4"/>
  <c r="O1600" i="4"/>
  <c r="P1600" i="4"/>
  <c r="O1596" i="4"/>
  <c r="P1596" i="4"/>
  <c r="O1592" i="4"/>
  <c r="P1592" i="4"/>
  <c r="O1588" i="4"/>
  <c r="P1588" i="4"/>
  <c r="O1584" i="4"/>
  <c r="P1584" i="4"/>
  <c r="O1580" i="4"/>
  <c r="P1580" i="4"/>
  <c r="O1576" i="4"/>
  <c r="P1576" i="4"/>
  <c r="O1572" i="4"/>
  <c r="P1572" i="4"/>
  <c r="O1568" i="4"/>
  <c r="P1568" i="4"/>
  <c r="O1564" i="4"/>
  <c r="P1564" i="4"/>
  <c r="O1560" i="4"/>
  <c r="P1560" i="4"/>
  <c r="O1556" i="4"/>
  <c r="P1556" i="4"/>
  <c r="O1552" i="4"/>
  <c r="P1552" i="4"/>
  <c r="O1548" i="4"/>
  <c r="P1548" i="4"/>
  <c r="O1544" i="4"/>
  <c r="P1544" i="4"/>
  <c r="O1540" i="4"/>
  <c r="P1540" i="4"/>
  <c r="O1536" i="4"/>
  <c r="P1536" i="4"/>
  <c r="O1532" i="4"/>
  <c r="P1532" i="4"/>
  <c r="O1528" i="4"/>
  <c r="P1528" i="4"/>
  <c r="O1524" i="4"/>
  <c r="P1524" i="4"/>
  <c r="O1520" i="4"/>
  <c r="P1520" i="4"/>
  <c r="O1516" i="4"/>
  <c r="P1516" i="4"/>
  <c r="O1512" i="4"/>
  <c r="P1512" i="4"/>
  <c r="O1508" i="4"/>
  <c r="P1508" i="4"/>
  <c r="O1504" i="4"/>
  <c r="P1504" i="4"/>
  <c r="O1500" i="4"/>
  <c r="P1500" i="4"/>
  <c r="O1496" i="4"/>
  <c r="P1496" i="4"/>
  <c r="O1492" i="4"/>
  <c r="P1492" i="4"/>
  <c r="O1488" i="4"/>
  <c r="P1488" i="4"/>
  <c r="O1484" i="4"/>
  <c r="P1484" i="4"/>
  <c r="O1480" i="4"/>
  <c r="P1480" i="4"/>
  <c r="O1476" i="4"/>
  <c r="P1476" i="4"/>
  <c r="O1472" i="4"/>
  <c r="P1472" i="4"/>
  <c r="O1468" i="4"/>
  <c r="P1468" i="4"/>
  <c r="O1464" i="4"/>
  <c r="P1464" i="4"/>
  <c r="O1460" i="4"/>
  <c r="P1460" i="4"/>
  <c r="O1456" i="4"/>
  <c r="P1456" i="4"/>
  <c r="O1452" i="4"/>
  <c r="P1452" i="4"/>
  <c r="O1448" i="4"/>
  <c r="P1448" i="4"/>
  <c r="O1444" i="4"/>
  <c r="P1444" i="4"/>
  <c r="O1440" i="4"/>
  <c r="P1440" i="4"/>
  <c r="O1436" i="4"/>
  <c r="P1436" i="4"/>
  <c r="O1432" i="4"/>
  <c r="P1432" i="4"/>
  <c r="O1428" i="4"/>
  <c r="P1428" i="4"/>
  <c r="O1424" i="4"/>
  <c r="P1424" i="4"/>
  <c r="O1420" i="4"/>
  <c r="P1420" i="4"/>
  <c r="O1416" i="4"/>
  <c r="P1416" i="4"/>
  <c r="O1412" i="4"/>
  <c r="P1412" i="4"/>
  <c r="O1408" i="4"/>
  <c r="P1408" i="4"/>
  <c r="O1404" i="4"/>
  <c r="P1404" i="4"/>
  <c r="O1400" i="4"/>
  <c r="P1400" i="4"/>
  <c r="O1396" i="4"/>
  <c r="P1396" i="4"/>
  <c r="O1392" i="4"/>
  <c r="P1392" i="4"/>
  <c r="O1388" i="4"/>
  <c r="P1388" i="4"/>
  <c r="O1384" i="4"/>
  <c r="P1384" i="4"/>
  <c r="O1380" i="4"/>
  <c r="P1380" i="4"/>
  <c r="O1376" i="4"/>
  <c r="P1376" i="4"/>
  <c r="O1372" i="4"/>
  <c r="P1372" i="4"/>
  <c r="O1368" i="4"/>
  <c r="P1368" i="4"/>
  <c r="O1364" i="4"/>
  <c r="P1364" i="4"/>
  <c r="O1360" i="4"/>
  <c r="P1360" i="4"/>
  <c r="O1356" i="4"/>
  <c r="P1356" i="4"/>
  <c r="O1352" i="4"/>
  <c r="P1352" i="4"/>
  <c r="O1348" i="4"/>
  <c r="P1348" i="4"/>
  <c r="O1344" i="4"/>
  <c r="P1344" i="4"/>
  <c r="O1340" i="4"/>
  <c r="P1340" i="4"/>
  <c r="O1336" i="4"/>
  <c r="P1336" i="4"/>
  <c r="O1332" i="4"/>
  <c r="P1332" i="4"/>
  <c r="O1328" i="4"/>
  <c r="P1328" i="4"/>
  <c r="O1324" i="4"/>
  <c r="P1324" i="4"/>
  <c r="O1320" i="4"/>
  <c r="P1320" i="4"/>
  <c r="O1316" i="4"/>
  <c r="P1316" i="4"/>
  <c r="O1312" i="4"/>
  <c r="P1312" i="4"/>
  <c r="O1308" i="4"/>
  <c r="P1308" i="4"/>
  <c r="O1304" i="4"/>
  <c r="P1304" i="4"/>
  <c r="O1300" i="4"/>
  <c r="P1300" i="4"/>
  <c r="O1296" i="4"/>
  <c r="P1296" i="4"/>
  <c r="O1292" i="4"/>
  <c r="P1292" i="4"/>
  <c r="O1288" i="4"/>
  <c r="P1288" i="4"/>
  <c r="O1284" i="4"/>
  <c r="P1284" i="4"/>
  <c r="O1280" i="4"/>
  <c r="P1280" i="4"/>
  <c r="O1276" i="4"/>
  <c r="P1276" i="4"/>
  <c r="O1272" i="4"/>
  <c r="P1272" i="4"/>
  <c r="O1268" i="4"/>
  <c r="P1268" i="4"/>
  <c r="O1264" i="4"/>
  <c r="P1264" i="4"/>
  <c r="O1260" i="4"/>
  <c r="P1260" i="4"/>
  <c r="O1256" i="4"/>
  <c r="P1256" i="4"/>
  <c r="O1252" i="4"/>
  <c r="P1252" i="4"/>
  <c r="O1248" i="4"/>
  <c r="P1248" i="4"/>
  <c r="O1244" i="4"/>
  <c r="P1244" i="4"/>
  <c r="O1240" i="4"/>
  <c r="P1240" i="4"/>
  <c r="O1236" i="4"/>
  <c r="P1236" i="4"/>
  <c r="O1232" i="4"/>
  <c r="P1232" i="4"/>
  <c r="O1228" i="4"/>
  <c r="P1228" i="4"/>
  <c r="O1224" i="4"/>
  <c r="P1224" i="4"/>
  <c r="O1220" i="4"/>
  <c r="P1220" i="4"/>
  <c r="O1216" i="4"/>
  <c r="P1216" i="4"/>
  <c r="O1212" i="4"/>
  <c r="P1212" i="4"/>
  <c r="O1208" i="4"/>
  <c r="P1208" i="4"/>
  <c r="O1204" i="4"/>
  <c r="P1204" i="4"/>
  <c r="O1200" i="4"/>
  <c r="P1200" i="4"/>
  <c r="O1196" i="4"/>
  <c r="P1196" i="4"/>
  <c r="O1192" i="4"/>
  <c r="P1192" i="4"/>
  <c r="O1188" i="4"/>
  <c r="P1188" i="4"/>
  <c r="O1184" i="4"/>
  <c r="P1184" i="4"/>
  <c r="O1180" i="4"/>
  <c r="P1180" i="4"/>
  <c r="O1176" i="4"/>
  <c r="P1176" i="4"/>
  <c r="O1172" i="4"/>
  <c r="P1172" i="4"/>
  <c r="O1168" i="4"/>
  <c r="P1168" i="4"/>
  <c r="O1164" i="4"/>
  <c r="P1164" i="4"/>
  <c r="O1160" i="4"/>
  <c r="P1160" i="4"/>
  <c r="O1156" i="4"/>
  <c r="P1156" i="4"/>
  <c r="O1152" i="4"/>
  <c r="P1152" i="4"/>
  <c r="O1148" i="4"/>
  <c r="P1148" i="4"/>
  <c r="O1144" i="4"/>
  <c r="P1144" i="4"/>
  <c r="O1140" i="4"/>
  <c r="P1140" i="4"/>
  <c r="O1136" i="4"/>
  <c r="P1136" i="4"/>
  <c r="O1132" i="4"/>
  <c r="P1132" i="4"/>
  <c r="O1128" i="4"/>
  <c r="P1128" i="4"/>
  <c r="O1124" i="4"/>
  <c r="P1124" i="4"/>
  <c r="O1120" i="4"/>
  <c r="P1120" i="4"/>
  <c r="O1116" i="4"/>
  <c r="P1116" i="4"/>
  <c r="O1112" i="4"/>
  <c r="P1112" i="4"/>
  <c r="O1108" i="4"/>
  <c r="P1108" i="4"/>
  <c r="O1104" i="4"/>
  <c r="P1104" i="4"/>
  <c r="O1100" i="4"/>
  <c r="P1100" i="4"/>
  <c r="O1096" i="4"/>
  <c r="P1096" i="4"/>
  <c r="O1092" i="4"/>
  <c r="P1092" i="4"/>
  <c r="O1088" i="4"/>
  <c r="P1088" i="4"/>
  <c r="O1084" i="4"/>
  <c r="P1084" i="4"/>
  <c r="O1080" i="4"/>
  <c r="P1080" i="4"/>
  <c r="O1076" i="4"/>
  <c r="P1076" i="4"/>
  <c r="O1072" i="4"/>
  <c r="P1072" i="4"/>
  <c r="O1068" i="4"/>
  <c r="P1068" i="4"/>
  <c r="O1064" i="4"/>
  <c r="P1064" i="4"/>
  <c r="O1060" i="4"/>
  <c r="P1060" i="4"/>
  <c r="O1056" i="4"/>
  <c r="P1056" i="4"/>
  <c r="O1052" i="4"/>
  <c r="P1052" i="4"/>
  <c r="O1048" i="4"/>
  <c r="P1048" i="4"/>
  <c r="O1044" i="4"/>
  <c r="P1044" i="4"/>
  <c r="O1040" i="4"/>
  <c r="P1040" i="4"/>
  <c r="O1036" i="4"/>
  <c r="P1036" i="4"/>
  <c r="O1032" i="4"/>
  <c r="P1032" i="4"/>
  <c r="O1028" i="4"/>
  <c r="P1028" i="4"/>
  <c r="O1024" i="4"/>
  <c r="P1024" i="4"/>
  <c r="O1020" i="4"/>
  <c r="P1020" i="4"/>
  <c r="O1016" i="4"/>
  <c r="P1016" i="4"/>
  <c r="O1012" i="4"/>
  <c r="P1012" i="4"/>
  <c r="O1008" i="4"/>
  <c r="P1008" i="4"/>
  <c r="O1004" i="4"/>
  <c r="P1004" i="4"/>
  <c r="O1000" i="4"/>
  <c r="P1000" i="4"/>
  <c r="O996" i="4"/>
  <c r="P996" i="4"/>
  <c r="O992" i="4"/>
  <c r="P992" i="4"/>
  <c r="O988" i="4"/>
  <c r="P988" i="4"/>
  <c r="O984" i="4"/>
  <c r="P984" i="4"/>
  <c r="O980" i="4"/>
  <c r="P980" i="4"/>
  <c r="O976" i="4"/>
  <c r="P976" i="4"/>
  <c r="O972" i="4"/>
  <c r="P972" i="4"/>
  <c r="O968" i="4"/>
  <c r="P968" i="4"/>
  <c r="O964" i="4"/>
  <c r="P964" i="4"/>
  <c r="O960" i="4"/>
  <c r="P960" i="4"/>
  <c r="O956" i="4"/>
  <c r="P956" i="4"/>
  <c r="O952" i="4"/>
  <c r="P952" i="4"/>
  <c r="O948" i="4"/>
  <c r="P948" i="4"/>
  <c r="O944" i="4"/>
  <c r="P944" i="4"/>
  <c r="O940" i="4"/>
  <c r="P940" i="4"/>
  <c r="O936" i="4"/>
  <c r="P936" i="4"/>
  <c r="O932" i="4"/>
  <c r="P932" i="4"/>
  <c r="O928" i="4"/>
  <c r="P928" i="4"/>
  <c r="O924" i="4"/>
  <c r="P924" i="4"/>
  <c r="O920" i="4"/>
  <c r="P920" i="4"/>
  <c r="O916" i="4"/>
  <c r="P916" i="4"/>
  <c r="O912" i="4"/>
  <c r="P912" i="4"/>
  <c r="O908" i="4"/>
  <c r="P908" i="4"/>
  <c r="O904" i="4"/>
  <c r="P904" i="4"/>
  <c r="O900" i="4"/>
  <c r="P900" i="4"/>
  <c r="O896" i="4"/>
  <c r="P896" i="4"/>
  <c r="O892" i="4"/>
  <c r="P892" i="4"/>
  <c r="O888" i="4"/>
  <c r="P888" i="4"/>
  <c r="O884" i="4"/>
  <c r="P884" i="4"/>
  <c r="O880" i="4"/>
  <c r="P880" i="4"/>
  <c r="O876" i="4"/>
  <c r="P876" i="4"/>
  <c r="O872" i="4"/>
  <c r="P872" i="4"/>
  <c r="O868" i="4"/>
  <c r="P868" i="4"/>
  <c r="O864" i="4"/>
  <c r="P864" i="4"/>
  <c r="O860" i="4"/>
  <c r="P860" i="4"/>
  <c r="O856" i="4"/>
  <c r="P856" i="4"/>
  <c r="O852" i="4"/>
  <c r="P852" i="4"/>
  <c r="O848" i="4"/>
  <c r="P848" i="4"/>
  <c r="O844" i="4"/>
  <c r="P844" i="4"/>
  <c r="O840" i="4"/>
  <c r="P840" i="4"/>
  <c r="O836" i="4"/>
  <c r="P836" i="4"/>
  <c r="O832" i="4"/>
  <c r="P832" i="4"/>
  <c r="O828" i="4"/>
  <c r="P828" i="4"/>
  <c r="O824" i="4"/>
  <c r="P824" i="4"/>
  <c r="O820" i="4"/>
  <c r="P820" i="4"/>
  <c r="O816" i="4"/>
  <c r="P816" i="4"/>
  <c r="O812" i="4"/>
  <c r="P812" i="4"/>
  <c r="O808" i="4"/>
  <c r="P808" i="4"/>
  <c r="O804" i="4"/>
  <c r="P804" i="4"/>
  <c r="O800" i="4"/>
  <c r="P800" i="4"/>
  <c r="O796" i="4"/>
  <c r="P796" i="4"/>
  <c r="O792" i="4"/>
  <c r="P792" i="4"/>
  <c r="O788" i="4"/>
  <c r="P788" i="4"/>
  <c r="O784" i="4"/>
  <c r="P784" i="4"/>
  <c r="O780" i="4"/>
  <c r="P780" i="4"/>
  <c r="O776" i="4"/>
  <c r="P776" i="4"/>
  <c r="O772" i="4"/>
  <c r="P772" i="4"/>
  <c r="O768" i="4"/>
  <c r="P768" i="4"/>
  <c r="O764" i="4"/>
  <c r="P764" i="4"/>
  <c r="O760" i="4"/>
  <c r="P760" i="4"/>
  <c r="O756" i="4"/>
  <c r="P756" i="4"/>
  <c r="O752" i="4"/>
  <c r="P752" i="4"/>
  <c r="O748" i="4"/>
  <c r="P748" i="4"/>
  <c r="O744" i="4"/>
  <c r="P744" i="4"/>
  <c r="O740" i="4"/>
  <c r="P740" i="4"/>
  <c r="O736" i="4"/>
  <c r="P736" i="4"/>
  <c r="O732" i="4"/>
  <c r="P732" i="4"/>
  <c r="O728" i="4"/>
  <c r="P728" i="4"/>
  <c r="O724" i="4"/>
  <c r="P724" i="4"/>
  <c r="O720" i="4"/>
  <c r="P720" i="4"/>
  <c r="O716" i="4"/>
  <c r="P716" i="4"/>
  <c r="O712" i="4"/>
  <c r="P712" i="4"/>
  <c r="O708" i="4"/>
  <c r="P708" i="4"/>
  <c r="O704" i="4"/>
  <c r="P704" i="4"/>
  <c r="O700" i="4"/>
  <c r="P700" i="4"/>
  <c r="O696" i="4"/>
  <c r="P696" i="4"/>
  <c r="O692" i="4"/>
  <c r="P692" i="4"/>
  <c r="O688" i="4"/>
  <c r="P688" i="4"/>
  <c r="O684" i="4"/>
  <c r="P684" i="4"/>
  <c r="O680" i="4"/>
  <c r="P680" i="4"/>
  <c r="O676" i="4"/>
  <c r="P676" i="4"/>
  <c r="O672" i="4"/>
  <c r="P672" i="4"/>
  <c r="O668" i="4"/>
  <c r="P668" i="4"/>
  <c r="O664" i="4"/>
  <c r="P664" i="4"/>
  <c r="O660" i="4"/>
  <c r="P660" i="4"/>
  <c r="O656" i="4"/>
  <c r="P656" i="4"/>
  <c r="O652" i="4"/>
  <c r="P652" i="4"/>
  <c r="O648" i="4"/>
  <c r="P648" i="4"/>
  <c r="O644" i="4"/>
  <c r="P644" i="4"/>
  <c r="O640" i="4"/>
  <c r="P640" i="4"/>
  <c r="O636" i="4"/>
  <c r="P636" i="4"/>
  <c r="O632" i="4"/>
  <c r="P632" i="4"/>
  <c r="O628" i="4"/>
  <c r="P628" i="4"/>
  <c r="O624" i="4"/>
  <c r="P624" i="4"/>
  <c r="O620" i="4"/>
  <c r="P620" i="4"/>
  <c r="O616" i="4"/>
  <c r="P616" i="4"/>
  <c r="O612" i="4"/>
  <c r="P612" i="4"/>
  <c r="O608" i="4"/>
  <c r="P608" i="4"/>
  <c r="O604" i="4"/>
  <c r="P604" i="4"/>
  <c r="O600" i="4"/>
  <c r="P600" i="4"/>
  <c r="O596" i="4"/>
  <c r="P596" i="4"/>
  <c r="O592" i="4"/>
  <c r="P592" i="4"/>
  <c r="O588" i="4"/>
  <c r="P588" i="4"/>
  <c r="O584" i="4"/>
  <c r="P584" i="4"/>
  <c r="O580" i="4"/>
  <c r="P580" i="4"/>
  <c r="O576" i="4"/>
  <c r="P576" i="4"/>
  <c r="O572" i="4"/>
  <c r="P572" i="4"/>
  <c r="O568" i="4"/>
  <c r="P568" i="4"/>
  <c r="O564" i="4"/>
  <c r="P564" i="4"/>
  <c r="O560" i="4"/>
  <c r="P560" i="4"/>
  <c r="O556" i="4"/>
  <c r="P556" i="4"/>
  <c r="O552" i="4"/>
  <c r="P552" i="4"/>
  <c r="O548" i="4"/>
  <c r="P548" i="4"/>
  <c r="O544" i="4"/>
  <c r="P544" i="4"/>
  <c r="O540" i="4"/>
  <c r="P540" i="4"/>
  <c r="O536" i="4"/>
  <c r="P536" i="4"/>
  <c r="O532" i="4"/>
  <c r="P532" i="4"/>
  <c r="O528" i="4"/>
  <c r="P528" i="4"/>
  <c r="O524" i="4"/>
  <c r="P524" i="4"/>
  <c r="O520" i="4"/>
  <c r="P520" i="4"/>
  <c r="O516" i="4"/>
  <c r="P516" i="4"/>
  <c r="O512" i="4"/>
  <c r="P512" i="4"/>
  <c r="O508" i="4"/>
  <c r="P508" i="4"/>
  <c r="O504" i="4"/>
  <c r="P504" i="4"/>
  <c r="O500" i="4"/>
  <c r="P500" i="4"/>
  <c r="O496" i="4"/>
  <c r="P496" i="4"/>
  <c r="O492" i="4"/>
  <c r="P492" i="4"/>
  <c r="O488" i="4"/>
  <c r="P488" i="4"/>
  <c r="O484" i="4"/>
  <c r="P484" i="4"/>
  <c r="O480" i="4"/>
  <c r="P480" i="4"/>
  <c r="O476" i="4"/>
  <c r="P476" i="4"/>
  <c r="O472" i="4"/>
  <c r="P472" i="4"/>
  <c r="O468" i="4"/>
  <c r="P468" i="4"/>
  <c r="O464" i="4"/>
  <c r="P464" i="4"/>
  <c r="O460" i="4"/>
  <c r="P460" i="4"/>
  <c r="O456" i="4"/>
  <c r="P456" i="4"/>
  <c r="O452" i="4"/>
  <c r="P452" i="4"/>
  <c r="O448" i="4"/>
  <c r="P448" i="4"/>
  <c r="O444" i="4"/>
  <c r="P444" i="4"/>
  <c r="O440" i="4"/>
  <c r="P440" i="4"/>
  <c r="O436" i="4"/>
  <c r="P436" i="4"/>
  <c r="O432" i="4"/>
  <c r="P432" i="4"/>
  <c r="O428" i="4"/>
  <c r="P428" i="4"/>
  <c r="O424" i="4"/>
  <c r="P424" i="4"/>
  <c r="O420" i="4"/>
  <c r="P420" i="4"/>
  <c r="O416" i="4"/>
  <c r="P416" i="4"/>
  <c r="O412" i="4"/>
  <c r="P412" i="4"/>
  <c r="O408" i="4"/>
  <c r="P408" i="4"/>
  <c r="O404" i="4"/>
  <c r="P404" i="4"/>
  <c r="O400" i="4"/>
  <c r="P400" i="4"/>
  <c r="O396" i="4"/>
  <c r="P396" i="4"/>
  <c r="O392" i="4"/>
  <c r="P392" i="4"/>
  <c r="O388" i="4"/>
  <c r="P388" i="4"/>
  <c r="O384" i="4"/>
  <c r="P384" i="4"/>
  <c r="O380" i="4"/>
  <c r="P380" i="4"/>
  <c r="O376" i="4"/>
  <c r="P376" i="4"/>
  <c r="O372" i="4"/>
  <c r="P372" i="4"/>
  <c r="O368" i="4"/>
  <c r="P368" i="4"/>
  <c r="O364" i="4"/>
  <c r="P364" i="4"/>
  <c r="O360" i="4"/>
  <c r="P360" i="4"/>
  <c r="O356" i="4"/>
  <c r="P356" i="4"/>
  <c r="O352" i="4"/>
  <c r="P352" i="4"/>
  <c r="O348" i="4"/>
  <c r="P348" i="4"/>
  <c r="O344" i="4"/>
  <c r="P344" i="4"/>
  <c r="O340" i="4"/>
  <c r="P340" i="4"/>
  <c r="O336" i="4"/>
  <c r="P336" i="4"/>
  <c r="O332" i="4"/>
  <c r="P332" i="4"/>
  <c r="O328" i="4"/>
  <c r="P328" i="4"/>
  <c r="O324" i="4"/>
  <c r="P324" i="4"/>
  <c r="O320" i="4"/>
  <c r="P320" i="4"/>
  <c r="O316" i="4"/>
  <c r="P316" i="4"/>
  <c r="O312" i="4"/>
  <c r="P312" i="4"/>
  <c r="O308" i="4"/>
  <c r="P308" i="4"/>
  <c r="O304" i="4"/>
  <c r="P304" i="4"/>
  <c r="O300" i="4"/>
  <c r="P300" i="4"/>
  <c r="O296" i="4"/>
  <c r="P296" i="4"/>
  <c r="O292" i="4"/>
  <c r="P292" i="4"/>
  <c r="O288" i="4"/>
  <c r="P288" i="4"/>
  <c r="O284" i="4"/>
  <c r="P284" i="4"/>
  <c r="O280" i="4"/>
  <c r="P280" i="4"/>
  <c r="O276" i="4"/>
  <c r="P276" i="4"/>
  <c r="O272" i="4"/>
  <c r="P272" i="4"/>
  <c r="O268" i="4"/>
  <c r="P268" i="4"/>
  <c r="O264" i="4"/>
  <c r="P264" i="4"/>
  <c r="O260" i="4"/>
  <c r="P260" i="4"/>
  <c r="O256" i="4"/>
  <c r="P256" i="4"/>
  <c r="O252" i="4"/>
  <c r="P252" i="4"/>
  <c r="O248" i="4"/>
  <c r="P248" i="4"/>
  <c r="O244" i="4"/>
  <c r="P244" i="4"/>
  <c r="O240" i="4"/>
  <c r="P240" i="4"/>
  <c r="P2651" i="4"/>
  <c r="P2643" i="4"/>
  <c r="P2635" i="4"/>
  <c r="P2627" i="4"/>
  <c r="P2619" i="4"/>
  <c r="P2611" i="4"/>
  <c r="P2603" i="4"/>
  <c r="P2582" i="4"/>
  <c r="P2571" i="4"/>
  <c r="P2547" i="4"/>
  <c r="O2599" i="4"/>
  <c r="P2599" i="4"/>
  <c r="O2591" i="4"/>
  <c r="P2591" i="4"/>
  <c r="O2583" i="4"/>
  <c r="P2583" i="4"/>
  <c r="O2575" i="4"/>
  <c r="P2575" i="4"/>
  <c r="O2567" i="4"/>
  <c r="P2567" i="4"/>
  <c r="O2559" i="4"/>
  <c r="P2559" i="4"/>
  <c r="O2551" i="4"/>
  <c r="P2551" i="4"/>
  <c r="O2543" i="4"/>
  <c r="P2543" i="4"/>
  <c r="O2539" i="4"/>
  <c r="P2539" i="4"/>
  <c r="O2535" i="4"/>
  <c r="P2535" i="4"/>
  <c r="O2531" i="4"/>
  <c r="P2531" i="4"/>
  <c r="O2527" i="4"/>
  <c r="P2527" i="4"/>
  <c r="O2523" i="4"/>
  <c r="P2523" i="4"/>
  <c r="O2519" i="4"/>
  <c r="P2519" i="4"/>
  <c r="O2515" i="4"/>
  <c r="P2515" i="4"/>
  <c r="O2511" i="4"/>
  <c r="P2511" i="4"/>
  <c r="O2507" i="4"/>
  <c r="P2507" i="4"/>
  <c r="O2503" i="4"/>
  <c r="P2503" i="4"/>
  <c r="O2499" i="4"/>
  <c r="P2499" i="4"/>
  <c r="O2495" i="4"/>
  <c r="P2495" i="4"/>
  <c r="O2491" i="4"/>
  <c r="P2491" i="4"/>
  <c r="O2487" i="4"/>
  <c r="P2487" i="4"/>
  <c r="O2483" i="4"/>
  <c r="P2483" i="4"/>
  <c r="O2479" i="4"/>
  <c r="P2479" i="4"/>
  <c r="O2475" i="4"/>
  <c r="P2475" i="4"/>
  <c r="O2471" i="4"/>
  <c r="P2471" i="4"/>
  <c r="O2467" i="4"/>
  <c r="P2467" i="4"/>
  <c r="O2463" i="4"/>
  <c r="P2463" i="4"/>
  <c r="O2459" i="4"/>
  <c r="P2459" i="4"/>
  <c r="O2455" i="4"/>
  <c r="P2455" i="4"/>
  <c r="O2451" i="4"/>
  <c r="P2451" i="4"/>
  <c r="O2447" i="4"/>
  <c r="P2447" i="4"/>
  <c r="O2443" i="4"/>
  <c r="P2443" i="4"/>
  <c r="O2439" i="4"/>
  <c r="P2439" i="4"/>
  <c r="O2435" i="4"/>
  <c r="P2435" i="4"/>
  <c r="O2431" i="4"/>
  <c r="P2431" i="4"/>
  <c r="O2427" i="4"/>
  <c r="P2427" i="4"/>
  <c r="O2423" i="4"/>
  <c r="P2423" i="4"/>
  <c r="O2419" i="4"/>
  <c r="P2419" i="4"/>
  <c r="O2415" i="4"/>
  <c r="P2415" i="4"/>
  <c r="O2411" i="4"/>
  <c r="P2411" i="4"/>
  <c r="O2407" i="4"/>
  <c r="P2407" i="4"/>
  <c r="O2403" i="4"/>
  <c r="P2403" i="4"/>
  <c r="O2399" i="4"/>
  <c r="P2399" i="4"/>
  <c r="O2395" i="4"/>
  <c r="P2395" i="4"/>
  <c r="O2391" i="4"/>
  <c r="P2391" i="4"/>
  <c r="O2387" i="4"/>
  <c r="P2387" i="4"/>
  <c r="O2383" i="4"/>
  <c r="P2383" i="4"/>
  <c r="O2379" i="4"/>
  <c r="P2379" i="4"/>
  <c r="O2375" i="4"/>
  <c r="P2375" i="4"/>
  <c r="O2371" i="4"/>
  <c r="P2371" i="4"/>
  <c r="O2367" i="4"/>
  <c r="P2367" i="4"/>
  <c r="O2363" i="4"/>
  <c r="P2363" i="4"/>
  <c r="O2359" i="4"/>
  <c r="P2359" i="4"/>
  <c r="O2355" i="4"/>
  <c r="P2355" i="4"/>
  <c r="O2351" i="4"/>
  <c r="P2351" i="4"/>
  <c r="O2347" i="4"/>
  <c r="P2347" i="4"/>
  <c r="O2343" i="4"/>
  <c r="P2343" i="4"/>
  <c r="O2339" i="4"/>
  <c r="P2339" i="4"/>
  <c r="O2335" i="4"/>
  <c r="P2335" i="4"/>
  <c r="O2331" i="4"/>
  <c r="P2331" i="4"/>
  <c r="O2327" i="4"/>
  <c r="P2327" i="4"/>
  <c r="O2323" i="4"/>
  <c r="P2323" i="4"/>
  <c r="O2319" i="4"/>
  <c r="P2319" i="4"/>
  <c r="O2315" i="4"/>
  <c r="P2315" i="4"/>
  <c r="O2311" i="4"/>
  <c r="P2311" i="4"/>
  <c r="O2307" i="4"/>
  <c r="P2307" i="4"/>
  <c r="O2303" i="4"/>
  <c r="P2303" i="4"/>
  <c r="O2299" i="4"/>
  <c r="P2299" i="4"/>
  <c r="O2295" i="4"/>
  <c r="P2295" i="4"/>
  <c r="O2291" i="4"/>
  <c r="P2291" i="4"/>
  <c r="O2287" i="4"/>
  <c r="P2287" i="4"/>
  <c r="O2283" i="4"/>
  <c r="P2283" i="4"/>
  <c r="O2279" i="4"/>
  <c r="P2279" i="4"/>
  <c r="O2275" i="4"/>
  <c r="P2275" i="4"/>
  <c r="O2271" i="4"/>
  <c r="P2271" i="4"/>
  <c r="O2267" i="4"/>
  <c r="P2267" i="4"/>
  <c r="O2263" i="4"/>
  <c r="P2263" i="4"/>
  <c r="O2259" i="4"/>
  <c r="P2259" i="4"/>
  <c r="O2255" i="4"/>
  <c r="P2255" i="4"/>
  <c r="O2251" i="4"/>
  <c r="P2251" i="4"/>
  <c r="O2247" i="4"/>
  <c r="P2247" i="4"/>
  <c r="O2243" i="4"/>
  <c r="P2243" i="4"/>
  <c r="O2239" i="4"/>
  <c r="P2239" i="4"/>
  <c r="O2235" i="4"/>
  <c r="P2235" i="4"/>
  <c r="O2231" i="4"/>
  <c r="P2231" i="4"/>
  <c r="O2227" i="4"/>
  <c r="P2227" i="4"/>
  <c r="O2223" i="4"/>
  <c r="P2223" i="4"/>
  <c r="O2219" i="4"/>
  <c r="P2219" i="4"/>
  <c r="O2215" i="4"/>
  <c r="P2215" i="4"/>
  <c r="O2211" i="4"/>
  <c r="P2211" i="4"/>
  <c r="O2207" i="4"/>
  <c r="P2207" i="4"/>
  <c r="O2203" i="4"/>
  <c r="P2203" i="4"/>
  <c r="O2199" i="4"/>
  <c r="P2199" i="4"/>
  <c r="O2195" i="4"/>
  <c r="P2195" i="4"/>
  <c r="O2191" i="4"/>
  <c r="P2191" i="4"/>
  <c r="O2187" i="4"/>
  <c r="P2187" i="4"/>
  <c r="O2183" i="4"/>
  <c r="P2183" i="4"/>
  <c r="O2179" i="4"/>
  <c r="P2179" i="4"/>
  <c r="O2175" i="4"/>
  <c r="P2175" i="4"/>
  <c r="O2171" i="4"/>
  <c r="P2171" i="4"/>
  <c r="O2167" i="4"/>
  <c r="P2167" i="4"/>
  <c r="O2163" i="4"/>
  <c r="P2163" i="4"/>
  <c r="O2159" i="4"/>
  <c r="P2159" i="4"/>
  <c r="O2155" i="4"/>
  <c r="P2155" i="4"/>
  <c r="O2151" i="4"/>
  <c r="P2151" i="4"/>
  <c r="O2147" i="4"/>
  <c r="P2147" i="4"/>
  <c r="O2143" i="4"/>
  <c r="P2143" i="4"/>
  <c r="O2139" i="4"/>
  <c r="P2139" i="4"/>
  <c r="O2135" i="4"/>
  <c r="P2135" i="4"/>
  <c r="O2131" i="4"/>
  <c r="P2131" i="4"/>
  <c r="O2127" i="4"/>
  <c r="P2127" i="4"/>
  <c r="O2123" i="4"/>
  <c r="P2123" i="4"/>
  <c r="O2119" i="4"/>
  <c r="P2119" i="4"/>
  <c r="O2115" i="4"/>
  <c r="P2115" i="4"/>
  <c r="O2111" i="4"/>
  <c r="P2111" i="4"/>
  <c r="O2107" i="4"/>
  <c r="P2107" i="4"/>
  <c r="O2103" i="4"/>
  <c r="P2103" i="4"/>
  <c r="O2099" i="4"/>
  <c r="P2099" i="4"/>
  <c r="O2095" i="4"/>
  <c r="P2095" i="4"/>
  <c r="O2091" i="4"/>
  <c r="P2091" i="4"/>
  <c r="O2087" i="4"/>
  <c r="P2087" i="4"/>
  <c r="O2083" i="4"/>
  <c r="P2083" i="4"/>
  <c r="O2079" i="4"/>
  <c r="P2079" i="4"/>
  <c r="O2075" i="4"/>
  <c r="P2075" i="4"/>
  <c r="O2071" i="4"/>
  <c r="P2071" i="4"/>
  <c r="O2067" i="4"/>
  <c r="P2067" i="4"/>
  <c r="O2063" i="4"/>
  <c r="P2063" i="4"/>
  <c r="O2059" i="4"/>
  <c r="P2059" i="4"/>
  <c r="O2055" i="4"/>
  <c r="P2055" i="4"/>
  <c r="O2051" i="4"/>
  <c r="P2051" i="4"/>
  <c r="O2047" i="4"/>
  <c r="P2047" i="4"/>
  <c r="O2043" i="4"/>
  <c r="P2043" i="4"/>
  <c r="O2039" i="4"/>
  <c r="P2039" i="4"/>
  <c r="O2035" i="4"/>
  <c r="P2035" i="4"/>
  <c r="O2031" i="4"/>
  <c r="P2031" i="4"/>
  <c r="O2027" i="4"/>
  <c r="P2027" i="4"/>
  <c r="O2023" i="4"/>
  <c r="P2023" i="4"/>
  <c r="O2019" i="4"/>
  <c r="P2019" i="4"/>
  <c r="O2015" i="4"/>
  <c r="P2015" i="4"/>
  <c r="O2011" i="4"/>
  <c r="P2011" i="4"/>
  <c r="O2007" i="4"/>
  <c r="P2007" i="4"/>
  <c r="O2003" i="4"/>
  <c r="P2003" i="4"/>
  <c r="O1999" i="4"/>
  <c r="P1999" i="4"/>
  <c r="O1995" i="4"/>
  <c r="P1995" i="4"/>
  <c r="O1991" i="4"/>
  <c r="P1991" i="4"/>
  <c r="O1987" i="4"/>
  <c r="P1987" i="4"/>
  <c r="O1983" i="4"/>
  <c r="P1983" i="4"/>
  <c r="O1979" i="4"/>
  <c r="P1979" i="4"/>
  <c r="O1975" i="4"/>
  <c r="P1975" i="4"/>
  <c r="O1971" i="4"/>
  <c r="P1971" i="4"/>
  <c r="O1967" i="4"/>
  <c r="P1967" i="4"/>
  <c r="O1963" i="4"/>
  <c r="P1963" i="4"/>
  <c r="O1959" i="4"/>
  <c r="P1959" i="4"/>
  <c r="O1955" i="4"/>
  <c r="P1955" i="4"/>
  <c r="O1951" i="4"/>
  <c r="P1951" i="4"/>
  <c r="O1947" i="4"/>
  <c r="P1947" i="4"/>
  <c r="O1943" i="4"/>
  <c r="P1943" i="4"/>
  <c r="O1939" i="4"/>
  <c r="P1939" i="4"/>
  <c r="O1935" i="4"/>
  <c r="P1935" i="4"/>
  <c r="O1931" i="4"/>
  <c r="P1931" i="4"/>
  <c r="O1927" i="4"/>
  <c r="P1927" i="4"/>
  <c r="O1923" i="4"/>
  <c r="P1923" i="4"/>
  <c r="O1919" i="4"/>
  <c r="P1919" i="4"/>
  <c r="O1915" i="4"/>
  <c r="P1915" i="4"/>
  <c r="O1911" i="4"/>
  <c r="P1911" i="4"/>
  <c r="O1907" i="4"/>
  <c r="P1907" i="4"/>
  <c r="O1903" i="4"/>
  <c r="P1903" i="4"/>
  <c r="O1899" i="4"/>
  <c r="P1899" i="4"/>
  <c r="O1895" i="4"/>
  <c r="P1895" i="4"/>
  <c r="O1891" i="4"/>
  <c r="P1891" i="4"/>
  <c r="O1887" i="4"/>
  <c r="P1887" i="4"/>
  <c r="O1883" i="4"/>
  <c r="P1883" i="4"/>
  <c r="O1879" i="4"/>
  <c r="P1879" i="4"/>
  <c r="O1875" i="4"/>
  <c r="P1875" i="4"/>
  <c r="O1871" i="4"/>
  <c r="P1871" i="4"/>
  <c r="O1867" i="4"/>
  <c r="P1867" i="4"/>
  <c r="O1863" i="4"/>
  <c r="P1863" i="4"/>
  <c r="O1859" i="4"/>
  <c r="P1859" i="4"/>
  <c r="O1851" i="4"/>
  <c r="P1851" i="4"/>
  <c r="O1847" i="4"/>
  <c r="P1847" i="4"/>
  <c r="O1843" i="4"/>
  <c r="P1843" i="4"/>
  <c r="O1839" i="4"/>
  <c r="P1839" i="4"/>
  <c r="O1835" i="4"/>
  <c r="P1835" i="4"/>
  <c r="O1831" i="4"/>
  <c r="P1831" i="4"/>
  <c r="O1827" i="4"/>
  <c r="P1827" i="4"/>
  <c r="O1823" i="4"/>
  <c r="P1823" i="4"/>
  <c r="O1819" i="4"/>
  <c r="P1819" i="4"/>
  <c r="O1815" i="4"/>
  <c r="P1815" i="4"/>
  <c r="O1811" i="4"/>
  <c r="P1811" i="4"/>
  <c r="O1807" i="4"/>
  <c r="P1807" i="4"/>
  <c r="O1803" i="4"/>
  <c r="P1803" i="4"/>
  <c r="O1799" i="4"/>
  <c r="P1799" i="4"/>
  <c r="O1795" i="4"/>
  <c r="P1795" i="4"/>
  <c r="O1791" i="4"/>
  <c r="P1791" i="4"/>
  <c r="O1787" i="4"/>
  <c r="P1787" i="4"/>
  <c r="O1783" i="4"/>
  <c r="P1783" i="4"/>
  <c r="O1779" i="4"/>
  <c r="P1779" i="4"/>
  <c r="O1775" i="4"/>
  <c r="P1775" i="4"/>
  <c r="O1771" i="4"/>
  <c r="P1771" i="4"/>
  <c r="O1767" i="4"/>
  <c r="P1767" i="4"/>
  <c r="O1763" i="4"/>
  <c r="P1763" i="4"/>
  <c r="O1759" i="4"/>
  <c r="P1759" i="4"/>
  <c r="O1755" i="4"/>
  <c r="P1755" i="4"/>
  <c r="O1751" i="4"/>
  <c r="P1751" i="4"/>
  <c r="O1747" i="4"/>
  <c r="P1747" i="4"/>
  <c r="O1743" i="4"/>
  <c r="P1743" i="4"/>
  <c r="O1739" i="4"/>
  <c r="P1739" i="4"/>
  <c r="O1735" i="4"/>
  <c r="P1735" i="4"/>
  <c r="O1731" i="4"/>
  <c r="P1731" i="4"/>
  <c r="O1727" i="4"/>
  <c r="P1727" i="4"/>
  <c r="O1723" i="4"/>
  <c r="P1723" i="4"/>
  <c r="O1719" i="4"/>
  <c r="P1719" i="4"/>
  <c r="O1715" i="4"/>
  <c r="P1715" i="4"/>
  <c r="O1711" i="4"/>
  <c r="P1711" i="4"/>
  <c r="O1707" i="4"/>
  <c r="P1707" i="4"/>
  <c r="O1703" i="4"/>
  <c r="P1703" i="4"/>
  <c r="O1699" i="4"/>
  <c r="P1699" i="4"/>
  <c r="O1695" i="4"/>
  <c r="P1695" i="4"/>
  <c r="O1691" i="4"/>
  <c r="P1691" i="4"/>
  <c r="O1687" i="4"/>
  <c r="P1687" i="4"/>
  <c r="O1683" i="4"/>
  <c r="P1683" i="4"/>
  <c r="O1679" i="4"/>
  <c r="P1679" i="4"/>
  <c r="O1675" i="4"/>
  <c r="P1675" i="4"/>
  <c r="O1671" i="4"/>
  <c r="P1671" i="4"/>
  <c r="O1667" i="4"/>
  <c r="P1667" i="4"/>
  <c r="O1663" i="4"/>
  <c r="P1663" i="4"/>
  <c r="O1659" i="4"/>
  <c r="P1659" i="4"/>
  <c r="O1655" i="4"/>
  <c r="P1655" i="4"/>
  <c r="O1651" i="4"/>
  <c r="P1651" i="4"/>
  <c r="O1647" i="4"/>
  <c r="P1647" i="4"/>
  <c r="O1643" i="4"/>
  <c r="P1643" i="4"/>
  <c r="O1639" i="4"/>
  <c r="P1639" i="4"/>
  <c r="O1635" i="4"/>
  <c r="P1635" i="4"/>
  <c r="O1631" i="4"/>
  <c r="P1631" i="4"/>
  <c r="O1627" i="4"/>
  <c r="P1627" i="4"/>
  <c r="O1623" i="4"/>
  <c r="P1623" i="4"/>
  <c r="O1619" i="4"/>
  <c r="P1619" i="4"/>
  <c r="O1615" i="4"/>
  <c r="P1615" i="4"/>
  <c r="O1611" i="4"/>
  <c r="P1611" i="4"/>
  <c r="O1607" i="4"/>
  <c r="P1607" i="4"/>
  <c r="O1603" i="4"/>
  <c r="P1603" i="4"/>
  <c r="P1599" i="4"/>
  <c r="O1599" i="4"/>
  <c r="O1595" i="4"/>
  <c r="P1595" i="4"/>
  <c r="O1591" i="4"/>
  <c r="P1591" i="4"/>
  <c r="O1587" i="4"/>
  <c r="P1587" i="4"/>
  <c r="O1583" i="4"/>
  <c r="P1583" i="4"/>
  <c r="O1579" i="4"/>
  <c r="P1579" i="4"/>
  <c r="O1571" i="4"/>
  <c r="P1571" i="4"/>
  <c r="O1567" i="4"/>
  <c r="P1567" i="4"/>
  <c r="O1563" i="4"/>
  <c r="P1563" i="4"/>
  <c r="O1555" i="4"/>
  <c r="P1555" i="4"/>
  <c r="O1551" i="4"/>
  <c r="P1551" i="4"/>
  <c r="O1547" i="4"/>
  <c r="P1547" i="4"/>
  <c r="O1539" i="4"/>
  <c r="P1539" i="4"/>
  <c r="O1535" i="4"/>
  <c r="P1535" i="4"/>
  <c r="O1531" i="4"/>
  <c r="P1531" i="4"/>
  <c r="O1523" i="4"/>
  <c r="P1523" i="4"/>
  <c r="O1519" i="4"/>
  <c r="P1519" i="4"/>
  <c r="O1515" i="4"/>
  <c r="P1515" i="4"/>
  <c r="O1507" i="4"/>
  <c r="P1507" i="4"/>
  <c r="O1503" i="4"/>
  <c r="P1503" i="4"/>
  <c r="O1499" i="4"/>
  <c r="P1499" i="4"/>
  <c r="O1495" i="4"/>
  <c r="P1495" i="4"/>
  <c r="O1487" i="4"/>
  <c r="P1487" i="4"/>
  <c r="O1483" i="4"/>
  <c r="P1483" i="4"/>
  <c r="O1479" i="4"/>
  <c r="P1479" i="4"/>
  <c r="O1475" i="4"/>
  <c r="P1475" i="4"/>
  <c r="O1471" i="4"/>
  <c r="P1471" i="4"/>
  <c r="O1467" i="4"/>
  <c r="P1467" i="4"/>
  <c r="O1463" i="4"/>
  <c r="P1463" i="4"/>
  <c r="O1459" i="4"/>
  <c r="P1459" i="4"/>
  <c r="O1455" i="4"/>
  <c r="P1455" i="4"/>
  <c r="O1451" i="4"/>
  <c r="P1451" i="4"/>
  <c r="O1447" i="4"/>
  <c r="P1447" i="4"/>
  <c r="O1443" i="4"/>
  <c r="P1443" i="4"/>
  <c r="O1439" i="4"/>
  <c r="P1439" i="4"/>
  <c r="O1435" i="4"/>
  <c r="P1435" i="4"/>
  <c r="O1431" i="4"/>
  <c r="P1431" i="4"/>
  <c r="O1423" i="4"/>
  <c r="P1423" i="4"/>
  <c r="O1419" i="4"/>
  <c r="P1419" i="4"/>
  <c r="O1415" i="4"/>
  <c r="P1415" i="4"/>
  <c r="O1411" i="4"/>
  <c r="P1411" i="4"/>
  <c r="O1407" i="4"/>
  <c r="P1407" i="4"/>
  <c r="O1403" i="4"/>
  <c r="P1403" i="4"/>
  <c r="O1399" i="4"/>
  <c r="P1399" i="4"/>
  <c r="O1395" i="4"/>
  <c r="P1395" i="4"/>
  <c r="O1391" i="4"/>
  <c r="P1391" i="4"/>
  <c r="O1387" i="4"/>
  <c r="P1387" i="4"/>
  <c r="O1383" i="4"/>
  <c r="P1383" i="4"/>
  <c r="O1379" i="4"/>
  <c r="P1379" i="4"/>
  <c r="O1371" i="4"/>
  <c r="P1371" i="4"/>
  <c r="O1367" i="4"/>
  <c r="P1367" i="4"/>
  <c r="O1363" i="4"/>
  <c r="P1363" i="4"/>
  <c r="O1359" i="4"/>
  <c r="P1359" i="4"/>
  <c r="O1355" i="4"/>
  <c r="P1355" i="4"/>
  <c r="O1351" i="4"/>
  <c r="P1351" i="4"/>
  <c r="O1347" i="4"/>
  <c r="P1347" i="4"/>
  <c r="O1343" i="4"/>
  <c r="P1343" i="4"/>
  <c r="O1339" i="4"/>
  <c r="P1339" i="4"/>
  <c r="O1335" i="4"/>
  <c r="P1335" i="4"/>
  <c r="O1331" i="4"/>
  <c r="P1331" i="4"/>
  <c r="O1327" i="4"/>
  <c r="P1327" i="4"/>
  <c r="O1319" i="4"/>
  <c r="P1319" i="4"/>
  <c r="O1315" i="4"/>
  <c r="P1315" i="4"/>
  <c r="O1311" i="4"/>
  <c r="P1311" i="4"/>
  <c r="O1307" i="4"/>
  <c r="P1307" i="4"/>
  <c r="O1303" i="4"/>
  <c r="P1303" i="4"/>
  <c r="O1299" i="4"/>
  <c r="P1299" i="4"/>
  <c r="O1295" i="4"/>
  <c r="P1295" i="4"/>
  <c r="O1291" i="4"/>
  <c r="P1291" i="4"/>
  <c r="O1287" i="4"/>
  <c r="P1287" i="4"/>
  <c r="O1283" i="4"/>
  <c r="P1283" i="4"/>
  <c r="O1279" i="4"/>
  <c r="P1279" i="4"/>
  <c r="O1275" i="4"/>
  <c r="P1275" i="4"/>
  <c r="O1271" i="4"/>
  <c r="P1271" i="4"/>
  <c r="O1267" i="4"/>
  <c r="P1267" i="4"/>
  <c r="O1263" i="4"/>
  <c r="P1263" i="4"/>
  <c r="O1255" i="4"/>
  <c r="P1255" i="4"/>
  <c r="O1251" i="4"/>
  <c r="P1251" i="4"/>
  <c r="O1247" i="4"/>
  <c r="P1247" i="4"/>
  <c r="O1243" i="4"/>
  <c r="P1243" i="4"/>
  <c r="O1239" i="4"/>
  <c r="P1239" i="4"/>
  <c r="O1235" i="4"/>
  <c r="P1235" i="4"/>
  <c r="O1231" i="4"/>
  <c r="P1231" i="4"/>
  <c r="O1227" i="4"/>
  <c r="P1227" i="4"/>
  <c r="O1223" i="4"/>
  <c r="P1223" i="4"/>
  <c r="O1219" i="4"/>
  <c r="P1219" i="4"/>
  <c r="O1215" i="4"/>
  <c r="P1215" i="4"/>
  <c r="O1211" i="4"/>
  <c r="P1211" i="4"/>
  <c r="O1207" i="4"/>
  <c r="P1207" i="4"/>
  <c r="O1203" i="4"/>
  <c r="P1203" i="4"/>
  <c r="O1199" i="4"/>
  <c r="P1199" i="4"/>
  <c r="O1191" i="4"/>
  <c r="P1191" i="4"/>
  <c r="O1187" i="4"/>
  <c r="P1187" i="4"/>
  <c r="O1183" i="4"/>
  <c r="P1183" i="4"/>
  <c r="O1179" i="4"/>
  <c r="P1179" i="4"/>
  <c r="O1175" i="4"/>
  <c r="P1175" i="4"/>
  <c r="O1171" i="4"/>
  <c r="P1171" i="4"/>
  <c r="O1167" i="4"/>
  <c r="P1167" i="4"/>
  <c r="O1163" i="4"/>
  <c r="P1163" i="4"/>
  <c r="O1159" i="4"/>
  <c r="P1159" i="4"/>
  <c r="O1155" i="4"/>
  <c r="P1155" i="4"/>
  <c r="O1151" i="4"/>
  <c r="P1151" i="4"/>
  <c r="O1147" i="4"/>
  <c r="P1147" i="4"/>
  <c r="O1143" i="4"/>
  <c r="P1143" i="4"/>
  <c r="O1139" i="4"/>
  <c r="P1139" i="4"/>
  <c r="O1135" i="4"/>
  <c r="P1135" i="4"/>
  <c r="O1127" i="4"/>
  <c r="P1127" i="4"/>
  <c r="O1123" i="4"/>
  <c r="P1123" i="4"/>
  <c r="O1119" i="4"/>
  <c r="P1119" i="4"/>
  <c r="O1115" i="4"/>
  <c r="P1115" i="4"/>
  <c r="O1111" i="4"/>
  <c r="P1111" i="4"/>
  <c r="O1107" i="4"/>
  <c r="P1107" i="4"/>
  <c r="O1103" i="4"/>
  <c r="P1103" i="4"/>
  <c r="O1099" i="4"/>
  <c r="P1099" i="4"/>
  <c r="O1095" i="4"/>
  <c r="P1095" i="4"/>
  <c r="O1091" i="4"/>
  <c r="P1091" i="4"/>
  <c r="O1087" i="4"/>
  <c r="P1087" i="4"/>
  <c r="O1083" i="4"/>
  <c r="P1083" i="4"/>
  <c r="O1079" i="4"/>
  <c r="P1079" i="4"/>
  <c r="O1075" i="4"/>
  <c r="P1075" i="4"/>
  <c r="O1071" i="4"/>
  <c r="P1071" i="4"/>
  <c r="O1063" i="4"/>
  <c r="P1063" i="4"/>
  <c r="O1059" i="4"/>
  <c r="P1059" i="4"/>
  <c r="O1055" i="4"/>
  <c r="P1055" i="4"/>
  <c r="O1051" i="4"/>
  <c r="P1051" i="4"/>
  <c r="O1047" i="4"/>
  <c r="P1047" i="4"/>
  <c r="O1043" i="4"/>
  <c r="P1043" i="4"/>
  <c r="O1039" i="4"/>
  <c r="P1039" i="4"/>
  <c r="O1035" i="4"/>
  <c r="P1035" i="4"/>
  <c r="O1031" i="4"/>
  <c r="P1031" i="4"/>
  <c r="O1027" i="4"/>
  <c r="P1027" i="4"/>
  <c r="O1023" i="4"/>
  <c r="P1023" i="4"/>
  <c r="O1019" i="4"/>
  <c r="P1019" i="4"/>
  <c r="O1015" i="4"/>
  <c r="P1015" i="4"/>
  <c r="O1011" i="4"/>
  <c r="P1011" i="4"/>
  <c r="O1007" i="4"/>
  <c r="P1007" i="4"/>
  <c r="O999" i="4"/>
  <c r="P999" i="4"/>
  <c r="O995" i="4"/>
  <c r="P995" i="4"/>
  <c r="O991" i="4"/>
  <c r="P991" i="4"/>
  <c r="O987" i="4"/>
  <c r="P987" i="4"/>
  <c r="O983" i="4"/>
  <c r="P983" i="4"/>
  <c r="O979" i="4"/>
  <c r="P979" i="4"/>
  <c r="O975" i="4"/>
  <c r="P975" i="4"/>
  <c r="O971" i="4"/>
  <c r="P971" i="4"/>
  <c r="O967" i="4"/>
  <c r="P967" i="4"/>
  <c r="O963" i="4"/>
  <c r="P963" i="4"/>
  <c r="O959" i="4"/>
  <c r="P959" i="4"/>
  <c r="O955" i="4"/>
  <c r="P955" i="4"/>
  <c r="O951" i="4"/>
  <c r="P951" i="4"/>
  <c r="O947" i="4"/>
  <c r="P947" i="4"/>
  <c r="O943" i="4"/>
  <c r="P943" i="4"/>
  <c r="O935" i="4"/>
  <c r="P935" i="4"/>
  <c r="O931" i="4"/>
  <c r="P931" i="4"/>
  <c r="O927" i="4"/>
  <c r="P927" i="4"/>
  <c r="O923" i="4"/>
  <c r="P923" i="4"/>
  <c r="O919" i="4"/>
  <c r="P919" i="4"/>
  <c r="O915" i="4"/>
  <c r="P915" i="4"/>
  <c r="O911" i="4"/>
  <c r="P911" i="4"/>
  <c r="O907" i="4"/>
  <c r="P907" i="4"/>
  <c r="O903" i="4"/>
  <c r="P903" i="4"/>
  <c r="O899" i="4"/>
  <c r="P899" i="4"/>
  <c r="O895" i="4"/>
  <c r="P895" i="4"/>
  <c r="O891" i="4"/>
  <c r="P891" i="4"/>
  <c r="O887" i="4"/>
  <c r="P887" i="4"/>
  <c r="O883" i="4"/>
  <c r="P883" i="4"/>
  <c r="O879" i="4"/>
  <c r="P879" i="4"/>
  <c r="O875" i="4"/>
  <c r="P875" i="4"/>
  <c r="O871" i="4"/>
  <c r="P871" i="4"/>
  <c r="O867" i="4"/>
  <c r="P867" i="4"/>
  <c r="O863" i="4"/>
  <c r="P863" i="4"/>
  <c r="O859" i="4"/>
  <c r="P859" i="4"/>
  <c r="O855" i="4"/>
  <c r="P855" i="4"/>
  <c r="O851" i="4"/>
  <c r="P851" i="4"/>
  <c r="O847" i="4"/>
  <c r="P847" i="4"/>
  <c r="O843" i="4"/>
  <c r="P843" i="4"/>
  <c r="O839" i="4"/>
  <c r="P839" i="4"/>
  <c r="O835" i="4"/>
  <c r="P835" i="4"/>
  <c r="O831" i="4"/>
  <c r="P831" i="4"/>
  <c r="O827" i="4"/>
  <c r="P827" i="4"/>
  <c r="O823" i="4"/>
  <c r="P823" i="4"/>
  <c r="O819" i="4"/>
  <c r="P819" i="4"/>
  <c r="O815" i="4"/>
  <c r="P815" i="4"/>
  <c r="O811" i="4"/>
  <c r="P811" i="4"/>
  <c r="O807" i="4"/>
  <c r="P807" i="4"/>
  <c r="O803" i="4"/>
  <c r="P803" i="4"/>
  <c r="O799" i="4"/>
  <c r="P799" i="4"/>
  <c r="O795" i="4"/>
  <c r="P795" i="4"/>
  <c r="O791" i="4"/>
  <c r="P791" i="4"/>
  <c r="O787" i="4"/>
  <c r="P787" i="4"/>
  <c r="O783" i="4"/>
  <c r="P783" i="4"/>
  <c r="O779" i="4"/>
  <c r="P779" i="4"/>
  <c r="O775" i="4"/>
  <c r="P775" i="4"/>
  <c r="O771" i="4"/>
  <c r="P771" i="4"/>
  <c r="O767" i="4"/>
  <c r="P767" i="4"/>
  <c r="O763" i="4"/>
  <c r="P763" i="4"/>
  <c r="O759" i="4"/>
  <c r="P759" i="4"/>
  <c r="O755" i="4"/>
  <c r="P755" i="4"/>
  <c r="O751" i="4"/>
  <c r="P751" i="4"/>
  <c r="O747" i="4"/>
  <c r="P747" i="4"/>
  <c r="O743" i="4"/>
  <c r="P743" i="4"/>
  <c r="O739" i="4"/>
  <c r="P739" i="4"/>
  <c r="O735" i="4"/>
  <c r="P735" i="4"/>
  <c r="O731" i="4"/>
  <c r="P731" i="4"/>
  <c r="O727" i="4"/>
  <c r="P727" i="4"/>
  <c r="O723" i="4"/>
  <c r="P723" i="4"/>
  <c r="O719" i="4"/>
  <c r="P719" i="4"/>
  <c r="O715" i="4"/>
  <c r="P715" i="4"/>
  <c r="O711" i="4"/>
  <c r="P711" i="4"/>
  <c r="O707" i="4"/>
  <c r="P707" i="4"/>
  <c r="O703" i="4"/>
  <c r="P703" i="4"/>
  <c r="O699" i="4"/>
  <c r="P699" i="4"/>
  <c r="O695" i="4"/>
  <c r="P695" i="4"/>
  <c r="O691" i="4"/>
  <c r="P691" i="4"/>
  <c r="O687" i="4"/>
  <c r="P687" i="4"/>
  <c r="O683" i="4"/>
  <c r="P683" i="4"/>
  <c r="O679" i="4"/>
  <c r="P679" i="4"/>
  <c r="O675" i="4"/>
  <c r="P675" i="4"/>
  <c r="O671" i="4"/>
  <c r="P671" i="4"/>
  <c r="O667" i="4"/>
  <c r="P667" i="4"/>
  <c r="O663" i="4"/>
  <c r="P663" i="4"/>
  <c r="O659" i="4"/>
  <c r="P659" i="4"/>
  <c r="O655" i="4"/>
  <c r="P655" i="4"/>
  <c r="O651" i="4"/>
  <c r="P651" i="4"/>
  <c r="O647" i="4"/>
  <c r="P647" i="4"/>
  <c r="O643" i="4"/>
  <c r="P643" i="4"/>
  <c r="O639" i="4"/>
  <c r="P639" i="4"/>
  <c r="O635" i="4"/>
  <c r="P635" i="4"/>
  <c r="O631" i="4"/>
  <c r="P631" i="4"/>
  <c r="O627" i="4"/>
  <c r="P627" i="4"/>
  <c r="O623" i="4"/>
  <c r="P623" i="4"/>
  <c r="O619" i="4"/>
  <c r="P619" i="4"/>
  <c r="O615" i="4"/>
  <c r="P615" i="4"/>
  <c r="O611" i="4"/>
  <c r="P611" i="4"/>
  <c r="O607" i="4"/>
  <c r="P607" i="4"/>
  <c r="O603" i="4"/>
  <c r="P603" i="4"/>
  <c r="O599" i="4"/>
  <c r="P599" i="4"/>
  <c r="O595" i="4"/>
  <c r="P595" i="4"/>
  <c r="O591" i="4"/>
  <c r="P591" i="4"/>
  <c r="O587" i="4"/>
  <c r="P587" i="4"/>
  <c r="O583" i="4"/>
  <c r="P583" i="4"/>
  <c r="O579" i="4"/>
  <c r="P579" i="4"/>
  <c r="O575" i="4"/>
  <c r="P575" i="4"/>
  <c r="O571" i="4"/>
  <c r="P571" i="4"/>
  <c r="O567" i="4"/>
  <c r="P567" i="4"/>
  <c r="O563" i="4"/>
  <c r="P563" i="4"/>
  <c r="O559" i="4"/>
  <c r="P559" i="4"/>
  <c r="O555" i="4"/>
  <c r="P555" i="4"/>
  <c r="O551" i="4"/>
  <c r="P551" i="4"/>
  <c r="O547" i="4"/>
  <c r="P547" i="4"/>
  <c r="O543" i="4"/>
  <c r="P543" i="4"/>
  <c r="O539" i="4"/>
  <c r="P539" i="4"/>
  <c r="O535" i="4"/>
  <c r="P535" i="4"/>
  <c r="O531" i="4"/>
  <c r="P531" i="4"/>
  <c r="O527" i="4"/>
  <c r="P527" i="4"/>
  <c r="O523" i="4"/>
  <c r="P523" i="4"/>
  <c r="O519" i="4"/>
  <c r="P519" i="4"/>
  <c r="O515" i="4"/>
  <c r="P515" i="4"/>
  <c r="O511" i="4"/>
  <c r="P511" i="4"/>
  <c r="O507" i="4"/>
  <c r="P507" i="4"/>
  <c r="O503" i="4"/>
  <c r="P503" i="4"/>
  <c r="O499" i="4"/>
  <c r="P499" i="4"/>
  <c r="O495" i="4"/>
  <c r="P495" i="4"/>
  <c r="O491" i="4"/>
  <c r="P491" i="4"/>
  <c r="O487" i="4"/>
  <c r="P487" i="4"/>
  <c r="O483" i="4"/>
  <c r="P483" i="4"/>
  <c r="O479" i="4"/>
  <c r="P479" i="4"/>
  <c r="O475" i="4"/>
  <c r="P475" i="4"/>
  <c r="O471" i="4"/>
  <c r="P471" i="4"/>
  <c r="O467" i="4"/>
  <c r="P467" i="4"/>
  <c r="O463" i="4"/>
  <c r="P463" i="4"/>
  <c r="O459" i="4"/>
  <c r="P459" i="4"/>
  <c r="O455" i="4"/>
  <c r="P455" i="4"/>
  <c r="O451" i="4"/>
  <c r="P451" i="4"/>
  <c r="O447" i="4"/>
  <c r="P447" i="4"/>
  <c r="O443" i="4"/>
  <c r="P443" i="4"/>
  <c r="O439" i="4"/>
  <c r="P439" i="4"/>
  <c r="O435" i="4"/>
  <c r="P435" i="4"/>
  <c r="O431" i="4"/>
  <c r="P431" i="4"/>
  <c r="O427" i="4"/>
  <c r="P427" i="4"/>
  <c r="O423" i="4"/>
  <c r="P423" i="4"/>
  <c r="O419" i="4"/>
  <c r="P419" i="4"/>
  <c r="O415" i="4"/>
  <c r="P415" i="4"/>
  <c r="O411" i="4"/>
  <c r="P411" i="4"/>
  <c r="O407" i="4"/>
  <c r="P407" i="4"/>
  <c r="O403" i="4"/>
  <c r="P403" i="4"/>
  <c r="O399" i="4"/>
  <c r="P399" i="4"/>
  <c r="O395" i="4"/>
  <c r="P395" i="4"/>
  <c r="O391" i="4"/>
  <c r="P391" i="4"/>
  <c r="O387" i="4"/>
  <c r="P387" i="4"/>
  <c r="O383" i="4"/>
  <c r="P383" i="4"/>
  <c r="O379" i="4"/>
  <c r="P379" i="4"/>
  <c r="O375" i="4"/>
  <c r="P375" i="4"/>
  <c r="O371" i="4"/>
  <c r="P371" i="4"/>
  <c r="O367" i="4"/>
  <c r="P367" i="4"/>
  <c r="O363" i="4"/>
  <c r="P363" i="4"/>
  <c r="O359" i="4"/>
  <c r="P359" i="4"/>
  <c r="O355" i="4"/>
  <c r="P355" i="4"/>
  <c r="O351" i="4"/>
  <c r="P351" i="4"/>
  <c r="O347" i="4"/>
  <c r="P347" i="4"/>
  <c r="O343" i="4"/>
  <c r="P343" i="4"/>
  <c r="O339" i="4"/>
  <c r="P339" i="4"/>
  <c r="O335" i="4"/>
  <c r="P335" i="4"/>
  <c r="O331" i="4"/>
  <c r="P331" i="4"/>
  <c r="O327" i="4"/>
  <c r="P327" i="4"/>
  <c r="O323" i="4"/>
  <c r="P323" i="4"/>
  <c r="O319" i="4"/>
  <c r="P319" i="4"/>
  <c r="O315" i="4"/>
  <c r="P315" i="4"/>
  <c r="O311" i="4"/>
  <c r="P311" i="4"/>
  <c r="O307" i="4"/>
  <c r="P307" i="4"/>
  <c r="O303" i="4"/>
  <c r="P303" i="4"/>
  <c r="O299" i="4"/>
  <c r="P299" i="4"/>
  <c r="O295" i="4"/>
  <c r="P295" i="4"/>
  <c r="O291" i="4"/>
  <c r="P291" i="4"/>
  <c r="O287" i="4"/>
  <c r="P287" i="4"/>
  <c r="O283" i="4"/>
  <c r="P283" i="4"/>
  <c r="O279" i="4"/>
  <c r="P279" i="4"/>
  <c r="O275" i="4"/>
  <c r="P275" i="4"/>
  <c r="O271" i="4"/>
  <c r="P271" i="4"/>
  <c r="O267" i="4"/>
  <c r="P267" i="4"/>
  <c r="O263" i="4"/>
  <c r="P263" i="4"/>
  <c r="O259" i="4"/>
  <c r="P259" i="4"/>
  <c r="O255" i="4"/>
  <c r="P255" i="4"/>
  <c r="O251" i="4"/>
  <c r="P251" i="4"/>
  <c r="O247" i="4"/>
  <c r="P247" i="4"/>
  <c r="O243" i="4"/>
  <c r="P243" i="4"/>
  <c r="O239" i="4"/>
  <c r="P239" i="4"/>
  <c r="O235" i="4"/>
  <c r="P235" i="4"/>
  <c r="O231" i="4"/>
  <c r="P231" i="4"/>
  <c r="O227" i="4"/>
  <c r="P227" i="4"/>
  <c r="O223" i="4"/>
  <c r="P223" i="4"/>
  <c r="O219" i="4"/>
  <c r="P219" i="4"/>
  <c r="O215" i="4"/>
  <c r="P215" i="4"/>
  <c r="O211" i="4"/>
  <c r="P211" i="4"/>
  <c r="O207" i="4"/>
  <c r="P207" i="4"/>
  <c r="O203" i="4"/>
  <c r="P203" i="4"/>
  <c r="O199" i="4"/>
  <c r="P199" i="4"/>
  <c r="O195" i="4"/>
  <c r="P195" i="4"/>
  <c r="O191" i="4"/>
  <c r="P191" i="4"/>
  <c r="O187" i="4"/>
  <c r="P187" i="4"/>
  <c r="O183" i="4"/>
  <c r="P183" i="4"/>
  <c r="O179" i="4"/>
  <c r="P179" i="4"/>
  <c r="O175" i="4"/>
  <c r="P175" i="4"/>
  <c r="O171" i="4"/>
  <c r="P171" i="4"/>
  <c r="O167" i="4"/>
  <c r="P167" i="4"/>
  <c r="O163" i="4"/>
  <c r="P163" i="4"/>
  <c r="O159" i="4"/>
  <c r="P159" i="4"/>
  <c r="O155" i="4"/>
  <c r="P155" i="4"/>
  <c r="O151" i="4"/>
  <c r="P151" i="4"/>
  <c r="O147" i="4"/>
  <c r="P147" i="4"/>
  <c r="O143" i="4"/>
  <c r="P143" i="4"/>
  <c r="O139" i="4"/>
  <c r="P139" i="4"/>
  <c r="O135" i="4"/>
  <c r="P135" i="4"/>
  <c r="O131" i="4"/>
  <c r="P131" i="4"/>
  <c r="O127" i="4"/>
  <c r="P127" i="4"/>
  <c r="O123" i="4"/>
  <c r="P123" i="4"/>
  <c r="O119" i="4"/>
  <c r="P119" i="4"/>
  <c r="O115" i="4"/>
  <c r="P115" i="4"/>
  <c r="O111" i="4"/>
  <c r="P111" i="4"/>
  <c r="O107" i="4"/>
  <c r="P107" i="4"/>
  <c r="O103" i="4"/>
  <c r="P103" i="4"/>
  <c r="O99" i="4"/>
  <c r="P99" i="4"/>
  <c r="O95" i="4"/>
  <c r="P95" i="4"/>
  <c r="O91" i="4"/>
  <c r="P91" i="4"/>
  <c r="O87" i="4"/>
  <c r="P87" i="4"/>
  <c r="O83" i="4"/>
  <c r="P83" i="4"/>
  <c r="O79" i="4"/>
  <c r="P79" i="4"/>
  <c r="O75" i="4"/>
  <c r="P75" i="4"/>
  <c r="O71" i="4"/>
  <c r="P71" i="4"/>
  <c r="O67" i="4"/>
  <c r="P67" i="4"/>
  <c r="O63" i="4"/>
  <c r="P63" i="4"/>
  <c r="O59" i="4"/>
  <c r="P59" i="4"/>
  <c r="O55" i="4"/>
  <c r="P55" i="4"/>
  <c r="O51" i="4"/>
  <c r="P51" i="4"/>
  <c r="O47" i="4"/>
  <c r="P47" i="4"/>
  <c r="O43" i="4"/>
  <c r="P43" i="4"/>
  <c r="O39" i="4"/>
  <c r="P39" i="4"/>
  <c r="O35" i="4"/>
  <c r="P35" i="4"/>
  <c r="O31" i="4"/>
  <c r="P31" i="4"/>
  <c r="O27" i="4"/>
  <c r="P27" i="4"/>
  <c r="O23" i="4"/>
  <c r="P23" i="4"/>
  <c r="O19" i="4"/>
  <c r="P19" i="4"/>
  <c r="O15" i="4"/>
  <c r="P15" i="4"/>
  <c r="O11" i="4"/>
  <c r="P11" i="4"/>
  <c r="O7" i="4"/>
  <c r="P7" i="4"/>
  <c r="O1855" i="4"/>
  <c r="P2590" i="4"/>
  <c r="P2579" i="4"/>
  <c r="P2558" i="4"/>
  <c r="P2542" i="4"/>
  <c r="P1527" i="4"/>
  <c r="P1323" i="4"/>
  <c r="P1067" i="4"/>
  <c r="O3050" i="4"/>
  <c r="P3050" i="4"/>
  <c r="O3046" i="4"/>
  <c r="P3046" i="4"/>
  <c r="O3042" i="4"/>
  <c r="P3042" i="4"/>
  <c r="O3038" i="4"/>
  <c r="P3038" i="4"/>
  <c r="O3034" i="4"/>
  <c r="P3034" i="4"/>
  <c r="O3030" i="4"/>
  <c r="P3030" i="4"/>
  <c r="O3026" i="4"/>
  <c r="P3026" i="4"/>
  <c r="O3022" i="4"/>
  <c r="P3022" i="4"/>
  <c r="O3018" i="4"/>
  <c r="P3018" i="4"/>
  <c r="O3014" i="4"/>
  <c r="P3014" i="4"/>
  <c r="O3010" i="4"/>
  <c r="P3010" i="4"/>
  <c r="O3006" i="4"/>
  <c r="P3006" i="4"/>
  <c r="O3002" i="4"/>
  <c r="P3002" i="4"/>
  <c r="O2998" i="4"/>
  <c r="P2998" i="4"/>
  <c r="O2994" i="4"/>
  <c r="P2994" i="4"/>
  <c r="O2990" i="4"/>
  <c r="P2990" i="4"/>
  <c r="O2986" i="4"/>
  <c r="P2986" i="4"/>
  <c r="O2982" i="4"/>
  <c r="P2982" i="4"/>
  <c r="O2978" i="4"/>
  <c r="P2978" i="4"/>
  <c r="O2974" i="4"/>
  <c r="P2974" i="4"/>
  <c r="O2970" i="4"/>
  <c r="P2970" i="4"/>
  <c r="O2966" i="4"/>
  <c r="P2966" i="4"/>
  <c r="O2962" i="4"/>
  <c r="P2962" i="4"/>
  <c r="O2958" i="4"/>
  <c r="P2958" i="4"/>
  <c r="O2954" i="4"/>
  <c r="P2954" i="4"/>
  <c r="O2950" i="4"/>
  <c r="P2950" i="4"/>
  <c r="O2946" i="4"/>
  <c r="P2946" i="4"/>
  <c r="O2942" i="4"/>
  <c r="P2942" i="4"/>
  <c r="O2938" i="4"/>
  <c r="P2938" i="4"/>
  <c r="O2934" i="4"/>
  <c r="P2934" i="4"/>
  <c r="O2930" i="4"/>
  <c r="P2930" i="4"/>
  <c r="O2926" i="4"/>
  <c r="P2926" i="4"/>
  <c r="O2922" i="4"/>
  <c r="P2922" i="4"/>
  <c r="O2918" i="4"/>
  <c r="P2918" i="4"/>
  <c r="O2914" i="4"/>
  <c r="P2914" i="4"/>
  <c r="O2910" i="4"/>
  <c r="P2910" i="4"/>
  <c r="O2906" i="4"/>
  <c r="P2906" i="4"/>
  <c r="O2902" i="4"/>
  <c r="P2902" i="4"/>
  <c r="O2898" i="4"/>
  <c r="P2898" i="4"/>
  <c r="O2894" i="4"/>
  <c r="P2894" i="4"/>
  <c r="O2890" i="4"/>
  <c r="P2890" i="4"/>
  <c r="O2886" i="4"/>
  <c r="P2886" i="4"/>
  <c r="O2882" i="4"/>
  <c r="P2882" i="4"/>
  <c r="O2878" i="4"/>
  <c r="P2878" i="4"/>
  <c r="O2874" i="4"/>
  <c r="P2874" i="4"/>
  <c r="O2870" i="4"/>
  <c r="P2870" i="4"/>
  <c r="O2866" i="4"/>
  <c r="P2866" i="4"/>
  <c r="O2862" i="4"/>
  <c r="P2862" i="4"/>
  <c r="O2858" i="4"/>
  <c r="P2858" i="4"/>
  <c r="O2854" i="4"/>
  <c r="P2854" i="4"/>
  <c r="O2850" i="4"/>
  <c r="P2850" i="4"/>
  <c r="O2846" i="4"/>
  <c r="P2846" i="4"/>
  <c r="O2842" i="4"/>
  <c r="P2842" i="4"/>
  <c r="O2838" i="4"/>
  <c r="P2838" i="4"/>
  <c r="O2834" i="4"/>
  <c r="P2834" i="4"/>
  <c r="O2830" i="4"/>
  <c r="P2830" i="4"/>
  <c r="O2826" i="4"/>
  <c r="P2826" i="4"/>
  <c r="O2822" i="4"/>
  <c r="P2822" i="4"/>
  <c r="O2818" i="4"/>
  <c r="P2818" i="4"/>
  <c r="O2814" i="4"/>
  <c r="P2814" i="4"/>
  <c r="O2810" i="4"/>
  <c r="P2810" i="4"/>
  <c r="O2806" i="4"/>
  <c r="P2806" i="4"/>
  <c r="O2802" i="4"/>
  <c r="P2802" i="4"/>
  <c r="O2798" i="4"/>
  <c r="P2798" i="4"/>
  <c r="O2794" i="4"/>
  <c r="P2794" i="4"/>
  <c r="O2790" i="4"/>
  <c r="P2790" i="4"/>
  <c r="O2786" i="4"/>
  <c r="P2786" i="4"/>
  <c r="O2782" i="4"/>
  <c r="P2782" i="4"/>
  <c r="O2778" i="4"/>
  <c r="P2778" i="4"/>
  <c r="O2774" i="4"/>
  <c r="P2774" i="4"/>
  <c r="O2770" i="4"/>
  <c r="P2770" i="4"/>
  <c r="O2766" i="4"/>
  <c r="P2766" i="4"/>
  <c r="O2762" i="4"/>
  <c r="P2762" i="4"/>
  <c r="O2758" i="4"/>
  <c r="P2758" i="4"/>
  <c r="O2754" i="4"/>
  <c r="P2754" i="4"/>
  <c r="O2750" i="4"/>
  <c r="P2750" i="4"/>
  <c r="O2746" i="4"/>
  <c r="P2746" i="4"/>
  <c r="O2742" i="4"/>
  <c r="P2742" i="4"/>
  <c r="O2738" i="4"/>
  <c r="P2738" i="4"/>
  <c r="O2734" i="4"/>
  <c r="P2734" i="4"/>
  <c r="O2730" i="4"/>
  <c r="P2730" i="4"/>
  <c r="O2726" i="4"/>
  <c r="P2726" i="4"/>
  <c r="O2722" i="4"/>
  <c r="P2722" i="4"/>
  <c r="O2718" i="4"/>
  <c r="P2718" i="4"/>
  <c r="O2714" i="4"/>
  <c r="P2714" i="4"/>
  <c r="O2710" i="4"/>
  <c r="P2710" i="4"/>
  <c r="O2706" i="4"/>
  <c r="P2706" i="4"/>
  <c r="O2702" i="4"/>
  <c r="P2702" i="4"/>
  <c r="O2698" i="4"/>
  <c r="P2698" i="4"/>
  <c r="O2694" i="4"/>
  <c r="P2694" i="4"/>
  <c r="O2690" i="4"/>
  <c r="P2690" i="4"/>
  <c r="O2686" i="4"/>
  <c r="P2686" i="4"/>
  <c r="O2682" i="4"/>
  <c r="P2682" i="4"/>
  <c r="O2678" i="4"/>
  <c r="P2678" i="4"/>
  <c r="O2674" i="4"/>
  <c r="P2674" i="4"/>
  <c r="O2670" i="4"/>
  <c r="P2670" i="4"/>
  <c r="O2666" i="4"/>
  <c r="P2666" i="4"/>
  <c r="O2662" i="4"/>
  <c r="P2662" i="4"/>
  <c r="O2658" i="4"/>
  <c r="P2658" i="4"/>
  <c r="O2654" i="4"/>
  <c r="P2654" i="4"/>
  <c r="O2650" i="4"/>
  <c r="P2650" i="4"/>
  <c r="O2646" i="4"/>
  <c r="P2646" i="4"/>
  <c r="O2642" i="4"/>
  <c r="P2642" i="4"/>
  <c r="O2638" i="4"/>
  <c r="P2638" i="4"/>
  <c r="O2634" i="4"/>
  <c r="P2634" i="4"/>
  <c r="O2630" i="4"/>
  <c r="P2630" i="4"/>
  <c r="O2626" i="4"/>
  <c r="P2626" i="4"/>
  <c r="O2622" i="4"/>
  <c r="P2622" i="4"/>
  <c r="O2618" i="4"/>
  <c r="P2618" i="4"/>
  <c r="O2614" i="4"/>
  <c r="P2614" i="4"/>
  <c r="O2610" i="4"/>
  <c r="P2610" i="4"/>
  <c r="O2606" i="4"/>
  <c r="P2606" i="4"/>
  <c r="O2602" i="4"/>
  <c r="P2602" i="4"/>
  <c r="O2594" i="4"/>
  <c r="P2594" i="4"/>
  <c r="O2586" i="4"/>
  <c r="P2586" i="4"/>
  <c r="O2578" i="4"/>
  <c r="P2578" i="4"/>
  <c r="O2570" i="4"/>
  <c r="P2570" i="4"/>
  <c r="O2562" i="4"/>
  <c r="P2562" i="4"/>
  <c r="O2554" i="4"/>
  <c r="P2554" i="4"/>
  <c r="O2550" i="4"/>
  <c r="P2550" i="4"/>
  <c r="O2546" i="4"/>
  <c r="P2546" i="4"/>
  <c r="O2538" i="4"/>
  <c r="P2538" i="4"/>
  <c r="O2534" i="4"/>
  <c r="P2534" i="4"/>
  <c r="O2530" i="4"/>
  <c r="P2530" i="4"/>
  <c r="O2526" i="4"/>
  <c r="P2526" i="4"/>
  <c r="O2522" i="4"/>
  <c r="P2522" i="4"/>
  <c r="O2518" i="4"/>
  <c r="P2518" i="4"/>
  <c r="O2514" i="4"/>
  <c r="P2514" i="4"/>
  <c r="O2510" i="4"/>
  <c r="P2510" i="4"/>
  <c r="O2506" i="4"/>
  <c r="P2506" i="4"/>
  <c r="O2502" i="4"/>
  <c r="P2502" i="4"/>
  <c r="O2498" i="4"/>
  <c r="P2498" i="4"/>
  <c r="O2494" i="4"/>
  <c r="P2494" i="4"/>
  <c r="O2490" i="4"/>
  <c r="P2490" i="4"/>
  <c r="O2486" i="4"/>
  <c r="P2486" i="4"/>
  <c r="O2482" i="4"/>
  <c r="P2482" i="4"/>
  <c r="O2478" i="4"/>
  <c r="P2478" i="4"/>
  <c r="O2474" i="4"/>
  <c r="P2474" i="4"/>
  <c r="O2470" i="4"/>
  <c r="P2470" i="4"/>
  <c r="O2466" i="4"/>
  <c r="P2466" i="4"/>
  <c r="O2462" i="4"/>
  <c r="P2462" i="4"/>
  <c r="O2458" i="4"/>
  <c r="P2458" i="4"/>
  <c r="O2454" i="4"/>
  <c r="P2454" i="4"/>
  <c r="O2450" i="4"/>
  <c r="P2450" i="4"/>
  <c r="O2446" i="4"/>
  <c r="P2446" i="4"/>
  <c r="O2442" i="4"/>
  <c r="P2442" i="4"/>
  <c r="O2438" i="4"/>
  <c r="P2438" i="4"/>
  <c r="O2434" i="4"/>
  <c r="P2434" i="4"/>
  <c r="O2430" i="4"/>
  <c r="P2430" i="4"/>
  <c r="O2426" i="4"/>
  <c r="P2426" i="4"/>
  <c r="O2422" i="4"/>
  <c r="P2422" i="4"/>
  <c r="O2418" i="4"/>
  <c r="P2418" i="4"/>
  <c r="O2414" i="4"/>
  <c r="P2414" i="4"/>
  <c r="O2410" i="4"/>
  <c r="P2410" i="4"/>
  <c r="O2406" i="4"/>
  <c r="P2406" i="4"/>
  <c r="O2402" i="4"/>
  <c r="P2402" i="4"/>
  <c r="O2398" i="4"/>
  <c r="P2398" i="4"/>
  <c r="O2394" i="4"/>
  <c r="P2394" i="4"/>
  <c r="O2390" i="4"/>
  <c r="P2390" i="4"/>
  <c r="O2386" i="4"/>
  <c r="P2386" i="4"/>
  <c r="O2382" i="4"/>
  <c r="P2382" i="4"/>
  <c r="O2378" i="4"/>
  <c r="P2378" i="4"/>
  <c r="O2374" i="4"/>
  <c r="P2374" i="4"/>
  <c r="O2370" i="4"/>
  <c r="P2370" i="4"/>
  <c r="O2366" i="4"/>
  <c r="P2366" i="4"/>
  <c r="O2362" i="4"/>
  <c r="P2362" i="4"/>
  <c r="O2358" i="4"/>
  <c r="P2358" i="4"/>
  <c r="O2354" i="4"/>
  <c r="P2354" i="4"/>
  <c r="O2350" i="4"/>
  <c r="P2350" i="4"/>
  <c r="O2346" i="4"/>
  <c r="P2346" i="4"/>
  <c r="O2342" i="4"/>
  <c r="P2342" i="4"/>
  <c r="O2338" i="4"/>
  <c r="P2338" i="4"/>
  <c r="O2334" i="4"/>
  <c r="P2334" i="4"/>
  <c r="O2330" i="4"/>
  <c r="P2330" i="4"/>
  <c r="O2326" i="4"/>
  <c r="P2326" i="4"/>
  <c r="O2322" i="4"/>
  <c r="P2322" i="4"/>
  <c r="O2318" i="4"/>
  <c r="P2318" i="4"/>
  <c r="O2314" i="4"/>
  <c r="P2314" i="4"/>
  <c r="O2310" i="4"/>
  <c r="P2310" i="4"/>
  <c r="O2306" i="4"/>
  <c r="P2306" i="4"/>
  <c r="O2302" i="4"/>
  <c r="P2302" i="4"/>
  <c r="O2298" i="4"/>
  <c r="P2298" i="4"/>
  <c r="O2294" i="4"/>
  <c r="P2294" i="4"/>
  <c r="O2290" i="4"/>
  <c r="P2290" i="4"/>
  <c r="O2286" i="4"/>
  <c r="P2286" i="4"/>
  <c r="O2282" i="4"/>
  <c r="P2282" i="4"/>
  <c r="O2278" i="4"/>
  <c r="P2278" i="4"/>
  <c r="O2274" i="4"/>
  <c r="P2274" i="4"/>
  <c r="O2270" i="4"/>
  <c r="P2270" i="4"/>
  <c r="O2266" i="4"/>
  <c r="P2266" i="4"/>
  <c r="O2262" i="4"/>
  <c r="P2262" i="4"/>
  <c r="O2258" i="4"/>
  <c r="P2258" i="4"/>
  <c r="O2254" i="4"/>
  <c r="P2254" i="4"/>
  <c r="O2250" i="4"/>
  <c r="P2250" i="4"/>
  <c r="O2246" i="4"/>
  <c r="P2246" i="4"/>
  <c r="O2242" i="4"/>
  <c r="P2242" i="4"/>
  <c r="O2238" i="4"/>
  <c r="P2238" i="4"/>
  <c r="O2234" i="4"/>
  <c r="P2234" i="4"/>
  <c r="O2230" i="4"/>
  <c r="P2230" i="4"/>
  <c r="O2226" i="4"/>
  <c r="P2226" i="4"/>
  <c r="O2222" i="4"/>
  <c r="P2222" i="4"/>
  <c r="O2218" i="4"/>
  <c r="P2218" i="4"/>
  <c r="O2214" i="4"/>
  <c r="P2214" i="4"/>
  <c r="O2210" i="4"/>
  <c r="P2210" i="4"/>
  <c r="O2206" i="4"/>
  <c r="P2206" i="4"/>
  <c r="O2202" i="4"/>
  <c r="P2202" i="4"/>
  <c r="O2198" i="4"/>
  <c r="P2198" i="4"/>
  <c r="O2194" i="4"/>
  <c r="P2194" i="4"/>
  <c r="O2190" i="4"/>
  <c r="P2190" i="4"/>
  <c r="O2186" i="4"/>
  <c r="P2186" i="4"/>
  <c r="O2182" i="4"/>
  <c r="P2182" i="4"/>
  <c r="O2178" i="4"/>
  <c r="P2178" i="4"/>
  <c r="O2174" i="4"/>
  <c r="P2174" i="4"/>
  <c r="O2170" i="4"/>
  <c r="P2170" i="4"/>
  <c r="O2166" i="4"/>
  <c r="P2166" i="4"/>
  <c r="O2162" i="4"/>
  <c r="P2162" i="4"/>
  <c r="O2158" i="4"/>
  <c r="P2158" i="4"/>
  <c r="O2154" i="4"/>
  <c r="P2154" i="4"/>
  <c r="O2150" i="4"/>
  <c r="P2150" i="4"/>
  <c r="O2146" i="4"/>
  <c r="P2146" i="4"/>
  <c r="O2142" i="4"/>
  <c r="P2142" i="4"/>
  <c r="O2138" i="4"/>
  <c r="P2138" i="4"/>
  <c r="O2134" i="4"/>
  <c r="P2134" i="4"/>
  <c r="O2130" i="4"/>
  <c r="P2130" i="4"/>
  <c r="O2126" i="4"/>
  <c r="P2126" i="4"/>
  <c r="O2122" i="4"/>
  <c r="P2122" i="4"/>
  <c r="O2118" i="4"/>
  <c r="P2118" i="4"/>
  <c r="O2114" i="4"/>
  <c r="P2114" i="4"/>
  <c r="O2110" i="4"/>
  <c r="P2110" i="4"/>
  <c r="O2106" i="4"/>
  <c r="P2106" i="4"/>
  <c r="O2102" i="4"/>
  <c r="P2102" i="4"/>
  <c r="O2098" i="4"/>
  <c r="P2098" i="4"/>
  <c r="O2094" i="4"/>
  <c r="P2094" i="4"/>
  <c r="O2090" i="4"/>
  <c r="P2090" i="4"/>
  <c r="O2086" i="4"/>
  <c r="P2086" i="4"/>
  <c r="O2082" i="4"/>
  <c r="P2082" i="4"/>
  <c r="O2078" i="4"/>
  <c r="P2078" i="4"/>
  <c r="O2074" i="4"/>
  <c r="P2074" i="4"/>
  <c r="O2070" i="4"/>
  <c r="P2070" i="4"/>
  <c r="O2066" i="4"/>
  <c r="P2066" i="4"/>
  <c r="O2062" i="4"/>
  <c r="P2062" i="4"/>
  <c r="O2058" i="4"/>
  <c r="P2058" i="4"/>
  <c r="O2054" i="4"/>
  <c r="P2054" i="4"/>
  <c r="O2050" i="4"/>
  <c r="P2050" i="4"/>
  <c r="O2046" i="4"/>
  <c r="P2046" i="4"/>
  <c r="O2042" i="4"/>
  <c r="P2042" i="4"/>
  <c r="O2038" i="4"/>
  <c r="P2038" i="4"/>
  <c r="O2034" i="4"/>
  <c r="P2034" i="4"/>
  <c r="O2030" i="4"/>
  <c r="P2030" i="4"/>
  <c r="O2026" i="4"/>
  <c r="P2026" i="4"/>
  <c r="O2022" i="4"/>
  <c r="P2022" i="4"/>
  <c r="O2018" i="4"/>
  <c r="P2018" i="4"/>
  <c r="O2014" i="4"/>
  <c r="P2014" i="4"/>
  <c r="O2010" i="4"/>
  <c r="P2010" i="4"/>
  <c r="O2006" i="4"/>
  <c r="P2006" i="4"/>
  <c r="O2002" i="4"/>
  <c r="P2002" i="4"/>
  <c r="O1998" i="4"/>
  <c r="P1998" i="4"/>
  <c r="O1994" i="4"/>
  <c r="P1994" i="4"/>
  <c r="O1990" i="4"/>
  <c r="P1990" i="4"/>
  <c r="O1986" i="4"/>
  <c r="P1986" i="4"/>
  <c r="O1982" i="4"/>
  <c r="P1982" i="4"/>
  <c r="O1978" i="4"/>
  <c r="P1978" i="4"/>
  <c r="O1974" i="4"/>
  <c r="P1974" i="4"/>
  <c r="O1970" i="4"/>
  <c r="P1970" i="4"/>
  <c r="O1966" i="4"/>
  <c r="P1966" i="4"/>
  <c r="O1962" i="4"/>
  <c r="P1962" i="4"/>
  <c r="O1958" i="4"/>
  <c r="P1958" i="4"/>
  <c r="O1954" i="4"/>
  <c r="P1954" i="4"/>
  <c r="O1950" i="4"/>
  <c r="P1950" i="4"/>
  <c r="O1946" i="4"/>
  <c r="P1946" i="4"/>
  <c r="O1942" i="4"/>
  <c r="P1942" i="4"/>
  <c r="O1938" i="4"/>
  <c r="P1938" i="4"/>
  <c r="O1934" i="4"/>
  <c r="P1934" i="4"/>
  <c r="O1930" i="4"/>
  <c r="P1930" i="4"/>
  <c r="O1926" i="4"/>
  <c r="P1926" i="4"/>
  <c r="O1922" i="4"/>
  <c r="P1922" i="4"/>
  <c r="O1918" i="4"/>
  <c r="P1918" i="4"/>
  <c r="O1914" i="4"/>
  <c r="P1914" i="4"/>
  <c r="O1910" i="4"/>
  <c r="P1910" i="4"/>
  <c r="O1906" i="4"/>
  <c r="P1906" i="4"/>
  <c r="O1902" i="4"/>
  <c r="P1902" i="4"/>
  <c r="O1898" i="4"/>
  <c r="P1898" i="4"/>
  <c r="O1894" i="4"/>
  <c r="P1894" i="4"/>
  <c r="O1890" i="4"/>
  <c r="P1890" i="4"/>
  <c r="O1886" i="4"/>
  <c r="P1886" i="4"/>
  <c r="O1882" i="4"/>
  <c r="P1882" i="4"/>
  <c r="O1878" i="4"/>
  <c r="P1878" i="4"/>
  <c r="O1874" i="4"/>
  <c r="P1874" i="4"/>
  <c r="O1870" i="4"/>
  <c r="P1870" i="4"/>
  <c r="O1866" i="4"/>
  <c r="P1866" i="4"/>
  <c r="O1862" i="4"/>
  <c r="P1862" i="4"/>
  <c r="O1858" i="4"/>
  <c r="P1858" i="4"/>
  <c r="O1854" i="4"/>
  <c r="P1854" i="4"/>
  <c r="O1850" i="4"/>
  <c r="P1850" i="4"/>
  <c r="O1846" i="4"/>
  <c r="P1846" i="4"/>
  <c r="O1842" i="4"/>
  <c r="P1842" i="4"/>
  <c r="O1838" i="4"/>
  <c r="P1838" i="4"/>
  <c r="O1834" i="4"/>
  <c r="P1834" i="4"/>
  <c r="O1830" i="4"/>
  <c r="P1830" i="4"/>
  <c r="O1826" i="4"/>
  <c r="P1826" i="4"/>
  <c r="O1822" i="4"/>
  <c r="P1822" i="4"/>
  <c r="O1818" i="4"/>
  <c r="P1818" i="4"/>
  <c r="O1814" i="4"/>
  <c r="P1814" i="4"/>
  <c r="O1810" i="4"/>
  <c r="P1810" i="4"/>
  <c r="O1806" i="4"/>
  <c r="P1806" i="4"/>
  <c r="O1802" i="4"/>
  <c r="P1802" i="4"/>
  <c r="O1798" i="4"/>
  <c r="P1798" i="4"/>
  <c r="O1794" i="4"/>
  <c r="P1794" i="4"/>
  <c r="O1790" i="4"/>
  <c r="P1790" i="4"/>
  <c r="O1786" i="4"/>
  <c r="P1786" i="4"/>
  <c r="O1782" i="4"/>
  <c r="P1782" i="4"/>
  <c r="O1778" i="4"/>
  <c r="P1778" i="4"/>
  <c r="O1774" i="4"/>
  <c r="P1774" i="4"/>
  <c r="O1770" i="4"/>
  <c r="P1770" i="4"/>
  <c r="O1766" i="4"/>
  <c r="P1766" i="4"/>
  <c r="O1762" i="4"/>
  <c r="P1762" i="4"/>
  <c r="O1758" i="4"/>
  <c r="P1758" i="4"/>
  <c r="O1754" i="4"/>
  <c r="P1754" i="4"/>
  <c r="O1750" i="4"/>
  <c r="P1750" i="4"/>
  <c r="O1746" i="4"/>
  <c r="P1746" i="4"/>
  <c r="O1742" i="4"/>
  <c r="P1742" i="4"/>
  <c r="O1738" i="4"/>
  <c r="P1738" i="4"/>
  <c r="O1734" i="4"/>
  <c r="P1734" i="4"/>
  <c r="O1730" i="4"/>
  <c r="P1730" i="4"/>
  <c r="O1726" i="4"/>
  <c r="P1726" i="4"/>
  <c r="O1722" i="4"/>
  <c r="P1722" i="4"/>
  <c r="O1718" i="4"/>
  <c r="P1718" i="4"/>
  <c r="O1714" i="4"/>
  <c r="P1714" i="4"/>
  <c r="O1710" i="4"/>
  <c r="P1710" i="4"/>
  <c r="O1706" i="4"/>
  <c r="P1706" i="4"/>
  <c r="O1702" i="4"/>
  <c r="P1702" i="4"/>
  <c r="O1698" i="4"/>
  <c r="P1698" i="4"/>
  <c r="O1694" i="4"/>
  <c r="P1694" i="4"/>
  <c r="O1690" i="4"/>
  <c r="P1690" i="4"/>
  <c r="O1686" i="4"/>
  <c r="P1686" i="4"/>
  <c r="O1682" i="4"/>
  <c r="P1682" i="4"/>
  <c r="O1678" i="4"/>
  <c r="P1678" i="4"/>
  <c r="O1674" i="4"/>
  <c r="P1674" i="4"/>
  <c r="O1670" i="4"/>
  <c r="P1670" i="4"/>
  <c r="O1666" i="4"/>
  <c r="P1666" i="4"/>
  <c r="O1662" i="4"/>
  <c r="P1662" i="4"/>
  <c r="O1658" i="4"/>
  <c r="P1658" i="4"/>
  <c r="O1654" i="4"/>
  <c r="P1654" i="4"/>
  <c r="O1650" i="4"/>
  <c r="P1650" i="4"/>
  <c r="O1646" i="4"/>
  <c r="P1646" i="4"/>
  <c r="O1642" i="4"/>
  <c r="P1642" i="4"/>
  <c r="O1638" i="4"/>
  <c r="P1638" i="4"/>
  <c r="O1634" i="4"/>
  <c r="P1634" i="4"/>
  <c r="O1630" i="4"/>
  <c r="P1630" i="4"/>
  <c r="O1626" i="4"/>
  <c r="P1626" i="4"/>
  <c r="O1622" i="4"/>
  <c r="P1622" i="4"/>
  <c r="O1618" i="4"/>
  <c r="P1618" i="4"/>
  <c r="O1614" i="4"/>
  <c r="P1614" i="4"/>
  <c r="O1610" i="4"/>
  <c r="P1610" i="4"/>
  <c r="O1606" i="4"/>
  <c r="P1606" i="4"/>
  <c r="O1602" i="4"/>
  <c r="P1602" i="4"/>
  <c r="O1598" i="4"/>
  <c r="P1598" i="4"/>
  <c r="O1594" i="4"/>
  <c r="P1594" i="4"/>
  <c r="O1590" i="4"/>
  <c r="P1590" i="4"/>
  <c r="O1586" i="4"/>
  <c r="P1586" i="4"/>
  <c r="O1582" i="4"/>
  <c r="P1582" i="4"/>
  <c r="O1578" i="4"/>
  <c r="P1578" i="4"/>
  <c r="O1574" i="4"/>
  <c r="P1574" i="4"/>
  <c r="O1570" i="4"/>
  <c r="P1570" i="4"/>
  <c r="O1566" i="4"/>
  <c r="P1566" i="4"/>
  <c r="O1562" i="4"/>
  <c r="P1562" i="4"/>
  <c r="O1558" i="4"/>
  <c r="P1558" i="4"/>
  <c r="O1554" i="4"/>
  <c r="P1554" i="4"/>
  <c r="O1550" i="4"/>
  <c r="P1550" i="4"/>
  <c r="O1546" i="4"/>
  <c r="P1546" i="4"/>
  <c r="O1542" i="4"/>
  <c r="P1542" i="4"/>
  <c r="O1538" i="4"/>
  <c r="P1538" i="4"/>
  <c r="O1534" i="4"/>
  <c r="P1534" i="4"/>
  <c r="O1530" i="4"/>
  <c r="P1530" i="4"/>
  <c r="O1526" i="4"/>
  <c r="P1526" i="4"/>
  <c r="O1522" i="4"/>
  <c r="P1522" i="4"/>
  <c r="O1518" i="4"/>
  <c r="P1518" i="4"/>
  <c r="O1514" i="4"/>
  <c r="P1514" i="4"/>
  <c r="O1510" i="4"/>
  <c r="P1510" i="4"/>
  <c r="O1506" i="4"/>
  <c r="P1506" i="4"/>
  <c r="O1502" i="4"/>
  <c r="P1502" i="4"/>
  <c r="O1498" i="4"/>
  <c r="P1498" i="4"/>
  <c r="O1494" i="4"/>
  <c r="P1494" i="4"/>
  <c r="O1490" i="4"/>
  <c r="P1490" i="4"/>
  <c r="O1486" i="4"/>
  <c r="P1486" i="4"/>
  <c r="O1482" i="4"/>
  <c r="P1482" i="4"/>
  <c r="O1478" i="4"/>
  <c r="P1478" i="4"/>
  <c r="O1474" i="4"/>
  <c r="P1474" i="4"/>
  <c r="O1466" i="4"/>
  <c r="P1466" i="4"/>
  <c r="O1462" i="4"/>
  <c r="P1462" i="4"/>
  <c r="O1458" i="4"/>
  <c r="P1458" i="4"/>
  <c r="O1454" i="4"/>
  <c r="P1454" i="4"/>
  <c r="O1450" i="4"/>
  <c r="P1450" i="4"/>
  <c r="O1446" i="4"/>
  <c r="P1446" i="4"/>
  <c r="O1442" i="4"/>
  <c r="P1442" i="4"/>
  <c r="O1438" i="4"/>
  <c r="P1438" i="4"/>
  <c r="O1434" i="4"/>
  <c r="P1434" i="4"/>
  <c r="O1430" i="4"/>
  <c r="P1430" i="4"/>
  <c r="O1426" i="4"/>
  <c r="P1426" i="4"/>
  <c r="O1422" i="4"/>
  <c r="P1422" i="4"/>
  <c r="O1418" i="4"/>
  <c r="P1418" i="4"/>
  <c r="O1414" i="4"/>
  <c r="P1414" i="4"/>
  <c r="O1410" i="4"/>
  <c r="P1410" i="4"/>
  <c r="O1402" i="4"/>
  <c r="P1402" i="4"/>
  <c r="O1398" i="4"/>
  <c r="P1398" i="4"/>
  <c r="O1394" i="4"/>
  <c r="P1394" i="4"/>
  <c r="O1390" i="4"/>
  <c r="P1390" i="4"/>
  <c r="O1386" i="4"/>
  <c r="P1386" i="4"/>
  <c r="O1382" i="4"/>
  <c r="P1382" i="4"/>
  <c r="O1378" i="4"/>
  <c r="P1378" i="4"/>
  <c r="O1374" i="4"/>
  <c r="P1374" i="4"/>
  <c r="O1370" i="4"/>
  <c r="P1370" i="4"/>
  <c r="O1366" i="4"/>
  <c r="P1366" i="4"/>
  <c r="O1362" i="4"/>
  <c r="P1362" i="4"/>
  <c r="O1358" i="4"/>
  <c r="P1358" i="4"/>
  <c r="O1354" i="4"/>
  <c r="P1354" i="4"/>
  <c r="O1350" i="4"/>
  <c r="P1350" i="4"/>
  <c r="O1346" i="4"/>
  <c r="P1346" i="4"/>
  <c r="O1342" i="4"/>
  <c r="P1342" i="4"/>
  <c r="O1338" i="4"/>
  <c r="P1338" i="4"/>
  <c r="O1334" i="4"/>
  <c r="P1334" i="4"/>
  <c r="O1330" i="4"/>
  <c r="P1330" i="4"/>
  <c r="O1326" i="4"/>
  <c r="P1326" i="4"/>
  <c r="O1322" i="4"/>
  <c r="P1322" i="4"/>
  <c r="O1318" i="4"/>
  <c r="P1318" i="4"/>
  <c r="O1314" i="4"/>
  <c r="P1314" i="4"/>
  <c r="O1310" i="4"/>
  <c r="P1310" i="4"/>
  <c r="O1306" i="4"/>
  <c r="P1306" i="4"/>
  <c r="O1302" i="4"/>
  <c r="P1302" i="4"/>
  <c r="O1298" i="4"/>
  <c r="P1298" i="4"/>
  <c r="O1294" i="4"/>
  <c r="P1294" i="4"/>
  <c r="O1290" i="4"/>
  <c r="P1290" i="4"/>
  <c r="O1286" i="4"/>
  <c r="P1286" i="4"/>
  <c r="O1282" i="4"/>
  <c r="P1282" i="4"/>
  <c r="O1278" i="4"/>
  <c r="P1278" i="4"/>
  <c r="O1274" i="4"/>
  <c r="P1274" i="4"/>
  <c r="O1270" i="4"/>
  <c r="P1270" i="4"/>
  <c r="O1266" i="4"/>
  <c r="P1266" i="4"/>
  <c r="O1262" i="4"/>
  <c r="P1262" i="4"/>
  <c r="O1258" i="4"/>
  <c r="P1258" i="4"/>
  <c r="O1254" i="4"/>
  <c r="P1254" i="4"/>
  <c r="O1250" i="4"/>
  <c r="P1250" i="4"/>
  <c r="O1246" i="4"/>
  <c r="P1246" i="4"/>
  <c r="O1242" i="4"/>
  <c r="P1242" i="4"/>
  <c r="O1238" i="4"/>
  <c r="P1238" i="4"/>
  <c r="O1234" i="4"/>
  <c r="P1234" i="4"/>
  <c r="O1230" i="4"/>
  <c r="P1230" i="4"/>
  <c r="O1226" i="4"/>
  <c r="P1226" i="4"/>
  <c r="O1222" i="4"/>
  <c r="P1222" i="4"/>
  <c r="O1218" i="4"/>
  <c r="P1218" i="4"/>
  <c r="O1214" i="4"/>
  <c r="P1214" i="4"/>
  <c r="O1210" i="4"/>
  <c r="P1210" i="4"/>
  <c r="O1206" i="4"/>
  <c r="P1206" i="4"/>
  <c r="O1202" i="4"/>
  <c r="P1202" i="4"/>
  <c r="O1198" i="4"/>
  <c r="P1198" i="4"/>
  <c r="O1194" i="4"/>
  <c r="P1194" i="4"/>
  <c r="O1190" i="4"/>
  <c r="P1190" i="4"/>
  <c r="O1186" i="4"/>
  <c r="P1186" i="4"/>
  <c r="O1182" i="4"/>
  <c r="P1182" i="4"/>
  <c r="O1178" i="4"/>
  <c r="P1178" i="4"/>
  <c r="O1174" i="4"/>
  <c r="P1174" i="4"/>
  <c r="O1170" i="4"/>
  <c r="P1170" i="4"/>
  <c r="O1166" i="4"/>
  <c r="P1166" i="4"/>
  <c r="O1162" i="4"/>
  <c r="P1162" i="4"/>
  <c r="O1158" i="4"/>
  <c r="P1158" i="4"/>
  <c r="O1154" i="4"/>
  <c r="P1154" i="4"/>
  <c r="O1150" i="4"/>
  <c r="P1150" i="4"/>
  <c r="O1146" i="4"/>
  <c r="P1146" i="4"/>
  <c r="O1142" i="4"/>
  <c r="P1142" i="4"/>
  <c r="O1138" i="4"/>
  <c r="P1138" i="4"/>
  <c r="O1134" i="4"/>
  <c r="P1134" i="4"/>
  <c r="O1130" i="4"/>
  <c r="P1130" i="4"/>
  <c r="O1126" i="4"/>
  <c r="P1126" i="4"/>
  <c r="O1122" i="4"/>
  <c r="P1122" i="4"/>
  <c r="O1118" i="4"/>
  <c r="P1118" i="4"/>
  <c r="O1114" i="4"/>
  <c r="P1114" i="4"/>
  <c r="O1110" i="4"/>
  <c r="P1110" i="4"/>
  <c r="O1106" i="4"/>
  <c r="P1106" i="4"/>
  <c r="O1102" i="4"/>
  <c r="P1102" i="4"/>
  <c r="O1098" i="4"/>
  <c r="P1098" i="4"/>
  <c r="O1094" i="4"/>
  <c r="P1094" i="4"/>
  <c r="O1090" i="4"/>
  <c r="P1090" i="4"/>
  <c r="O1086" i="4"/>
  <c r="P1086" i="4"/>
  <c r="O1082" i="4"/>
  <c r="P1082" i="4"/>
  <c r="O1078" i="4"/>
  <c r="P1078" i="4"/>
  <c r="O1074" i="4"/>
  <c r="P1074" i="4"/>
  <c r="O1070" i="4"/>
  <c r="P1070" i="4"/>
  <c r="O1066" i="4"/>
  <c r="P1066" i="4"/>
  <c r="O1062" i="4"/>
  <c r="P1062" i="4"/>
  <c r="O1058" i="4"/>
  <c r="P1058" i="4"/>
  <c r="O1054" i="4"/>
  <c r="P1054" i="4"/>
  <c r="O1050" i="4"/>
  <c r="P1050" i="4"/>
  <c r="O1046" i="4"/>
  <c r="P1046" i="4"/>
  <c r="O1042" i="4"/>
  <c r="P1042" i="4"/>
  <c r="O1038" i="4"/>
  <c r="P1038" i="4"/>
  <c r="O1034" i="4"/>
  <c r="P1034" i="4"/>
  <c r="O1030" i="4"/>
  <c r="P1030" i="4"/>
  <c r="O1026" i="4"/>
  <c r="P1026" i="4"/>
  <c r="O1022" i="4"/>
  <c r="P1022" i="4"/>
  <c r="O1018" i="4"/>
  <c r="P1018" i="4"/>
  <c r="O1014" i="4"/>
  <c r="P1014" i="4"/>
  <c r="O1010" i="4"/>
  <c r="P1010" i="4"/>
  <c r="O1006" i="4"/>
  <c r="P1006" i="4"/>
  <c r="O1002" i="4"/>
  <c r="P1002" i="4"/>
  <c r="O998" i="4"/>
  <c r="P998" i="4"/>
  <c r="O994" i="4"/>
  <c r="P994" i="4"/>
  <c r="O990" i="4"/>
  <c r="P990" i="4"/>
  <c r="O986" i="4"/>
  <c r="P986" i="4"/>
  <c r="O982" i="4"/>
  <c r="P982" i="4"/>
  <c r="O978" i="4"/>
  <c r="P978" i="4"/>
  <c r="O974" i="4"/>
  <c r="P974" i="4"/>
  <c r="O970" i="4"/>
  <c r="P970" i="4"/>
  <c r="O966" i="4"/>
  <c r="P966" i="4"/>
  <c r="O962" i="4"/>
  <c r="P962" i="4"/>
  <c r="O958" i="4"/>
  <c r="P958" i="4"/>
  <c r="O954" i="4"/>
  <c r="P954" i="4"/>
  <c r="O950" i="4"/>
  <c r="P950" i="4"/>
  <c r="O946" i="4"/>
  <c r="P946" i="4"/>
  <c r="O942" i="4"/>
  <c r="P942" i="4"/>
  <c r="O938" i="4"/>
  <c r="P938" i="4"/>
  <c r="O934" i="4"/>
  <c r="P934" i="4"/>
  <c r="O930" i="4"/>
  <c r="P930" i="4"/>
  <c r="O926" i="4"/>
  <c r="P926" i="4"/>
  <c r="O922" i="4"/>
  <c r="P922" i="4"/>
  <c r="O918" i="4"/>
  <c r="P918" i="4"/>
  <c r="O914" i="4"/>
  <c r="P914" i="4"/>
  <c r="O910" i="4"/>
  <c r="P910" i="4"/>
  <c r="O906" i="4"/>
  <c r="P906" i="4"/>
  <c r="O902" i="4"/>
  <c r="P902" i="4"/>
  <c r="O898" i="4"/>
  <c r="P898" i="4"/>
  <c r="O894" i="4"/>
  <c r="P894" i="4"/>
  <c r="O890" i="4"/>
  <c r="P890" i="4"/>
  <c r="O886" i="4"/>
  <c r="P886" i="4"/>
  <c r="O882" i="4"/>
  <c r="P882" i="4"/>
  <c r="O878" i="4"/>
  <c r="P878" i="4"/>
  <c r="O874" i="4"/>
  <c r="P874" i="4"/>
  <c r="O870" i="4"/>
  <c r="P870" i="4"/>
  <c r="O866" i="4"/>
  <c r="P866" i="4"/>
  <c r="O862" i="4"/>
  <c r="P862" i="4"/>
  <c r="O858" i="4"/>
  <c r="P858" i="4"/>
  <c r="O854" i="4"/>
  <c r="P854" i="4"/>
  <c r="O850" i="4"/>
  <c r="P850" i="4"/>
  <c r="O846" i="4"/>
  <c r="P846" i="4"/>
  <c r="O842" i="4"/>
  <c r="P842" i="4"/>
  <c r="O838" i="4"/>
  <c r="P838" i="4"/>
  <c r="O834" i="4"/>
  <c r="P834" i="4"/>
  <c r="O830" i="4"/>
  <c r="P830" i="4"/>
  <c r="O826" i="4"/>
  <c r="P826" i="4"/>
  <c r="O822" i="4"/>
  <c r="P822" i="4"/>
  <c r="O818" i="4"/>
  <c r="P818" i="4"/>
  <c r="O814" i="4"/>
  <c r="P814" i="4"/>
  <c r="O810" i="4"/>
  <c r="P810" i="4"/>
  <c r="O806" i="4"/>
  <c r="P806" i="4"/>
  <c r="O802" i="4"/>
  <c r="P802" i="4"/>
  <c r="O798" i="4"/>
  <c r="P798" i="4"/>
  <c r="O794" i="4"/>
  <c r="P794" i="4"/>
  <c r="O790" i="4"/>
  <c r="P790" i="4"/>
  <c r="O786" i="4"/>
  <c r="P786" i="4"/>
  <c r="O782" i="4"/>
  <c r="P782" i="4"/>
  <c r="O778" i="4"/>
  <c r="P778" i="4"/>
  <c r="O774" i="4"/>
  <c r="P774" i="4"/>
  <c r="O770" i="4"/>
  <c r="P770" i="4"/>
  <c r="O766" i="4"/>
  <c r="P766" i="4"/>
  <c r="O762" i="4"/>
  <c r="P762" i="4"/>
  <c r="O758" i="4"/>
  <c r="P758" i="4"/>
  <c r="O754" i="4"/>
  <c r="P754" i="4"/>
  <c r="O750" i="4"/>
  <c r="P750" i="4"/>
  <c r="O746" i="4"/>
  <c r="P746" i="4"/>
  <c r="O742" i="4"/>
  <c r="P742" i="4"/>
  <c r="O738" i="4"/>
  <c r="P738" i="4"/>
  <c r="O734" i="4"/>
  <c r="P734" i="4"/>
  <c r="O730" i="4"/>
  <c r="P730" i="4"/>
  <c r="O726" i="4"/>
  <c r="P726" i="4"/>
  <c r="O722" i="4"/>
  <c r="P722" i="4"/>
  <c r="O718" i="4"/>
  <c r="P718" i="4"/>
  <c r="O714" i="4"/>
  <c r="P714" i="4"/>
  <c r="O710" i="4"/>
  <c r="P710" i="4"/>
  <c r="O706" i="4"/>
  <c r="P706" i="4"/>
  <c r="O702" i="4"/>
  <c r="P702" i="4"/>
  <c r="O698" i="4"/>
  <c r="P698" i="4"/>
  <c r="O694" i="4"/>
  <c r="P694" i="4"/>
  <c r="O690" i="4"/>
  <c r="P690" i="4"/>
  <c r="O686" i="4"/>
  <c r="P686" i="4"/>
  <c r="O682" i="4"/>
  <c r="P682" i="4"/>
  <c r="O678" i="4"/>
  <c r="P678" i="4"/>
  <c r="O674" i="4"/>
  <c r="P674" i="4"/>
  <c r="O670" i="4"/>
  <c r="P670" i="4"/>
  <c r="O666" i="4"/>
  <c r="P666" i="4"/>
  <c r="O662" i="4"/>
  <c r="P662" i="4"/>
  <c r="O658" i="4"/>
  <c r="P658" i="4"/>
  <c r="O654" i="4"/>
  <c r="P654" i="4"/>
  <c r="O650" i="4"/>
  <c r="P650" i="4"/>
  <c r="O646" i="4"/>
  <c r="P646" i="4"/>
  <c r="O642" i="4"/>
  <c r="P642" i="4"/>
  <c r="O638" i="4"/>
  <c r="P638" i="4"/>
  <c r="O634" i="4"/>
  <c r="P634" i="4"/>
  <c r="O630" i="4"/>
  <c r="P630" i="4"/>
  <c r="O626" i="4"/>
  <c r="P626" i="4"/>
  <c r="O622" i="4"/>
  <c r="P622" i="4"/>
  <c r="O618" i="4"/>
  <c r="P618" i="4"/>
  <c r="O614" i="4"/>
  <c r="P614" i="4"/>
  <c r="O610" i="4"/>
  <c r="P610" i="4"/>
  <c r="O606" i="4"/>
  <c r="P606" i="4"/>
  <c r="O602" i="4"/>
  <c r="P602" i="4"/>
  <c r="O598" i="4"/>
  <c r="P598" i="4"/>
  <c r="O594" i="4"/>
  <c r="P594" i="4"/>
  <c r="O590" i="4"/>
  <c r="P590" i="4"/>
  <c r="O586" i="4"/>
  <c r="P586" i="4"/>
  <c r="O582" i="4"/>
  <c r="P582" i="4"/>
  <c r="O578" i="4"/>
  <c r="P578" i="4"/>
  <c r="O574" i="4"/>
  <c r="P574" i="4"/>
  <c r="O570" i="4"/>
  <c r="P570" i="4"/>
  <c r="O566" i="4"/>
  <c r="P566" i="4"/>
  <c r="O562" i="4"/>
  <c r="P562" i="4"/>
  <c r="O558" i="4"/>
  <c r="P558" i="4"/>
  <c r="O554" i="4"/>
  <c r="P554" i="4"/>
  <c r="O550" i="4"/>
  <c r="P550" i="4"/>
  <c r="O546" i="4"/>
  <c r="P546" i="4"/>
  <c r="O542" i="4"/>
  <c r="P542" i="4"/>
  <c r="O538" i="4"/>
  <c r="P538" i="4"/>
  <c r="O534" i="4"/>
  <c r="P534" i="4"/>
  <c r="O530" i="4"/>
  <c r="P530" i="4"/>
  <c r="O526" i="4"/>
  <c r="P526" i="4"/>
  <c r="O522" i="4"/>
  <c r="P522" i="4"/>
  <c r="O518" i="4"/>
  <c r="P518" i="4"/>
  <c r="O510" i="4"/>
  <c r="P510" i="4"/>
  <c r="O506" i="4"/>
  <c r="P506" i="4"/>
  <c r="O502" i="4"/>
  <c r="P502" i="4"/>
  <c r="O498" i="4"/>
  <c r="P498" i="4"/>
  <c r="O494" i="4"/>
  <c r="P494" i="4"/>
  <c r="O490" i="4"/>
  <c r="P490" i="4"/>
  <c r="O486" i="4"/>
  <c r="P486" i="4"/>
  <c r="O482" i="4"/>
  <c r="P482" i="4"/>
  <c r="O478" i="4"/>
  <c r="P478" i="4"/>
  <c r="O474" i="4"/>
  <c r="P474" i="4"/>
  <c r="O470" i="4"/>
  <c r="P470" i="4"/>
  <c r="O466" i="4"/>
  <c r="P466" i="4"/>
  <c r="O462" i="4"/>
  <c r="P462" i="4"/>
  <c r="O458" i="4"/>
  <c r="P458" i="4"/>
  <c r="O454" i="4"/>
  <c r="P454" i="4"/>
  <c r="O450" i="4"/>
  <c r="P450" i="4"/>
  <c r="O446" i="4"/>
  <c r="P446" i="4"/>
  <c r="O442" i="4"/>
  <c r="P442" i="4"/>
  <c r="O438" i="4"/>
  <c r="P438" i="4"/>
  <c r="O434" i="4"/>
  <c r="P434" i="4"/>
  <c r="O430" i="4"/>
  <c r="P430" i="4"/>
  <c r="O426" i="4"/>
  <c r="P426" i="4"/>
  <c r="O422" i="4"/>
  <c r="P422" i="4"/>
  <c r="O418" i="4"/>
  <c r="P418" i="4"/>
  <c r="O414" i="4"/>
  <c r="P414" i="4"/>
  <c r="O410" i="4"/>
  <c r="P410" i="4"/>
  <c r="O406" i="4"/>
  <c r="P406" i="4"/>
  <c r="O402" i="4"/>
  <c r="P402" i="4"/>
  <c r="O398" i="4"/>
  <c r="P398" i="4"/>
  <c r="O394" i="4"/>
  <c r="P394" i="4"/>
  <c r="O390" i="4"/>
  <c r="P390" i="4"/>
  <c r="O386" i="4"/>
  <c r="P386" i="4"/>
  <c r="O382" i="4"/>
  <c r="P382" i="4"/>
  <c r="O378" i="4"/>
  <c r="P378" i="4"/>
  <c r="O374" i="4"/>
  <c r="P374" i="4"/>
  <c r="O370" i="4"/>
  <c r="P370" i="4"/>
  <c r="O366" i="4"/>
  <c r="P366" i="4"/>
  <c r="O362" i="4"/>
  <c r="P362" i="4"/>
  <c r="O358" i="4"/>
  <c r="P358" i="4"/>
  <c r="O354" i="4"/>
  <c r="P354" i="4"/>
  <c r="O350" i="4"/>
  <c r="P350" i="4"/>
  <c r="O346" i="4"/>
  <c r="P346" i="4"/>
  <c r="O342" i="4"/>
  <c r="P342" i="4"/>
  <c r="O338" i="4"/>
  <c r="P338" i="4"/>
  <c r="O334" i="4"/>
  <c r="P334" i="4"/>
  <c r="O330" i="4"/>
  <c r="P330" i="4"/>
  <c r="O326" i="4"/>
  <c r="P326" i="4"/>
  <c r="O322" i="4"/>
  <c r="P322" i="4"/>
  <c r="O318" i="4"/>
  <c r="P318" i="4"/>
  <c r="O314" i="4"/>
  <c r="P314" i="4"/>
  <c r="O310" i="4"/>
  <c r="P310" i="4"/>
  <c r="O306" i="4"/>
  <c r="P306" i="4"/>
  <c r="O302" i="4"/>
  <c r="P302" i="4"/>
  <c r="O298" i="4"/>
  <c r="P298" i="4"/>
  <c r="O294" i="4"/>
  <c r="P294" i="4"/>
  <c r="O290" i="4"/>
  <c r="P290" i="4"/>
  <c r="O286" i="4"/>
  <c r="P286" i="4"/>
  <c r="O282" i="4"/>
  <c r="P282" i="4"/>
  <c r="O278" i="4"/>
  <c r="P278" i="4"/>
  <c r="O274" i="4"/>
  <c r="P274" i="4"/>
  <c r="O270" i="4"/>
  <c r="P270" i="4"/>
  <c r="O266" i="4"/>
  <c r="P266" i="4"/>
  <c r="O262" i="4"/>
  <c r="P262" i="4"/>
  <c r="O258" i="4"/>
  <c r="P258" i="4"/>
  <c r="O254" i="4"/>
  <c r="P254" i="4"/>
  <c r="O250" i="4"/>
  <c r="P250" i="4"/>
  <c r="O246" i="4"/>
  <c r="P246" i="4"/>
  <c r="O242" i="4"/>
  <c r="P242" i="4"/>
  <c r="O238" i="4"/>
  <c r="P238" i="4"/>
  <c r="O234" i="4"/>
  <c r="P234" i="4"/>
  <c r="O230" i="4"/>
  <c r="P230" i="4"/>
  <c r="O226" i="4"/>
  <c r="P226" i="4"/>
  <c r="O222" i="4"/>
  <c r="P222" i="4"/>
  <c r="O218" i="4"/>
  <c r="P218" i="4"/>
  <c r="O214" i="4"/>
  <c r="P214" i="4"/>
  <c r="O210" i="4"/>
  <c r="P210" i="4"/>
  <c r="O206" i="4"/>
  <c r="P206" i="4"/>
  <c r="O202" i="4"/>
  <c r="P202" i="4"/>
  <c r="O198" i="4"/>
  <c r="P198" i="4"/>
  <c r="O194" i="4"/>
  <c r="P194" i="4"/>
  <c r="O190" i="4"/>
  <c r="P190" i="4"/>
  <c r="O186" i="4"/>
  <c r="P186" i="4"/>
  <c r="O182" i="4"/>
  <c r="P182" i="4"/>
  <c r="O178" i="4"/>
  <c r="P178" i="4"/>
  <c r="O174" i="4"/>
  <c r="P174" i="4"/>
  <c r="O170" i="4"/>
  <c r="P170" i="4"/>
  <c r="O166" i="4"/>
  <c r="P166" i="4"/>
  <c r="O162" i="4"/>
  <c r="P162" i="4"/>
  <c r="O158" i="4"/>
  <c r="P158" i="4"/>
  <c r="O154" i="4"/>
  <c r="P154" i="4"/>
  <c r="O150" i="4"/>
  <c r="P150" i="4"/>
  <c r="O146" i="4"/>
  <c r="P146" i="4"/>
  <c r="P3" i="4"/>
  <c r="P3295" i="4"/>
  <c r="P3287" i="4"/>
  <c r="P3279" i="4"/>
  <c r="P3271" i="4"/>
  <c r="P3263" i="4"/>
  <c r="P3255" i="4"/>
  <c r="P3247" i="4"/>
  <c r="P3239" i="4"/>
  <c r="P3231" i="4"/>
  <c r="P3223" i="4"/>
  <c r="P3215" i="4"/>
  <c r="P3207" i="4"/>
  <c r="P3199" i="4"/>
  <c r="P3191" i="4"/>
  <c r="P3183" i="4"/>
  <c r="P3175" i="4"/>
  <c r="P3167" i="4"/>
  <c r="P3159" i="4"/>
  <c r="P3151" i="4"/>
  <c r="P3143" i="4"/>
  <c r="P3135" i="4"/>
  <c r="P3127" i="4"/>
  <c r="P3119" i="4"/>
  <c r="P3111" i="4"/>
  <c r="P3103" i="4"/>
  <c r="P3095" i="4"/>
  <c r="P3087" i="4"/>
  <c r="P3079" i="4"/>
  <c r="P3071" i="4"/>
  <c r="P3063" i="4"/>
  <c r="P3055" i="4"/>
  <c r="P3047" i="4"/>
  <c r="P3039" i="4"/>
  <c r="P3031" i="4"/>
  <c r="P3023" i="4"/>
  <c r="P3015" i="4"/>
  <c r="P3007" i="4"/>
  <c r="P2999" i="4"/>
  <c r="P2991" i="4"/>
  <c r="P2983" i="4"/>
  <c r="P2975" i="4"/>
  <c r="P2967" i="4"/>
  <c r="P2959" i="4"/>
  <c r="P2951" i="4"/>
  <c r="P2943" i="4"/>
  <c r="P2935" i="4"/>
  <c r="P2927" i="4"/>
  <c r="P2919" i="4"/>
  <c r="P2911" i="4"/>
  <c r="P2903" i="4"/>
  <c r="P2895" i="4"/>
  <c r="P2887" i="4"/>
  <c r="P2879" i="4"/>
  <c r="P2871" i="4"/>
  <c r="P2863" i="4"/>
  <c r="P2855" i="4"/>
  <c r="P2847" i="4"/>
  <c r="P2839" i="4"/>
  <c r="P2831" i="4"/>
  <c r="P2823" i="4"/>
  <c r="P2815" i="4"/>
  <c r="P2807" i="4"/>
  <c r="P2799" i="4"/>
  <c r="P2791" i="4"/>
  <c r="P2783" i="4"/>
  <c r="P2775" i="4"/>
  <c r="P2767" i="4"/>
  <c r="P2759" i="4"/>
  <c r="P2751" i="4"/>
  <c r="P2743" i="4"/>
  <c r="P2735" i="4"/>
  <c r="P2727" i="4"/>
  <c r="P2719" i="4"/>
  <c r="P2711" i="4"/>
  <c r="P2703" i="4"/>
  <c r="P2695" i="4"/>
  <c r="P2687" i="4"/>
  <c r="P2679" i="4"/>
  <c r="P2671" i="4"/>
  <c r="P2663" i="4"/>
  <c r="P2655" i="4"/>
  <c r="P2647" i="4"/>
  <c r="P2639" i="4"/>
  <c r="P2631" i="4"/>
  <c r="P2623" i="4"/>
  <c r="P2615" i="4"/>
  <c r="P2607" i="4"/>
  <c r="P2598" i="4"/>
  <c r="P2587" i="4"/>
  <c r="P2566" i="4"/>
  <c r="P2555" i="4"/>
  <c r="P1575" i="4"/>
  <c r="P1511" i="4"/>
  <c r="P1427" i="4"/>
  <c r="P1259" i="4"/>
  <c r="P1003" i="4"/>
  <c r="P514" i="4"/>
  <c r="O142" i="4"/>
  <c r="P142" i="4"/>
  <c r="O138" i="4"/>
  <c r="P138" i="4"/>
  <c r="O134" i="4"/>
  <c r="P134" i="4"/>
  <c r="O130" i="4"/>
  <c r="P130" i="4"/>
  <c r="O126" i="4"/>
  <c r="P126" i="4"/>
  <c r="O122" i="4"/>
  <c r="P122" i="4"/>
  <c r="O118" i="4"/>
  <c r="P118" i="4"/>
  <c r="O114" i="4"/>
  <c r="P114" i="4"/>
  <c r="O110" i="4"/>
  <c r="P110" i="4"/>
  <c r="O106" i="4"/>
  <c r="P106" i="4"/>
  <c r="O102" i="4"/>
  <c r="P102" i="4"/>
  <c r="O98" i="4"/>
  <c r="P98" i="4"/>
  <c r="O94" i="4"/>
  <c r="P94" i="4"/>
  <c r="O90" i="4"/>
  <c r="P90" i="4"/>
  <c r="O86" i="4"/>
  <c r="P86" i="4"/>
  <c r="O82" i="4"/>
  <c r="P82" i="4"/>
  <c r="O78" i="4"/>
  <c r="P78" i="4"/>
  <c r="O74" i="4"/>
  <c r="P74" i="4"/>
  <c r="O70" i="4"/>
  <c r="P70" i="4"/>
  <c r="O66" i="4"/>
  <c r="P66" i="4"/>
  <c r="O62" i="4"/>
  <c r="P62" i="4"/>
  <c r="O58" i="4"/>
  <c r="P58" i="4"/>
  <c r="O54" i="4"/>
  <c r="P54" i="4"/>
  <c r="O50" i="4"/>
  <c r="P50" i="4"/>
  <c r="O46" i="4"/>
  <c r="P46" i="4"/>
  <c r="O42" i="4"/>
  <c r="P42" i="4"/>
  <c r="O38" i="4"/>
  <c r="P38" i="4"/>
  <c r="O34" i="4"/>
  <c r="P34" i="4"/>
  <c r="O30" i="4"/>
  <c r="P30" i="4"/>
  <c r="O26" i="4"/>
  <c r="P26" i="4"/>
  <c r="O22" i="4"/>
  <c r="P22" i="4"/>
  <c r="O18" i="4"/>
  <c r="P18" i="4"/>
  <c r="O14" i="4"/>
  <c r="P14" i="4"/>
  <c r="O10" i="4"/>
  <c r="P10" i="4"/>
  <c r="O6" i="4"/>
  <c r="P6" i="4"/>
  <c r="O236" i="4"/>
  <c r="P236" i="4"/>
  <c r="O232" i="4"/>
  <c r="P232" i="4"/>
  <c r="O228" i="4"/>
  <c r="P228" i="4"/>
  <c r="O224" i="4"/>
  <c r="P224" i="4"/>
  <c r="O220" i="4"/>
  <c r="P220" i="4"/>
  <c r="O216" i="4"/>
  <c r="P216" i="4"/>
  <c r="O212" i="4"/>
  <c r="P212" i="4"/>
  <c r="O208" i="4"/>
  <c r="P208" i="4"/>
  <c r="O204" i="4"/>
  <c r="P204" i="4"/>
  <c r="O200" i="4"/>
  <c r="P200" i="4"/>
  <c r="O196" i="4"/>
  <c r="P196" i="4"/>
  <c r="O192" i="4"/>
  <c r="P192" i="4"/>
  <c r="O188" i="4"/>
  <c r="P188" i="4"/>
  <c r="O184" i="4"/>
  <c r="P184" i="4"/>
  <c r="O180" i="4"/>
  <c r="P180" i="4"/>
  <c r="O176" i="4"/>
  <c r="P176" i="4"/>
  <c r="O172" i="4"/>
  <c r="P172" i="4"/>
  <c r="O168" i="4"/>
  <c r="P168" i="4"/>
  <c r="O164" i="4"/>
  <c r="P164" i="4"/>
  <c r="O160" i="4"/>
  <c r="P160" i="4"/>
  <c r="O156" i="4"/>
  <c r="P156" i="4"/>
  <c r="O152" i="4"/>
  <c r="P152" i="4"/>
  <c r="O148" i="4"/>
  <c r="P148" i="4"/>
  <c r="O144" i="4"/>
  <c r="P144" i="4"/>
  <c r="O140" i="4"/>
  <c r="P140" i="4"/>
  <c r="O136" i="4"/>
  <c r="P136" i="4"/>
  <c r="O132" i="4"/>
  <c r="P132" i="4"/>
  <c r="O128" i="4"/>
  <c r="P128" i="4"/>
  <c r="O124" i="4"/>
  <c r="P124" i="4"/>
  <c r="O120" i="4"/>
  <c r="P120" i="4"/>
  <c r="O116" i="4"/>
  <c r="P116" i="4"/>
  <c r="O112" i="4"/>
  <c r="P112" i="4"/>
  <c r="O108" i="4"/>
  <c r="P108" i="4"/>
  <c r="O104" i="4"/>
  <c r="P104" i="4"/>
  <c r="O100" i="4"/>
  <c r="P100" i="4"/>
  <c r="O96" i="4"/>
  <c r="P96" i="4"/>
  <c r="O92" i="4"/>
  <c r="P92" i="4"/>
  <c r="O88" i="4"/>
  <c r="P88" i="4"/>
  <c r="O84" i="4"/>
  <c r="P84" i="4"/>
  <c r="O80" i="4"/>
  <c r="P80" i="4"/>
  <c r="O76" i="4"/>
  <c r="P76" i="4"/>
  <c r="O72" i="4"/>
  <c r="P72" i="4"/>
  <c r="O68" i="4"/>
  <c r="P68" i="4"/>
  <c r="O64" i="4"/>
  <c r="P64" i="4"/>
  <c r="O60" i="4"/>
  <c r="P60" i="4"/>
  <c r="O56" i="4"/>
  <c r="P56" i="4"/>
  <c r="O52" i="4"/>
  <c r="P52" i="4"/>
  <c r="O48" i="4"/>
  <c r="P48" i="4"/>
  <c r="O44" i="4"/>
  <c r="P44" i="4"/>
  <c r="O40" i="4"/>
  <c r="P40" i="4"/>
  <c r="O36" i="4"/>
  <c r="P36" i="4"/>
  <c r="O32" i="4"/>
  <c r="P32" i="4"/>
  <c r="O28" i="4"/>
  <c r="P28" i="4"/>
  <c r="O24" i="4"/>
  <c r="P24" i="4"/>
  <c r="O20" i="4"/>
  <c r="P20" i="4"/>
  <c r="O16" i="4"/>
  <c r="P16" i="4"/>
  <c r="O12" i="4"/>
  <c r="P12" i="4"/>
  <c r="O8" i="4"/>
  <c r="P8" i="4"/>
  <c r="O4" i="4"/>
  <c r="P4" i="4"/>
</calcChain>
</file>

<file path=xl/sharedStrings.xml><?xml version="1.0" encoding="utf-8"?>
<sst xmlns="http://schemas.openxmlformats.org/spreadsheetml/2006/main" count="40450" uniqueCount="3673">
  <si>
    <t>Order ID</t>
  </si>
  <si>
    <t>Order Date</t>
  </si>
  <si>
    <t>Customer ID</t>
  </si>
  <si>
    <t>Product_ID</t>
  </si>
  <si>
    <t>Segment</t>
  </si>
  <si>
    <t>Region</t>
  </si>
  <si>
    <t>Category</t>
  </si>
  <si>
    <t>Quantity</t>
  </si>
  <si>
    <t>ORD-1000</t>
  </si>
  <si>
    <t>CUST-106</t>
  </si>
  <si>
    <t>PROD-003</t>
  </si>
  <si>
    <t>Consumer</t>
  </si>
  <si>
    <t>North</t>
  </si>
  <si>
    <t>Electronics</t>
  </si>
  <si>
    <t>ORD-1001</t>
  </si>
  <si>
    <t>CUST-113</t>
  </si>
  <si>
    <t>PROD-005</t>
  </si>
  <si>
    <t>Corporate</t>
  </si>
  <si>
    <t xml:space="preserve"> Central </t>
  </si>
  <si>
    <t>ORD-1002</t>
  </si>
  <si>
    <t>CUST-144</t>
  </si>
  <si>
    <t>PROD-021</t>
  </si>
  <si>
    <t>Home Office</t>
  </si>
  <si>
    <t>Toys</t>
  </si>
  <si>
    <t>ORD-1003</t>
  </si>
  <si>
    <t>CUST-100</t>
  </si>
  <si>
    <t>PROD-009</t>
  </si>
  <si>
    <t>West</t>
  </si>
  <si>
    <t>Clothing</t>
  </si>
  <si>
    <t>ORD-1004</t>
  </si>
  <si>
    <t>CUST-121</t>
  </si>
  <si>
    <t>PROD-013</t>
  </si>
  <si>
    <t>Home &amp; Kitchen</t>
  </si>
  <si>
    <t>ORD-1005</t>
  </si>
  <si>
    <t>CUST-116</t>
  </si>
  <si>
    <t>PROD-016</t>
  </si>
  <si>
    <t>Office Supplies</t>
  </si>
  <si>
    <t>ORD-1006</t>
  </si>
  <si>
    <t>CUST-140</t>
  </si>
  <si>
    <t>ORD-1007</t>
  </si>
  <si>
    <t>CUST-114</t>
  </si>
  <si>
    <t>PROD-022</t>
  </si>
  <si>
    <t>East</t>
  </si>
  <si>
    <t>ORD-1008</t>
  </si>
  <si>
    <t>CUST-123</t>
  </si>
  <si>
    <t>PROD-006</t>
  </si>
  <si>
    <t>ORD-1009</t>
  </si>
  <si>
    <t>CUST-143</t>
  </si>
  <si>
    <t>PROD-012</t>
  </si>
  <si>
    <t>home &amp; kitchen</t>
  </si>
  <si>
    <t>ORD-1010</t>
  </si>
  <si>
    <t>CUST-129</t>
  </si>
  <si>
    <t>ORD-1011</t>
  </si>
  <si>
    <t>CUST-149</t>
  </si>
  <si>
    <t>ORD-1012</t>
  </si>
  <si>
    <t>CUST-136</t>
  </si>
  <si>
    <t>South</t>
  </si>
  <si>
    <t>ORD-1013</t>
  </si>
  <si>
    <t>CUST-108</t>
  </si>
  <si>
    <t>PROD-019</t>
  </si>
  <si>
    <t>ORD-1014</t>
  </si>
  <si>
    <t>CUST-137</t>
  </si>
  <si>
    <t>PROD-023</t>
  </si>
  <si>
    <t>ORD-1015</t>
  </si>
  <si>
    <t>CUST-103</t>
  </si>
  <si>
    <t>PROD-007</t>
  </si>
  <si>
    <t>clothing</t>
  </si>
  <si>
    <t>ORD-1016</t>
  </si>
  <si>
    <t>CUST-138</t>
  </si>
  <si>
    <t>ORD-1017</t>
  </si>
  <si>
    <t>PROD-015</t>
  </si>
  <si>
    <t>ORD-1018</t>
  </si>
  <si>
    <t>PROD-011</t>
  </si>
  <si>
    <t>ORD-1019</t>
  </si>
  <si>
    <t>PROD-010</t>
  </si>
  <si>
    <t>ORD-1020</t>
  </si>
  <si>
    <t>ORD-1021</t>
  </si>
  <si>
    <t>ORD-1022</t>
  </si>
  <si>
    <t>CUST-131</t>
  </si>
  <si>
    <t>PROD-002</t>
  </si>
  <si>
    <t>ORD-1023</t>
  </si>
  <si>
    <t>CUST-110</t>
  </si>
  <si>
    <t>ORD-1024</t>
  </si>
  <si>
    <t>CUST-146</t>
  </si>
  <si>
    <t>PROD-024</t>
  </si>
  <si>
    <t>ORD-1025</t>
  </si>
  <si>
    <t>CUST-133</t>
  </si>
  <si>
    <t>PROD-014</t>
  </si>
  <si>
    <t>ORD-1026</t>
  </si>
  <si>
    <t>CUST-135</t>
  </si>
  <si>
    <t>ORD-1027</t>
  </si>
  <si>
    <t>ORD-1028</t>
  </si>
  <si>
    <t>ORD-1029</t>
  </si>
  <si>
    <t>CUST-130</t>
  </si>
  <si>
    <t>ORD-1030</t>
  </si>
  <si>
    <t>CUST-126</t>
  </si>
  <si>
    <t>PROD-001</t>
  </si>
  <si>
    <t>ORD-1031</t>
  </si>
  <si>
    <t>ORD-1032</t>
  </si>
  <si>
    <t>CUST-117</t>
  </si>
  <si>
    <t>ORD-1033</t>
  </si>
  <si>
    <t>CUST-134</t>
  </si>
  <si>
    <t>PROD-004</t>
  </si>
  <si>
    <t>ORD-1034</t>
  </si>
  <si>
    <t>CUST-125</t>
  </si>
  <si>
    <t>ORD-1035</t>
  </si>
  <si>
    <t>CUST-150</t>
  </si>
  <si>
    <t>ORD-1036</t>
  </si>
  <si>
    <t>CUST-112</t>
  </si>
  <si>
    <t>PROD-020</t>
  </si>
  <si>
    <t>ORD-1037</t>
  </si>
  <si>
    <t>CUST-120</t>
  </si>
  <si>
    <t>ORD-1038</t>
  </si>
  <si>
    <t>ORD-1039</t>
  </si>
  <si>
    <t>CUST-115</t>
  </si>
  <si>
    <t>ORD-1040</t>
  </si>
  <si>
    <t>CUST-105</t>
  </si>
  <si>
    <t>ORD-1041</t>
  </si>
  <si>
    <t>CUST-142</t>
  </si>
  <si>
    <t>PROD-025</t>
  </si>
  <si>
    <t>ORD-1042</t>
  </si>
  <si>
    <t>ORD-1043</t>
  </si>
  <si>
    <t>CUST-104</t>
  </si>
  <si>
    <t>ORD-1044</t>
  </si>
  <si>
    <t>ORD-1045</t>
  </si>
  <si>
    <t>CUST-119</t>
  </si>
  <si>
    <t>ORD-1046</t>
  </si>
  <si>
    <t>ORD-1047</t>
  </si>
  <si>
    <t>ORD-1048</t>
  </si>
  <si>
    <t>ORD-1049</t>
  </si>
  <si>
    <t>ORD-1050</t>
  </si>
  <si>
    <t>CUST-107</t>
  </si>
  <si>
    <t>ORD-1051</t>
  </si>
  <si>
    <t>CUST-127</t>
  </si>
  <si>
    <t>ORD-1052</t>
  </si>
  <si>
    <t>ORD-1053</t>
  </si>
  <si>
    <t>ORD-1054</t>
  </si>
  <si>
    <t>ORD-1055</t>
  </si>
  <si>
    <t>CUST-102</t>
  </si>
  <si>
    <t>ORD-1056</t>
  </si>
  <si>
    <t>ORD-1057</t>
  </si>
  <si>
    <t>ORD-1058</t>
  </si>
  <si>
    <t>CUST-101</t>
  </si>
  <si>
    <t>ORD-1059</t>
  </si>
  <si>
    <t>ORD-1060</t>
  </si>
  <si>
    <t>ORD-1061</t>
  </si>
  <si>
    <t>ORD-1062</t>
  </si>
  <si>
    <t>CUST-139</t>
  </si>
  <si>
    <t>ORD-1063</t>
  </si>
  <si>
    <t>ORD-1064</t>
  </si>
  <si>
    <t>CUST-124</t>
  </si>
  <si>
    <t>ORD-1065</t>
  </si>
  <si>
    <t>toys</t>
  </si>
  <si>
    <t>ORD-1066</t>
  </si>
  <si>
    <t>ORD-1067</t>
  </si>
  <si>
    <t>ORD-1068</t>
  </si>
  <si>
    <t>ORD-1069</t>
  </si>
  <si>
    <t>ORD-1070</t>
  </si>
  <si>
    <t>ORD-1071</t>
  </si>
  <si>
    <t>CUST-148</t>
  </si>
  <si>
    <t>PROD-017</t>
  </si>
  <si>
    <t>ORD-1072</t>
  </si>
  <si>
    <t>ORD-1073</t>
  </si>
  <si>
    <t>office supplies</t>
  </si>
  <si>
    <t>ORD-1074</t>
  </si>
  <si>
    <t>ORD-1075</t>
  </si>
  <si>
    <t>ORD-1076</t>
  </si>
  <si>
    <t>CUST-118</t>
  </si>
  <si>
    <t>ORD-1077</t>
  </si>
  <si>
    <t>ORD-1078</t>
  </si>
  <si>
    <t>ORD-1079</t>
  </si>
  <si>
    <t>ORD-1080</t>
  </si>
  <si>
    <t>ORD-1081</t>
  </si>
  <si>
    <t>ORD-1082</t>
  </si>
  <si>
    <t>PROD-018</t>
  </si>
  <si>
    <t>ORD-1083</t>
  </si>
  <si>
    <t>ORD-1084</t>
  </si>
  <si>
    <t>ORD-1085</t>
  </si>
  <si>
    <t>ORD-1086</t>
  </si>
  <si>
    <t>ORD-1087</t>
  </si>
  <si>
    <t>ORD-1088</t>
  </si>
  <si>
    <t>ORD-1089</t>
  </si>
  <si>
    <t>CUST-145</t>
  </si>
  <si>
    <t>ORD-1090</t>
  </si>
  <si>
    <t>ORD-1091</t>
  </si>
  <si>
    <t>ORD-1092</t>
  </si>
  <si>
    <t>ORD-1093</t>
  </si>
  <si>
    <t>CUST-141</t>
  </si>
  <si>
    <t>ORD-1094</t>
  </si>
  <si>
    <t>ORD-1095</t>
  </si>
  <si>
    <t>ORD-1096</t>
  </si>
  <si>
    <t>ORD-1097</t>
  </si>
  <si>
    <t>ORD-1098</t>
  </si>
  <si>
    <t>ORD-1099</t>
  </si>
  <si>
    <t>ORD-1100</t>
  </si>
  <si>
    <t>ORD-1101</t>
  </si>
  <si>
    <t>ORD-1102</t>
  </si>
  <si>
    <t>PROD-008</t>
  </si>
  <si>
    <t>ORD-1103</t>
  </si>
  <si>
    <t>ORD-1104</t>
  </si>
  <si>
    <t>CUST-147</t>
  </si>
  <si>
    <t>ORD-1105</t>
  </si>
  <si>
    <t>ORD-1106</t>
  </si>
  <si>
    <t>CUST-111</t>
  </si>
  <si>
    <t>ORD-1107</t>
  </si>
  <si>
    <t>ORD-1108</t>
  </si>
  <si>
    <t>ORD-1109</t>
  </si>
  <si>
    <t>ORD-1110</t>
  </si>
  <si>
    <t>CUST-109</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</si>
  <si>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</si>
  <si>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</si>
  <si>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</si>
  <si>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</si>
  <si>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</si>
  <si>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</si>
  <si>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</si>
  <si>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</si>
  <si>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</si>
  <si>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</si>
  <si>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</si>
  <si>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</si>
  <si>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</si>
  <si>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</si>
  <si>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</si>
  <si>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</si>
  <si>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</si>
  <si>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</si>
  <si>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</si>
  <si>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</si>
  <si>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</si>
  <si>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CUST-132</t>
  </si>
  <si>
    <t>ORD-1132</t>
  </si>
  <si>
    <t>ORD-1133</t>
  </si>
  <si>
    <t>ORD-1134</t>
  </si>
  <si>
    <t>ORD-1135</t>
  </si>
  <si>
    <t>CUST-122</t>
  </si>
  <si>
    <t>ORD-1136</t>
  </si>
  <si>
    <t>ORD-1137</t>
  </si>
  <si>
    <t>ORD-1138</t>
  </si>
  <si>
    <t>ORD-1139</t>
  </si>
  <si>
    <t>CUST-128</t>
  </si>
  <si>
    <t>ORD-1140</t>
  </si>
  <si>
    <t>ORD-1141</t>
  </si>
  <si>
    <t>ORD-1142</t>
  </si>
  <si>
    <t>ORD-1143</t>
  </si>
  <si>
    <t>electronics</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</si>
  <si>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</si>
  <si>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</si>
  <si>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</si>
  <si>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</si>
  <si>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</si>
  <si>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</si>
  <si>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</si>
  <si>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</si>
  <si>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</si>
  <si>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</si>
  <si>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</si>
  <si>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</si>
  <si>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</si>
  <si>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</si>
  <si>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</si>
  <si>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</si>
  <si>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</si>
  <si>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</si>
  <si>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</si>
  <si>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</si>
  <si>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</si>
  <si>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</si>
  <si>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</si>
  <si>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</si>
  <si>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</si>
  <si>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</si>
  <si>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</si>
  <si>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</si>
  <si>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</si>
  <si>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</si>
  <si>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</si>
  <si>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</si>
  <si>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</si>
  <si>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</si>
  <si>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</si>
  <si>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</si>
  <si>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</si>
  <si>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</si>
  <si>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</si>
  <si>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</si>
  <si>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</si>
  <si>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</si>
  <si>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</si>
  <si>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</si>
  <si>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</si>
  <si>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</si>
  <si>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</si>
  <si>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</si>
  <si>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</si>
  <si>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</si>
  <si>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</si>
  <si>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</si>
  <si>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</si>
  <si>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</si>
  <si>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</si>
  <si>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</si>
  <si>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</si>
  <si>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</si>
  <si>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CUST-194</t>
  </si>
  <si>
    <t>ORD-1202</t>
  </si>
  <si>
    <t>Central</t>
  </si>
  <si>
    <t>ORD-1203</t>
  </si>
  <si>
    <t>ORD-1204</t>
  </si>
  <si>
    <t>CUST-154</t>
  </si>
  <si>
    <t>ORD-1205</t>
  </si>
  <si>
    <t>ORD-1206</t>
  </si>
  <si>
    <t>CUST-168</t>
  </si>
  <si>
    <t>ORD-1207</t>
  </si>
  <si>
    <t>CUST-173</t>
  </si>
  <si>
    <t>ORD-1208</t>
  </si>
  <si>
    <t>ORD-1209</t>
  </si>
  <si>
    <t>CUST-185</t>
  </si>
  <si>
    <t>ORD-1210</t>
  </si>
  <si>
    <t>CUST-159</t>
  </si>
  <si>
    <t>ORD-1211</t>
  </si>
  <si>
    <t>ORD-1212</t>
  </si>
  <si>
    <t>ORD-1213</t>
  </si>
  <si>
    <t>CUST-195</t>
  </si>
  <si>
    <t>ORD-1214</t>
  </si>
  <si>
    <t>ORD-1215</t>
  </si>
  <si>
    <t>ORD-1216</t>
  </si>
  <si>
    <t>CUST-176</t>
  </si>
  <si>
    <t>ORD-1217</t>
  </si>
  <si>
    <t>CUST-192</t>
  </si>
  <si>
    <t>ORD-1218</t>
  </si>
  <si>
    <t>ORD-1219</t>
  </si>
  <si>
    <t>CUST-197</t>
  </si>
  <si>
    <t>ORD-1220</t>
  </si>
  <si>
    <t>ORD-1221</t>
  </si>
  <si>
    <t>ORD-1222</t>
  </si>
  <si>
    <t>ORD-1223</t>
  </si>
  <si>
    <t>CUST-198</t>
  </si>
  <si>
    <t>ORD-1224</t>
  </si>
  <si>
    <t>CUST-167</t>
  </si>
  <si>
    <t>ORD-1225</t>
  </si>
  <si>
    <t>CUST-151</t>
  </si>
  <si>
    <t>ORD-1226</t>
  </si>
  <si>
    <t>ORD-1227</t>
  </si>
  <si>
    <t>ORD-1228</t>
  </si>
  <si>
    <t>CUST-165</t>
  </si>
  <si>
    <t>ORD-1229</t>
  </si>
  <si>
    <t>ORD-1230</t>
  </si>
  <si>
    <t>CUST-155</t>
  </si>
  <si>
    <t>ORD-1231</t>
  </si>
  <si>
    <t>CUST-183</t>
  </si>
  <si>
    <t>ORD-1232</t>
  </si>
  <si>
    <t>ORD-1233</t>
  </si>
  <si>
    <t>ORD-1234</t>
  </si>
  <si>
    <t>ORD-1235</t>
  </si>
  <si>
    <t>ORD-1236</t>
  </si>
  <si>
    <t>ORD-1237</t>
  </si>
  <si>
    <t>ORD-1238</t>
  </si>
  <si>
    <t>CUST-164</t>
  </si>
  <si>
    <t>ORD-1239</t>
  </si>
  <si>
    <t>ORD-1240</t>
  </si>
  <si>
    <t>CUST-174</t>
  </si>
  <si>
    <t>ORD-1241</t>
  </si>
  <si>
    <t>CUST-166</t>
  </si>
  <si>
    <t>ORD-1242</t>
  </si>
  <si>
    <t>ORD-1243</t>
  </si>
  <si>
    <t>CUST-158</t>
  </si>
  <si>
    <t>ORD-1244</t>
  </si>
  <si>
    <t>ORD-1245</t>
  </si>
  <si>
    <t>CUST-190</t>
  </si>
  <si>
    <t>ORD-1246</t>
  </si>
  <si>
    <t>CUST-184</t>
  </si>
  <si>
    <t>ORD-1247</t>
  </si>
  <si>
    <t>ORD-1248</t>
  </si>
  <si>
    <t>CUST-162</t>
  </si>
  <si>
    <t>ORD-1249</t>
  </si>
  <si>
    <t>ORD-1250</t>
  </si>
  <si>
    <t>ORD-1251</t>
  </si>
  <si>
    <t>CUST-170</t>
  </si>
  <si>
    <t>ORD-1252</t>
  </si>
  <si>
    <t>ORD-1253</t>
  </si>
  <si>
    <t>CUST-179</t>
  </si>
  <si>
    <t>ORD-1254</t>
  </si>
  <si>
    <t>ORD-1255</t>
  </si>
  <si>
    <t>ORD-1256</t>
  </si>
  <si>
    <t>ORD-1257</t>
  </si>
  <si>
    <t>ORD-1258</t>
  </si>
  <si>
    <t>ORD-1259</t>
  </si>
  <si>
    <t>CUST-193</t>
  </si>
  <si>
    <t>ORD-1260</t>
  </si>
  <si>
    <t>ORD-1261</t>
  </si>
  <si>
    <t>ORD-1262</t>
  </si>
  <si>
    <t>ORD-1263</t>
  </si>
  <si>
    <t>ORD-1264</t>
  </si>
  <si>
    <t>ORD-1265</t>
  </si>
  <si>
    <t>ORD-1266</t>
  </si>
  <si>
    <t>CUST-156</t>
  </si>
  <si>
    <t>ORD-1267</t>
  </si>
  <si>
    <t>ORD-1268</t>
  </si>
  <si>
    <t>ORD-1269</t>
  </si>
  <si>
    <t>ORD-1270</t>
  </si>
  <si>
    <t>ORD-1271</t>
  </si>
  <si>
    <t>ORD-1272</t>
  </si>
  <si>
    <t>ORD-1273</t>
  </si>
  <si>
    <t>ORD-1274</t>
  </si>
  <si>
    <t>ORD-1275</t>
  </si>
  <si>
    <t>ORD-1276</t>
  </si>
  <si>
    <t>ORD-1277</t>
  </si>
  <si>
    <t>CUST-152</t>
  </si>
  <si>
    <t>ORD-1278</t>
  </si>
  <si>
    <t>ORD-1279</t>
  </si>
  <si>
    <t>ORD-1280</t>
  </si>
  <si>
    <t>ORD-1281</t>
  </si>
  <si>
    <t>ORD-1282</t>
  </si>
  <si>
    <t>ORD-1283</t>
  </si>
  <si>
    <t>ORD-1284</t>
  </si>
  <si>
    <t>ORD-1285</t>
  </si>
  <si>
    <t>ORD-1286</t>
  </si>
  <si>
    <t>ORD-1287</t>
  </si>
  <si>
    <t>ORD-1288</t>
  </si>
  <si>
    <t>CUST-199</t>
  </si>
  <si>
    <t>ORD-1289</t>
  </si>
  <si>
    <t>CUST-186</t>
  </si>
  <si>
    <t>ORD-1290</t>
  </si>
  <si>
    <t>CUST-189</t>
  </si>
  <si>
    <t>ORD-1291</t>
  </si>
  <si>
    <t>ORD-1292</t>
  </si>
  <si>
    <t>ORD-1293</t>
  </si>
  <si>
    <t>ORD-1294</t>
  </si>
  <si>
    <t>ORD-1295</t>
  </si>
  <si>
    <t>CUST-157</t>
  </si>
  <si>
    <t>ORD-1296</t>
  </si>
  <si>
    <t>CUST-163</t>
  </si>
  <si>
    <t>ORD-1297</t>
  </si>
  <si>
    <t>ORD-1298</t>
  </si>
  <si>
    <t>ORD-1299</t>
  </si>
  <si>
    <t>CUST-191</t>
  </si>
  <si>
    <t>ORD-1300</t>
  </si>
  <si>
    <t>ORD-1301</t>
  </si>
  <si>
    <t>ORD-1302</t>
  </si>
  <si>
    <t>ORD-1303</t>
  </si>
  <si>
    <t>ORD-1304</t>
  </si>
  <si>
    <t>ORD-1305</t>
  </si>
  <si>
    <t>ORD-1306</t>
  </si>
  <si>
    <t>ORD-1307</t>
  </si>
  <si>
    <t>ORD-1308</t>
  </si>
  <si>
    <t>ORD-1309</t>
  </si>
  <si>
    <t>ORD-1310</t>
  </si>
  <si>
    <t>ORD-1311</t>
  </si>
  <si>
    <t>CUST-175</t>
  </si>
  <si>
    <t>ORD-1312</t>
  </si>
  <si>
    <t>CUST-180</t>
  </si>
  <si>
    <t>ORD-1313</t>
  </si>
  <si>
    <t>ORD-1314</t>
  </si>
  <si>
    <t>ORD-1315</t>
  </si>
  <si>
    <t>CUST-187</t>
  </si>
  <si>
    <t>ORD-1316</t>
  </si>
  <si>
    <t>ORD-1317</t>
  </si>
  <si>
    <t>ORD-1318</t>
  </si>
  <si>
    <t>ORD-1319</t>
  </si>
  <si>
    <t>ORD-1320</t>
  </si>
  <si>
    <t>ORD-1321</t>
  </si>
  <si>
    <t>ORD-1322</t>
  </si>
  <si>
    <t>ORD-1323</t>
  </si>
  <si>
    <t>ORD-1324</t>
  </si>
  <si>
    <t>CUST-188</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</si>
  <si>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</si>
  <si>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</si>
  <si>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</si>
  <si>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</si>
  <si>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</si>
  <si>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</si>
  <si>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</si>
  <si>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</si>
  <si>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</si>
  <si>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</si>
  <si>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</si>
  <si>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</si>
  <si>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</si>
  <si>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</si>
  <si>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</si>
  <si>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</si>
  <si>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</si>
  <si>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</si>
  <si>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</si>
  <si>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</si>
  <si>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</si>
  <si>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</si>
  <si>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</si>
  <si>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</si>
  <si>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</si>
  <si>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</si>
  <si>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</si>
  <si>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CUST-177</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</si>
  <si>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</si>
  <si>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</si>
  <si>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</si>
  <si>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</si>
  <si>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</si>
  <si>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</si>
  <si>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</si>
  <si>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</si>
  <si>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</si>
  <si>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</si>
  <si>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</si>
  <si>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</si>
  <si>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</si>
  <si>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</si>
  <si>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</si>
  <si>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</si>
  <si>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</si>
  <si>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</si>
  <si>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</si>
  <si>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</si>
  <si>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</si>
  <si>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</si>
  <si>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</si>
  <si>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CUST-161</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</si>
  <si>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</si>
  <si>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</si>
  <si>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</si>
  <si>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</si>
  <si>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</si>
  <si>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</si>
  <si>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</si>
  <si>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</si>
  <si>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</si>
  <si>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</si>
  <si>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</si>
  <si>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</si>
  <si>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</si>
  <si>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</si>
  <si>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</si>
  <si>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</si>
  <si>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</si>
  <si>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</si>
  <si>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</si>
  <si>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</si>
  <si>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</si>
  <si>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</si>
  <si>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</si>
  <si>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CUST-181</t>
  </si>
  <si>
    <t>ORD-1398</t>
  </si>
  <si>
    <t>ORD-1399</t>
  </si>
  <si>
    <t>ORD-1400</t>
  </si>
  <si>
    <t>ORD-1401</t>
  </si>
  <si>
    <t>ORD-1402</t>
  </si>
  <si>
    <t>ORD-1403</t>
  </si>
  <si>
    <t>ORD-1404</t>
  </si>
  <si>
    <t>ORD-1405</t>
  </si>
  <si>
    <t>ORD-1406</t>
  </si>
  <si>
    <t>ORD-1407</t>
  </si>
  <si>
    <t>ORD-1408</t>
  </si>
  <si>
    <t>CUST-160</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</si>
  <si>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</si>
  <si>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</si>
  <si>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</si>
  <si>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</si>
  <si>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</si>
  <si>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</si>
  <si>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</si>
  <si>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</si>
  <si>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</si>
  <si>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</si>
  <si>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</si>
  <si>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</si>
  <si>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</si>
  <si>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</si>
  <si>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</si>
  <si>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</si>
  <si>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</si>
  <si>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</si>
  <si>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CUST-153</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</si>
  <si>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</si>
  <si>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</si>
  <si>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</si>
  <si>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</si>
  <si>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</si>
  <si>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</si>
  <si>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</si>
  <si>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</si>
  <si>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</si>
  <si>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</si>
  <si>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</si>
  <si>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</si>
  <si>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</si>
  <si>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</si>
  <si>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</si>
  <si>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</si>
  <si>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</si>
  <si>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</si>
  <si>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CUST-169</t>
  </si>
  <si>
    <t>ORD-1445</t>
  </si>
  <si>
    <t>ORD-1446</t>
  </si>
  <si>
    <t>CUST-178</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</si>
  <si>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</si>
  <si>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</si>
  <si>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</si>
  <si>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</si>
  <si>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</si>
  <si>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</si>
  <si>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</si>
  <si>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</si>
  <si>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</si>
  <si>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</si>
  <si>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</si>
  <si>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</si>
  <si>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</si>
  <si>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</si>
  <si>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</si>
  <si>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</si>
  <si>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</si>
  <si>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</si>
  <si>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</si>
  <si>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CUST-172</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</si>
  <si>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</si>
  <si>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</si>
  <si>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</si>
  <si>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</si>
  <si>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</si>
  <si>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</si>
  <si>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</si>
  <si>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</si>
  <si>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</si>
  <si>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</si>
  <si>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</si>
  <si>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</si>
  <si>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</si>
  <si>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</si>
  <si>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</si>
  <si>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</si>
  <si>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</si>
  <si>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</si>
  <si>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</si>
  <si>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</si>
  <si>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</si>
  <si>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</si>
  <si>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</si>
  <si>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</si>
  <si>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</si>
  <si>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</si>
  <si>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</si>
  <si>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CUST-171</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</si>
  <si>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</si>
  <si>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</si>
  <si>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</si>
  <si>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</si>
  <si>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</si>
  <si>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</si>
  <si>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</si>
  <si>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</si>
  <si>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</si>
  <si>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</si>
  <si>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</si>
  <si>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</si>
  <si>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</si>
  <si>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</si>
  <si>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</si>
  <si>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</si>
  <si>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</si>
  <si>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</si>
  <si>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</si>
  <si>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</si>
  <si>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</si>
  <si>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CUST-196</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</si>
  <si>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</si>
  <si>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</si>
  <si>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</si>
  <si>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</si>
  <si>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</si>
  <si>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</si>
  <si>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</si>
  <si>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</si>
  <si>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</si>
  <si>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</si>
  <si>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</si>
  <si>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</si>
  <si>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</si>
  <si>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</si>
  <si>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</si>
  <si>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</si>
  <si>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</si>
  <si>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</si>
  <si>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</si>
  <si>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</si>
  <si>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</si>
  <si>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</si>
  <si>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</si>
  <si>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</si>
  <si>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</si>
  <si>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</si>
  <si>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</si>
  <si>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</si>
  <si>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</si>
  <si>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</si>
  <si>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</si>
  <si>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</si>
  <si>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</si>
  <si>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</si>
  <si>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</si>
  <si>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</si>
  <si>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</si>
  <si>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</si>
  <si>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</si>
  <si>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</si>
  <si>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</si>
  <si>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</si>
  <si>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</si>
  <si>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</si>
  <si>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</si>
  <si>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</si>
  <si>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</si>
  <si>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</si>
  <si>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</si>
  <si>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</si>
  <si>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</si>
  <si>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</si>
  <si>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</si>
  <si>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</si>
  <si>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</si>
  <si>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</si>
  <si>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</si>
  <si>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</si>
  <si>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</si>
  <si>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</si>
  <si>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</si>
  <si>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</si>
  <si>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</si>
  <si>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CUST-200</t>
  </si>
  <si>
    <t>ORD-1577</t>
  </si>
  <si>
    <t>ORD-1578</t>
  </si>
  <si>
    <t>ORD-1579</t>
  </si>
  <si>
    <t>ORD-1580</t>
  </si>
  <si>
    <t>ORD-1581</t>
  </si>
  <si>
    <t>ORD-1582</t>
  </si>
  <si>
    <t>ORD-1583</t>
  </si>
  <si>
    <t>CUST-182</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</si>
  <si>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</si>
  <si>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</si>
  <si>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</si>
  <si>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</si>
  <si>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</si>
  <si>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</si>
  <si>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</si>
  <si>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</si>
  <si>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</si>
  <si>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</si>
  <si>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</si>
  <si>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</si>
  <si>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</si>
  <si>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</si>
  <si>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</si>
  <si>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</si>
  <si>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</si>
  <si>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</si>
  <si>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</si>
  <si>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</si>
  <si>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</si>
  <si>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</si>
  <si>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</si>
  <si>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</si>
  <si>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</si>
  <si>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</si>
  <si>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</si>
  <si>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</si>
  <si>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</si>
  <si>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</si>
  <si>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</si>
  <si>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</si>
  <si>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</si>
  <si>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</si>
  <si>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</si>
  <si>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</si>
  <si>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</si>
  <si>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</si>
  <si>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</si>
  <si>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</si>
  <si>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</si>
  <si>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</si>
  <si>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</si>
  <si>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</si>
  <si>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</si>
  <si>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</si>
  <si>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</si>
  <si>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</si>
  <si>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</si>
  <si>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</si>
  <si>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</si>
  <si>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</si>
  <si>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</si>
  <si>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</si>
  <si>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</si>
  <si>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</si>
  <si>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</si>
  <si>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</si>
  <si>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</si>
  <si>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</si>
  <si>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</si>
  <si>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</si>
  <si>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</si>
  <si>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</si>
  <si>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</si>
  <si>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</si>
  <si>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</si>
  <si>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</si>
  <si>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</si>
  <si>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</si>
  <si>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</si>
  <si>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</si>
  <si>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</si>
  <si>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</si>
  <si>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</si>
  <si>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</si>
  <si>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</si>
  <si>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</si>
  <si>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</si>
  <si>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</si>
  <si>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</si>
  <si>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</si>
  <si>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</si>
  <si>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</si>
  <si>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</si>
  <si>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</si>
  <si>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</si>
  <si>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</si>
  <si>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</si>
  <si>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</si>
  <si>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</si>
  <si>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</si>
  <si>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</si>
  <si>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</si>
  <si>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</si>
  <si>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</si>
  <si>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</si>
  <si>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</si>
  <si>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</si>
  <si>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</si>
  <si>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</si>
  <si>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</si>
  <si>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</si>
  <si>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</si>
  <si>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</si>
  <si>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</si>
  <si>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</si>
  <si>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</si>
  <si>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</si>
  <si>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</si>
  <si>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</si>
  <si>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</si>
  <si>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</si>
  <si>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</si>
  <si>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</si>
  <si>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</si>
  <si>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</si>
  <si>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</si>
  <si>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</si>
  <si>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</si>
  <si>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</si>
  <si>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</si>
  <si>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</si>
  <si>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</si>
  <si>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</si>
  <si>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</si>
  <si>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</si>
  <si>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</si>
  <si>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</si>
  <si>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</si>
  <si>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</si>
  <si>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</si>
  <si>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</si>
  <si>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</si>
  <si>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</si>
  <si>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</si>
  <si>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</si>
  <si>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</si>
  <si>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</si>
  <si>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</si>
  <si>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</si>
  <si>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</si>
  <si>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</si>
  <si>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</si>
  <si>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</si>
  <si>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</si>
  <si>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</si>
  <si>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</si>
  <si>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</si>
  <si>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</si>
  <si>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</si>
  <si>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</si>
  <si>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</si>
  <si>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</si>
  <si>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</si>
  <si>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</si>
  <si>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</si>
  <si>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</si>
  <si>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</si>
  <si>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</si>
  <si>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</si>
  <si>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</si>
  <si>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</si>
  <si>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</si>
  <si>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</si>
  <si>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</si>
  <si>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</si>
  <si>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</si>
  <si>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</si>
  <si>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</si>
  <si>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</si>
  <si>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</si>
  <si>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</si>
  <si>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</si>
  <si>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</si>
  <si>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</si>
  <si>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</si>
  <si>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</si>
  <si>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</si>
  <si>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</si>
  <si>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</si>
  <si>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</si>
  <si>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</si>
  <si>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</si>
  <si>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</si>
  <si>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</si>
  <si>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</si>
  <si>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</si>
  <si>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</si>
  <si>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</si>
  <si>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</si>
  <si>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</si>
  <si>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</si>
  <si>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</si>
  <si>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</si>
  <si>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</si>
  <si>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</si>
  <si>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</si>
  <si>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</si>
  <si>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</si>
  <si>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</si>
  <si>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</si>
  <si>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</si>
  <si>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</si>
  <si>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</si>
  <si>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</si>
  <si>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</si>
  <si>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</si>
  <si>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</si>
  <si>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</si>
  <si>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</si>
  <si>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</si>
  <si>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</si>
  <si>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</si>
  <si>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</si>
  <si>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</si>
  <si>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</si>
  <si>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</si>
  <si>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</si>
  <si>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</si>
  <si>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</si>
  <si>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</si>
  <si>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</si>
  <si>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</si>
  <si>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</si>
  <si>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</si>
  <si>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</si>
  <si>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</si>
  <si>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</si>
  <si>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</si>
  <si>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</si>
  <si>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</si>
  <si>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</si>
  <si>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</si>
  <si>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</si>
  <si>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</si>
  <si>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</si>
  <si>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</si>
  <si>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</si>
  <si>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</si>
  <si>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</si>
  <si>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</si>
  <si>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</si>
  <si>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</si>
  <si>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</si>
  <si>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</si>
  <si>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</si>
  <si>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</si>
  <si>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</si>
  <si>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</si>
  <si>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</si>
  <si>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</si>
  <si>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</si>
  <si>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</si>
  <si>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</si>
  <si>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</si>
  <si>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</si>
  <si>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</si>
  <si>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</si>
  <si>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</si>
  <si>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</si>
  <si>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</si>
  <si>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</si>
  <si>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</si>
  <si>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</si>
  <si>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</si>
  <si>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</si>
  <si>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</si>
  <si>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</si>
  <si>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</si>
  <si>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</si>
  <si>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</si>
  <si>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</si>
  <si>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</si>
  <si>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</si>
  <si>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</si>
  <si>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</si>
  <si>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</si>
  <si>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</si>
  <si>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</si>
  <si>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</si>
  <si>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</si>
  <si>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</si>
  <si>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</si>
  <si>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</si>
  <si>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</si>
  <si>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</si>
  <si>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</si>
  <si>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</si>
  <si>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</si>
  <si>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</si>
  <si>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</si>
  <si>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</si>
  <si>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</si>
  <si>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</si>
  <si>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</si>
  <si>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</si>
  <si>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</si>
  <si>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</si>
  <si>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</si>
  <si>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</si>
  <si>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</si>
  <si>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</si>
  <si>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</si>
  <si>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</si>
  <si>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</si>
  <si>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</si>
  <si>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</si>
  <si>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</si>
  <si>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</si>
  <si>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</si>
  <si>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</si>
  <si>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</si>
  <si>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</si>
  <si>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</si>
  <si>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</si>
  <si>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</si>
  <si>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</si>
  <si>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</si>
  <si>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</si>
  <si>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</si>
  <si>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</si>
  <si>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</si>
  <si>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</si>
  <si>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</si>
  <si>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</si>
  <si>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</si>
  <si>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</si>
  <si>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</si>
  <si>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</si>
  <si>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</si>
  <si>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</si>
  <si>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</si>
  <si>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</si>
  <si>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</si>
  <si>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</si>
  <si>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</si>
  <si>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</si>
  <si>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</si>
  <si>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</si>
  <si>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</si>
  <si>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</si>
  <si>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</si>
  <si>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</si>
  <si>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</si>
  <si>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</si>
  <si>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</si>
  <si>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</si>
  <si>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</si>
  <si>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</si>
  <si>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</si>
  <si>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</si>
  <si>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</si>
  <si>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</si>
  <si>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</si>
  <si>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</si>
  <si>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</si>
  <si>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</si>
  <si>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</si>
  <si>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</si>
  <si>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</si>
  <si>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</si>
  <si>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</si>
  <si>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</si>
  <si>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</si>
  <si>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</si>
  <si>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</si>
  <si>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</si>
  <si>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</si>
  <si>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</si>
  <si>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</si>
  <si>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</si>
  <si>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</si>
  <si>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</si>
  <si>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</si>
  <si>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</si>
  <si>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</si>
  <si>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</si>
  <si>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</si>
  <si>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</si>
  <si>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</si>
  <si>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</si>
  <si>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</si>
  <si>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</si>
  <si>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</si>
  <si>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</si>
  <si>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</si>
  <si>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</si>
  <si>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</si>
  <si>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</si>
  <si>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</si>
  <si>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</si>
  <si>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</si>
  <si>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</si>
  <si>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</si>
  <si>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</si>
  <si>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</si>
  <si>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</si>
  <si>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</si>
  <si>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</si>
  <si>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</si>
  <si>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</si>
  <si>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</si>
  <si>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</si>
  <si>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</si>
  <si>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</si>
  <si>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</si>
  <si>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</si>
  <si>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</si>
  <si>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</si>
  <si>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</si>
  <si>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</si>
  <si>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</si>
  <si>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</si>
  <si>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</si>
  <si>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</si>
  <si>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</si>
  <si>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</si>
  <si>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</si>
  <si>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</si>
  <si>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</si>
  <si>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</si>
  <si>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</si>
  <si>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</si>
  <si>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</si>
  <si>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</si>
  <si>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</si>
  <si>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</si>
  <si>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</si>
  <si>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</si>
  <si>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</si>
  <si>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</si>
  <si>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</si>
  <si>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</si>
  <si>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</si>
  <si>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</si>
  <si>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</si>
  <si>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</si>
  <si>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</si>
  <si>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</si>
  <si>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</si>
  <si>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</si>
  <si>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</si>
  <si>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</si>
  <si>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</si>
  <si>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</si>
  <si>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</si>
  <si>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</si>
  <si>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</si>
  <si>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</si>
  <si>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</si>
  <si>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</si>
  <si>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</si>
  <si>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</si>
  <si>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</si>
  <si>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</si>
  <si>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</si>
  <si>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</si>
  <si>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</si>
  <si>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</si>
  <si>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</si>
  <si>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</si>
  <si>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</si>
  <si>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</si>
  <si>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</si>
  <si>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</si>
  <si>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</si>
  <si>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</si>
  <si>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</si>
  <si>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</si>
  <si>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</si>
  <si>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</si>
  <si>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</si>
  <si>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</si>
  <si>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</si>
  <si>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</si>
  <si>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</si>
  <si>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</si>
  <si>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</si>
  <si>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</si>
  <si>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</si>
  <si>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</si>
  <si>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</si>
  <si>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</si>
  <si>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</si>
  <si>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</si>
  <si>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</si>
  <si>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</si>
  <si>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</si>
  <si>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</si>
  <si>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</si>
  <si>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</si>
  <si>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</si>
  <si>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</si>
  <si>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</si>
  <si>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</si>
  <si>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</si>
  <si>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</si>
  <si>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</si>
  <si>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</si>
  <si>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</si>
  <si>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</si>
  <si>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</si>
  <si>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</si>
  <si>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</si>
  <si>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</si>
  <si>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</si>
  <si>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</si>
  <si>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</si>
  <si>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</si>
  <si>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</si>
  <si>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</si>
  <si>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</si>
  <si>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</si>
  <si>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</si>
  <si>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</si>
  <si>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</si>
  <si>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</si>
  <si>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</si>
  <si>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</si>
  <si>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</si>
  <si>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</si>
  <si>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</si>
  <si>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</si>
  <si>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</si>
  <si>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</si>
  <si>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</si>
  <si>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</si>
  <si>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</si>
  <si>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</si>
  <si>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</si>
  <si>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</si>
  <si>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</si>
  <si>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</si>
  <si>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</si>
  <si>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</si>
  <si>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</si>
  <si>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</si>
  <si>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</si>
  <si>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</si>
  <si>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</si>
  <si>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</si>
  <si>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</si>
  <si>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</si>
  <si>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</si>
  <si>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</si>
  <si>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</si>
  <si>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</si>
  <si>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</si>
  <si>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</si>
  <si>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</si>
  <si>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</si>
  <si>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</si>
  <si>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</si>
  <si>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</si>
  <si>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</si>
  <si>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</si>
  <si>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</si>
  <si>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</si>
  <si>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</si>
  <si>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</si>
  <si>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</si>
  <si>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</si>
  <si>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</si>
  <si>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</si>
  <si>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</si>
  <si>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</si>
  <si>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</si>
  <si>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</si>
  <si>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</si>
  <si>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</si>
  <si>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</si>
  <si>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</si>
  <si>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</si>
  <si>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</si>
  <si>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</si>
  <si>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</si>
  <si>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</si>
  <si>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</si>
  <si>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</si>
  <si>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</si>
  <si>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</si>
  <si>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</si>
  <si>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</si>
  <si>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</si>
  <si>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</si>
  <si>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</si>
  <si>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</si>
  <si>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</si>
  <si>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</si>
  <si>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</si>
  <si>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</si>
  <si>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</si>
  <si>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</si>
  <si>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</si>
  <si>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</si>
  <si>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</si>
  <si>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</si>
  <si>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</si>
  <si>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</si>
  <si>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</si>
  <si>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</si>
  <si>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</si>
  <si>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</si>
  <si>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</si>
  <si>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</si>
  <si>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</si>
  <si>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</si>
  <si>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</si>
  <si>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</si>
  <si>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</si>
  <si>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</si>
  <si>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</si>
  <si>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</si>
  <si>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</si>
  <si>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</si>
  <si>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</si>
  <si>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</si>
  <si>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</si>
  <si>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</si>
  <si>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</si>
  <si>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</si>
  <si>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</si>
  <si>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</si>
  <si>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</si>
  <si>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</si>
  <si>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</si>
  <si>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</si>
  <si>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</si>
  <si>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</si>
  <si>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</si>
  <si>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</si>
  <si>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</si>
  <si>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</si>
  <si>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</si>
  <si>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</si>
  <si>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</si>
  <si>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</si>
  <si>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</si>
  <si>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</si>
  <si>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</si>
  <si>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</si>
  <si>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</si>
  <si>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</si>
  <si>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</si>
  <si>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</si>
  <si>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</si>
  <si>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</si>
  <si>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</si>
  <si>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</si>
  <si>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</si>
  <si>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</si>
  <si>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</si>
  <si>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</si>
  <si>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</si>
  <si>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</si>
  <si>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</si>
  <si>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</si>
  <si>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</si>
  <si>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</si>
  <si>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</si>
  <si>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</si>
  <si>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</si>
  <si>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</si>
  <si>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</si>
  <si>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</si>
  <si>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</si>
  <si>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</si>
  <si>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</si>
  <si>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</si>
  <si>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</si>
  <si>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</si>
  <si>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</si>
  <si>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</si>
  <si>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</si>
  <si>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</si>
  <si>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</si>
  <si>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</si>
  <si>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</si>
  <si>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</si>
  <si>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</si>
  <si>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</si>
  <si>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</si>
  <si>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</si>
  <si>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</si>
  <si>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</si>
  <si>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</si>
  <si>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</si>
  <si>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</si>
  <si>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</si>
  <si>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</si>
  <si>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</si>
  <si>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</si>
  <si>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</si>
  <si>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</si>
  <si>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</si>
  <si>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</si>
  <si>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</si>
  <si>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</si>
  <si>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</si>
  <si>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</si>
  <si>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</si>
  <si>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</si>
  <si>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</si>
  <si>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</si>
  <si>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</si>
  <si>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</si>
  <si>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</si>
  <si>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</si>
  <si>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</si>
  <si>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</si>
  <si>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</si>
  <si>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</si>
  <si>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</si>
  <si>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</si>
  <si>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</si>
  <si>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</si>
  <si>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</si>
  <si>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</si>
  <si>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</si>
  <si>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</si>
  <si>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</si>
  <si>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</si>
  <si>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</si>
  <si>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</si>
  <si>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</si>
  <si>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</si>
  <si>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</si>
  <si>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</si>
  <si>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</si>
  <si>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</si>
  <si>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</si>
  <si>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</si>
  <si>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</si>
  <si>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</si>
  <si>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</si>
  <si>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</si>
  <si>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</si>
  <si>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</si>
  <si>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</si>
  <si>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</si>
  <si>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</si>
  <si>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</si>
  <si>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</si>
  <si>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</si>
  <si>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</si>
  <si>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</si>
  <si>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</si>
  <si>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</si>
  <si>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</si>
  <si>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</si>
  <si>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</si>
  <si>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</si>
  <si>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</si>
  <si>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</si>
  <si>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</si>
  <si>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</si>
  <si>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</si>
  <si>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</si>
  <si>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</si>
  <si>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</si>
  <si>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</si>
  <si>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</si>
  <si>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</si>
  <si>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</si>
  <si>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</si>
  <si>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</si>
  <si>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</si>
  <si>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</si>
  <si>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</si>
  <si>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</si>
  <si>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</si>
  <si>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</si>
  <si>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</si>
  <si>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</si>
  <si>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</si>
  <si>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</si>
  <si>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</si>
  <si>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</si>
  <si>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</si>
  <si>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</si>
  <si>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</si>
  <si>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</si>
  <si>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</si>
  <si>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</si>
  <si>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</si>
  <si>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</si>
  <si>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</si>
  <si>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</si>
  <si>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</si>
  <si>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</si>
  <si>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</si>
  <si>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</si>
  <si>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</si>
  <si>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</si>
  <si>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</si>
  <si>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</si>
  <si>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</si>
  <si>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</si>
  <si>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</si>
  <si>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</si>
  <si>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</si>
  <si>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</si>
  <si>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</si>
  <si>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</si>
  <si>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</si>
  <si>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</si>
  <si>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</si>
  <si>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</si>
  <si>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</si>
  <si>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</si>
  <si>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</si>
  <si>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</si>
  <si>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</si>
  <si>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</si>
  <si>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</si>
  <si>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</si>
  <si>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</si>
  <si>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</si>
  <si>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</si>
  <si>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</si>
  <si>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</si>
  <si>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</si>
  <si>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</si>
  <si>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</si>
  <si>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</si>
  <si>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</si>
  <si>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</si>
  <si>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</si>
  <si>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</si>
  <si>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</si>
  <si>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</si>
  <si>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</si>
  <si>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</si>
  <si>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</si>
  <si>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</si>
  <si>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</si>
  <si>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</si>
  <si>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</si>
  <si>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</si>
  <si>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</si>
  <si>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</si>
  <si>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</si>
  <si>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</si>
  <si>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</si>
  <si>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</si>
  <si>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</si>
  <si>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</si>
  <si>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</si>
  <si>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</si>
  <si>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</si>
  <si>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</si>
  <si>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</si>
  <si>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</si>
  <si>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</si>
  <si>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</si>
  <si>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</si>
  <si>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</si>
  <si>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</si>
  <si>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</si>
  <si>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</si>
  <si>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</si>
  <si>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</si>
  <si>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</si>
  <si>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</si>
  <si>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</si>
  <si>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</si>
  <si>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</si>
  <si>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</si>
  <si>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</si>
  <si>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</si>
  <si>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</si>
  <si>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</si>
  <si>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</si>
  <si>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</si>
  <si>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</si>
  <si>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</si>
  <si>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</si>
  <si>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</si>
  <si>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</si>
  <si>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</si>
  <si>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</si>
  <si>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</si>
  <si>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</si>
  <si>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</si>
  <si>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</si>
  <si>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</si>
  <si>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</si>
  <si>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</si>
  <si>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</si>
  <si>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</si>
  <si>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</si>
  <si>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</si>
  <si>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</si>
  <si>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</si>
  <si>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</si>
  <si>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</si>
  <si>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</si>
  <si>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</si>
  <si>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</si>
  <si>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</si>
  <si>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</si>
  <si>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</si>
  <si>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</si>
  <si>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</si>
  <si>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</si>
  <si>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</si>
  <si>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</si>
  <si>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</si>
  <si>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</si>
  <si>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</si>
  <si>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</si>
  <si>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</si>
  <si>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</si>
  <si>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</si>
  <si>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</si>
  <si>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</si>
  <si>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</si>
  <si>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</si>
  <si>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</si>
  <si>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</si>
  <si>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</si>
  <si>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</si>
  <si>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</si>
  <si>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</si>
  <si>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</si>
  <si>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</si>
  <si>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</si>
  <si>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</si>
  <si>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</si>
  <si>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</si>
  <si>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</si>
  <si>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</si>
  <si>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</si>
  <si>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</si>
  <si>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</si>
  <si>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</si>
  <si>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</si>
  <si>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</si>
  <si>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</si>
  <si>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</si>
  <si>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</si>
  <si>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</si>
  <si>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</si>
  <si>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</si>
  <si>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</si>
  <si>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</si>
  <si>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</si>
  <si>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</si>
  <si>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</si>
  <si>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</si>
  <si>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</si>
  <si>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</si>
  <si>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</si>
  <si>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</si>
  <si>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</si>
  <si>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</si>
  <si>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</si>
  <si>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</si>
  <si>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</si>
  <si>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</si>
  <si>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</si>
  <si>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</si>
  <si>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</si>
  <si>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</si>
  <si>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</si>
  <si>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</si>
  <si>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</si>
  <si>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</si>
  <si>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</si>
  <si>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</si>
  <si>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</si>
  <si>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</si>
  <si>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</si>
  <si>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</si>
  <si>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</si>
  <si>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</si>
  <si>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</si>
  <si>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</si>
  <si>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</si>
  <si>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</si>
  <si>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</si>
  <si>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</si>
  <si>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</si>
  <si>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</si>
  <si>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</si>
  <si>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</si>
  <si>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</si>
  <si>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</si>
  <si>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</si>
  <si>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</si>
  <si>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</si>
  <si>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</si>
  <si>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</si>
  <si>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</si>
  <si>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</si>
  <si>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</si>
  <si>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</si>
  <si>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</si>
  <si>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</si>
  <si>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</si>
  <si>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</si>
  <si>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</si>
  <si>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</si>
  <si>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</si>
  <si>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</si>
  <si>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</si>
  <si>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</si>
  <si>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</si>
  <si>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</si>
  <si>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</si>
  <si>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</si>
  <si>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</si>
  <si>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</si>
  <si>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</si>
  <si>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</si>
  <si>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</si>
  <si>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</si>
  <si>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</si>
  <si>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</si>
  <si>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</si>
  <si>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</si>
  <si>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</si>
  <si>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</si>
  <si>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</si>
  <si>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</si>
  <si>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</si>
  <si>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</si>
  <si>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</si>
  <si>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</si>
  <si>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</si>
  <si>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</si>
  <si>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</si>
  <si>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</si>
  <si>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</si>
  <si>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</si>
  <si>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</si>
  <si>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</si>
  <si>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</si>
  <si>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</si>
  <si>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</si>
  <si>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</si>
  <si>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</si>
  <si>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</si>
  <si>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</si>
  <si>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</si>
  <si>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</si>
  <si>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</si>
  <si>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</si>
  <si>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</si>
  <si>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</si>
  <si>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</si>
  <si>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</si>
  <si>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</si>
  <si>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</si>
  <si>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</si>
  <si>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</si>
  <si>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</si>
  <si>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</si>
  <si>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</si>
  <si>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</si>
  <si>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</si>
  <si>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</si>
  <si>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</si>
  <si>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</si>
  <si>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</si>
  <si>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</si>
  <si>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</si>
  <si>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</si>
  <si>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</si>
  <si>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</si>
  <si>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</si>
  <si>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</si>
  <si>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</si>
  <si>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</si>
  <si>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</si>
  <si>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</si>
  <si>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</si>
  <si>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</si>
  <si>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</si>
  <si>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</si>
  <si>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</si>
  <si>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</si>
  <si>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</si>
  <si>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</si>
  <si>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</si>
  <si>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</si>
  <si>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</si>
  <si>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</si>
  <si>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</si>
  <si>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</si>
  <si>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</si>
  <si>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</si>
  <si>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</si>
  <si>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</si>
  <si>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</si>
  <si>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</si>
  <si>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</si>
  <si>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</si>
  <si>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</si>
  <si>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</si>
  <si>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</si>
  <si>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</si>
  <si>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</si>
  <si>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</si>
  <si>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</si>
  <si>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</si>
  <si>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</si>
  <si>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</si>
  <si>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</si>
  <si>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</si>
  <si>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</si>
  <si>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</si>
  <si>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</si>
  <si>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</si>
  <si>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</si>
  <si>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</si>
  <si>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</si>
  <si>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</si>
  <si>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</si>
  <si>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</si>
  <si>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</si>
  <si>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</si>
  <si>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</si>
  <si>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</si>
  <si>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</si>
  <si>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</si>
  <si>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</si>
  <si>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</si>
  <si>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</si>
  <si>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</si>
  <si>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</si>
  <si>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</si>
  <si>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</si>
  <si>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</si>
  <si>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</si>
  <si>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</si>
  <si>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</si>
  <si>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</si>
  <si>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</si>
  <si>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</si>
  <si>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</si>
  <si>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</si>
  <si>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</si>
  <si>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</si>
  <si>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</si>
  <si>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</si>
  <si>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</si>
  <si>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</si>
  <si>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</si>
  <si>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</si>
  <si>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</si>
  <si>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</si>
  <si>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</si>
  <si>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</si>
  <si>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</si>
  <si>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</si>
  <si>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</si>
  <si>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</si>
  <si>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</si>
  <si>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</si>
  <si>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</si>
  <si>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</si>
  <si>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</si>
  <si>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</si>
  <si>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</si>
  <si>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</si>
  <si>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</si>
  <si>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</si>
  <si>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</si>
  <si>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</si>
  <si>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</si>
  <si>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</si>
  <si>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</si>
  <si>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</si>
  <si>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</si>
  <si>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</si>
  <si>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</si>
  <si>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</si>
  <si>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</si>
  <si>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</si>
  <si>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</si>
  <si>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</si>
  <si>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</si>
  <si>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</si>
  <si>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</si>
  <si>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</si>
  <si>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</si>
  <si>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</si>
  <si>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</si>
  <si>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</si>
  <si>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</si>
  <si>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</si>
  <si>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</si>
  <si>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</si>
  <si>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</si>
  <si>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</si>
  <si>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</si>
  <si>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</si>
  <si>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</si>
  <si>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</si>
  <si>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</si>
  <si>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</si>
  <si>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</si>
  <si>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</si>
  <si>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</si>
  <si>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</si>
  <si>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</si>
  <si>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</si>
  <si>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</si>
  <si>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</si>
  <si>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</si>
  <si>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</si>
  <si>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</si>
  <si>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</si>
  <si>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</si>
  <si>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</si>
  <si>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</si>
  <si>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</si>
  <si>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</si>
  <si>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</si>
  <si>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</si>
  <si>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</si>
  <si>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</si>
  <si>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</si>
  <si>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</si>
  <si>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</si>
  <si>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</si>
  <si>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</si>
  <si>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</si>
  <si>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</si>
  <si>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</si>
  <si>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</si>
  <si>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</si>
  <si>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</si>
  <si>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</si>
  <si>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</si>
  <si>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</si>
  <si>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</si>
  <si>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</si>
  <si>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</si>
  <si>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</si>
  <si>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</si>
  <si>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</si>
  <si>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</si>
  <si>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</si>
  <si>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</si>
  <si>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</si>
  <si>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</si>
  <si>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</si>
  <si>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</si>
  <si>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</si>
  <si>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</si>
  <si>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</si>
  <si>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</si>
  <si>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</si>
  <si>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</si>
  <si>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</si>
  <si>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</si>
  <si>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</si>
  <si>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</si>
  <si>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</si>
  <si>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</si>
  <si>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</si>
  <si>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</si>
  <si>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</si>
  <si>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</si>
  <si>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</si>
  <si>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</si>
  <si>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</si>
  <si>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</si>
  <si>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</si>
  <si>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</si>
  <si>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</si>
  <si>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</si>
  <si>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</si>
  <si>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</si>
  <si>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</si>
  <si>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</si>
  <si>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</si>
  <si>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</si>
  <si>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</si>
  <si>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</si>
  <si>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</si>
  <si>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</si>
  <si>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</si>
  <si>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</si>
  <si>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</si>
  <si>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</si>
  <si>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</si>
  <si>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</si>
  <si>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</si>
  <si>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</si>
  <si>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</si>
  <si>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</si>
  <si>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</si>
  <si>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</si>
  <si>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</si>
  <si>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</si>
  <si>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</si>
  <si>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</si>
  <si>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</si>
  <si>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</si>
  <si>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</si>
  <si>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</si>
  <si>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</si>
  <si>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</si>
  <si>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</si>
  <si>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</si>
  <si>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</si>
  <si>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</si>
  <si>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</si>
  <si>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</si>
  <si>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</si>
  <si>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</si>
  <si>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</si>
  <si>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</si>
  <si>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</si>
  <si>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</si>
  <si>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</si>
  <si>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</si>
  <si>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</si>
  <si>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</si>
  <si>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</si>
  <si>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</si>
  <si>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</si>
  <si>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</si>
  <si>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</si>
  <si>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</si>
  <si>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</si>
  <si>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</si>
  <si>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</si>
  <si>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</si>
  <si>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</si>
  <si>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</si>
  <si>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</si>
  <si>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</si>
  <si>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</si>
  <si>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</si>
  <si>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</si>
  <si>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</si>
  <si>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</si>
  <si>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</si>
  <si>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</si>
  <si>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</si>
  <si>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</si>
  <si>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</si>
  <si>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</si>
  <si>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</si>
  <si>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</si>
  <si>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</si>
  <si>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</si>
  <si>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</si>
  <si>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</si>
  <si>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</si>
  <si>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</si>
  <si>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</si>
  <si>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</si>
  <si>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</si>
  <si>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</si>
  <si>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</si>
  <si>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</si>
  <si>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</si>
  <si>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</si>
  <si>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</si>
  <si>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</si>
  <si>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</si>
  <si>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</si>
  <si>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</si>
  <si>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</si>
  <si>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</si>
  <si>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</si>
  <si>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</si>
  <si>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</si>
  <si>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</si>
  <si>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</si>
  <si>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</si>
  <si>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</si>
  <si>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</si>
  <si>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</si>
  <si>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</si>
  <si>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</si>
  <si>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</si>
  <si>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</si>
  <si>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</si>
  <si>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</si>
  <si>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</si>
  <si>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</si>
  <si>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</si>
  <si>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</si>
  <si>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</si>
  <si>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</si>
  <si>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</si>
  <si>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</si>
  <si>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</si>
  <si>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</si>
  <si>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</si>
  <si>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</si>
  <si>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</si>
  <si>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</si>
  <si>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</si>
  <si>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</si>
  <si>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</si>
  <si>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</si>
  <si>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</si>
  <si>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</si>
  <si>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</si>
  <si>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</si>
  <si>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</si>
  <si>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</si>
  <si>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</si>
  <si>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</si>
  <si>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</si>
  <si>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</si>
  <si>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</si>
  <si>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</si>
  <si>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</si>
  <si>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</si>
  <si>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</si>
  <si>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</si>
  <si>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</si>
  <si>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</si>
  <si>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</si>
  <si>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</si>
  <si>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</si>
  <si>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</si>
  <si>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</si>
  <si>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</si>
  <si>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</si>
  <si>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</si>
  <si>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</si>
  <si>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</si>
  <si>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</si>
  <si>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</si>
  <si>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</si>
  <si>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</si>
  <si>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</si>
  <si>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</si>
  <si>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</si>
  <si>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</si>
  <si>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</si>
  <si>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</si>
  <si>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</si>
  <si>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</si>
  <si>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</si>
  <si>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</si>
  <si>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</si>
  <si>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</si>
  <si>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</si>
  <si>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</si>
  <si>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</si>
  <si>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</si>
  <si>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</si>
  <si>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</si>
  <si>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</si>
  <si>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</si>
  <si>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</si>
  <si>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</si>
  <si>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</si>
  <si>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</si>
  <si>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</si>
  <si>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</si>
  <si>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</si>
  <si>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</si>
  <si>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</si>
  <si>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</si>
  <si>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</si>
  <si>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</si>
  <si>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</si>
  <si>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</si>
  <si>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</si>
  <si>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</si>
  <si>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</si>
  <si>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</si>
  <si>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</si>
  <si>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</si>
  <si>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</si>
  <si>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</si>
  <si>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</si>
  <si>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</si>
  <si>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</si>
  <si>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</si>
  <si>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</si>
  <si>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</si>
  <si>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</si>
  <si>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</si>
  <si>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</si>
  <si>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</si>
  <si>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</si>
  <si>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</si>
  <si>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</si>
  <si>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</si>
  <si>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</si>
  <si>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</si>
  <si>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</si>
  <si>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</si>
  <si>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</si>
  <si>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</si>
  <si>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</si>
  <si>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</si>
  <si>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</si>
  <si>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</si>
  <si>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</si>
  <si>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</si>
  <si>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</si>
  <si>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</si>
  <si>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</si>
  <si>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</si>
  <si>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</si>
  <si>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</si>
  <si>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</si>
  <si>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</si>
  <si>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</si>
  <si>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</si>
  <si>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</si>
  <si>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</si>
  <si>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</si>
  <si>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</si>
  <si>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</si>
  <si>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</si>
  <si>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</si>
  <si>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</si>
  <si>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</si>
  <si>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</si>
  <si>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</si>
  <si>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</si>
  <si>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</si>
  <si>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</si>
  <si>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</si>
  <si>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</si>
  <si>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</si>
  <si>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</si>
  <si>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</si>
  <si>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</si>
  <si>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</si>
  <si>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</si>
  <si>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</si>
  <si>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</si>
  <si>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</si>
  <si>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</si>
  <si>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</si>
  <si>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</si>
  <si>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</si>
  <si>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</si>
  <si>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</si>
  <si>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</si>
  <si>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</si>
  <si>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</si>
  <si>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</si>
  <si>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</si>
  <si>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</si>
  <si>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</si>
  <si>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</si>
  <si>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</si>
  <si>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</si>
  <si>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</si>
  <si>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</si>
  <si>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</si>
  <si>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</si>
  <si>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</si>
  <si>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</si>
  <si>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</si>
  <si>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</si>
  <si>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</si>
  <si>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</si>
  <si>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</si>
  <si>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</si>
  <si>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</si>
  <si>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</si>
  <si>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</si>
  <si>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</si>
  <si>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</si>
  <si>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</si>
  <si>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</si>
  <si>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</si>
  <si>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</si>
  <si>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</si>
  <si>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</si>
  <si>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</si>
  <si>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</si>
  <si>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</si>
  <si>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</si>
  <si>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</si>
  <si>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</si>
  <si>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</si>
  <si>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</si>
  <si>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</si>
  <si>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</si>
  <si>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</si>
  <si>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</si>
  <si>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</si>
  <si>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</si>
  <si>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</si>
  <si>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</si>
  <si>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</si>
  <si>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</si>
  <si>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</si>
  <si>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</si>
  <si>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</si>
  <si>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</si>
  <si>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</si>
  <si>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</si>
  <si>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</si>
  <si>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</si>
  <si>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</si>
  <si>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</si>
  <si>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</si>
  <si>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</si>
  <si>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</si>
  <si>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</si>
  <si>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</si>
  <si>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</si>
  <si>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</si>
  <si>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</si>
  <si>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</si>
  <si>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</si>
  <si>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</si>
  <si>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</si>
  <si>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</si>
  <si>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</si>
  <si>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</si>
  <si>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</si>
  <si>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</si>
  <si>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</si>
  <si>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</si>
  <si>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</si>
  <si>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</si>
  <si>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</si>
  <si>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</si>
  <si>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</si>
  <si>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</si>
  <si>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</si>
  <si>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</si>
  <si>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</si>
  <si>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</si>
  <si>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</si>
  <si>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</si>
  <si>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</si>
  <si>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</si>
  <si>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</si>
  <si>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</si>
  <si>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</si>
  <si>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</si>
  <si>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</si>
  <si>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</si>
  <si>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</si>
  <si>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</si>
  <si>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</si>
  <si>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</si>
  <si>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</si>
  <si>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</si>
  <si>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</si>
  <si>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</si>
  <si>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</si>
  <si>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</si>
  <si>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</si>
  <si>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</si>
  <si>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</si>
  <si>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</si>
  <si>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</si>
  <si>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</si>
  <si>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</si>
  <si>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</si>
  <si>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</si>
  <si>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</si>
  <si>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</si>
  <si>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</si>
  <si>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</si>
  <si>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</si>
  <si>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</si>
  <si>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</si>
  <si>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</si>
  <si>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</si>
  <si>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</si>
  <si>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</si>
  <si>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</si>
  <si>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</si>
  <si>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</si>
  <si>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</si>
  <si>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</si>
  <si>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</si>
  <si>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</si>
  <si>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</si>
  <si>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</si>
  <si>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</si>
  <si>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</si>
  <si>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</si>
  <si>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</si>
  <si>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</si>
  <si>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</si>
  <si>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</si>
  <si>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</si>
  <si>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</si>
  <si>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</si>
  <si>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</si>
  <si>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</si>
  <si>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</si>
  <si>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</si>
  <si>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</si>
  <si>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</si>
  <si>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</si>
  <si>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</si>
  <si>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</si>
  <si>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</si>
  <si>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</si>
  <si>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</si>
  <si>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</si>
  <si>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</si>
  <si>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</si>
  <si>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</si>
  <si>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</si>
  <si>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</si>
  <si>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</si>
  <si>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</si>
  <si>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</si>
  <si>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</si>
  <si>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</si>
  <si>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</si>
  <si>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</si>
  <si>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</si>
  <si>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</si>
  <si>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</si>
  <si>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</si>
  <si>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</si>
  <si>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</si>
  <si>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</si>
  <si>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</si>
  <si>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</si>
  <si>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</si>
  <si>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</si>
  <si>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</si>
  <si>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</si>
  <si>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</si>
  <si>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</si>
  <si>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</si>
  <si>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</si>
  <si>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</si>
  <si>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</si>
  <si>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</si>
  <si>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</si>
  <si>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</si>
  <si>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</si>
  <si>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</si>
  <si>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</si>
  <si>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</si>
  <si>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</si>
  <si>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</si>
  <si>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</si>
  <si>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</si>
  <si>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</si>
  <si>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</si>
  <si>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</si>
  <si>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</si>
  <si>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</si>
  <si>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</si>
  <si>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</si>
  <si>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</si>
  <si>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</si>
  <si>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</si>
  <si>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</si>
  <si>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</si>
  <si>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</si>
  <si>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</si>
  <si>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</si>
  <si>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</si>
  <si>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</si>
  <si>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</si>
  <si>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</si>
  <si>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</si>
  <si>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</si>
  <si>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</si>
  <si>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</si>
  <si>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</si>
  <si>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</si>
  <si>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</si>
  <si>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</si>
  <si>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</si>
  <si>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</si>
  <si>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</si>
  <si>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</si>
  <si>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</si>
  <si>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</si>
  <si>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</si>
  <si>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</si>
  <si>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</si>
  <si>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</si>
  <si>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</si>
  <si>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</si>
  <si>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</si>
  <si>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</si>
  <si>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</si>
  <si>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</si>
  <si>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</si>
  <si>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</si>
  <si>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</si>
  <si>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</si>
  <si>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</si>
  <si>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</si>
  <si>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</si>
  <si>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</si>
  <si>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</si>
  <si>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</si>
  <si>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</si>
  <si>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</si>
  <si>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</si>
  <si>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</si>
  <si>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</si>
  <si>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</si>
  <si>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</si>
  <si>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</si>
  <si>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</si>
  <si>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</si>
  <si>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</si>
  <si>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</si>
  <si>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</si>
  <si>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</si>
  <si>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</si>
  <si>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</si>
  <si>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</si>
  <si>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</si>
  <si>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</si>
  <si>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</si>
  <si>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</si>
  <si>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</si>
  <si>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</si>
  <si>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</si>
  <si>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</si>
  <si>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</si>
  <si>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</si>
  <si>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</si>
  <si>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</si>
  <si>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</si>
  <si>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</si>
  <si>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</si>
  <si>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</si>
  <si>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</si>
  <si>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</si>
  <si>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</si>
  <si>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</si>
  <si>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</si>
  <si>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</si>
  <si>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</si>
  <si>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</si>
  <si>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</si>
  <si>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</si>
  <si>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</si>
  <si>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</si>
  <si>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</si>
  <si>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</si>
  <si>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</si>
  <si>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</si>
  <si>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</si>
  <si>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</si>
  <si>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</si>
  <si>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</si>
  <si>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</si>
  <si>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</si>
  <si>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</si>
  <si>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</si>
  <si>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</si>
  <si>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</si>
  <si>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</si>
  <si>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</si>
  <si>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</si>
  <si>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</si>
  <si>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</si>
  <si>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</si>
  <si>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</si>
  <si>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</si>
  <si>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</si>
  <si>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</si>
  <si>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</si>
  <si>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</si>
  <si>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</si>
  <si>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</si>
  <si>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</si>
  <si>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</si>
  <si>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</si>
  <si>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</si>
  <si>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</si>
  <si>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</si>
  <si>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</si>
  <si>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</si>
  <si>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</si>
  <si>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</si>
  <si>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</si>
  <si>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</si>
  <si>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</si>
  <si>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</si>
  <si>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</si>
  <si>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</si>
  <si>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</si>
  <si>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</si>
  <si>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</si>
  <si>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</si>
  <si>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</si>
  <si>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</si>
  <si>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</si>
  <si>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</si>
  <si>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</si>
  <si>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</si>
  <si>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</si>
  <si>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</si>
  <si>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</si>
  <si>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</si>
  <si>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</si>
  <si>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</si>
  <si>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</si>
  <si>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</si>
  <si>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</si>
  <si>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</si>
  <si>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</si>
  <si>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</si>
  <si>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</si>
  <si>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</si>
  <si>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</si>
  <si>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</si>
  <si>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</si>
  <si>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</si>
  <si>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</si>
  <si>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</si>
  <si>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</si>
  <si>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</si>
  <si>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</si>
  <si>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</si>
  <si>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</si>
  <si>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</si>
  <si>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</si>
  <si>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</si>
  <si>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</si>
  <si>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</si>
  <si>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</si>
  <si>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</si>
  <si>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</si>
  <si>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</si>
  <si>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</si>
  <si>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</si>
  <si>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</si>
  <si>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</si>
  <si>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</si>
  <si>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</si>
  <si>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</si>
  <si>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</si>
  <si>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</si>
  <si>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</si>
  <si>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</si>
  <si>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</si>
  <si>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</si>
  <si>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</si>
  <si>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</si>
  <si>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</si>
  <si>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</si>
  <si>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</si>
  <si>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</si>
  <si>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</si>
  <si>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</si>
  <si>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</si>
  <si>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</si>
  <si>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</si>
  <si>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</si>
  <si>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</si>
  <si>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</si>
  <si>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</si>
  <si>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</si>
  <si>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</si>
  <si>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</si>
  <si>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</si>
  <si>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</si>
  <si>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</si>
  <si>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</si>
  <si>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</si>
  <si>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</si>
  <si>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</si>
  <si>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</si>
  <si>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</si>
  <si>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</si>
  <si>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</si>
  <si>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</si>
  <si>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</si>
  <si>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</si>
  <si>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</si>
  <si>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</si>
  <si>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</si>
  <si>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</si>
  <si>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</si>
  <si>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</si>
  <si>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</si>
  <si>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</si>
  <si>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</si>
  <si>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</si>
  <si>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</si>
  <si>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</si>
  <si>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</si>
  <si>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</si>
  <si>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</si>
  <si>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</si>
  <si>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</si>
  <si>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</si>
  <si>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</si>
  <si>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</si>
  <si>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</si>
  <si>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</si>
  <si>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</si>
  <si>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</si>
  <si>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</si>
  <si>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</si>
  <si>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</si>
  <si>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</si>
  <si>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</si>
  <si>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</si>
  <si>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</si>
  <si>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</si>
  <si>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</si>
  <si>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</si>
  <si>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</si>
  <si>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</si>
  <si>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</si>
  <si>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</si>
  <si>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</si>
  <si>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</si>
  <si>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</si>
  <si>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</si>
  <si>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</si>
  <si>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</si>
  <si>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</si>
  <si>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</si>
  <si>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</si>
  <si>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</si>
  <si>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</si>
  <si>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</si>
  <si>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</si>
  <si>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</si>
  <si>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</si>
  <si>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</si>
  <si>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</si>
  <si>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</si>
  <si>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</si>
  <si>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</si>
  <si>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</si>
  <si>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</si>
  <si>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</si>
  <si>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</si>
  <si>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</si>
  <si>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</si>
  <si>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</si>
  <si>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</si>
  <si>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</si>
  <si>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</si>
  <si>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</si>
  <si>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</si>
  <si>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</si>
  <si>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</si>
  <si>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</si>
  <si>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</si>
  <si>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</si>
  <si>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</si>
  <si>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</si>
  <si>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</si>
  <si>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</si>
  <si>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</si>
  <si>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</si>
  <si>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</si>
  <si>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</si>
  <si>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</si>
  <si>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</si>
  <si>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</si>
  <si>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</si>
  <si>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</si>
  <si>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</si>
  <si>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</si>
  <si>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</si>
  <si>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</si>
  <si>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</si>
  <si>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</si>
  <si>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</si>
  <si>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</si>
  <si>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</si>
  <si>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</si>
  <si>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</si>
  <si>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</si>
  <si>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</si>
  <si>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</si>
  <si>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</si>
  <si>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</si>
  <si>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</si>
  <si>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</si>
  <si>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</si>
  <si>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</si>
  <si>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</si>
  <si>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</si>
  <si>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</si>
  <si>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</si>
  <si>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</si>
  <si>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</si>
  <si>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</si>
  <si>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</si>
  <si>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</si>
  <si>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</si>
  <si>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</si>
  <si>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</si>
  <si>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</si>
  <si>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</si>
  <si>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</si>
  <si>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</si>
  <si>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</si>
  <si>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</si>
  <si>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</si>
  <si>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</si>
  <si>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</si>
  <si>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</si>
  <si>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</si>
  <si>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</si>
  <si>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</si>
  <si>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</si>
  <si>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</si>
  <si>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</si>
  <si>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</si>
  <si>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</si>
  <si>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</si>
  <si>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</si>
  <si>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</si>
  <si>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</si>
  <si>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</si>
  <si>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</si>
  <si>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</si>
  <si>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</si>
  <si>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</si>
  <si>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</si>
  <si>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</si>
  <si>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</si>
  <si>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</si>
  <si>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</si>
  <si>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</si>
  <si>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</si>
  <si>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</si>
  <si>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</si>
  <si>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</si>
  <si>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</si>
  <si>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</si>
  <si>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</si>
  <si>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</si>
  <si>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</si>
  <si>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</si>
  <si>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</si>
  <si>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</si>
  <si>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</si>
  <si>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</si>
  <si>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</si>
  <si>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</si>
  <si>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</si>
  <si>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</si>
  <si>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</si>
  <si>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</si>
  <si>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</si>
  <si>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</si>
  <si>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</si>
  <si>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</si>
  <si>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</si>
  <si>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</si>
  <si>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</si>
  <si>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</si>
  <si>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</si>
  <si>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</si>
  <si>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</si>
  <si>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</si>
  <si>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</si>
  <si>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</si>
  <si>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</si>
  <si>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</si>
  <si>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</si>
  <si>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</si>
  <si>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</si>
  <si>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</si>
  <si>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</si>
  <si>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</si>
  <si>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</si>
  <si>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</si>
  <si>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</si>
  <si>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</si>
  <si>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</si>
  <si>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</si>
  <si>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</si>
  <si>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</si>
  <si>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</si>
  <si>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</si>
  <si>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</si>
  <si>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</si>
  <si>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</si>
  <si>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</si>
  <si>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</si>
  <si>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</si>
  <si>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</si>
  <si>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</si>
  <si>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</si>
  <si>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</si>
  <si>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</si>
  <si>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</si>
  <si>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</si>
  <si>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</si>
  <si>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</si>
  <si>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</si>
  <si>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</si>
  <si>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</si>
  <si>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</si>
  <si>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</si>
  <si>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</si>
  <si>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</si>
  <si>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</si>
  <si>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</si>
  <si>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</si>
  <si>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</si>
  <si>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</si>
  <si>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</si>
  <si>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</si>
  <si>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</si>
  <si>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</si>
  <si>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</si>
  <si>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</si>
  <si>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</si>
  <si>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</si>
  <si>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</si>
  <si>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</si>
  <si>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</si>
  <si>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</si>
  <si>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</si>
  <si>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</si>
  <si>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</si>
  <si>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</si>
  <si>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</si>
  <si>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</si>
  <si>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</si>
  <si>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</si>
  <si>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</si>
  <si>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</si>
  <si>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</si>
  <si>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</si>
  <si>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</si>
  <si>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</si>
  <si>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</si>
  <si>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</si>
  <si>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</si>
  <si>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</si>
  <si>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</si>
  <si>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</si>
  <si>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</si>
  <si>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</si>
  <si>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</si>
  <si>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</si>
  <si>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</si>
  <si>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</si>
  <si>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</si>
  <si>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</si>
  <si>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</si>
  <si>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</si>
  <si>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</si>
  <si>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</si>
  <si>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</si>
  <si>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</si>
  <si>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</si>
  <si>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</si>
  <si>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</si>
  <si>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</si>
  <si>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</si>
  <si>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</si>
  <si>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</si>
  <si>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</si>
  <si>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</si>
  <si>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</si>
  <si>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</si>
  <si>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</si>
  <si>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</si>
  <si>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</si>
  <si>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</si>
  <si>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</si>
  <si>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</si>
  <si>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</si>
  <si>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</si>
  <si>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</si>
  <si>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</si>
  <si>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</si>
  <si>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</si>
  <si>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</si>
  <si>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</si>
  <si>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</si>
  <si>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</si>
  <si>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</si>
  <si>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</si>
  <si>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</si>
  <si>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</si>
  <si>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</si>
  <si>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</si>
  <si>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</si>
  <si>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</si>
  <si>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</si>
  <si>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</si>
  <si>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</si>
  <si>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</si>
  <si>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</si>
  <si>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</si>
  <si>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</si>
  <si>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</si>
  <si>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</si>
  <si>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</si>
  <si>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</si>
  <si>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</si>
  <si>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</si>
  <si>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</si>
  <si>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</si>
  <si>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</si>
  <si>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</si>
  <si>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</si>
  <si>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</si>
  <si>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</si>
  <si>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</si>
  <si>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</si>
  <si>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</si>
  <si>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</si>
  <si>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</si>
  <si>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</si>
  <si>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</si>
  <si>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</si>
  <si>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</si>
  <si>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</si>
  <si>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</si>
  <si>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</si>
  <si>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</si>
  <si>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</si>
  <si>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</si>
  <si>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</si>
  <si>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</si>
  <si>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</si>
  <si>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</si>
  <si>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</si>
  <si>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</si>
  <si>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</si>
  <si>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</si>
  <si>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</si>
  <si>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</si>
  <si>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</si>
  <si>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</si>
  <si>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</si>
  <si>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</si>
  <si>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</si>
  <si>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</si>
  <si>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</si>
  <si>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</si>
  <si>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</si>
  <si>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</si>
  <si>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</si>
  <si>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</si>
  <si>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</si>
  <si>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</si>
  <si>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</si>
  <si>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</si>
  <si>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</si>
  <si>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</si>
  <si>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</si>
  <si>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</si>
  <si>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</si>
  <si>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</si>
  <si>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</si>
  <si>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</si>
  <si>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</si>
  <si>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</si>
  <si>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</si>
  <si>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</si>
  <si>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</si>
  <si>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</si>
  <si>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</si>
  <si>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</si>
  <si>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</si>
  <si>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</si>
  <si>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</si>
  <si>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</si>
  <si>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</si>
  <si>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</si>
  <si>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</si>
  <si>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</si>
  <si>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</si>
  <si>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</si>
  <si>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</si>
  <si>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</si>
  <si>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</si>
  <si>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</si>
  <si>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</si>
  <si>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</si>
  <si>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</si>
  <si>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</si>
  <si>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</si>
  <si>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</si>
  <si>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</si>
  <si>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</si>
  <si>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</si>
  <si>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</si>
  <si>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</si>
  <si>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</si>
  <si>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</si>
  <si>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</si>
  <si>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</si>
  <si>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</si>
  <si>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</si>
  <si>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</si>
  <si>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</si>
  <si>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</si>
  <si>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</si>
  <si>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</si>
  <si>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</si>
  <si>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</si>
  <si>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</si>
  <si>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</si>
  <si>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</si>
  <si>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</si>
  <si>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</si>
  <si>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</si>
  <si>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</si>
  <si>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</si>
  <si>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</si>
  <si>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</si>
  <si>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</si>
  <si>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</si>
  <si>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</si>
  <si>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</si>
  <si>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</si>
  <si>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</si>
  <si>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</si>
  <si>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</si>
  <si>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</si>
  <si>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</si>
  <si>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</si>
  <si>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</si>
  <si>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</si>
  <si>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</si>
  <si>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</si>
  <si>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</si>
  <si>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</si>
  <si>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</si>
  <si>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</si>
  <si>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</si>
  <si>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</si>
  <si>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</si>
  <si>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</si>
  <si>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</si>
  <si>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</si>
  <si>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</si>
  <si>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</si>
  <si>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</si>
  <si>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</si>
  <si>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</si>
  <si>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</si>
  <si>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</si>
  <si>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</si>
  <si>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</si>
  <si>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</si>
  <si>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</si>
  <si>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</si>
  <si>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</si>
  <si>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</si>
  <si>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</si>
  <si>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</si>
  <si>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</si>
  <si>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</si>
  <si>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</si>
  <si>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</si>
  <si>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</si>
  <si>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</si>
  <si>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</si>
  <si>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</si>
  <si>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</si>
  <si>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</si>
  <si>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</si>
  <si>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</si>
  <si>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</si>
  <si>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</si>
  <si>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</si>
  <si>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</si>
  <si>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</si>
  <si>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</si>
  <si>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</si>
  <si>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</si>
  <si>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</si>
  <si>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</si>
  <si>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</si>
  <si>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</si>
  <si>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</si>
  <si>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</si>
  <si>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</si>
  <si>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</si>
  <si>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</si>
  <si>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</si>
  <si>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</si>
  <si>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</si>
  <si>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</si>
  <si>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</si>
  <si>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</si>
  <si>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</si>
  <si>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</si>
  <si>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</si>
  <si>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</si>
  <si>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</si>
  <si>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</si>
  <si>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</si>
  <si>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</si>
  <si>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</si>
  <si>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</si>
  <si>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</si>
  <si>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</si>
  <si>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</si>
  <si>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</si>
  <si>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</si>
  <si>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</si>
  <si>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</si>
  <si>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</si>
  <si>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</si>
  <si>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</si>
  <si>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</si>
  <si>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</si>
  <si>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</si>
  <si>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</si>
  <si>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</si>
  <si>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</si>
  <si>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</si>
  <si>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</si>
  <si>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</si>
  <si>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</si>
  <si>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</si>
  <si>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</si>
  <si>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</si>
  <si>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</si>
  <si>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</si>
  <si>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</si>
  <si>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</si>
  <si>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</si>
  <si>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</si>
  <si>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</si>
  <si>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</si>
  <si>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</si>
  <si>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</si>
  <si>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</si>
  <si>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</si>
  <si>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</si>
  <si>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</si>
  <si>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</si>
  <si>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</si>
  <si>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</si>
  <si>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</si>
  <si>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</si>
  <si>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</si>
  <si>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</si>
  <si>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</si>
  <si>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</si>
  <si>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</si>
  <si>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</si>
  <si>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</si>
  <si>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</si>
  <si>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</si>
  <si>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</si>
  <si>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</si>
  <si>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</si>
  <si>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</si>
  <si>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</si>
  <si>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</si>
  <si>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</si>
  <si>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</si>
  <si>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</si>
  <si>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</si>
  <si>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</si>
  <si>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</si>
  <si>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</si>
  <si>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</si>
  <si>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</si>
  <si>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</si>
  <si>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</si>
  <si>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</si>
  <si>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</si>
  <si>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</si>
  <si>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</si>
  <si>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</si>
  <si>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</si>
  <si>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</si>
  <si>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</si>
  <si>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</si>
  <si>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</si>
  <si>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</si>
  <si>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</si>
  <si>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</si>
  <si>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</si>
  <si>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</si>
  <si>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</si>
  <si>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</si>
  <si>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</si>
  <si>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</si>
  <si>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</si>
  <si>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</si>
  <si>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</si>
  <si>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</si>
  <si>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</si>
  <si>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</si>
  <si>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</si>
  <si>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</si>
  <si>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</si>
  <si>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</si>
  <si>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</si>
  <si>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</si>
  <si>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</si>
  <si>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</si>
  <si>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</si>
  <si>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</si>
  <si>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</si>
  <si>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</si>
  <si>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</si>
  <si>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</si>
  <si>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</si>
  <si>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</si>
  <si>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</si>
  <si>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</si>
  <si>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</si>
  <si>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</si>
  <si>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</si>
  <si>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</si>
  <si>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</si>
  <si>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</si>
  <si>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</si>
  <si>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</si>
  <si>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</si>
  <si>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</si>
  <si>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</si>
  <si>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</si>
  <si>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</si>
  <si>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</si>
  <si>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</si>
  <si>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</si>
  <si>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</si>
  <si>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</si>
  <si>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</si>
  <si>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</si>
  <si>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</si>
  <si>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</si>
  <si>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</si>
  <si>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</si>
  <si>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</si>
  <si>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</si>
  <si>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</si>
  <si>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</si>
  <si>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</si>
  <si>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</si>
  <si>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</si>
  <si>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</si>
  <si>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</si>
  <si>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</si>
  <si>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</si>
  <si>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</si>
  <si>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</si>
  <si>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</si>
  <si>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</si>
  <si>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</si>
  <si>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</si>
  <si>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</si>
  <si>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</si>
  <si>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</si>
  <si>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</si>
  <si>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</si>
  <si>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</si>
  <si>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</si>
  <si>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</si>
  <si>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</si>
  <si>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</si>
  <si>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</si>
  <si>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</si>
  <si>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</si>
  <si>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</si>
  <si>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</si>
  <si>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</si>
  <si>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</si>
  <si>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</si>
  <si>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</si>
  <si>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</si>
  <si>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</si>
  <si>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</si>
  <si>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</si>
  <si>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</si>
  <si>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</si>
  <si>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</si>
  <si>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</si>
  <si>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</si>
  <si>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</si>
  <si>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</si>
  <si>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</si>
  <si>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</si>
  <si>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</si>
  <si>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</si>
  <si>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</si>
  <si>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</si>
  <si>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</si>
  <si>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</si>
  <si>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</si>
  <si>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</si>
  <si>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</si>
  <si>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</si>
  <si>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</si>
  <si>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</si>
  <si>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</si>
  <si>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</si>
  <si>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</si>
  <si>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</si>
  <si>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</si>
  <si>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</si>
  <si>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</si>
  <si>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</si>
  <si>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</si>
  <si>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</si>
  <si>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</si>
  <si>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</si>
  <si>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</si>
  <si>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</si>
  <si>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</si>
  <si>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</si>
  <si>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Product</t>
  </si>
  <si>
    <t>Product Cost</t>
  </si>
  <si>
    <t>Laptop</t>
  </si>
  <si>
    <t>Smartphone</t>
  </si>
  <si>
    <t>Tablet</t>
  </si>
  <si>
    <t>Monitor</t>
  </si>
  <si>
    <t>Headphones</t>
  </si>
  <si>
    <t>T-Shirt</t>
  </si>
  <si>
    <t>Jeans</t>
  </si>
  <si>
    <t>Jacket</t>
  </si>
  <si>
    <t>Sweater</t>
  </si>
  <si>
    <t>Socks</t>
  </si>
  <si>
    <t>Blender</t>
  </si>
  <si>
    <t>Toaster</t>
  </si>
  <si>
    <t>Coffee Maker</t>
  </si>
  <si>
    <t>Vacuum</t>
  </si>
  <si>
    <t>Air Fryer</t>
  </si>
  <si>
    <t>Stapler</t>
  </si>
  <si>
    <t>Notebook</t>
  </si>
  <si>
    <t>Pen Set</t>
  </si>
  <si>
    <t>Desk Lamp</t>
  </si>
  <si>
    <t>Paper Shredder</t>
  </si>
  <si>
    <t>Action Figure</t>
  </si>
  <si>
    <t>Board Game</t>
  </si>
  <si>
    <t>Puzzle</t>
  </si>
  <si>
    <t>Lego Set</t>
  </si>
  <si>
    <t>Doll</t>
  </si>
  <si>
    <t>Customer_ID</t>
  </si>
  <si>
    <t>Fullname</t>
  </si>
  <si>
    <t>Email_Address</t>
  </si>
  <si>
    <t>Date_of_Birth</t>
  </si>
  <si>
    <t>Country_Location</t>
  </si>
  <si>
    <t>John Smith</t>
  </si>
  <si>
    <t>john.smith100@email.com</t>
  </si>
  <si>
    <t>USA</t>
  </si>
  <si>
    <t>Jane Brown</t>
  </si>
  <si>
    <t>jane.brown101@email.com</t>
  </si>
  <si>
    <t>Canada</t>
  </si>
  <si>
    <t>Michael Miller</t>
  </si>
  <si>
    <t>michael.miller102@email.com</t>
  </si>
  <si>
    <t>UK</t>
  </si>
  <si>
    <t>Sarah Martinez</t>
  </si>
  <si>
    <t>sarah.martinez103@email.com</t>
  </si>
  <si>
    <t>Australia</t>
  </si>
  <si>
    <t>David Gonzalez</t>
  </si>
  <si>
    <t>david.gonzalez104@email.com</t>
  </si>
  <si>
    <t>Germany</t>
  </si>
  <si>
    <t>Emily Thomas</t>
  </si>
  <si>
    <t>emily.thomas105@email.com</t>
  </si>
  <si>
    <t>France</t>
  </si>
  <si>
    <t>Robert Jackson</t>
  </si>
  <si>
    <t>robert.jackson106@email.com</t>
  </si>
  <si>
    <t>Spain</t>
  </si>
  <si>
    <t>Jessica Johnson</t>
  </si>
  <si>
    <t>jessica.johnson107@email.com</t>
  </si>
  <si>
    <t>Italy</t>
  </si>
  <si>
    <t>James Jones</t>
  </si>
  <si>
    <t>james.jones108@email.com</t>
  </si>
  <si>
    <t>Netherlands</t>
  </si>
  <si>
    <t>Mary Davis</t>
  </si>
  <si>
    <t>mary.davis109@email.com</t>
  </si>
  <si>
    <t>Belgium</t>
  </si>
  <si>
    <t>William Hernandez</t>
  </si>
  <si>
    <t>william.hernandez110@email.com</t>
  </si>
  <si>
    <t>Sweden</t>
  </si>
  <si>
    <t>Patricia Wilson</t>
  </si>
  <si>
    <t>patricia.wilson111@email.com</t>
  </si>
  <si>
    <t>Norway</t>
  </si>
  <si>
    <t>Richard Taylor</t>
  </si>
  <si>
    <t>richard.taylor112@email.com</t>
  </si>
  <si>
    <t>Denmark</t>
  </si>
  <si>
    <t>Jennifer Martin</t>
  </si>
  <si>
    <t>jennifer.martin113@email.com</t>
  </si>
  <si>
    <t>Ireland</t>
  </si>
  <si>
    <t>Joseph Williams</t>
  </si>
  <si>
    <t>joseph.williams114@email.com</t>
  </si>
  <si>
    <t>New Zealand</t>
  </si>
  <si>
    <t>Linda Garcia</t>
  </si>
  <si>
    <t>linda.garcia115@email.com</t>
  </si>
  <si>
    <t>Mexico</t>
  </si>
  <si>
    <t>Thomas Rodriguez</t>
  </si>
  <si>
    <t>thomas.rodriguez116@email.com</t>
  </si>
  <si>
    <t>Brazil</t>
  </si>
  <si>
    <t>Barbara Lopez</t>
  </si>
  <si>
    <t>barbara.lopez117@email.com</t>
  </si>
  <si>
    <t>Japan</t>
  </si>
  <si>
    <t>Charles Anderson</t>
  </si>
  <si>
    <t>charles.anderson118@email.com</t>
  </si>
  <si>
    <t>China</t>
  </si>
  <si>
    <t>Susan Moore</t>
  </si>
  <si>
    <t>susan.moore119@email.com</t>
  </si>
  <si>
    <t>India</t>
  </si>
  <si>
    <t>john.smith120@email.com</t>
  </si>
  <si>
    <t>jane.brown121@email.com</t>
  </si>
  <si>
    <t>michael.miller122@email.com</t>
  </si>
  <si>
    <t>sarah.martinez123@email.com</t>
  </si>
  <si>
    <t>david.gonzalez124@email.com</t>
  </si>
  <si>
    <t>emily.thomas125@email.com</t>
  </si>
  <si>
    <t>robert.jackson126@email.com</t>
  </si>
  <si>
    <t>jessica.johnson127@email.com</t>
  </si>
  <si>
    <t>james.jones128@email.com</t>
  </si>
  <si>
    <t>mary.davis129@email.com</t>
  </si>
  <si>
    <t>william.hernandez130@email.com</t>
  </si>
  <si>
    <t>patricia.wilson131@email.com</t>
  </si>
  <si>
    <t>richard.taylor132@email.com</t>
  </si>
  <si>
    <t>jennifer.martin133@email.com</t>
  </si>
  <si>
    <t>joseph.williams134@email.com</t>
  </si>
  <si>
    <t>linda.garcia135@email.com</t>
  </si>
  <si>
    <t>thomas.rodriguez136@email.com</t>
  </si>
  <si>
    <t>barbara.lopez137@email.com</t>
  </si>
  <si>
    <t>charles.anderson138@email.com</t>
  </si>
  <si>
    <t>susan.moore139@email.com</t>
  </si>
  <si>
    <t>john.smith140@email.com</t>
  </si>
  <si>
    <t>jane.brown141@email.com</t>
  </si>
  <si>
    <t>michael.miller142@email.com</t>
  </si>
  <si>
    <t>sarah.martinez143@email.com</t>
  </si>
  <si>
    <t>david.gonzalez144@email.com</t>
  </si>
  <si>
    <t>emily.thomas145@email.com</t>
  </si>
  <si>
    <t>robert.jackson146@email.com</t>
  </si>
  <si>
    <t>jessica.johnson147@email.com</t>
  </si>
  <si>
    <t>james.jones148@email.com</t>
  </si>
  <si>
    <t>mary.davis149@email.com</t>
  </si>
  <si>
    <t>william.hernandez150@email.com</t>
  </si>
  <si>
    <t>patricia.wilson151@email.com</t>
  </si>
  <si>
    <t>richard.taylor152@email.com</t>
  </si>
  <si>
    <t>jennifer.martin153@email.com</t>
  </si>
  <si>
    <t>joseph.williams154@email.com</t>
  </si>
  <si>
    <t>linda.garcia155@email.com</t>
  </si>
  <si>
    <t>thomas.rodriguez156@email.com</t>
  </si>
  <si>
    <t>barbara.lopez157@email.com</t>
  </si>
  <si>
    <t>charles.anderson158@email.com</t>
  </si>
  <si>
    <t>susan.moore159@email.com</t>
  </si>
  <si>
    <t>john.smith160@email.com</t>
  </si>
  <si>
    <t>jane.brown161@email.com</t>
  </si>
  <si>
    <t>michael.miller162@email.com</t>
  </si>
  <si>
    <t>sarah.martinez163@email.com</t>
  </si>
  <si>
    <t>david.gonzalez164@email.com</t>
  </si>
  <si>
    <t>emily.thomas165@email.com</t>
  </si>
  <si>
    <t>robert.jackson166@email.com</t>
  </si>
  <si>
    <t>jessica.johnson167@email.com</t>
  </si>
  <si>
    <t>james.jones168@email.com</t>
  </si>
  <si>
    <t>mary.davis169@email.com</t>
  </si>
  <si>
    <t>william.hernandez170@email.com</t>
  </si>
  <si>
    <t>patricia.wilson171@email.com</t>
  </si>
  <si>
    <t>richard.taylor172@email.com</t>
  </si>
  <si>
    <t>jennifer.martin173@email.com</t>
  </si>
  <si>
    <t>joseph.williams174@email.com</t>
  </si>
  <si>
    <t>linda.garcia175@email.com</t>
  </si>
  <si>
    <t>thomas.rodriguez176@email.com</t>
  </si>
  <si>
    <t>barbara.lopez177@email.com</t>
  </si>
  <si>
    <t>charles.anderson178@email.com</t>
  </si>
  <si>
    <t>susan.moore179@email.com</t>
  </si>
  <si>
    <t>john.smith180@email.com</t>
  </si>
  <si>
    <t>jane.brown181@email.com</t>
  </si>
  <si>
    <t>michael.miller182@email.com</t>
  </si>
  <si>
    <t>sarah.martinez183@email.com</t>
  </si>
  <si>
    <t>david.gonzalez184@email.com</t>
  </si>
  <si>
    <t>emily.thomas185@email.com</t>
  </si>
  <si>
    <t>robert.jackson186@email.com</t>
  </si>
  <si>
    <t>jessica.johnson187@email.com</t>
  </si>
  <si>
    <t>james.jones188@email.com</t>
  </si>
  <si>
    <t>mary.davis189@email.com</t>
  </si>
  <si>
    <t>william.hernandez190@email.com</t>
  </si>
  <si>
    <t>patricia.wilson191@email.com</t>
  </si>
  <si>
    <t>richard.taylor192@email.com</t>
  </si>
  <si>
    <t>jennifer.martin193@email.com</t>
  </si>
  <si>
    <t>joseph.williams194@email.com</t>
  </si>
  <si>
    <t>linda.garcia195@email.com</t>
  </si>
  <si>
    <t>thomas.rodriguez196@email.com</t>
  </si>
  <si>
    <t>barbara.lopez197@email.com</t>
  </si>
  <si>
    <t>charles.anderson198@email.com</t>
  </si>
  <si>
    <t>susan.moore199@email.com</t>
  </si>
  <si>
    <t>john.smith200@email.com</t>
  </si>
  <si>
    <t>Product_Cost</t>
  </si>
  <si>
    <t>Sales</t>
  </si>
  <si>
    <t>$230.68</t>
  </si>
  <si>
    <t>$216.22</t>
  </si>
  <si>
    <t>$146.06</t>
  </si>
  <si>
    <t>$145.48</t>
  </si>
  <si>
    <t>$178.83</t>
  </si>
  <si>
    <t>$107.34</t>
  </si>
  <si>
    <t>$33.22</t>
  </si>
  <si>
    <t>$10.11</t>
  </si>
  <si>
    <t>$84.57</t>
  </si>
  <si>
    <t>$201.32</t>
  </si>
  <si>
    <t>$156.44</t>
  </si>
  <si>
    <t>$208.85</t>
  </si>
  <si>
    <t>$230.34</t>
  </si>
  <si>
    <t>$26.59</t>
  </si>
  <si>
    <t>$211.9</t>
  </si>
  <si>
    <t>$64.61</t>
  </si>
  <si>
    <t>$149.27</t>
  </si>
  <si>
    <t>$133.37</t>
  </si>
  <si>
    <t>$101.96</t>
  </si>
  <si>
    <t>$81.02</t>
  </si>
  <si>
    <t>$88.18</t>
  </si>
  <si>
    <t>$86.6</t>
  </si>
  <si>
    <t>$46.19</t>
  </si>
  <si>
    <t>$130.07</t>
  </si>
  <si>
    <t>$32.94</t>
  </si>
  <si>
    <t>Year</t>
  </si>
  <si>
    <t>Month Name</t>
  </si>
  <si>
    <t>Day of Week</t>
  </si>
  <si>
    <t>Discount Rate</t>
  </si>
  <si>
    <t>Target Sales</t>
  </si>
  <si>
    <t>Discounted Amount</t>
  </si>
  <si>
    <t>Order Status</t>
  </si>
  <si>
    <t>Order Day Type</t>
  </si>
  <si>
    <t>Total Sales</t>
  </si>
  <si>
    <t>Average Sales</t>
  </si>
  <si>
    <t>Number of Orders</t>
  </si>
  <si>
    <t>Median Quantity</t>
  </si>
  <si>
    <t>Row Labels</t>
  </si>
  <si>
    <t>Grand Total</t>
  </si>
  <si>
    <t>Sum of Sales</t>
  </si>
  <si>
    <t>Column Labels</t>
  </si>
  <si>
    <t>This project involved analyzing a retail sales dataset using Microsoft Excel. I began by cleaning the data, correcting formats, removing duplicates, and standardizing text fields. I created additional columns such as Year, Month, and Day of Week to enhance analysis.</t>
  </si>
  <si>
    <t>I calculated key metrics including total sales, average sales, and median quantity. Logical functions were used to categorize orders based on value and identify weekend transactions. Data validation was applied to ensure accurate inputs.</t>
  </si>
  <si>
    <t>A Pivot Table was created to summarize total sales by product category and region, and a dashboard was developed using charts to visualize trends and performance. These insights help identify top-performing categories and sales patterns across regions.</t>
  </si>
  <si>
    <t>Sales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</si>
</sst>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scheme val="minor"/>
    </font>
    <font>
      <b/>
      <sz val="11"/>
      <name val="Calibri"/>
      <family val="2"/>
    </font>
    <font>
      <b/>
      <sz val="11"/>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1"/>
  </cellStyleXfs>
  <cellXfs count="17">
    <xf numFmtId="0" fontId="0" fillId="0" borderId="1" xfId="0"/>
    <xf numFmtId="0" fontId="0" fillId="0" borderId="1" xfId="0" applyAlignment="1">
      <alignment horizontal="center" vertical="center"/>
    </xf>
    <xf numFmtId="0" fontId="2" fillId="0" borderId="2" xfId="0" applyFont="1" applyBorder="1" applyAlignment="1">
      <alignment horizontal="center" vertical="top"/>
    </xf>
    <xf numFmtId="164" fontId="0" fillId="0" borderId="1" xfId="0" applyNumberFormat="1"/>
    <xf numFmtId="0" fontId="1" fillId="0" borderId="2" xfId="0" applyFont="1" applyBorder="1" applyAlignment="1">
      <alignment horizontal="center" vertical="top"/>
    </xf>
    <xf numFmtId="0" fontId="1" fillId="0" borderId="3" xfId="0" applyFont="1" applyBorder="1" applyAlignment="1">
      <alignment horizontal="center" vertical="top"/>
    </xf>
    <xf numFmtId="14" fontId="0" fillId="0" borderId="1" xfId="0" applyNumberFormat="1" applyAlignment="1">
      <alignment horizontal="center" vertical="center"/>
    </xf>
    <xf numFmtId="14" fontId="0" fillId="0" borderId="1" xfId="0" applyNumberFormat="1"/>
    <xf numFmtId="14" fontId="1" fillId="0" borderId="2" xfId="0" applyNumberFormat="1" applyFont="1" applyBorder="1" applyAlignment="1">
      <alignment horizontal="center" vertical="top"/>
    </xf>
    <xf numFmtId="9" fontId="0" fillId="0" borderId="1" xfId="0" applyNumberFormat="1"/>
    <xf numFmtId="0" fontId="3" fillId="0" borderId="1" xfId="0" applyFont="1"/>
    <xf numFmtId="0" fontId="0" fillId="0" borderId="1" xfId="0" applyNumberFormat="1" applyAlignment="1">
      <alignment horizontal="center" vertical="center"/>
    </xf>
    <xf numFmtId="0" fontId="1" fillId="0" borderId="2" xfId="0" applyNumberFormat="1" applyFont="1" applyBorder="1" applyAlignment="1">
      <alignment horizontal="center" vertical="top"/>
    </xf>
    <xf numFmtId="0" fontId="0" fillId="0" borderId="1" xfId="0" applyNumberFormat="1"/>
    <xf numFmtId="0" fontId="0" fillId="0" borderId="1" xfId="0" pivotButton="1"/>
    <xf numFmtId="0" fontId="0" fillId="0" borderId="1" xfId="0" applyAlignment="1">
      <alignment horizontal="left"/>
    </xf>
    <xf numFmtId="0" fontId="0" fillId="0" borderId="1" xfId="0" applyAlignment="1">
      <alignment wrapText="1"/>
    </xf>
  </cellXfs>
  <cellStyles count="1">
    <cellStyle name="Normal" xfId="0" builtinId="0"/>
  </cellStyles>
  <dxfs count="3">
    <dxf>
      <font>
        <color rgb="FF9C5700"/>
      </font>
      <fill>
        <patternFill>
          <bgColor rgb="FFFFEB9C"/>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[Sales_Analysis_KYENRET.xlsx]Dashboard!PivotTable5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and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Dashboard!$B$1:$B$2</c:f>
              <c:strCache>
                <c:ptCount val="1"/>
                <c:pt idx="0">
                  <c:v> Central </c:v>
                </c:pt>
              </c:strCache>
            </c:strRef>
          </c:tx>
          <c:spPr>
            <a:solidFill>
              <a:schemeClr val="accent1"/>
            </a:solidFill>
            <a:ln>
              <a:noFill/>
            </a:ln>
            <a:effectLst/>
          </c:spPr>
          <c:invertIfNegative val="0"/>
          <c:cat>
            <c:strRef>
              <c:f>Dashboard!$A$3:$A$8</c:f>
              <c:strCache>
                <c:ptCount val="5"/>
                <c:pt idx="0">
                  <c:v>Clothing</c:v>
                </c:pt>
                <c:pt idx="1">
                  <c:v>Electronics</c:v>
                </c:pt>
                <c:pt idx="2">
                  <c:v>Home &amp; Kitchen</c:v>
                </c:pt>
                <c:pt idx="3">
                  <c:v>Office Supplies</c:v>
                </c:pt>
                <c:pt idx="4">
                  <c:v>Toys</c:v>
                </c:pt>
              </c:strCache>
            </c:strRef>
          </c:cat>
          <c:val>
            <c:numRef>
              <c:f>Dashboard!$B$3:$B$8</c:f>
              <c:numCache>
                <c:formatCode>General</c:formatCode>
                <c:ptCount val="5"/>
                <c:pt idx="0">
                  <c:v>11520</c:v>
                </c:pt>
                <c:pt idx="1">
                  <c:v>5600</c:v>
                </c:pt>
                <c:pt idx="2">
                  <c:v>4440</c:v>
                </c:pt>
                <c:pt idx="3">
                  <c:v>8040</c:v>
                </c:pt>
                <c:pt idx="4">
                  <c:v>10920</c:v>
                </c:pt>
              </c:numCache>
            </c:numRef>
          </c:val>
          <c:extLst>
            <c:ext xmlns:c16="http://schemas.microsoft.com/office/drawing/2014/chart" uri="{C3380CC4-5D6E-409C-BE32-E72D297353CC}">
              <c16:uniqueId val="{00000000-68AF-4ABE-9E09-22CE72BA3CFF}"/>
            </c:ext>
          </c:extLst>
        </c:ser>
        <c:ser>
          <c:idx val="1"/>
          <c:order val="1"/>
          <c:tx>
            <c:strRef>
              <c:f>Dashboard!$C$1:$C$2</c:f>
              <c:strCache>
                <c:ptCount val="1"/>
                <c:pt idx="0">
                  <c:v>Central</c:v>
                </c:pt>
              </c:strCache>
            </c:strRef>
          </c:tx>
          <c:spPr>
            <a:solidFill>
              <a:schemeClr val="accent2"/>
            </a:solidFill>
            <a:ln>
              <a:noFill/>
            </a:ln>
            <a:effectLst/>
          </c:spPr>
          <c:invertIfNegative val="0"/>
          <c:cat>
            <c:strRef>
              <c:f>Dashboard!$A$3:$A$8</c:f>
              <c:strCache>
                <c:ptCount val="5"/>
                <c:pt idx="0">
                  <c:v>Clothing</c:v>
                </c:pt>
                <c:pt idx="1">
                  <c:v>Electronics</c:v>
                </c:pt>
                <c:pt idx="2">
                  <c:v>Home &amp; Kitchen</c:v>
                </c:pt>
                <c:pt idx="3">
                  <c:v>Office Supplies</c:v>
                </c:pt>
                <c:pt idx="4">
                  <c:v>Toys</c:v>
                </c:pt>
              </c:strCache>
            </c:strRef>
          </c:cat>
          <c:val>
            <c:numRef>
              <c:f>Dashboard!$C$3:$C$8</c:f>
              <c:numCache>
                <c:formatCode>General</c:formatCode>
                <c:ptCount val="5"/>
                <c:pt idx="0">
                  <c:v>146880</c:v>
                </c:pt>
                <c:pt idx="1">
                  <c:v>132960</c:v>
                </c:pt>
                <c:pt idx="2">
                  <c:v>162000</c:v>
                </c:pt>
                <c:pt idx="3">
                  <c:v>156960</c:v>
                </c:pt>
                <c:pt idx="4">
                  <c:v>159840</c:v>
                </c:pt>
              </c:numCache>
            </c:numRef>
          </c:val>
          <c:extLst>
            <c:ext xmlns:c16="http://schemas.microsoft.com/office/drawing/2014/chart" uri="{C3380CC4-5D6E-409C-BE32-E72D297353CC}">
              <c16:uniqueId val="{00000001-68AF-4ABE-9E09-22CE72BA3CFF}"/>
            </c:ext>
          </c:extLst>
        </c:ser>
        <c:ser>
          <c:idx val="2"/>
          <c:order val="2"/>
          <c:tx>
            <c:strRef>
              <c:f>Dashboard!$D$1:$D$2</c:f>
              <c:strCache>
                <c:ptCount val="1"/>
                <c:pt idx="0">
                  <c:v>East</c:v>
                </c:pt>
              </c:strCache>
            </c:strRef>
          </c:tx>
          <c:spPr>
            <a:solidFill>
              <a:schemeClr val="accent3"/>
            </a:solidFill>
            <a:ln>
              <a:noFill/>
            </a:ln>
            <a:effectLst/>
          </c:spPr>
          <c:invertIfNegative val="0"/>
          <c:cat>
            <c:strRef>
              <c:f>Dashboard!$A$3:$A$8</c:f>
              <c:strCache>
                <c:ptCount val="5"/>
                <c:pt idx="0">
                  <c:v>Clothing</c:v>
                </c:pt>
                <c:pt idx="1">
                  <c:v>Electronics</c:v>
                </c:pt>
                <c:pt idx="2">
                  <c:v>Home &amp; Kitchen</c:v>
                </c:pt>
                <c:pt idx="3">
                  <c:v>Office Supplies</c:v>
                </c:pt>
                <c:pt idx="4">
                  <c:v>Toys</c:v>
                </c:pt>
              </c:strCache>
            </c:strRef>
          </c:cat>
          <c:val>
            <c:numRef>
              <c:f>Dashboard!$D$3:$D$8</c:f>
              <c:numCache>
                <c:formatCode>General</c:formatCode>
                <c:ptCount val="5"/>
                <c:pt idx="0">
                  <c:v>173040</c:v>
                </c:pt>
                <c:pt idx="1">
                  <c:v>165120</c:v>
                </c:pt>
                <c:pt idx="2">
                  <c:v>158640</c:v>
                </c:pt>
                <c:pt idx="3">
                  <c:v>186360</c:v>
                </c:pt>
                <c:pt idx="4">
                  <c:v>174240</c:v>
                </c:pt>
              </c:numCache>
            </c:numRef>
          </c:val>
          <c:extLst>
            <c:ext xmlns:c16="http://schemas.microsoft.com/office/drawing/2014/chart" uri="{C3380CC4-5D6E-409C-BE32-E72D297353CC}">
              <c16:uniqueId val="{00000002-68AF-4ABE-9E09-22CE72BA3CFF}"/>
            </c:ext>
          </c:extLst>
        </c:ser>
        <c:ser>
          <c:idx val="3"/>
          <c:order val="3"/>
          <c:tx>
            <c:strRef>
              <c:f>Dashboard!$E$1:$E$2</c:f>
              <c:strCache>
                <c:ptCount val="1"/>
                <c:pt idx="0">
                  <c:v>North</c:v>
                </c:pt>
              </c:strCache>
            </c:strRef>
          </c:tx>
          <c:spPr>
            <a:solidFill>
              <a:schemeClr val="accent4"/>
            </a:solidFill>
            <a:ln>
              <a:noFill/>
            </a:ln>
            <a:effectLst/>
          </c:spPr>
          <c:invertIfNegative val="0"/>
          <c:cat>
            <c:strRef>
              <c:f>Dashboard!$A$3:$A$8</c:f>
              <c:strCache>
                <c:ptCount val="5"/>
                <c:pt idx="0">
                  <c:v>Clothing</c:v>
                </c:pt>
                <c:pt idx="1">
                  <c:v>Electronics</c:v>
                </c:pt>
                <c:pt idx="2">
                  <c:v>Home &amp; Kitchen</c:v>
                </c:pt>
                <c:pt idx="3">
                  <c:v>Office Supplies</c:v>
                </c:pt>
                <c:pt idx="4">
                  <c:v>Toys</c:v>
                </c:pt>
              </c:strCache>
            </c:strRef>
          </c:cat>
          <c:val>
            <c:numRef>
              <c:f>Dashboard!$E$3:$E$8</c:f>
              <c:numCache>
                <c:formatCode>General</c:formatCode>
                <c:ptCount val="5"/>
                <c:pt idx="0">
                  <c:v>171000</c:v>
                </c:pt>
                <c:pt idx="1">
                  <c:v>146080</c:v>
                </c:pt>
                <c:pt idx="2">
                  <c:v>165720</c:v>
                </c:pt>
                <c:pt idx="3">
                  <c:v>169920</c:v>
                </c:pt>
                <c:pt idx="4">
                  <c:v>156000</c:v>
                </c:pt>
              </c:numCache>
            </c:numRef>
          </c:val>
          <c:extLst>
            <c:ext xmlns:c16="http://schemas.microsoft.com/office/drawing/2014/chart" uri="{C3380CC4-5D6E-409C-BE32-E72D297353CC}">
              <c16:uniqueId val="{00000003-68AF-4ABE-9E09-22CE72BA3CFF}"/>
            </c:ext>
          </c:extLst>
        </c:ser>
        <c:ser>
          <c:idx val="4"/>
          <c:order val="4"/>
          <c:tx>
            <c:strRef>
              <c:f>Dashboard!$F$1:$F$2</c:f>
              <c:strCache>
                <c:ptCount val="1"/>
                <c:pt idx="0">
                  <c:v>South</c:v>
                </c:pt>
              </c:strCache>
            </c:strRef>
          </c:tx>
          <c:spPr>
            <a:solidFill>
              <a:schemeClr val="accent5"/>
            </a:solidFill>
            <a:ln>
              <a:noFill/>
            </a:ln>
            <a:effectLst/>
          </c:spPr>
          <c:invertIfNegative val="0"/>
          <c:cat>
            <c:strRef>
              <c:f>Dashboard!$A$3:$A$8</c:f>
              <c:strCache>
                <c:ptCount val="5"/>
                <c:pt idx="0">
                  <c:v>Clothing</c:v>
                </c:pt>
                <c:pt idx="1">
                  <c:v>Electronics</c:v>
                </c:pt>
                <c:pt idx="2">
                  <c:v>Home &amp; Kitchen</c:v>
                </c:pt>
                <c:pt idx="3">
                  <c:v>Office Supplies</c:v>
                </c:pt>
                <c:pt idx="4">
                  <c:v>Toys</c:v>
                </c:pt>
              </c:strCache>
            </c:strRef>
          </c:cat>
          <c:val>
            <c:numRef>
              <c:f>Dashboard!$F$3:$F$8</c:f>
              <c:numCache>
                <c:formatCode>General</c:formatCode>
                <c:ptCount val="5"/>
                <c:pt idx="0">
                  <c:v>134040</c:v>
                </c:pt>
                <c:pt idx="1">
                  <c:v>159600</c:v>
                </c:pt>
                <c:pt idx="2">
                  <c:v>166320</c:v>
                </c:pt>
                <c:pt idx="3">
                  <c:v>169920</c:v>
                </c:pt>
                <c:pt idx="4">
                  <c:v>153480</c:v>
                </c:pt>
              </c:numCache>
            </c:numRef>
          </c:val>
          <c:extLst>
            <c:ext xmlns:c16="http://schemas.microsoft.com/office/drawing/2014/chart" uri="{C3380CC4-5D6E-409C-BE32-E72D297353CC}">
              <c16:uniqueId val="{00000004-68AF-4ABE-9E09-22CE72BA3CFF}"/>
            </c:ext>
          </c:extLst>
        </c:ser>
        <c:ser>
          <c:idx val="5"/>
          <c:order val="5"/>
          <c:tx>
            <c:strRef>
              <c:f>Dashboard!$G$1:$G$2</c:f>
              <c:strCache>
                <c:ptCount val="1"/>
                <c:pt idx="0">
                  <c:v>West</c:v>
                </c:pt>
              </c:strCache>
            </c:strRef>
          </c:tx>
          <c:spPr>
            <a:solidFill>
              <a:schemeClr val="accent6"/>
            </a:solidFill>
            <a:ln>
              <a:noFill/>
            </a:ln>
            <a:effectLst/>
          </c:spPr>
          <c:invertIfNegative val="0"/>
          <c:cat>
            <c:strRef>
              <c:f>Dashboard!$A$3:$A$8</c:f>
              <c:strCache>
                <c:ptCount val="5"/>
                <c:pt idx="0">
                  <c:v>Clothing</c:v>
                </c:pt>
                <c:pt idx="1">
                  <c:v>Electronics</c:v>
                </c:pt>
                <c:pt idx="2">
                  <c:v>Home &amp; Kitchen</c:v>
                </c:pt>
                <c:pt idx="3">
                  <c:v>Office Supplies</c:v>
                </c:pt>
                <c:pt idx="4">
                  <c:v>Toys</c:v>
                </c:pt>
              </c:strCache>
            </c:strRef>
          </c:cat>
          <c:val>
            <c:numRef>
              <c:f>Dashboard!$G$3:$G$8</c:f>
              <c:numCache>
                <c:formatCode>General</c:formatCode>
                <c:ptCount val="5"/>
                <c:pt idx="0">
                  <c:v>160000</c:v>
                </c:pt>
                <c:pt idx="1">
                  <c:v>164880</c:v>
                </c:pt>
                <c:pt idx="2">
                  <c:v>155160</c:v>
                </c:pt>
                <c:pt idx="3">
                  <c:v>157920</c:v>
                </c:pt>
                <c:pt idx="4">
                  <c:v>180720</c:v>
                </c:pt>
              </c:numCache>
            </c:numRef>
          </c:val>
          <c:extLst>
            <c:ext xmlns:c16="http://schemas.microsoft.com/office/drawing/2014/chart" uri="{C3380CC4-5D6E-409C-BE32-E72D297353CC}">
              <c16:uniqueId val="{00000005-68AF-4ABE-9E09-22CE72BA3CFF}"/>
            </c:ext>
          </c:extLst>
        </c:ser>
        <c:dLbls>
          <c:showLegendKey val="0"/>
          <c:showVal val="0"/>
          <c:showCatName val="0"/>
          <c:showSerName val="0"/>
          <c:showPercent val="0"/>
          <c:showBubbleSize val="0"/>
        </c:dLbls>
        <c:gapWidth val="219"/>
        <c:overlap val="-27"/>
        <c:axId val="569344728"/>
        <c:axId val="569342928"/>
      </c:barChart>
      <c:catAx>
        <c:axId val="569344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42928"/>
        <c:crosses val="autoZero"/>
        <c:auto val="1"/>
        <c:lblAlgn val="ctr"/>
        <c:lblOffset val="100"/>
        <c:noMultiLvlLbl val="0"/>
      </c:catAx>
      <c:valAx>
        <c:axId val="56934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44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199571</xdr:colOff>
      <xdr:row>0</xdr:row>
      <xdr:rowOff>108856</xdr:rowOff>
    </xdr:from>
    <xdr:to>
      <xdr:col>18</xdr:col>
      <xdr:colOff>172357</xdr:colOff>
      <xdr:row>17</xdr:row>
      <xdr:rowOff>44449</xdr:rowOff>
    </xdr:to>
    <xdr:graphicFrame macro="">
      <xdr:nvGraphicFramePr>
        <xdr:cNvPr id="2" name="Chart 1">
          <a:extLst>
            <a:ext uri="{FF2B5EF4-FFF2-40B4-BE49-F238E27FC236}">
              <a16:creationId xmlns:a16="http://schemas.microsoft.com/office/drawing/2014/main" id="{B9CCE48C-592B-7EDB-D8FF-05357DB68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2.67470625" createdVersion="8" refreshedVersion="8" minRefreshableVersion="3" recordCount="3300" xr:uid="{23F70F51-CEF8-47CE-8923-3F8ADD845309}">
  <cacheSource type="worksheet">
    <worksheetSource ref="A2:Q3302" sheet="Clean_Data"/>
  </cacheSource>
  <cacheFields count="17">
    <cacheField name="Order ID" numFmtId="0">
      <sharedItems/>
    </cacheField>
    <cacheField name="Order Date" numFmtId="14">
      <sharedItems containsSemiMixedTypes="0" containsNonDate="0" containsDate="1" containsString="0" minDate="2024-01-01T00:00:00" maxDate="2024-12-31T00:00:00"/>
    </cacheField>
    <cacheField name="Year" numFmtId="0">
      <sharedItems containsSemiMixedTypes="0" containsString="0" containsNumber="1" containsInteger="1" minValue="2024" maxValue="2024"/>
    </cacheField>
    <cacheField name="Month Name" numFmtId="14">
      <sharedItems/>
    </cacheField>
    <cacheField name="Day of Week" numFmtId="14">
      <sharedItems/>
    </cacheField>
    <cacheField name="Customer ID" numFmtId="0">
      <sharedItems/>
    </cacheField>
    <cacheField name="Product_ID" numFmtId="0">
      <sharedItems/>
    </cacheField>
    <cacheField name="Segment" numFmtId="0">
      <sharedItems containsBlank="1"/>
    </cacheField>
    <cacheField name="North" numFmtId="0">
      <sharedItems/>
    </cacheField>
    <cacheField name="Region" numFmtId="0">
      <sharedItems count="6">
        <s v="North"/>
        <s v=" Central "/>
        <s v="West"/>
        <s v="East"/>
        <s v="South"/>
        <s v="Central"/>
      </sharedItems>
    </cacheField>
    <cacheField name="Category" numFmtId="0">
      <sharedItems count="5">
        <s v="Electronics"/>
        <s v="Toys"/>
        <s v="Clothing"/>
        <s v="Home &amp; Kitchen"/>
        <s v="Office Supplies"/>
      </sharedItems>
    </cacheField>
    <cacheField name="Quantity" numFmtId="0">
      <sharedItems containsSemiMixedTypes="0" containsString="0" containsNumber="1" containsInteger="1" minValue="1" maxValue="20"/>
    </cacheField>
    <cacheField name="Product_Cost" numFmtId="0">
      <sharedItems containsSemiMixedTypes="0" containsString="0" containsNumber="1" containsInteger="1" minValue="80" maxValue="200"/>
    </cacheField>
    <cacheField name="Sales" numFmtId="0">
      <sharedItems containsSemiMixedTypes="0" containsString="0" containsNumber="1" containsInteger="1" minValue="120" maxValue="2400"/>
    </cacheField>
    <cacheField name="Discounted Amount" numFmtId="0">
      <sharedItems containsSemiMixedTypes="0" containsString="0" containsNumber="1" containsInteger="1" minValue="12" maxValue="240"/>
    </cacheField>
    <cacheField name="Order Status" numFmtId="0">
      <sharedItems/>
    </cacheField>
    <cacheField name="Order Day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0">
  <r>
    <s v="ORD-1000"/>
    <d v="2024-11-23T00:00:00"/>
    <n v="2024"/>
    <s v="Nov"/>
    <s v="Sat"/>
    <s v="CUST-106"/>
    <s v="PROD-003"/>
    <s v="Consumer"/>
    <s v="Central"/>
    <x v="0"/>
    <x v="0"/>
    <n v="4"/>
    <n v="100"/>
    <n v="400"/>
    <n v="40"/>
    <s v="Standard Order"/>
    <s v="Weekend"/>
  </r>
  <r>
    <s v="ORD-1001"/>
    <d v="2024-12-12T00:00:00"/>
    <n v="2024"/>
    <s v="Dec"/>
    <s v="Thu"/>
    <s v="CUST-113"/>
    <s v="PROD-005"/>
    <s v="Corporate"/>
    <s v="Central"/>
    <x v="1"/>
    <x v="0"/>
    <n v="1"/>
    <n v="200"/>
    <n v="200"/>
    <n v="20"/>
    <s v="Standard Order"/>
    <s v="Weekday"/>
  </r>
  <r>
    <s v="ORD-1002"/>
    <d v="2024-04-29T00:00:00"/>
    <n v="2024"/>
    <s v="Apr"/>
    <s v="Mon"/>
    <s v="CUST-144"/>
    <s v="PROD-021"/>
    <s v="Home Office"/>
    <s v="West"/>
    <x v="1"/>
    <x v="1"/>
    <n v="4"/>
    <n v="150"/>
    <n v="600"/>
    <n v="60"/>
    <s v="Large Order"/>
    <s v="Weekday"/>
  </r>
  <r>
    <s v="ORD-1003"/>
    <d v="2024-10-06T00:00:00"/>
    <n v="2024"/>
    <s v="Oct"/>
    <s v="Sun"/>
    <s v="CUST-100"/>
    <s v="PROD-009"/>
    <s v="Home Office"/>
    <s v="West"/>
    <x v="2"/>
    <x v="2"/>
    <n v="5"/>
    <n v="80"/>
    <n v="400"/>
    <n v="40"/>
    <s v="Standard Order"/>
    <s v="Weekend"/>
  </r>
  <r>
    <s v="ORD-1004"/>
    <d v="2024-03-22T00:00:00"/>
    <n v="2024"/>
    <s v="Mar"/>
    <s v="Fri"/>
    <s v="CUST-121"/>
    <s v="PROD-013"/>
    <s v="Consumer"/>
    <s v="North"/>
    <x v="2"/>
    <x v="3"/>
    <n v="4"/>
    <n v="120"/>
    <n v="480"/>
    <n v="48"/>
    <s v="Standard Order"/>
    <s v="Weekday"/>
  </r>
  <r>
    <s v="ORD-1005"/>
    <d v="2024-02-22T00:00:00"/>
    <n v="2024"/>
    <s v="Feb"/>
    <s v="Thu"/>
    <s v="CUST-116"/>
    <s v="PROD-016"/>
    <s v="Corporate"/>
    <s v="West"/>
    <x v="0"/>
    <x v="4"/>
    <n v="14"/>
    <n v="120"/>
    <n v="1680"/>
    <n v="168"/>
    <s v="Large Order"/>
    <s v="Weekday"/>
  </r>
  <r>
    <s v="ORD-1006"/>
    <d v="2024-01-23T00:00:00"/>
    <n v="2024"/>
    <s v="Jan"/>
    <s v="Tue"/>
    <s v="CUST-140"/>
    <s v="PROD-021"/>
    <s v="Corporate"/>
    <s v="East"/>
    <x v="2"/>
    <x v="1"/>
    <n v="2"/>
    <n v="120"/>
    <n v="240"/>
    <n v="24"/>
    <s v="Standard Order"/>
    <s v="Weekday"/>
  </r>
  <r>
    <s v="ORD-1007"/>
    <d v="2024-11-12T00:00:00"/>
    <n v="2024"/>
    <s v="Nov"/>
    <s v="Tue"/>
    <s v="CUST-114"/>
    <s v="PROD-022"/>
    <s v="Home Office"/>
    <s v="North"/>
    <x v="3"/>
    <x v="1"/>
    <n v="2"/>
    <n v="120"/>
    <n v="240"/>
    <n v="24"/>
    <s v="Standard Order"/>
    <s v="Weekday"/>
  </r>
  <r>
    <s v="ORD-1008"/>
    <d v="2024-05-28T00:00:00"/>
    <n v="2024"/>
    <s v="May"/>
    <s v="Tue"/>
    <s v="CUST-123"/>
    <s v="PROD-006"/>
    <s v="Corporate"/>
    <s v="East"/>
    <x v="0"/>
    <x v="2"/>
    <n v="5"/>
    <n v="120"/>
    <n v="600"/>
    <n v="60"/>
    <s v="Large Order"/>
    <s v="Weekday"/>
  </r>
  <r>
    <s v="ORD-1009"/>
    <d v="2024-03-24T00:00:00"/>
    <n v="2024"/>
    <s v="Mar"/>
    <s v="Sun"/>
    <s v="CUST-143"/>
    <s v="PROD-012"/>
    <s v="Home Office"/>
    <s v="North"/>
    <x v="3"/>
    <x v="3"/>
    <n v="5"/>
    <n v="120"/>
    <n v="600"/>
    <n v="60"/>
    <s v="Large Order"/>
    <s v="Weekend"/>
  </r>
  <r>
    <s v="ORD-1010"/>
    <d v="2024-11-27T00:00:00"/>
    <n v="2024"/>
    <s v="Nov"/>
    <s v="Wed"/>
    <s v="CUST-129"/>
    <s v="PROD-022"/>
    <s v="Home Office"/>
    <s v="East"/>
    <x v="0"/>
    <x v="1"/>
    <n v="12"/>
    <n v="120"/>
    <n v="1440"/>
    <n v="144"/>
    <s v="Large Order"/>
    <s v="Weekday"/>
  </r>
  <r>
    <s v="ORD-1011"/>
    <d v="2024-07-13T00:00:00"/>
    <n v="2024"/>
    <s v="Jul"/>
    <s v="Sat"/>
    <s v="CUST-149"/>
    <s v="PROD-022"/>
    <s v="Home Office"/>
    <s v="South"/>
    <x v="3"/>
    <x v="1"/>
    <n v="6"/>
    <n v="120"/>
    <n v="720"/>
    <n v="72"/>
    <s v="Large Order"/>
    <s v="Weekend"/>
  </r>
  <r>
    <s v="ORD-1012"/>
    <d v="2024-01-29T00:00:00"/>
    <n v="2024"/>
    <s v="Jan"/>
    <s v="Mon"/>
    <s v="CUST-136"/>
    <s v="PROD-003"/>
    <s v="Corporate"/>
    <s v="South"/>
    <x v="4"/>
    <x v="0"/>
    <n v="5"/>
    <n v="120"/>
    <n v="600"/>
    <n v="60"/>
    <s v="Large Order"/>
    <s v="Weekday"/>
  </r>
  <r>
    <s v="ORD-1013"/>
    <d v="2024-06-10T00:00:00"/>
    <n v="2024"/>
    <s v="Jun"/>
    <s v="Mon"/>
    <s v="CUST-108"/>
    <s v="PROD-019"/>
    <s v="Home Office"/>
    <s v="Central"/>
    <x v="4"/>
    <x v="4"/>
    <n v="8"/>
    <n v="120"/>
    <n v="960"/>
    <n v="96"/>
    <s v="Large Order"/>
    <s v="Weekday"/>
  </r>
  <r>
    <s v="ORD-1014"/>
    <d v="2024-05-06T00:00:00"/>
    <n v="2024"/>
    <s v="May"/>
    <s v="Mon"/>
    <s v="CUST-137"/>
    <s v="PROD-023"/>
    <s v="Home Office"/>
    <s v="East"/>
    <x v="1"/>
    <x v="1"/>
    <n v="10"/>
    <n v="120"/>
    <n v="1200"/>
    <n v="120"/>
    <s v="Large Order"/>
    <s v="Weekday"/>
  </r>
  <r>
    <s v="ORD-1015"/>
    <d v="2024-07-23T00:00:00"/>
    <n v="2024"/>
    <s v="Jul"/>
    <s v="Tue"/>
    <s v="CUST-103"/>
    <s v="PROD-007"/>
    <s v="Home Office"/>
    <s v="South"/>
    <x v="3"/>
    <x v="2"/>
    <n v="8"/>
    <n v="120"/>
    <n v="960"/>
    <n v="96"/>
    <s v="Large Order"/>
    <s v="Weekday"/>
  </r>
  <r>
    <s v="ORD-1016"/>
    <d v="2024-02-26T00:00:00"/>
    <n v="2024"/>
    <s v="Feb"/>
    <s v="Mon"/>
    <s v="CUST-138"/>
    <s v="PROD-009"/>
    <s v="Home Office"/>
    <s v="Central"/>
    <x v="4"/>
    <x v="2"/>
    <n v="2"/>
    <n v="120"/>
    <n v="240"/>
    <n v="24"/>
    <s v="Standard Order"/>
    <s v="Weekday"/>
  </r>
  <r>
    <s v="ORD-1017"/>
    <d v="2024-08-27T00:00:00"/>
    <n v="2024"/>
    <s v="Aug"/>
    <s v="Tue"/>
    <s v="CUST-143"/>
    <s v="PROD-015"/>
    <s v="Consumer"/>
    <s v="East"/>
    <x v="1"/>
    <x v="3"/>
    <n v="11"/>
    <n v="120"/>
    <n v="1320"/>
    <n v="132"/>
    <s v="Large Order"/>
    <s v="Weekday"/>
  </r>
  <r>
    <s v="ORD-1018"/>
    <d v="2024-10-01T00:00:00"/>
    <n v="2024"/>
    <s v="Oct"/>
    <s v="Tue"/>
    <s v="CUST-100"/>
    <s v="PROD-011"/>
    <s v="Corporate"/>
    <s v="Central"/>
    <x v="3"/>
    <x v="3"/>
    <n v="7"/>
    <n v="120"/>
    <n v="840"/>
    <n v="84"/>
    <s v="Large Order"/>
    <s v="Weekday"/>
  </r>
  <r>
    <s v="ORD-1019"/>
    <d v="2024-05-14T00:00:00"/>
    <n v="2024"/>
    <s v="May"/>
    <s v="Tue"/>
    <s v="CUST-140"/>
    <s v="PROD-010"/>
    <s v="Consumer"/>
    <s v="Central"/>
    <x v="1"/>
    <x v="2"/>
    <n v="14"/>
    <n v="120"/>
    <n v="1680"/>
    <n v="168"/>
    <s v="Large Order"/>
    <s v="Weekday"/>
  </r>
  <r>
    <s v="ORD-1020"/>
    <d v="2024-09-16T00:00:00"/>
    <n v="2024"/>
    <s v="Sep"/>
    <s v="Mon"/>
    <s v="CUST-149"/>
    <s v="PROD-007"/>
    <s v="Corporate"/>
    <s v="North"/>
    <x v="1"/>
    <x v="2"/>
    <n v="13"/>
    <n v="120"/>
    <n v="1560"/>
    <n v="156"/>
    <s v="Large Order"/>
    <s v="Weekday"/>
  </r>
  <r>
    <s v="ORD-1021"/>
    <d v="2024-09-28T00:00:00"/>
    <n v="2024"/>
    <s v="Sep"/>
    <s v="Sat"/>
    <s v="CUST-123"/>
    <s v="PROD-023"/>
    <s v="Corporate"/>
    <s v="South"/>
    <x v="0"/>
    <x v="1"/>
    <n v="1"/>
    <n v="120"/>
    <n v="120"/>
    <n v="12"/>
    <s v="Standard Order"/>
    <s v="Weekend"/>
  </r>
  <r>
    <s v="ORD-1022"/>
    <d v="2024-06-06T00:00:00"/>
    <n v="2024"/>
    <s v="Jun"/>
    <s v="Thu"/>
    <s v="CUST-131"/>
    <s v="PROD-002"/>
    <s v="Home Office"/>
    <s v="Central"/>
    <x v="4"/>
    <x v="0"/>
    <n v="2"/>
    <n v="120"/>
    <n v="240"/>
    <n v="24"/>
    <s v="Standard Order"/>
    <s v="Weekday"/>
  </r>
  <r>
    <s v="ORD-1023"/>
    <d v="2024-02-05T00:00:00"/>
    <n v="2024"/>
    <s v="Feb"/>
    <s v="Mon"/>
    <s v="CUST-110"/>
    <s v="PROD-007"/>
    <s v="Home Office"/>
    <s v="Central"/>
    <x v="1"/>
    <x v="2"/>
    <n v="8"/>
    <n v="120"/>
    <n v="960"/>
    <n v="96"/>
    <s v="Large Order"/>
    <s v="Weekday"/>
  </r>
  <r>
    <s v="ORD-1024"/>
    <d v="2024-05-15T00:00:00"/>
    <n v="2024"/>
    <s v="May"/>
    <s v="Wed"/>
    <s v="CUST-146"/>
    <s v="PROD-024"/>
    <s v="Consumer"/>
    <s v="South"/>
    <x v="1"/>
    <x v="1"/>
    <n v="15"/>
    <n v="120"/>
    <n v="1800"/>
    <n v="180"/>
    <s v="Large Order"/>
    <s v="Weekday"/>
  </r>
  <r>
    <s v="ORD-1025"/>
    <d v="2024-12-19T00:00:00"/>
    <n v="2024"/>
    <s v="Dec"/>
    <s v="Thu"/>
    <s v="CUST-133"/>
    <s v="PROD-014"/>
    <s v="Home Office"/>
    <s v="North"/>
    <x v="4"/>
    <x v="3"/>
    <n v="11"/>
    <n v="120"/>
    <n v="1320"/>
    <n v="132"/>
    <s v="Large Order"/>
    <s v="Weekday"/>
  </r>
  <r>
    <s v="ORD-1026"/>
    <d v="2024-08-19T00:00:00"/>
    <n v="2024"/>
    <s v="Aug"/>
    <s v="Mon"/>
    <s v="CUST-135"/>
    <s v="PROD-007"/>
    <s v="Consumer"/>
    <s v="Central"/>
    <x v="0"/>
    <x v="2"/>
    <n v="6"/>
    <n v="120"/>
    <n v="720"/>
    <n v="72"/>
    <s v="Large Order"/>
    <s v="Weekday"/>
  </r>
  <r>
    <s v="ORD-1027"/>
    <d v="2024-04-27T00:00:00"/>
    <n v="2024"/>
    <s v="Apr"/>
    <s v="Sat"/>
    <s v="CUST-114"/>
    <s v="PROD-006"/>
    <s v="Consumer"/>
    <s v="North"/>
    <x v="1"/>
    <x v="2"/>
    <n v="12"/>
    <n v="120"/>
    <n v="1440"/>
    <n v="144"/>
    <s v="Large Order"/>
    <s v="Weekend"/>
  </r>
  <r>
    <s v="ORD-1028"/>
    <d v="2024-02-04T00:00:00"/>
    <n v="2024"/>
    <s v="Feb"/>
    <s v="Sun"/>
    <s v="CUST-131"/>
    <s v="PROD-011"/>
    <s v="Home Office"/>
    <s v="Central"/>
    <x v="0"/>
    <x v="3"/>
    <n v="4"/>
    <n v="120"/>
    <n v="480"/>
    <n v="48"/>
    <s v="Standard Order"/>
    <s v="Weekend"/>
  </r>
  <r>
    <s v="ORD-1029"/>
    <d v="2024-04-19T00:00:00"/>
    <n v="2024"/>
    <s v="Apr"/>
    <s v="Fri"/>
    <s v="CUST-130"/>
    <s v="PROD-010"/>
    <s v="Home Office"/>
    <s v="South"/>
    <x v="1"/>
    <x v="2"/>
    <n v="8"/>
    <n v="120"/>
    <n v="960"/>
    <n v="96"/>
    <s v="Large Order"/>
    <s v="Weekday"/>
  </r>
  <r>
    <s v="ORD-1030"/>
    <d v="2024-07-27T00:00:00"/>
    <n v="2024"/>
    <s v="Jul"/>
    <s v="Sat"/>
    <s v="CUST-126"/>
    <s v="PROD-001"/>
    <s v="Home Office"/>
    <s v="North"/>
    <x v="4"/>
    <x v="0"/>
    <n v="7"/>
    <n v="120"/>
    <n v="840"/>
    <n v="84"/>
    <s v="Large Order"/>
    <s v="Weekend"/>
  </r>
  <r>
    <s v="ORD-1031"/>
    <d v="2024-08-27T00:00:00"/>
    <n v="2024"/>
    <s v="Aug"/>
    <s v="Tue"/>
    <s v="CUST-106"/>
    <s v="PROD-001"/>
    <s v="Corporate"/>
    <s v="South"/>
    <x v="0"/>
    <x v="0"/>
    <n v="12"/>
    <n v="120"/>
    <n v="1440"/>
    <n v="144"/>
    <s v="Large Order"/>
    <s v="Weekday"/>
  </r>
  <r>
    <s v="ORD-1032"/>
    <d v="2024-05-07T00:00:00"/>
    <n v="2024"/>
    <s v="May"/>
    <s v="Tue"/>
    <s v="CUST-117"/>
    <s v="PROD-010"/>
    <s v="Corporate"/>
    <s v="South"/>
    <x v="4"/>
    <x v="2"/>
    <n v="3"/>
    <n v="120"/>
    <n v="360"/>
    <n v="36"/>
    <s v="Standard Order"/>
    <s v="Weekday"/>
  </r>
  <r>
    <s v="ORD-1033"/>
    <d v="2024-08-24T00:00:00"/>
    <n v="2024"/>
    <s v="Aug"/>
    <s v="Sat"/>
    <s v="CUST-134"/>
    <s v="PROD-004"/>
    <s v="Home Office"/>
    <s v="North"/>
    <x v="4"/>
    <x v="0"/>
    <n v="2"/>
    <n v="120"/>
    <n v="240"/>
    <n v="24"/>
    <s v="Standard Order"/>
    <s v="Weekend"/>
  </r>
  <r>
    <s v="ORD-1034"/>
    <d v="2024-01-08T00:00:00"/>
    <n v="2024"/>
    <s v="Jan"/>
    <s v="Mon"/>
    <s v="CUST-125"/>
    <s v="PROD-007"/>
    <s v="Corporate"/>
    <s v="South"/>
    <x v="0"/>
    <x v="2"/>
    <n v="8"/>
    <n v="120"/>
    <n v="960"/>
    <n v="96"/>
    <s v="Large Order"/>
    <s v="Weekday"/>
  </r>
  <r>
    <s v="ORD-1035"/>
    <d v="2024-01-31T00:00:00"/>
    <n v="2024"/>
    <s v="Jan"/>
    <s v="Wed"/>
    <s v="CUST-150"/>
    <s v="PROD-016"/>
    <s v="Corporate"/>
    <s v="East"/>
    <x v="4"/>
    <x v="4"/>
    <n v="5"/>
    <n v="120"/>
    <n v="600"/>
    <n v="60"/>
    <s v="Large Order"/>
    <s v="Weekday"/>
  </r>
  <r>
    <s v="ORD-1036"/>
    <d v="2024-08-20T00:00:00"/>
    <n v="2024"/>
    <s v="Aug"/>
    <s v="Tue"/>
    <s v="CUST-112"/>
    <s v="PROD-020"/>
    <s v="Home Office"/>
    <s v="South"/>
    <x v="3"/>
    <x v="4"/>
    <n v="12"/>
    <n v="120"/>
    <n v="1440"/>
    <n v="144"/>
    <s v="Large Order"/>
    <s v="Weekday"/>
  </r>
  <r>
    <s v="ORD-1037"/>
    <d v="2024-05-31T00:00:00"/>
    <n v="2024"/>
    <s v="May"/>
    <s v="Fri"/>
    <s v="CUST-120"/>
    <s v="PROD-005"/>
    <s v="Home Office"/>
    <s v="North"/>
    <x v="4"/>
    <x v="0"/>
    <n v="9"/>
    <n v="120"/>
    <n v="1080"/>
    <n v="108"/>
    <s v="Large Order"/>
    <s v="Weekday"/>
  </r>
  <r>
    <s v="ORD-1038"/>
    <d v="2024-01-30T00:00:00"/>
    <n v="2024"/>
    <s v="Jan"/>
    <s v="Tue"/>
    <s v="CUST-110"/>
    <s v="PROD-024"/>
    <s v="Home Office"/>
    <s v="Central"/>
    <x v="0"/>
    <x v="1"/>
    <n v="15"/>
    <n v="120"/>
    <n v="1800"/>
    <n v="180"/>
    <s v="Large Order"/>
    <s v="Weekday"/>
  </r>
  <r>
    <s v="ORD-1039"/>
    <d v="2024-01-30T00:00:00"/>
    <n v="2024"/>
    <s v="Jan"/>
    <s v="Tue"/>
    <s v="CUST-115"/>
    <s v="PROD-002"/>
    <s v="Consumer"/>
    <s v="North"/>
    <x v="1"/>
    <x v="0"/>
    <n v="10"/>
    <n v="120"/>
    <n v="1200"/>
    <n v="120"/>
    <s v="Large Order"/>
    <s v="Weekday"/>
  </r>
  <r>
    <s v="ORD-1040"/>
    <d v="2024-07-25T00:00:00"/>
    <n v="2024"/>
    <s v="Jul"/>
    <s v="Thu"/>
    <s v="CUST-105"/>
    <s v="PROD-022"/>
    <s v="Home Office"/>
    <s v="Central"/>
    <x v="0"/>
    <x v="1"/>
    <n v="10"/>
    <n v="120"/>
    <n v="1200"/>
    <n v="120"/>
    <s v="Large Order"/>
    <s v="Weekday"/>
  </r>
  <r>
    <s v="ORD-1041"/>
    <d v="2024-08-02T00:00:00"/>
    <n v="2024"/>
    <s v="Aug"/>
    <s v="Fri"/>
    <s v="CUST-142"/>
    <s v="PROD-025"/>
    <s v="Corporate"/>
    <s v="South"/>
    <x v="1"/>
    <x v="1"/>
    <n v="15"/>
    <n v="120"/>
    <n v="1800"/>
    <n v="180"/>
    <s v="Large Order"/>
    <s v="Weekday"/>
  </r>
  <r>
    <s v="ORD-1042"/>
    <d v="2024-06-09T00:00:00"/>
    <n v="2024"/>
    <s v="Jun"/>
    <s v="Sun"/>
    <s v="CUST-129"/>
    <s v="PROD-014"/>
    <s v="Consumer"/>
    <s v="North"/>
    <x v="4"/>
    <x v="3"/>
    <n v="11"/>
    <n v="120"/>
    <n v="1320"/>
    <n v="132"/>
    <s v="Large Order"/>
    <s v="Weekend"/>
  </r>
  <r>
    <s v="ORD-1043"/>
    <d v="2024-06-10T00:00:00"/>
    <n v="2024"/>
    <s v="Jun"/>
    <s v="Mon"/>
    <s v="CUST-104"/>
    <s v="PROD-004"/>
    <s v="Home Office"/>
    <s v="South"/>
    <x v="0"/>
    <x v="0"/>
    <n v="10"/>
    <n v="120"/>
    <n v="1200"/>
    <n v="120"/>
    <s v="Large Order"/>
    <s v="Weekday"/>
  </r>
  <r>
    <s v="ORD-1044"/>
    <d v="2024-10-02T00:00:00"/>
    <n v="2024"/>
    <s v="Oct"/>
    <s v="Wed"/>
    <s v="CUST-104"/>
    <s v="PROD-023"/>
    <s v="Consumer"/>
    <s v="East"/>
    <x v="4"/>
    <x v="1"/>
    <n v="15"/>
    <n v="120"/>
    <n v="1800"/>
    <n v="180"/>
    <s v="Large Order"/>
    <s v="Weekday"/>
  </r>
  <r>
    <s v="ORD-1045"/>
    <d v="2024-05-05T00:00:00"/>
    <n v="2024"/>
    <s v="May"/>
    <s v="Sun"/>
    <s v="CUST-119"/>
    <s v="PROD-012"/>
    <s v="Corporate"/>
    <s v="Central"/>
    <x v="3"/>
    <x v="3"/>
    <n v="14"/>
    <n v="120"/>
    <n v="1680"/>
    <n v="168"/>
    <s v="Large Order"/>
    <s v="Weekend"/>
  </r>
  <r>
    <s v="ORD-1046"/>
    <d v="2024-11-09T00:00:00"/>
    <n v="2024"/>
    <s v="Nov"/>
    <s v="Sat"/>
    <s v="CUST-108"/>
    <s v="PROD-005"/>
    <s v="Corporate"/>
    <s v="North"/>
    <x v="1"/>
    <x v="0"/>
    <n v="15"/>
    <n v="120"/>
    <n v="1800"/>
    <n v="180"/>
    <s v="Large Order"/>
    <s v="Weekend"/>
  </r>
  <r>
    <s v="ORD-1047"/>
    <d v="2024-05-15T00:00:00"/>
    <n v="2024"/>
    <s v="May"/>
    <s v="Wed"/>
    <s v="CUST-113"/>
    <s v="PROD-005"/>
    <s v="Consumer"/>
    <s v="South"/>
    <x v="0"/>
    <x v="0"/>
    <n v="5"/>
    <n v="120"/>
    <n v="600"/>
    <n v="60"/>
    <s v="Large Order"/>
    <s v="Weekday"/>
  </r>
  <r>
    <s v="ORD-1048"/>
    <d v="2024-06-24T00:00:00"/>
    <n v="2024"/>
    <s v="Jun"/>
    <s v="Mon"/>
    <s v="CUST-103"/>
    <s v="PROD-015"/>
    <s v="Corporate"/>
    <s v="West"/>
    <x v="4"/>
    <x v="3"/>
    <n v="5"/>
    <n v="120"/>
    <n v="600"/>
    <n v="60"/>
    <s v="Large Order"/>
    <s v="Weekday"/>
  </r>
  <r>
    <s v="ORD-1049"/>
    <d v="2024-02-17T00:00:00"/>
    <n v="2024"/>
    <s v="Feb"/>
    <s v="Sat"/>
    <s v="CUST-140"/>
    <s v="PROD-011"/>
    <s v="Consumer"/>
    <s v="South"/>
    <x v="2"/>
    <x v="3"/>
    <n v="6"/>
    <n v="120"/>
    <n v="720"/>
    <n v="72"/>
    <s v="Large Order"/>
    <s v="Weekend"/>
  </r>
  <r>
    <s v="ORD-1050"/>
    <d v="2024-05-14T00:00:00"/>
    <n v="2024"/>
    <s v="May"/>
    <s v="Tue"/>
    <s v="CUST-107"/>
    <s v="PROD-020"/>
    <s v="Home Office"/>
    <s v="South"/>
    <x v="4"/>
    <x v="4"/>
    <n v="7"/>
    <n v="120"/>
    <n v="840"/>
    <n v="84"/>
    <s v="Large Order"/>
    <s v="Weekday"/>
  </r>
  <r>
    <s v="ORD-1051"/>
    <d v="2024-02-08T00:00:00"/>
    <n v="2024"/>
    <s v="Feb"/>
    <s v="Thu"/>
    <s v="CUST-127"/>
    <s v="PROD-021"/>
    <s v="Corporate"/>
    <s v="North"/>
    <x v="4"/>
    <x v="1"/>
    <n v="10"/>
    <n v="120"/>
    <n v="1200"/>
    <n v="120"/>
    <s v="Large Order"/>
    <s v="Weekday"/>
  </r>
  <r>
    <s v="ORD-1052"/>
    <d v="2024-03-06T00:00:00"/>
    <n v="2024"/>
    <s v="Mar"/>
    <s v="Wed"/>
    <s v="CUST-143"/>
    <s v="PROD-013"/>
    <s v="Consumer"/>
    <s v="North"/>
    <x v="0"/>
    <x v="3"/>
    <n v="15"/>
    <n v="120"/>
    <n v="1800"/>
    <n v="180"/>
    <s v="Large Order"/>
    <s v="Weekday"/>
  </r>
  <r>
    <s v="ORD-1053"/>
    <d v="2024-05-07T00:00:00"/>
    <n v="2024"/>
    <s v="May"/>
    <s v="Tue"/>
    <s v="CUST-115"/>
    <s v="PROD-015"/>
    <s v="Corporate"/>
    <s v="South"/>
    <x v="0"/>
    <x v="3"/>
    <n v="10"/>
    <n v="120"/>
    <n v="1200"/>
    <n v="120"/>
    <s v="Large Order"/>
    <s v="Weekday"/>
  </r>
  <r>
    <s v="ORD-1054"/>
    <d v="2024-03-24T00:00:00"/>
    <n v="2024"/>
    <s v="Mar"/>
    <s v="Sun"/>
    <s v="CUST-150"/>
    <s v="PROD-016"/>
    <s v="Consumer"/>
    <s v="South"/>
    <x v="4"/>
    <x v="4"/>
    <n v="12"/>
    <n v="120"/>
    <n v="1440"/>
    <n v="144"/>
    <s v="Large Order"/>
    <s v="Weekend"/>
  </r>
  <r>
    <s v="ORD-1055"/>
    <d v="2024-07-29T00:00:00"/>
    <n v="2024"/>
    <s v="Jul"/>
    <s v="Mon"/>
    <s v="CUST-102"/>
    <s v="PROD-012"/>
    <m/>
    <s v="South"/>
    <x v="4"/>
    <x v="3"/>
    <n v="2"/>
    <n v="120"/>
    <n v="240"/>
    <n v="24"/>
    <s v="Standard Order"/>
    <s v="Weekday"/>
  </r>
  <r>
    <s v="ORD-1056"/>
    <d v="2024-08-28T00:00:00"/>
    <n v="2024"/>
    <s v="Aug"/>
    <s v="Wed"/>
    <s v="CUST-114"/>
    <s v="PROD-009"/>
    <m/>
    <s v="North"/>
    <x v="4"/>
    <x v="2"/>
    <n v="5"/>
    <n v="120"/>
    <n v="600"/>
    <n v="60"/>
    <s v="Large Order"/>
    <s v="Weekday"/>
  </r>
  <r>
    <s v="ORD-1057"/>
    <d v="2024-04-24T00:00:00"/>
    <n v="2024"/>
    <s v="Apr"/>
    <s v="Wed"/>
    <s v="CUST-149"/>
    <s v="PROD-009"/>
    <s v="Corporate"/>
    <s v="East"/>
    <x v="0"/>
    <x v="2"/>
    <n v="5"/>
    <n v="120"/>
    <n v="600"/>
    <n v="60"/>
    <s v="Large Order"/>
    <s v="Weekday"/>
  </r>
  <r>
    <s v="ORD-1058"/>
    <d v="2024-05-22T00:00:00"/>
    <n v="2024"/>
    <s v="May"/>
    <s v="Wed"/>
    <s v="CUST-101"/>
    <s v="PROD-024"/>
    <s v="Home Office"/>
    <s v="East"/>
    <x v="3"/>
    <x v="1"/>
    <n v="14"/>
    <n v="120"/>
    <n v="1680"/>
    <n v="168"/>
    <s v="Large Order"/>
    <s v="Weekday"/>
  </r>
  <r>
    <s v="ORD-1059"/>
    <d v="2024-02-29T00:00:00"/>
    <n v="2024"/>
    <s v="Feb"/>
    <s v="Thu"/>
    <s v="CUST-127"/>
    <s v="PROD-010"/>
    <s v="Corporate"/>
    <s v="East"/>
    <x v="3"/>
    <x v="2"/>
    <n v="1"/>
    <n v="120"/>
    <n v="120"/>
    <n v="12"/>
    <s v="Standard Order"/>
    <s v="Weekday"/>
  </r>
  <r>
    <s v="ORD-1060"/>
    <d v="2024-06-25T00:00:00"/>
    <n v="2024"/>
    <s v="Jun"/>
    <s v="Tue"/>
    <s v="CUST-136"/>
    <s v="PROD-020"/>
    <s v="Home Office"/>
    <s v="East"/>
    <x v="3"/>
    <x v="4"/>
    <n v="2"/>
    <n v="120"/>
    <n v="240"/>
    <n v="24"/>
    <s v="Standard Order"/>
    <s v="Weekday"/>
  </r>
  <r>
    <s v="ORD-1061"/>
    <d v="2024-04-07T00:00:00"/>
    <n v="2024"/>
    <s v="Apr"/>
    <s v="Sun"/>
    <s v="CUST-134"/>
    <s v="PROD-004"/>
    <m/>
    <s v="South"/>
    <x v="3"/>
    <x v="0"/>
    <n v="9"/>
    <n v="120"/>
    <n v="1080"/>
    <n v="108"/>
    <s v="Large Order"/>
    <s v="Weekend"/>
  </r>
  <r>
    <s v="ORD-1062"/>
    <d v="2024-12-17T00:00:00"/>
    <n v="2024"/>
    <s v="Dec"/>
    <s v="Tue"/>
    <s v="CUST-139"/>
    <s v="PROD-014"/>
    <s v="Consumer"/>
    <s v="North"/>
    <x v="4"/>
    <x v="3"/>
    <n v="11"/>
    <n v="120"/>
    <n v="1320"/>
    <n v="132"/>
    <s v="Large Order"/>
    <s v="Weekday"/>
  </r>
  <r>
    <s v="ORD-1063"/>
    <d v="2024-06-09T00:00:00"/>
    <n v="2024"/>
    <s v="Jun"/>
    <s v="Sun"/>
    <s v="CUST-125"/>
    <s v="PROD-015"/>
    <s v="Corporate"/>
    <s v="East"/>
    <x v="0"/>
    <x v="3"/>
    <n v="11"/>
    <n v="120"/>
    <n v="1320"/>
    <n v="132"/>
    <s v="Large Order"/>
    <s v="Weekend"/>
  </r>
  <r>
    <s v="ORD-1064"/>
    <d v="2024-12-22T00:00:00"/>
    <n v="2024"/>
    <s v="Dec"/>
    <s v="Sun"/>
    <s v="CUST-124"/>
    <s v="PROD-022"/>
    <s v="Consumer"/>
    <s v="South"/>
    <x v="3"/>
    <x v="1"/>
    <n v="7"/>
    <n v="120"/>
    <n v="840"/>
    <n v="84"/>
    <s v="Large Order"/>
    <s v="Weekend"/>
  </r>
  <r>
    <s v="ORD-1065"/>
    <d v="2024-12-12T00:00:00"/>
    <n v="2024"/>
    <s v="Dec"/>
    <s v="Thu"/>
    <s v="CUST-100"/>
    <s v="PROD-025"/>
    <s v="Corporate"/>
    <s v="East"/>
    <x v="4"/>
    <x v="1"/>
    <n v="7"/>
    <n v="120"/>
    <n v="840"/>
    <n v="84"/>
    <s v="Large Order"/>
    <s v="Weekday"/>
  </r>
  <r>
    <s v="ORD-1066"/>
    <d v="2024-06-04T00:00:00"/>
    <n v="2024"/>
    <s v="Jun"/>
    <s v="Tue"/>
    <s v="CUST-129"/>
    <s v="PROD-009"/>
    <s v="Home Office"/>
    <s v="West"/>
    <x v="3"/>
    <x v="2"/>
    <n v="10"/>
    <n v="120"/>
    <n v="1200"/>
    <n v="120"/>
    <s v="Large Order"/>
    <s v="Weekday"/>
  </r>
  <r>
    <s v="ORD-1067"/>
    <d v="2024-08-14T00:00:00"/>
    <n v="2024"/>
    <s v="Aug"/>
    <s v="Wed"/>
    <s v="CUST-150"/>
    <s v="PROD-010"/>
    <s v="Corporate"/>
    <s v="North"/>
    <x v="2"/>
    <x v="2"/>
    <n v="13"/>
    <n v="120"/>
    <n v="1560"/>
    <n v="156"/>
    <s v="Large Order"/>
    <s v="Weekday"/>
  </r>
  <r>
    <s v="ORD-1068"/>
    <d v="2024-03-27T00:00:00"/>
    <n v="2024"/>
    <s v="Mar"/>
    <s v="Wed"/>
    <s v="CUST-105"/>
    <s v="PROD-015"/>
    <s v="Home Office"/>
    <s v="East"/>
    <x v="0"/>
    <x v="3"/>
    <n v="11"/>
    <n v="120"/>
    <n v="1320"/>
    <n v="132"/>
    <s v="Large Order"/>
    <s v="Weekday"/>
  </r>
  <r>
    <s v="ORD-1069"/>
    <d v="2024-04-30T00:00:00"/>
    <n v="2024"/>
    <s v="Apr"/>
    <s v="Tue"/>
    <s v="CUST-130"/>
    <s v="PROD-007"/>
    <s v="Consumer"/>
    <s v="North"/>
    <x v="3"/>
    <x v="2"/>
    <n v="1"/>
    <n v="120"/>
    <n v="120"/>
    <n v="12"/>
    <s v="Standard Order"/>
    <s v="Weekday"/>
  </r>
  <r>
    <s v="ORD-1070"/>
    <d v="2024-11-08T00:00:00"/>
    <n v="2024"/>
    <s v="Nov"/>
    <s v="Fri"/>
    <s v="CUST-144"/>
    <s v="PROD-019"/>
    <s v="Home Office"/>
    <s v="West"/>
    <x v="0"/>
    <x v="4"/>
    <n v="10"/>
    <n v="120"/>
    <n v="1200"/>
    <n v="120"/>
    <s v="Large Order"/>
    <s v="Weekday"/>
  </r>
  <r>
    <s v="ORD-1071"/>
    <d v="2024-07-15T00:00:00"/>
    <n v="2024"/>
    <s v="Jul"/>
    <s v="Mon"/>
    <s v="CUST-148"/>
    <s v="PROD-017"/>
    <s v="Consumer"/>
    <s v="West"/>
    <x v="2"/>
    <x v="4"/>
    <n v="11"/>
    <n v="120"/>
    <n v="1320"/>
    <n v="132"/>
    <s v="Large Order"/>
    <s v="Weekday"/>
  </r>
  <r>
    <s v="ORD-1072"/>
    <d v="2024-02-24T00:00:00"/>
    <n v="2024"/>
    <s v="Feb"/>
    <s v="Sat"/>
    <s v="CUST-135"/>
    <s v="PROD-007"/>
    <s v="Home Office"/>
    <s v="North"/>
    <x v="2"/>
    <x v="2"/>
    <n v="9"/>
    <n v="120"/>
    <n v="1080"/>
    <n v="108"/>
    <s v="Large Order"/>
    <s v="Weekend"/>
  </r>
  <r>
    <s v="ORD-1073"/>
    <d v="2024-05-07T00:00:00"/>
    <n v="2024"/>
    <s v="May"/>
    <s v="Tue"/>
    <s v="CUST-135"/>
    <s v="PROD-017"/>
    <s v="Corporate"/>
    <s v="East"/>
    <x v="0"/>
    <x v="4"/>
    <n v="11"/>
    <n v="120"/>
    <n v="1320"/>
    <n v="132"/>
    <s v="Large Order"/>
    <s v="Weekday"/>
  </r>
  <r>
    <s v="ORD-1074"/>
    <d v="2024-10-31T00:00:00"/>
    <n v="2024"/>
    <s v="Oct"/>
    <s v="Thu"/>
    <s v="CUST-135"/>
    <s v="PROD-020"/>
    <s v="Home Office"/>
    <s v="South"/>
    <x v="3"/>
    <x v="4"/>
    <n v="15"/>
    <n v="120"/>
    <n v="1800"/>
    <n v="180"/>
    <s v="Large Order"/>
    <s v="Weekday"/>
  </r>
  <r>
    <s v="ORD-1075"/>
    <d v="2024-08-16T00:00:00"/>
    <n v="2024"/>
    <s v="Aug"/>
    <s v="Fri"/>
    <s v="CUST-140"/>
    <s v="PROD-019"/>
    <s v="Corporate"/>
    <s v="Central"/>
    <x v="4"/>
    <x v="4"/>
    <n v="13"/>
    <n v="120"/>
    <n v="1560"/>
    <n v="156"/>
    <s v="Large Order"/>
    <s v="Weekday"/>
  </r>
  <r>
    <s v="ORD-1076"/>
    <d v="2024-05-21T00:00:00"/>
    <n v="2024"/>
    <s v="May"/>
    <s v="Tue"/>
    <s v="CUST-118"/>
    <s v="PROD-017"/>
    <s v="Corporate"/>
    <s v="East"/>
    <x v="1"/>
    <x v="4"/>
    <n v="8"/>
    <n v="120"/>
    <n v="960"/>
    <n v="96"/>
    <s v="Large Order"/>
    <s v="Weekday"/>
  </r>
  <r>
    <s v="ORD-1077"/>
    <d v="2024-04-30T00:00:00"/>
    <n v="2024"/>
    <s v="Apr"/>
    <s v="Tue"/>
    <s v="CUST-114"/>
    <s v="PROD-013"/>
    <s v="Home Office"/>
    <s v="South"/>
    <x v="3"/>
    <x v="3"/>
    <n v="2"/>
    <n v="120"/>
    <n v="240"/>
    <n v="24"/>
    <s v="Standard Order"/>
    <s v="Weekday"/>
  </r>
  <r>
    <s v="ORD-1078"/>
    <d v="2024-07-15T00:00:00"/>
    <n v="2024"/>
    <s v="Jul"/>
    <s v="Mon"/>
    <s v="CUST-129"/>
    <s v="PROD-006"/>
    <s v="Corporate"/>
    <s v="North"/>
    <x v="4"/>
    <x v="2"/>
    <n v="7"/>
    <n v="120"/>
    <n v="840"/>
    <n v="84"/>
    <s v="Large Order"/>
    <s v="Weekday"/>
  </r>
  <r>
    <s v="ORD-1079"/>
    <d v="2024-07-31T00:00:00"/>
    <n v="2024"/>
    <s v="Jul"/>
    <s v="Wed"/>
    <s v="CUST-144"/>
    <s v="PROD-009"/>
    <s v="Corporate"/>
    <s v="Central"/>
    <x v="0"/>
    <x v="2"/>
    <n v="15"/>
    <n v="120"/>
    <n v="1800"/>
    <n v="180"/>
    <s v="Large Order"/>
    <s v="Weekday"/>
  </r>
  <r>
    <s v="ORD-1080"/>
    <d v="2024-01-11T00:00:00"/>
    <n v="2024"/>
    <s v="Jan"/>
    <s v="Thu"/>
    <s v="CUST-124"/>
    <s v="PROD-019"/>
    <s v="Consumer"/>
    <s v="Central"/>
    <x v="1"/>
    <x v="4"/>
    <n v="6"/>
    <n v="120"/>
    <n v="720"/>
    <n v="72"/>
    <s v="Large Order"/>
    <s v="Weekday"/>
  </r>
  <r>
    <s v="ORD-1081"/>
    <d v="2024-08-02T00:00:00"/>
    <n v="2024"/>
    <s v="Aug"/>
    <s v="Fri"/>
    <s v="CUST-127"/>
    <s v="PROD-025"/>
    <s v="Consumer"/>
    <s v="North"/>
    <x v="1"/>
    <x v="1"/>
    <n v="8"/>
    <n v="120"/>
    <n v="960"/>
    <n v="96"/>
    <s v="Large Order"/>
    <s v="Weekday"/>
  </r>
  <r>
    <s v="ORD-1082"/>
    <d v="2024-09-05T00:00:00"/>
    <n v="2024"/>
    <s v="Sep"/>
    <s v="Thu"/>
    <s v="CUST-146"/>
    <s v="PROD-018"/>
    <s v="Home Office"/>
    <s v="West"/>
    <x v="0"/>
    <x v="4"/>
    <n v="11"/>
    <n v="120"/>
    <n v="1320"/>
    <n v="132"/>
    <s v="Large Order"/>
    <s v="Weekday"/>
  </r>
  <r>
    <s v="ORD-1083"/>
    <d v="2024-03-25T00:00:00"/>
    <n v="2024"/>
    <s v="Mar"/>
    <s v="Mon"/>
    <s v="CUST-137"/>
    <s v="PROD-010"/>
    <s v="Home Office"/>
    <s v="North"/>
    <x v="2"/>
    <x v="2"/>
    <n v="1"/>
    <n v="120"/>
    <n v="120"/>
    <n v="12"/>
    <s v="Standard Order"/>
    <s v="Weekday"/>
  </r>
  <r>
    <s v="ORD-1084"/>
    <d v="2024-10-15T00:00:00"/>
    <n v="2024"/>
    <s v="Oct"/>
    <s v="Tue"/>
    <s v="CUST-103"/>
    <s v="PROD-004"/>
    <s v="Consumer"/>
    <s v="West"/>
    <x v="0"/>
    <x v="0"/>
    <n v="14"/>
    <n v="120"/>
    <n v="1680"/>
    <n v="168"/>
    <s v="Large Order"/>
    <s v="Weekday"/>
  </r>
  <r>
    <s v="ORD-1085"/>
    <d v="2024-05-13T00:00:00"/>
    <n v="2024"/>
    <s v="May"/>
    <s v="Mon"/>
    <s v="CUST-124"/>
    <s v="PROD-012"/>
    <s v="Corporate"/>
    <s v="West"/>
    <x v="2"/>
    <x v="3"/>
    <n v="6"/>
    <n v="120"/>
    <n v="720"/>
    <n v="72"/>
    <s v="Large Order"/>
    <s v="Weekday"/>
  </r>
  <r>
    <s v="ORD-1086"/>
    <d v="2024-05-22T00:00:00"/>
    <n v="2024"/>
    <s v="May"/>
    <s v="Wed"/>
    <s v="CUST-103"/>
    <s v="PROD-011"/>
    <s v="Corporate"/>
    <s v="South"/>
    <x v="2"/>
    <x v="3"/>
    <n v="1"/>
    <n v="120"/>
    <n v="120"/>
    <n v="12"/>
    <s v="Standard Order"/>
    <s v="Weekday"/>
  </r>
  <r>
    <s v="ORD-1087"/>
    <d v="2024-06-28T00:00:00"/>
    <n v="2024"/>
    <s v="Jun"/>
    <s v="Fri"/>
    <s v="CUST-101"/>
    <s v="PROD-001"/>
    <s v="Consumer"/>
    <s v="South"/>
    <x v="4"/>
    <x v="0"/>
    <n v="4"/>
    <n v="120"/>
    <n v="480"/>
    <n v="48"/>
    <s v="Standard Order"/>
    <s v="Weekday"/>
  </r>
  <r>
    <s v="ORD-1088"/>
    <d v="2024-11-14T00:00:00"/>
    <n v="2024"/>
    <s v="Nov"/>
    <s v="Thu"/>
    <s v="CUST-113"/>
    <s v="PROD-007"/>
    <s v="Corporate"/>
    <s v="East"/>
    <x v="4"/>
    <x v="2"/>
    <n v="11"/>
    <n v="120"/>
    <n v="1320"/>
    <n v="132"/>
    <s v="Large Order"/>
    <s v="Weekday"/>
  </r>
  <r>
    <s v="ORD-1089"/>
    <d v="2024-08-26T00:00:00"/>
    <n v="2024"/>
    <s v="Aug"/>
    <s v="Mon"/>
    <s v="CUST-145"/>
    <s v="PROD-012"/>
    <s v="Home Office"/>
    <s v="South"/>
    <x v="3"/>
    <x v="3"/>
    <n v="10"/>
    <n v="120"/>
    <n v="1200"/>
    <n v="120"/>
    <s v="Large Order"/>
    <s v="Weekday"/>
  </r>
  <r>
    <s v="ORD-1090"/>
    <d v="2024-02-28T00:00:00"/>
    <n v="2024"/>
    <s v="Feb"/>
    <s v="Wed"/>
    <s v="CUST-136"/>
    <s v="PROD-011"/>
    <s v="Home Office"/>
    <s v="West"/>
    <x v="4"/>
    <x v="3"/>
    <n v="1"/>
    <n v="120"/>
    <n v="120"/>
    <n v="12"/>
    <s v="Standard Order"/>
    <s v="Weekday"/>
  </r>
  <r>
    <s v="ORD-1091"/>
    <d v="2024-12-12T00:00:00"/>
    <n v="2024"/>
    <s v="Dec"/>
    <s v="Thu"/>
    <s v="CUST-140"/>
    <s v="PROD-017"/>
    <s v="Consumer"/>
    <s v="North"/>
    <x v="2"/>
    <x v="4"/>
    <n v="10"/>
    <n v="120"/>
    <n v="1200"/>
    <n v="120"/>
    <s v="Large Order"/>
    <s v="Weekday"/>
  </r>
  <r>
    <s v="ORD-1092"/>
    <d v="2024-05-04T00:00:00"/>
    <n v="2024"/>
    <s v="May"/>
    <s v="Sat"/>
    <s v="CUST-150"/>
    <s v="PROD-015"/>
    <s v="Consumer"/>
    <s v="East"/>
    <x v="0"/>
    <x v="3"/>
    <n v="13"/>
    <n v="120"/>
    <n v="1560"/>
    <n v="156"/>
    <s v="Large Order"/>
    <s v="Weekend"/>
  </r>
  <r>
    <s v="ORD-1093"/>
    <d v="2024-01-22T00:00:00"/>
    <n v="2024"/>
    <s v="Jan"/>
    <s v="Mon"/>
    <s v="CUST-141"/>
    <s v="PROD-024"/>
    <s v="Home Office"/>
    <s v="North"/>
    <x v="3"/>
    <x v="1"/>
    <n v="6"/>
    <n v="120"/>
    <n v="720"/>
    <n v="72"/>
    <s v="Large Order"/>
    <s v="Weekday"/>
  </r>
  <r>
    <s v="ORD-1094"/>
    <d v="2024-06-23T00:00:00"/>
    <n v="2024"/>
    <s v="Jun"/>
    <s v="Sun"/>
    <s v="CUST-140"/>
    <s v="PROD-019"/>
    <s v="Consumer"/>
    <s v="South"/>
    <x v="0"/>
    <x v="4"/>
    <n v="7"/>
    <n v="120"/>
    <n v="840"/>
    <n v="84"/>
    <s v="Large Order"/>
    <s v="Weekend"/>
  </r>
  <r>
    <s v="ORD-1095"/>
    <d v="2024-08-23T00:00:00"/>
    <n v="2024"/>
    <s v="Aug"/>
    <s v="Fri"/>
    <s v="CUST-117"/>
    <s v="PROD-017"/>
    <s v="Home Office"/>
    <s v="Central"/>
    <x v="4"/>
    <x v="4"/>
    <n v="9"/>
    <n v="120"/>
    <n v="1080"/>
    <n v="108"/>
    <s v="Large Order"/>
    <s v="Weekday"/>
  </r>
  <r>
    <s v="ORD-1096"/>
    <d v="2024-11-11T00:00:00"/>
    <n v="2024"/>
    <s v="Nov"/>
    <s v="Mon"/>
    <s v="CUST-117"/>
    <s v="PROD-019"/>
    <s v="Corporate"/>
    <s v="South"/>
    <x v="1"/>
    <x v="4"/>
    <n v="14"/>
    <n v="120"/>
    <n v="1680"/>
    <n v="168"/>
    <s v="Large Order"/>
    <s v="Weekday"/>
  </r>
  <r>
    <s v="ORD-1097"/>
    <d v="2024-06-14T00:00:00"/>
    <n v="2024"/>
    <s v="Jun"/>
    <s v="Fri"/>
    <s v="CUST-136"/>
    <s v="PROD-003"/>
    <s v="Corporate"/>
    <s v="West"/>
    <x v="4"/>
    <x v="0"/>
    <n v="4"/>
    <n v="120"/>
    <n v="480"/>
    <n v="48"/>
    <s v="Standard Order"/>
    <s v="Weekday"/>
  </r>
  <r>
    <s v="ORD-1098"/>
    <d v="2024-11-08T00:00:00"/>
    <n v="2024"/>
    <s v="Nov"/>
    <s v="Fri"/>
    <s v="CUST-131"/>
    <s v="PROD-011"/>
    <s v="Corporate"/>
    <s v="East"/>
    <x v="2"/>
    <x v="3"/>
    <n v="14"/>
    <n v="120"/>
    <n v="1680"/>
    <n v="168"/>
    <s v="Large Order"/>
    <s v="Weekday"/>
  </r>
  <r>
    <s v="ORD-1099"/>
    <d v="2024-04-18T00:00:00"/>
    <n v="2024"/>
    <s v="Apr"/>
    <s v="Thu"/>
    <s v="CUST-117"/>
    <s v="PROD-013"/>
    <s v="Corporate"/>
    <s v="North"/>
    <x v="3"/>
    <x v="3"/>
    <n v="15"/>
    <n v="120"/>
    <n v="1800"/>
    <n v="180"/>
    <s v="Large Order"/>
    <s v="Weekday"/>
  </r>
  <r>
    <s v="ORD-1100"/>
    <d v="2024-10-11T00:00:00"/>
    <n v="2024"/>
    <s v="Oct"/>
    <s v="Fri"/>
    <s v="CUST-131"/>
    <s v="PROD-022"/>
    <s v="Consumer"/>
    <s v="South"/>
    <x v="0"/>
    <x v="1"/>
    <n v="4"/>
    <n v="120"/>
    <n v="480"/>
    <n v="48"/>
    <s v="Standard Order"/>
    <s v="Weekday"/>
  </r>
  <r>
    <s v="ORD-1101"/>
    <d v="2024-10-11T00:00:00"/>
    <n v="2024"/>
    <s v="Oct"/>
    <s v="Fri"/>
    <s v="CUST-118"/>
    <s v="PROD-019"/>
    <s v="Corporate"/>
    <s v="West"/>
    <x v="4"/>
    <x v="4"/>
    <n v="13"/>
    <n v="120"/>
    <n v="1560"/>
    <n v="156"/>
    <s v="Large Order"/>
    <s v="Weekday"/>
  </r>
  <r>
    <s v="ORD-1102"/>
    <d v="2024-04-23T00:00:00"/>
    <n v="2024"/>
    <s v="Apr"/>
    <s v="Tue"/>
    <s v="CUST-135"/>
    <s v="PROD-008"/>
    <s v="Home Office"/>
    <s v="East"/>
    <x v="2"/>
    <x v="2"/>
    <n v="10"/>
    <n v="120"/>
    <n v="1200"/>
    <n v="120"/>
    <s v="Large Order"/>
    <s v="Weekday"/>
  </r>
  <r>
    <s v="ORD-1103"/>
    <d v="2024-09-28T00:00:00"/>
    <n v="2024"/>
    <s v="Sep"/>
    <s v="Sat"/>
    <s v="CUST-117"/>
    <s v="PROD-020"/>
    <s v="Corporate"/>
    <s v="East"/>
    <x v="3"/>
    <x v="4"/>
    <n v="6"/>
    <n v="120"/>
    <n v="720"/>
    <n v="72"/>
    <s v="Large Order"/>
    <s v="Weekend"/>
  </r>
  <r>
    <s v="ORD-1104"/>
    <d v="2024-06-05T00:00:00"/>
    <n v="2024"/>
    <s v="Jun"/>
    <s v="Wed"/>
    <s v="CUST-147"/>
    <s v="PROD-006"/>
    <s v="Home Office"/>
    <s v="South"/>
    <x v="3"/>
    <x v="2"/>
    <n v="4"/>
    <n v="120"/>
    <n v="480"/>
    <n v="48"/>
    <s v="Standard Order"/>
    <s v="Weekday"/>
  </r>
  <r>
    <s v="ORD-1105"/>
    <d v="2024-10-01T00:00:00"/>
    <n v="2024"/>
    <s v="Oct"/>
    <s v="Tue"/>
    <s v="CUST-137"/>
    <s v="PROD-007"/>
    <m/>
    <s v="Central"/>
    <x v="4"/>
    <x v="2"/>
    <n v="8"/>
    <n v="120"/>
    <n v="960"/>
    <n v="96"/>
    <s v="Large Order"/>
    <s v="Weekday"/>
  </r>
  <r>
    <s v="ORD-1106"/>
    <d v="2024-09-25T00:00:00"/>
    <n v="2024"/>
    <s v="Sep"/>
    <s v="Wed"/>
    <s v="CUST-111"/>
    <s v="PROD-011"/>
    <s v="Consumer"/>
    <s v="North"/>
    <x v="1"/>
    <x v="3"/>
    <n v="5"/>
    <n v="120"/>
    <n v="600"/>
    <n v="60"/>
    <s v="Large Order"/>
    <s v="Weekday"/>
  </r>
  <r>
    <s v="ORD-1107"/>
    <d v="2024-06-03T00:00:00"/>
    <n v="2024"/>
    <s v="Jun"/>
    <s v="Mon"/>
    <s v="CUST-135"/>
    <s v="PROD-022"/>
    <s v="Corporate"/>
    <s v="South"/>
    <x v="0"/>
    <x v="1"/>
    <n v="1"/>
    <n v="120"/>
    <n v="120"/>
    <n v="12"/>
    <s v="Standard Order"/>
    <s v="Weekday"/>
  </r>
  <r>
    <s v="ORD-1108"/>
    <d v="2024-05-29T00:00:00"/>
    <n v="2024"/>
    <s v="May"/>
    <s v="Wed"/>
    <s v="CUST-130"/>
    <s v="PROD-016"/>
    <s v="Consumer"/>
    <s v="East"/>
    <x v="4"/>
    <x v="4"/>
    <n v="10"/>
    <n v="120"/>
    <n v="1200"/>
    <n v="120"/>
    <s v="Large Order"/>
    <s v="Weekday"/>
  </r>
  <r>
    <s v="ORD-1109"/>
    <d v="2024-08-13T00:00:00"/>
    <n v="2024"/>
    <s v="Aug"/>
    <s v="Tue"/>
    <s v="CUST-104"/>
    <s v="PROD-006"/>
    <s v="Corporate"/>
    <s v="West"/>
    <x v="3"/>
    <x v="2"/>
    <n v="14"/>
    <n v="120"/>
    <n v="1680"/>
    <n v="168"/>
    <s v="Large Order"/>
    <s v="Weekday"/>
  </r>
  <r>
    <s v="ORD-1110"/>
    <d v="2024-07-24T00:00:00"/>
    <n v="2024"/>
    <s v="Jul"/>
    <s v="Wed"/>
    <s v="CUST-109"/>
    <s v="PROD-005"/>
    <s v="Home Office"/>
    <s v="East"/>
    <x v="2"/>
    <x v="0"/>
    <n v="11"/>
    <n v="120"/>
    <n v="1320"/>
    <n v="132"/>
    <s v="Large Order"/>
    <s v="Weekday"/>
  </r>
  <r>
    <s v="ORD-1111"/>
    <d v="2024-10-15T00:00:00"/>
    <n v="2024"/>
    <s v="Oct"/>
    <s v="Tue"/>
    <s v="CUST-138"/>
    <s v="PROD-002"/>
    <s v="Consumer"/>
    <s v="Central"/>
    <x v="3"/>
    <x v="0"/>
    <n v="9"/>
    <n v="120"/>
    <n v="1080"/>
    <n v="108"/>
    <s v="Large Order"/>
    <s v="Weekday"/>
  </r>
  <r>
    <s v="ORD-1112"/>
    <d v="2024-11-01T00:00:00"/>
    <n v="2024"/>
    <s v="Nov"/>
    <s v="Fri"/>
    <s v="CUST-119"/>
    <s v="PROD-010"/>
    <s v="Corporate"/>
    <s v="West"/>
    <x v="1"/>
    <x v="2"/>
    <n v="8"/>
    <n v="120"/>
    <n v="960"/>
    <n v="96"/>
    <s v="Large Order"/>
    <s v="Weekday"/>
  </r>
  <r>
    <s v="ORD-1113"/>
    <d v="2024-10-28T00:00:00"/>
    <n v="2024"/>
    <s v="Oct"/>
    <s v="Mon"/>
    <s v="CUST-147"/>
    <s v="PROD-015"/>
    <s v="Home Office"/>
    <s v="South"/>
    <x v="2"/>
    <x v="3"/>
    <n v="1"/>
    <n v="120"/>
    <n v="120"/>
    <n v="12"/>
    <s v="Standard Order"/>
    <s v="Weekday"/>
  </r>
  <r>
    <s v="ORD-1114"/>
    <d v="2024-02-20T00:00:00"/>
    <n v="2024"/>
    <s v="Feb"/>
    <s v="Tue"/>
    <s v="CUST-111"/>
    <s v="PROD-008"/>
    <s v="Home Office"/>
    <s v="North"/>
    <x v="4"/>
    <x v="2"/>
    <n v="2"/>
    <n v="120"/>
    <n v="240"/>
    <n v="24"/>
    <s v="Standard Order"/>
    <s v="Weekday"/>
  </r>
  <r>
    <s v="ORD-1115"/>
    <d v="2024-10-09T00:00:00"/>
    <n v="2024"/>
    <s v="Oct"/>
    <s v="Wed"/>
    <s v="CUST-130"/>
    <s v="PROD-006"/>
    <s v="Corporate"/>
    <s v="North"/>
    <x v="0"/>
    <x v="2"/>
    <n v="8"/>
    <n v="120"/>
    <n v="960"/>
    <n v="96"/>
    <s v="Large Order"/>
    <s v="Weekday"/>
  </r>
  <r>
    <s v="ORD-1116"/>
    <d v="2024-05-29T00:00:00"/>
    <n v="2024"/>
    <s v="May"/>
    <s v="Wed"/>
    <s v="CUST-129"/>
    <s v="PROD-008"/>
    <s v="Home Office"/>
    <s v="South"/>
    <x v="0"/>
    <x v="2"/>
    <n v="5"/>
    <n v="120"/>
    <n v="600"/>
    <n v="60"/>
    <s v="Large Order"/>
    <s v="Weekday"/>
  </r>
  <r>
    <s v="ORD-1117"/>
    <d v="2024-02-06T00:00:00"/>
    <n v="2024"/>
    <s v="Feb"/>
    <s v="Tue"/>
    <s v="CUST-127"/>
    <s v="PROD-015"/>
    <s v="Home Office"/>
    <s v="Central"/>
    <x v="4"/>
    <x v="3"/>
    <n v="13"/>
    <n v="120"/>
    <n v="1560"/>
    <n v="156"/>
    <s v="Large Order"/>
    <s v="Weekday"/>
  </r>
  <r>
    <s v="ORD-1118"/>
    <d v="2024-02-28T00:00:00"/>
    <n v="2024"/>
    <s v="Feb"/>
    <s v="Wed"/>
    <s v="CUST-103"/>
    <s v="PROD-007"/>
    <s v="Corporate"/>
    <s v="East"/>
    <x v="1"/>
    <x v="2"/>
    <n v="14"/>
    <n v="120"/>
    <n v="1680"/>
    <n v="168"/>
    <s v="Large Order"/>
    <s v="Weekday"/>
  </r>
  <r>
    <s v="ORD-1119"/>
    <d v="2024-03-25T00:00:00"/>
    <n v="2024"/>
    <s v="Mar"/>
    <s v="Mon"/>
    <s v="CUST-144"/>
    <s v="PROD-025"/>
    <s v="Corporate"/>
    <s v="West"/>
    <x v="3"/>
    <x v="1"/>
    <n v="8"/>
    <n v="120"/>
    <n v="960"/>
    <n v="96"/>
    <s v="Large Order"/>
    <s v="Weekday"/>
  </r>
  <r>
    <s v="ORD-1120"/>
    <d v="2024-06-04T00:00:00"/>
    <n v="2024"/>
    <s v="Jun"/>
    <s v="Tue"/>
    <s v="CUST-138"/>
    <s v="PROD-015"/>
    <m/>
    <s v="West"/>
    <x v="2"/>
    <x v="3"/>
    <n v="8"/>
    <n v="120"/>
    <n v="960"/>
    <n v="96"/>
    <s v="Large Order"/>
    <s v="Weekday"/>
  </r>
  <r>
    <s v="ORD-1121"/>
    <d v="2024-01-21T00:00:00"/>
    <n v="2024"/>
    <s v="Jan"/>
    <s v="Sun"/>
    <s v="CUST-143"/>
    <s v="PROD-015"/>
    <s v="Corporate"/>
    <s v="Central"/>
    <x v="2"/>
    <x v="3"/>
    <n v="1"/>
    <n v="120"/>
    <n v="120"/>
    <n v="12"/>
    <s v="Standard Order"/>
    <s v="Weekend"/>
  </r>
  <r>
    <s v="ORD-1122"/>
    <d v="2024-10-21T00:00:00"/>
    <n v="2024"/>
    <s v="Oct"/>
    <s v="Mon"/>
    <s v="CUST-111"/>
    <s v="PROD-003"/>
    <s v="Home Office"/>
    <s v="Central"/>
    <x v="1"/>
    <x v="0"/>
    <n v="1"/>
    <n v="120"/>
    <n v="120"/>
    <n v="12"/>
    <s v="Standard Order"/>
    <s v="Weekday"/>
  </r>
  <r>
    <s v="ORD-1123"/>
    <d v="2024-08-28T00:00:00"/>
    <n v="2024"/>
    <s v="Aug"/>
    <s v="Wed"/>
    <s v="CUST-131"/>
    <s v="PROD-018"/>
    <s v="Consumer"/>
    <s v="West"/>
    <x v="1"/>
    <x v="4"/>
    <n v="10"/>
    <n v="120"/>
    <n v="1200"/>
    <n v="120"/>
    <s v="Large Order"/>
    <s v="Weekday"/>
  </r>
  <r>
    <s v="ORD-1124"/>
    <d v="2024-02-16T00:00:00"/>
    <n v="2024"/>
    <s v="Feb"/>
    <s v="Fri"/>
    <s v="CUST-110"/>
    <s v="PROD-014"/>
    <s v="Corporate"/>
    <s v="West"/>
    <x v="2"/>
    <x v="3"/>
    <n v="6"/>
    <n v="120"/>
    <n v="720"/>
    <n v="72"/>
    <s v="Large Order"/>
    <s v="Weekday"/>
  </r>
  <r>
    <s v="ORD-1125"/>
    <d v="2024-06-17T00:00:00"/>
    <n v="2024"/>
    <s v="Jun"/>
    <s v="Mon"/>
    <s v="CUST-135"/>
    <s v="PROD-018"/>
    <s v="Home Office"/>
    <s v="West"/>
    <x v="2"/>
    <x v="4"/>
    <n v="7"/>
    <n v="120"/>
    <n v="840"/>
    <n v="84"/>
    <s v="Large Order"/>
    <s v="Weekday"/>
  </r>
  <r>
    <s v="ORD-1126"/>
    <d v="2024-01-19T00:00:00"/>
    <n v="2024"/>
    <s v="Jan"/>
    <s v="Fri"/>
    <s v="CUST-149"/>
    <s v="PROD-003"/>
    <s v="Corporate"/>
    <s v="Central"/>
    <x v="2"/>
    <x v="0"/>
    <n v="6"/>
    <n v="120"/>
    <n v="720"/>
    <n v="72"/>
    <s v="Large Order"/>
    <s v="Weekday"/>
  </r>
  <r>
    <s v="ORD-1127"/>
    <d v="2024-07-25T00:00:00"/>
    <n v="2024"/>
    <s v="Jul"/>
    <s v="Thu"/>
    <s v="CUST-133"/>
    <s v="PROD-005"/>
    <s v="Corporate"/>
    <s v="Central"/>
    <x v="1"/>
    <x v="0"/>
    <n v="7"/>
    <n v="120"/>
    <n v="840"/>
    <n v="84"/>
    <s v="Large Order"/>
    <s v="Weekday"/>
  </r>
  <r>
    <s v="ORD-1128"/>
    <d v="2024-07-04T00:00:00"/>
    <n v="2024"/>
    <s v="Jul"/>
    <s v="Thu"/>
    <s v="CUST-108"/>
    <s v="PROD-019"/>
    <s v="Consumer"/>
    <s v="West"/>
    <x v="1"/>
    <x v="4"/>
    <n v="4"/>
    <n v="120"/>
    <n v="480"/>
    <n v="48"/>
    <s v="Standard Order"/>
    <s v="Weekday"/>
  </r>
  <r>
    <s v="ORD-1129"/>
    <d v="2024-05-27T00:00:00"/>
    <n v="2024"/>
    <s v="May"/>
    <s v="Mon"/>
    <s v="CUST-115"/>
    <s v="PROD-016"/>
    <s v="Consumer"/>
    <s v="South"/>
    <x v="2"/>
    <x v="4"/>
    <n v="11"/>
    <n v="120"/>
    <n v="1320"/>
    <n v="132"/>
    <s v="Large Order"/>
    <s v="Weekday"/>
  </r>
  <r>
    <s v="ORD-1130"/>
    <d v="2024-12-29T00:00:00"/>
    <n v="2024"/>
    <s v="Dec"/>
    <s v="Sun"/>
    <s v="CUST-114"/>
    <s v="PROD-015"/>
    <s v="Consumer"/>
    <s v="West"/>
    <x v="4"/>
    <x v="3"/>
    <n v="9"/>
    <n v="120"/>
    <n v="1080"/>
    <n v="108"/>
    <s v="Large Order"/>
    <s v="Weekend"/>
  </r>
  <r>
    <s v="ORD-1131"/>
    <d v="2024-02-28T00:00:00"/>
    <n v="2024"/>
    <s v="Feb"/>
    <s v="Wed"/>
    <s v="CUST-132"/>
    <s v="PROD-002"/>
    <s v="Corporate"/>
    <s v="East"/>
    <x v="2"/>
    <x v="0"/>
    <n v="15"/>
    <n v="120"/>
    <n v="1800"/>
    <n v="180"/>
    <s v="Large Order"/>
    <s v="Weekday"/>
  </r>
  <r>
    <s v="ORD-1132"/>
    <d v="2024-12-27T00:00:00"/>
    <n v="2024"/>
    <s v="Dec"/>
    <s v="Fri"/>
    <s v="CUST-109"/>
    <s v="PROD-019"/>
    <s v="Corporate"/>
    <s v="South"/>
    <x v="3"/>
    <x v="4"/>
    <n v="4"/>
    <n v="120"/>
    <n v="480"/>
    <n v="48"/>
    <s v="Standard Order"/>
    <s v="Weekday"/>
  </r>
  <r>
    <s v="ORD-1133"/>
    <d v="2024-07-15T00:00:00"/>
    <n v="2024"/>
    <s v="Jul"/>
    <s v="Mon"/>
    <s v="CUST-104"/>
    <s v="PROD-025"/>
    <s v="Home Office"/>
    <s v="West"/>
    <x v="4"/>
    <x v="1"/>
    <n v="15"/>
    <n v="120"/>
    <n v="1800"/>
    <n v="180"/>
    <s v="Large Order"/>
    <s v="Weekday"/>
  </r>
  <r>
    <s v="ORD-1134"/>
    <d v="2024-05-21T00:00:00"/>
    <n v="2024"/>
    <s v="May"/>
    <s v="Tue"/>
    <s v="CUST-146"/>
    <s v="PROD-015"/>
    <s v="Corporate"/>
    <s v="Central"/>
    <x v="2"/>
    <x v="3"/>
    <n v="14"/>
    <n v="120"/>
    <n v="1680"/>
    <n v="168"/>
    <s v="Large Order"/>
    <s v="Weekday"/>
  </r>
  <r>
    <s v="ORD-1135"/>
    <d v="2024-06-01T00:00:00"/>
    <n v="2024"/>
    <s v="Jun"/>
    <s v="Sat"/>
    <s v="CUST-122"/>
    <s v="PROD-024"/>
    <s v="Consumer"/>
    <s v="Central"/>
    <x v="1"/>
    <x v="1"/>
    <n v="8"/>
    <n v="120"/>
    <n v="960"/>
    <n v="96"/>
    <s v="Large Order"/>
    <s v="Weekend"/>
  </r>
  <r>
    <s v="ORD-1136"/>
    <d v="2024-06-19T00:00:00"/>
    <n v="2024"/>
    <s v="Jun"/>
    <s v="Wed"/>
    <s v="CUST-112"/>
    <s v="PROD-024"/>
    <s v="Corporate"/>
    <s v="South"/>
    <x v="1"/>
    <x v="1"/>
    <n v="15"/>
    <n v="120"/>
    <n v="1800"/>
    <n v="180"/>
    <s v="Large Order"/>
    <s v="Weekday"/>
  </r>
  <r>
    <s v="ORD-1137"/>
    <d v="2024-12-23T00:00:00"/>
    <n v="2024"/>
    <s v="Dec"/>
    <s v="Mon"/>
    <s v="CUST-102"/>
    <s v="PROD-024"/>
    <s v="Consumer"/>
    <s v="West"/>
    <x v="4"/>
    <x v="1"/>
    <n v="14"/>
    <n v="120"/>
    <n v="1680"/>
    <n v="168"/>
    <s v="Large Order"/>
    <s v="Weekday"/>
  </r>
  <r>
    <s v="ORD-1138"/>
    <d v="2024-06-11T00:00:00"/>
    <n v="2024"/>
    <s v="Jun"/>
    <s v="Tue"/>
    <s v="CUST-109"/>
    <s v="PROD-019"/>
    <s v="Home Office"/>
    <s v="North"/>
    <x v="2"/>
    <x v="4"/>
    <n v="13"/>
    <n v="120"/>
    <n v="1560"/>
    <n v="156"/>
    <s v="Large Order"/>
    <s v="Weekday"/>
  </r>
  <r>
    <s v="ORD-1139"/>
    <d v="2024-09-10T00:00:00"/>
    <n v="2024"/>
    <s v="Sep"/>
    <s v="Tue"/>
    <s v="CUST-128"/>
    <s v="PROD-010"/>
    <s v="Home Office"/>
    <s v="Central"/>
    <x v="0"/>
    <x v="2"/>
    <n v="6"/>
    <n v="120"/>
    <n v="720"/>
    <n v="72"/>
    <s v="Large Order"/>
    <s v="Weekday"/>
  </r>
  <r>
    <s v="ORD-1140"/>
    <d v="2024-02-21T00:00:00"/>
    <n v="2024"/>
    <s v="Feb"/>
    <s v="Wed"/>
    <s v="CUST-141"/>
    <s v="PROD-016"/>
    <m/>
    <s v="North"/>
    <x v="1"/>
    <x v="4"/>
    <n v="3"/>
    <n v="120"/>
    <n v="360"/>
    <n v="36"/>
    <s v="Standard Order"/>
    <s v="Weekday"/>
  </r>
  <r>
    <s v="ORD-1141"/>
    <d v="2024-03-20T00:00:00"/>
    <n v="2024"/>
    <s v="Mar"/>
    <s v="Wed"/>
    <s v="CUST-141"/>
    <s v="PROD-018"/>
    <s v="Corporate"/>
    <s v="East"/>
    <x v="0"/>
    <x v="4"/>
    <n v="10"/>
    <n v="120"/>
    <n v="1200"/>
    <n v="120"/>
    <s v="Large Order"/>
    <s v="Weekday"/>
  </r>
  <r>
    <s v="ORD-1142"/>
    <d v="2024-02-11T00:00:00"/>
    <n v="2024"/>
    <s v="Feb"/>
    <s v="Sun"/>
    <s v="CUST-148"/>
    <s v="PROD-024"/>
    <s v="Corporate"/>
    <s v="Central"/>
    <x v="3"/>
    <x v="1"/>
    <n v="11"/>
    <n v="120"/>
    <n v="1320"/>
    <n v="132"/>
    <s v="Large Order"/>
    <s v="Weekend"/>
  </r>
  <r>
    <s v="ORD-1143"/>
    <d v="2024-09-06T00:00:00"/>
    <n v="2024"/>
    <s v="Sep"/>
    <s v="Fri"/>
    <s v="CUST-118"/>
    <s v="PROD-005"/>
    <s v="Consumer"/>
    <s v="North"/>
    <x v="1"/>
    <x v="0"/>
    <n v="4"/>
    <n v="120"/>
    <n v="480"/>
    <n v="48"/>
    <s v="Standard Order"/>
    <s v="Weekday"/>
  </r>
  <r>
    <s v="ORD-1144"/>
    <d v="2024-04-26T00:00:00"/>
    <n v="2024"/>
    <s v="Apr"/>
    <s v="Fri"/>
    <s v="CUST-128"/>
    <s v="PROD-016"/>
    <s v="Home Office"/>
    <s v="East"/>
    <x v="0"/>
    <x v="4"/>
    <n v="12"/>
    <n v="120"/>
    <n v="1440"/>
    <n v="144"/>
    <s v="Large Order"/>
    <s v="Weekday"/>
  </r>
  <r>
    <s v="ORD-1145"/>
    <d v="2024-03-26T00:00:00"/>
    <n v="2024"/>
    <s v="Mar"/>
    <s v="Tue"/>
    <s v="CUST-122"/>
    <s v="PROD-001"/>
    <s v="Corporate"/>
    <s v="West"/>
    <x v="3"/>
    <x v="0"/>
    <n v="13"/>
    <n v="120"/>
    <n v="1560"/>
    <n v="156"/>
    <s v="Large Order"/>
    <s v="Weekday"/>
  </r>
  <r>
    <s v="ORD-1146"/>
    <d v="2024-07-10T00:00:00"/>
    <n v="2024"/>
    <s v="Jul"/>
    <s v="Wed"/>
    <s v="CUST-150"/>
    <s v="PROD-007"/>
    <s v="Home Office"/>
    <s v="South"/>
    <x v="2"/>
    <x v="2"/>
    <n v="7"/>
    <n v="120"/>
    <n v="840"/>
    <n v="84"/>
    <s v="Large Order"/>
    <s v="Weekday"/>
  </r>
  <r>
    <s v="ORD-1147"/>
    <d v="2024-04-02T00:00:00"/>
    <n v="2024"/>
    <s v="Apr"/>
    <s v="Tue"/>
    <s v="CUST-143"/>
    <s v="PROD-006"/>
    <s v="Home Office"/>
    <s v="West"/>
    <x v="4"/>
    <x v="2"/>
    <n v="14"/>
    <n v="120"/>
    <n v="1680"/>
    <n v="168"/>
    <s v="Large Order"/>
    <s v="Weekday"/>
  </r>
  <r>
    <s v="ORD-1148"/>
    <d v="2024-05-03T00:00:00"/>
    <n v="2024"/>
    <s v="May"/>
    <s v="Fri"/>
    <s v="CUST-129"/>
    <s v="PROD-022"/>
    <s v="Consumer"/>
    <s v="North"/>
    <x v="2"/>
    <x v="1"/>
    <n v="8"/>
    <n v="120"/>
    <n v="960"/>
    <n v="96"/>
    <s v="Large Order"/>
    <s v="Weekday"/>
  </r>
  <r>
    <s v="ORD-1149"/>
    <d v="2024-05-10T00:00:00"/>
    <n v="2024"/>
    <s v="May"/>
    <s v="Fri"/>
    <s v="CUST-128"/>
    <s v="PROD-018"/>
    <s v="Home Office"/>
    <s v="Central"/>
    <x v="0"/>
    <x v="4"/>
    <n v="9"/>
    <n v="120"/>
    <n v="1080"/>
    <n v="108"/>
    <s v="Large Order"/>
    <s v="Weekday"/>
  </r>
  <r>
    <s v="ORD-1150"/>
    <d v="2024-06-25T00:00:00"/>
    <n v="2024"/>
    <s v="Jun"/>
    <s v="Tue"/>
    <s v="CUST-119"/>
    <s v="PROD-014"/>
    <s v="Home Office"/>
    <s v="West"/>
    <x v="1"/>
    <x v="3"/>
    <n v="5"/>
    <n v="120"/>
    <n v="600"/>
    <n v="60"/>
    <s v="Large Order"/>
    <s v="Weekday"/>
  </r>
  <r>
    <s v="ORD-1151"/>
    <d v="2024-04-11T00:00:00"/>
    <n v="2024"/>
    <s v="Apr"/>
    <s v="Thu"/>
    <s v="CUST-136"/>
    <s v="PROD-016"/>
    <s v="Consumer"/>
    <s v="East"/>
    <x v="2"/>
    <x v="4"/>
    <n v="7"/>
    <n v="120"/>
    <n v="840"/>
    <n v="84"/>
    <s v="Large Order"/>
    <s v="Weekday"/>
  </r>
  <r>
    <s v="ORD-1152"/>
    <d v="2024-05-31T00:00:00"/>
    <n v="2024"/>
    <s v="May"/>
    <s v="Fri"/>
    <s v="CUST-143"/>
    <s v="PROD-004"/>
    <s v="Corporate"/>
    <s v="Central"/>
    <x v="3"/>
    <x v="0"/>
    <n v="1"/>
    <n v="120"/>
    <n v="120"/>
    <n v="12"/>
    <s v="Standard Order"/>
    <s v="Weekday"/>
  </r>
  <r>
    <s v="ORD-1153"/>
    <d v="2024-01-26T00:00:00"/>
    <n v="2024"/>
    <s v="Jan"/>
    <s v="Fri"/>
    <s v="CUST-114"/>
    <s v="PROD-018"/>
    <s v="Consumer"/>
    <s v="South"/>
    <x v="1"/>
    <x v="4"/>
    <n v="10"/>
    <n v="120"/>
    <n v="1200"/>
    <n v="120"/>
    <s v="Large Order"/>
    <s v="Weekday"/>
  </r>
  <r>
    <s v="ORD-1154"/>
    <d v="2024-11-21T00:00:00"/>
    <n v="2024"/>
    <s v="Nov"/>
    <s v="Thu"/>
    <s v="CUST-142"/>
    <s v="PROD-023"/>
    <s v="Home Office"/>
    <s v="South"/>
    <x v="4"/>
    <x v="1"/>
    <n v="13"/>
    <n v="120"/>
    <n v="1560"/>
    <n v="156"/>
    <s v="Large Order"/>
    <s v="Weekday"/>
  </r>
  <r>
    <s v="ORD-1155"/>
    <d v="2024-12-14T00:00:00"/>
    <n v="2024"/>
    <s v="Dec"/>
    <s v="Sat"/>
    <s v="CUST-137"/>
    <s v="PROD-001"/>
    <s v="Corporate"/>
    <s v="South"/>
    <x v="4"/>
    <x v="0"/>
    <n v="13"/>
    <n v="120"/>
    <n v="1560"/>
    <n v="156"/>
    <s v="Large Order"/>
    <s v="Weekend"/>
  </r>
  <r>
    <s v="ORD-1156"/>
    <d v="2024-07-05T00:00:00"/>
    <n v="2024"/>
    <s v="Jul"/>
    <s v="Fri"/>
    <s v="CUST-112"/>
    <s v="PROD-003"/>
    <s v="Corporate"/>
    <s v="Central"/>
    <x v="4"/>
    <x v="0"/>
    <n v="12"/>
    <n v="120"/>
    <n v="1440"/>
    <n v="144"/>
    <s v="Large Order"/>
    <s v="Weekday"/>
  </r>
  <r>
    <s v="ORD-1157"/>
    <d v="2024-03-08T00:00:00"/>
    <n v="2024"/>
    <s v="Mar"/>
    <s v="Fri"/>
    <s v="CUST-110"/>
    <s v="PROD-015"/>
    <s v="Home Office"/>
    <s v="West"/>
    <x v="1"/>
    <x v="3"/>
    <n v="15"/>
    <n v="120"/>
    <n v="1800"/>
    <n v="180"/>
    <s v="Large Order"/>
    <s v="Weekday"/>
  </r>
  <r>
    <s v="ORD-1158"/>
    <d v="2024-05-11T00:00:00"/>
    <n v="2024"/>
    <s v="May"/>
    <s v="Sat"/>
    <s v="CUST-109"/>
    <s v="PROD-013"/>
    <s v="Consumer"/>
    <s v="West"/>
    <x v="2"/>
    <x v="3"/>
    <n v="8"/>
    <n v="120"/>
    <n v="960"/>
    <n v="96"/>
    <s v="Large Order"/>
    <s v="Weekend"/>
  </r>
  <r>
    <s v="ORD-1159"/>
    <d v="2024-04-25T00:00:00"/>
    <n v="2024"/>
    <s v="Apr"/>
    <s v="Thu"/>
    <s v="CUST-116"/>
    <s v="PROD-023"/>
    <s v="Consumer"/>
    <s v="North"/>
    <x v="2"/>
    <x v="1"/>
    <n v="13"/>
    <n v="120"/>
    <n v="1560"/>
    <n v="156"/>
    <s v="Large Order"/>
    <s v="Weekday"/>
  </r>
  <r>
    <s v="ORD-1160"/>
    <d v="2024-10-01T00:00:00"/>
    <n v="2024"/>
    <s v="Oct"/>
    <s v="Tue"/>
    <s v="CUST-137"/>
    <s v="PROD-018"/>
    <s v="Home Office"/>
    <s v="East"/>
    <x v="0"/>
    <x v="4"/>
    <n v="12"/>
    <n v="120"/>
    <n v="1440"/>
    <n v="144"/>
    <s v="Large Order"/>
    <s v="Weekday"/>
  </r>
  <r>
    <s v="ORD-1161"/>
    <d v="2024-07-14T00:00:00"/>
    <n v="2024"/>
    <s v="Jul"/>
    <s v="Sun"/>
    <s v="CUST-135"/>
    <s v="PROD-002"/>
    <s v="Corporate"/>
    <s v="Central"/>
    <x v="3"/>
    <x v="0"/>
    <n v="1"/>
    <n v="120"/>
    <n v="120"/>
    <n v="12"/>
    <s v="Standard Order"/>
    <s v="Weekend"/>
  </r>
  <r>
    <s v="ORD-1162"/>
    <d v="2024-06-16T00:00:00"/>
    <n v="2024"/>
    <s v="Jun"/>
    <s v="Sun"/>
    <s v="CUST-144"/>
    <s v="PROD-006"/>
    <s v="Home Office"/>
    <s v="West"/>
    <x v="1"/>
    <x v="2"/>
    <n v="14"/>
    <n v="120"/>
    <n v="1680"/>
    <n v="168"/>
    <s v="Large Order"/>
    <s v="Weekend"/>
  </r>
  <r>
    <s v="ORD-1163"/>
    <d v="2024-06-03T00:00:00"/>
    <n v="2024"/>
    <s v="Jun"/>
    <s v="Mon"/>
    <s v="CUST-131"/>
    <s v="PROD-002"/>
    <s v="Consumer"/>
    <s v="North"/>
    <x v="2"/>
    <x v="0"/>
    <n v="1"/>
    <n v="120"/>
    <n v="120"/>
    <n v="12"/>
    <s v="Standard Order"/>
    <s v="Weekday"/>
  </r>
  <r>
    <s v="ORD-1164"/>
    <d v="2024-02-29T00:00:00"/>
    <n v="2024"/>
    <s v="Feb"/>
    <s v="Thu"/>
    <s v="CUST-142"/>
    <s v="PROD-010"/>
    <s v="Consumer"/>
    <s v="Central"/>
    <x v="0"/>
    <x v="2"/>
    <n v="7"/>
    <n v="120"/>
    <n v="840"/>
    <n v="84"/>
    <s v="Large Order"/>
    <s v="Weekday"/>
  </r>
  <r>
    <s v="ORD-1165"/>
    <d v="2024-12-22T00:00:00"/>
    <n v="2024"/>
    <s v="Dec"/>
    <s v="Sun"/>
    <s v="CUST-126"/>
    <s v="PROD-020"/>
    <s v="Home Office"/>
    <s v="North"/>
    <x v="1"/>
    <x v="4"/>
    <n v="12"/>
    <n v="120"/>
    <n v="1440"/>
    <n v="144"/>
    <s v="Large Order"/>
    <s v="Weekend"/>
  </r>
  <r>
    <s v="ORD-1166"/>
    <d v="2024-12-01T00:00:00"/>
    <n v="2024"/>
    <s v="Dec"/>
    <s v="Sun"/>
    <s v="CUST-123"/>
    <s v="PROD-020"/>
    <s v="Corporate"/>
    <s v="West"/>
    <x v="0"/>
    <x v="4"/>
    <n v="5"/>
    <n v="120"/>
    <n v="600"/>
    <n v="60"/>
    <s v="Large Order"/>
    <s v="Weekend"/>
  </r>
  <r>
    <s v="ORD-1167"/>
    <d v="2024-04-21T00:00:00"/>
    <n v="2024"/>
    <s v="Apr"/>
    <s v="Sun"/>
    <s v="CUST-123"/>
    <s v="PROD-017"/>
    <s v="Corporate"/>
    <s v="East"/>
    <x v="2"/>
    <x v="4"/>
    <n v="2"/>
    <n v="120"/>
    <n v="240"/>
    <n v="24"/>
    <s v="Standard Order"/>
    <s v="Weekend"/>
  </r>
  <r>
    <s v="ORD-1168"/>
    <d v="2024-10-05T00:00:00"/>
    <n v="2024"/>
    <s v="Oct"/>
    <s v="Sat"/>
    <s v="CUST-129"/>
    <s v="PROD-004"/>
    <s v="Corporate"/>
    <s v="South"/>
    <x v="3"/>
    <x v="0"/>
    <n v="4"/>
    <n v="120"/>
    <n v="480"/>
    <n v="48"/>
    <s v="Standard Order"/>
    <s v="Weekend"/>
  </r>
  <r>
    <s v="ORD-1169"/>
    <d v="2024-02-16T00:00:00"/>
    <n v="2024"/>
    <s v="Feb"/>
    <s v="Fri"/>
    <s v="CUST-108"/>
    <s v="PROD-021"/>
    <s v="Consumer"/>
    <s v="South"/>
    <x v="4"/>
    <x v="1"/>
    <n v="13"/>
    <n v="120"/>
    <n v="1560"/>
    <n v="156"/>
    <s v="Large Order"/>
    <s v="Weekday"/>
  </r>
  <r>
    <s v="ORD-1170"/>
    <d v="2024-10-16T00:00:00"/>
    <n v="2024"/>
    <s v="Oct"/>
    <s v="Wed"/>
    <s v="CUST-114"/>
    <s v="PROD-005"/>
    <s v="Consumer"/>
    <s v="South"/>
    <x v="4"/>
    <x v="0"/>
    <n v="10"/>
    <n v="120"/>
    <n v="1200"/>
    <n v="120"/>
    <s v="Large Order"/>
    <s v="Weekday"/>
  </r>
  <r>
    <s v="ORD-1171"/>
    <d v="2024-06-17T00:00:00"/>
    <n v="2024"/>
    <s v="Jun"/>
    <s v="Mon"/>
    <s v="CUST-108"/>
    <s v="PROD-021"/>
    <s v="Corporate"/>
    <s v="East"/>
    <x v="4"/>
    <x v="1"/>
    <n v="14"/>
    <n v="120"/>
    <n v="1680"/>
    <n v="168"/>
    <s v="Large Order"/>
    <s v="Weekday"/>
  </r>
  <r>
    <s v="ORD-1172"/>
    <d v="2024-10-03T00:00:00"/>
    <n v="2024"/>
    <s v="Oct"/>
    <s v="Thu"/>
    <s v="CUST-100"/>
    <s v="PROD-006"/>
    <s v="Home Office"/>
    <s v="South"/>
    <x v="3"/>
    <x v="2"/>
    <n v="14"/>
    <n v="120"/>
    <n v="1680"/>
    <n v="168"/>
    <s v="Large Order"/>
    <s v="Weekday"/>
  </r>
  <r>
    <s v="ORD-1173"/>
    <d v="2024-07-02T00:00:00"/>
    <n v="2024"/>
    <s v="Jul"/>
    <s v="Tue"/>
    <s v="CUST-108"/>
    <s v="PROD-023"/>
    <s v="Consumer"/>
    <s v="Central"/>
    <x v="4"/>
    <x v="1"/>
    <n v="3"/>
    <n v="120"/>
    <n v="360"/>
    <n v="36"/>
    <s v="Standard Order"/>
    <s v="Weekday"/>
  </r>
  <r>
    <s v="ORD-1174"/>
    <d v="2024-08-03T00:00:00"/>
    <n v="2024"/>
    <s v="Aug"/>
    <s v="Sat"/>
    <s v="CUST-132"/>
    <s v="PROD-001"/>
    <m/>
    <s v="North"/>
    <x v="1"/>
    <x v="0"/>
    <n v="8"/>
    <n v="120"/>
    <n v="960"/>
    <n v="96"/>
    <s v="Large Order"/>
    <s v="Weekend"/>
  </r>
  <r>
    <s v="ORD-1175"/>
    <d v="2024-10-30T00:00:00"/>
    <n v="2024"/>
    <s v="Oct"/>
    <s v="Wed"/>
    <s v="CUST-150"/>
    <s v="PROD-020"/>
    <m/>
    <s v="Central"/>
    <x v="0"/>
    <x v="4"/>
    <n v="10"/>
    <n v="120"/>
    <n v="1200"/>
    <n v="120"/>
    <s v="Large Order"/>
    <s v="Weekday"/>
  </r>
  <r>
    <s v="ORD-1176"/>
    <d v="2024-12-03T00:00:00"/>
    <n v="2024"/>
    <s v="Dec"/>
    <s v="Tue"/>
    <s v="CUST-130"/>
    <s v="PROD-014"/>
    <m/>
    <s v="West"/>
    <x v="1"/>
    <x v="3"/>
    <n v="1"/>
    <n v="120"/>
    <n v="120"/>
    <n v="12"/>
    <s v="Standard Order"/>
    <s v="Weekday"/>
  </r>
  <r>
    <s v="ORD-1177"/>
    <d v="2024-07-24T00:00:00"/>
    <n v="2024"/>
    <s v="Jul"/>
    <s v="Wed"/>
    <s v="CUST-105"/>
    <s v="PROD-004"/>
    <s v="Home Office"/>
    <s v="Central"/>
    <x v="2"/>
    <x v="0"/>
    <n v="15"/>
    <n v="120"/>
    <n v="1800"/>
    <n v="180"/>
    <s v="Large Order"/>
    <s v="Weekday"/>
  </r>
  <r>
    <s v="ORD-1178"/>
    <d v="2024-06-13T00:00:00"/>
    <n v="2024"/>
    <s v="Jun"/>
    <s v="Thu"/>
    <s v="CUST-137"/>
    <s v="PROD-006"/>
    <s v="Consumer"/>
    <s v="East"/>
    <x v="1"/>
    <x v="2"/>
    <n v="5"/>
    <n v="120"/>
    <n v="600"/>
    <n v="60"/>
    <s v="Large Order"/>
    <s v="Weekday"/>
  </r>
  <r>
    <s v="ORD-1179"/>
    <d v="2024-10-07T00:00:00"/>
    <n v="2024"/>
    <s v="Oct"/>
    <s v="Mon"/>
    <s v="CUST-138"/>
    <s v="PROD-020"/>
    <s v="Home Office"/>
    <s v="North"/>
    <x v="3"/>
    <x v="4"/>
    <n v="5"/>
    <n v="120"/>
    <n v="600"/>
    <n v="60"/>
    <s v="Large Order"/>
    <s v="Weekday"/>
  </r>
  <r>
    <s v="ORD-1180"/>
    <d v="2024-08-08T00:00:00"/>
    <n v="2024"/>
    <s v="Aug"/>
    <s v="Thu"/>
    <s v="CUST-128"/>
    <s v="PROD-005"/>
    <s v="Home Office"/>
    <s v="West"/>
    <x v="0"/>
    <x v="0"/>
    <n v="14"/>
    <n v="120"/>
    <n v="1680"/>
    <n v="168"/>
    <s v="Large Order"/>
    <s v="Weekday"/>
  </r>
  <r>
    <s v="ORD-1181"/>
    <d v="2024-04-26T00:00:00"/>
    <n v="2024"/>
    <s v="Apr"/>
    <s v="Fri"/>
    <s v="CUST-120"/>
    <s v="PROD-014"/>
    <s v="Corporate"/>
    <s v="East"/>
    <x v="2"/>
    <x v="3"/>
    <n v="7"/>
    <n v="120"/>
    <n v="840"/>
    <n v="84"/>
    <s v="Large Order"/>
    <s v="Weekday"/>
  </r>
  <r>
    <s v="ORD-1182"/>
    <d v="2024-08-06T00:00:00"/>
    <n v="2024"/>
    <s v="Aug"/>
    <s v="Tue"/>
    <s v="CUST-104"/>
    <s v="PROD-013"/>
    <s v="Consumer"/>
    <s v="North"/>
    <x v="3"/>
    <x v="3"/>
    <n v="11"/>
    <n v="120"/>
    <n v="1320"/>
    <n v="132"/>
    <s v="Large Order"/>
    <s v="Weekday"/>
  </r>
  <r>
    <s v="ORD-1183"/>
    <d v="2024-02-16T00:00:00"/>
    <n v="2024"/>
    <s v="Feb"/>
    <s v="Fri"/>
    <s v="CUST-108"/>
    <s v="PROD-004"/>
    <s v="Consumer"/>
    <s v="North"/>
    <x v="0"/>
    <x v="0"/>
    <n v="12"/>
    <n v="120"/>
    <n v="1440"/>
    <n v="144"/>
    <s v="Large Order"/>
    <s v="Weekday"/>
  </r>
  <r>
    <s v="ORD-1184"/>
    <d v="2024-10-11T00:00:00"/>
    <n v="2024"/>
    <s v="Oct"/>
    <s v="Fri"/>
    <s v="CUST-126"/>
    <s v="PROD-025"/>
    <s v="Home Office"/>
    <s v="West"/>
    <x v="0"/>
    <x v="1"/>
    <n v="6"/>
    <n v="120"/>
    <n v="720"/>
    <n v="72"/>
    <s v="Large Order"/>
    <s v="Weekday"/>
  </r>
  <r>
    <s v="ORD-1185"/>
    <d v="2024-06-30T00:00:00"/>
    <n v="2024"/>
    <s v="Jun"/>
    <s v="Sun"/>
    <s v="CUST-136"/>
    <s v="PROD-003"/>
    <s v="Home Office"/>
    <s v="South"/>
    <x v="2"/>
    <x v="0"/>
    <n v="5"/>
    <n v="120"/>
    <n v="600"/>
    <n v="60"/>
    <s v="Large Order"/>
    <s v="Weekend"/>
  </r>
  <r>
    <s v="ORD-1186"/>
    <d v="2024-09-16T00:00:00"/>
    <n v="2024"/>
    <s v="Sep"/>
    <s v="Mon"/>
    <s v="CUST-135"/>
    <s v="PROD-009"/>
    <s v="Consumer"/>
    <s v="North"/>
    <x v="4"/>
    <x v="2"/>
    <n v="14"/>
    <n v="120"/>
    <n v="1680"/>
    <n v="168"/>
    <s v="Large Order"/>
    <s v="Weekday"/>
  </r>
  <r>
    <s v="ORD-1187"/>
    <d v="2024-07-07T00:00:00"/>
    <n v="2024"/>
    <s v="Jul"/>
    <s v="Sun"/>
    <s v="CUST-135"/>
    <s v="PROD-015"/>
    <s v="Consumer"/>
    <s v="Central"/>
    <x v="0"/>
    <x v="3"/>
    <n v="13"/>
    <n v="120"/>
    <n v="1560"/>
    <n v="156"/>
    <s v="Large Order"/>
    <s v="Weekend"/>
  </r>
  <r>
    <s v="ORD-1188"/>
    <d v="2024-11-14T00:00:00"/>
    <n v="2024"/>
    <s v="Nov"/>
    <s v="Thu"/>
    <s v="CUST-144"/>
    <s v="PROD-021"/>
    <s v="Home Office"/>
    <s v="North"/>
    <x v="1"/>
    <x v="1"/>
    <n v="15"/>
    <n v="120"/>
    <n v="1800"/>
    <n v="180"/>
    <s v="Large Order"/>
    <s v="Weekday"/>
  </r>
  <r>
    <s v="ORD-1189"/>
    <d v="2024-05-16T00:00:00"/>
    <n v="2024"/>
    <s v="May"/>
    <s v="Thu"/>
    <s v="CUST-121"/>
    <s v="PROD-008"/>
    <s v="Home Office"/>
    <s v="North"/>
    <x v="0"/>
    <x v="2"/>
    <n v="13"/>
    <n v="120"/>
    <n v="1560"/>
    <n v="156"/>
    <s v="Large Order"/>
    <s v="Weekday"/>
  </r>
  <r>
    <s v="ORD-1190"/>
    <d v="2024-06-28T00:00:00"/>
    <n v="2024"/>
    <s v="Jun"/>
    <s v="Fri"/>
    <s v="CUST-109"/>
    <s v="PROD-007"/>
    <s v="Home Office"/>
    <s v="North"/>
    <x v="0"/>
    <x v="2"/>
    <n v="11"/>
    <n v="120"/>
    <n v="1320"/>
    <n v="132"/>
    <s v="Large Order"/>
    <s v="Weekday"/>
  </r>
  <r>
    <s v="ORD-1191"/>
    <d v="2024-11-20T00:00:00"/>
    <n v="2024"/>
    <s v="Nov"/>
    <s v="Wed"/>
    <s v="CUST-121"/>
    <s v="PROD-005"/>
    <s v="Consumer"/>
    <s v="East"/>
    <x v="0"/>
    <x v="0"/>
    <n v="7"/>
    <n v="120"/>
    <n v="840"/>
    <n v="84"/>
    <s v="Large Order"/>
    <s v="Weekday"/>
  </r>
  <r>
    <s v="ORD-1192"/>
    <d v="2024-03-21T00:00:00"/>
    <n v="2024"/>
    <s v="Mar"/>
    <s v="Thu"/>
    <s v="CUST-103"/>
    <s v="PROD-013"/>
    <s v="Home Office"/>
    <s v="South"/>
    <x v="3"/>
    <x v="3"/>
    <n v="10"/>
    <n v="120"/>
    <n v="1200"/>
    <n v="120"/>
    <s v="Large Order"/>
    <s v="Weekday"/>
  </r>
  <r>
    <s v="ORD-1193"/>
    <d v="2024-03-20T00:00:00"/>
    <n v="2024"/>
    <s v="Mar"/>
    <s v="Wed"/>
    <s v="CUST-142"/>
    <s v="PROD-021"/>
    <s v="Home Office"/>
    <s v="West"/>
    <x v="4"/>
    <x v="1"/>
    <n v="2"/>
    <n v="120"/>
    <n v="240"/>
    <n v="24"/>
    <s v="Standard Order"/>
    <s v="Weekday"/>
  </r>
  <r>
    <s v="ORD-1194"/>
    <d v="2024-08-05T00:00:00"/>
    <n v="2024"/>
    <s v="Aug"/>
    <s v="Mon"/>
    <s v="CUST-132"/>
    <s v="PROD-024"/>
    <s v="Corporate"/>
    <s v="East"/>
    <x v="2"/>
    <x v="1"/>
    <n v="5"/>
    <n v="120"/>
    <n v="600"/>
    <n v="60"/>
    <s v="Large Order"/>
    <s v="Weekday"/>
  </r>
  <r>
    <s v="ORD-1195"/>
    <d v="2024-02-28T00:00:00"/>
    <n v="2024"/>
    <s v="Feb"/>
    <s v="Wed"/>
    <s v="CUST-131"/>
    <s v="PROD-016"/>
    <s v="Corporate"/>
    <s v="East"/>
    <x v="3"/>
    <x v="4"/>
    <n v="11"/>
    <n v="120"/>
    <n v="1320"/>
    <n v="132"/>
    <s v="Large Order"/>
    <s v="Weekday"/>
  </r>
  <r>
    <s v="ORD-1196"/>
    <d v="2024-09-26T00:00:00"/>
    <n v="2024"/>
    <s v="Sep"/>
    <s v="Thu"/>
    <s v="CUST-113"/>
    <s v="PROD-002"/>
    <s v="Corporate"/>
    <s v="South"/>
    <x v="3"/>
    <x v="0"/>
    <n v="10"/>
    <n v="120"/>
    <n v="1200"/>
    <n v="120"/>
    <s v="Large Order"/>
    <s v="Weekday"/>
  </r>
  <r>
    <s v="ORD-1197"/>
    <d v="2024-06-03T00:00:00"/>
    <n v="2024"/>
    <s v="Jun"/>
    <s v="Mon"/>
    <s v="CUST-131"/>
    <s v="PROD-008"/>
    <s v="Corporate"/>
    <s v="South"/>
    <x v="4"/>
    <x v="2"/>
    <n v="6"/>
    <n v="120"/>
    <n v="720"/>
    <n v="72"/>
    <s v="Large Order"/>
    <s v="Weekday"/>
  </r>
  <r>
    <s v="ORD-1198"/>
    <d v="2024-08-08T00:00:00"/>
    <n v="2024"/>
    <s v="Aug"/>
    <s v="Thu"/>
    <s v="CUST-135"/>
    <s v="PROD-009"/>
    <m/>
    <s v="East"/>
    <x v="4"/>
    <x v="2"/>
    <n v="12"/>
    <n v="120"/>
    <n v="1440"/>
    <n v="144"/>
    <s v="Large Order"/>
    <s v="Weekday"/>
  </r>
  <r>
    <s v="ORD-1199"/>
    <d v="2024-12-08T00:00:00"/>
    <n v="2024"/>
    <s v="Dec"/>
    <s v="Sun"/>
    <s v="CUST-129"/>
    <s v="PROD-004"/>
    <s v="Home Office"/>
    <s v="East"/>
    <x v="3"/>
    <x v="0"/>
    <n v="1"/>
    <n v="120"/>
    <n v="120"/>
    <n v="12"/>
    <s v="Standard Order"/>
    <s v="Weekend"/>
  </r>
  <r>
    <s v="ORD-1200"/>
    <d v="2024-11-23T00:00:00"/>
    <n v="2024"/>
    <s v="Nov"/>
    <s v="Sat"/>
    <s v="CUST-114"/>
    <s v="PROD-008"/>
    <s v="Consumer"/>
    <s v="North"/>
    <x v="3"/>
    <x v="0"/>
    <n v="8"/>
    <n v="120"/>
    <n v="960"/>
    <n v="96"/>
    <s v="Large Order"/>
    <s v="Weekend"/>
  </r>
  <r>
    <s v="ORD-1201"/>
    <d v="2024-12-12T00:00:00"/>
    <n v="2024"/>
    <s v="Dec"/>
    <s v="Thu"/>
    <s v="CUST-194"/>
    <s v="PROD-019"/>
    <s v="Home Office"/>
    <s v="Central"/>
    <x v="0"/>
    <x v="0"/>
    <n v="14"/>
    <n v="120"/>
    <n v="1680"/>
    <n v="168"/>
    <s v="Large Order"/>
    <s v="Weekday"/>
  </r>
  <r>
    <s v="ORD-1202"/>
    <d v="2024-04-21T00:00:00"/>
    <n v="2024"/>
    <s v="Apr"/>
    <s v="Sun"/>
    <s v="CUST-129"/>
    <s v="PROD-001"/>
    <s v="Home Office"/>
    <s v="Central"/>
    <x v="5"/>
    <x v="4"/>
    <n v="18"/>
    <n v="120"/>
    <n v="2160"/>
    <n v="216"/>
    <s v="Large Order"/>
    <s v="Weekend"/>
  </r>
  <r>
    <s v="ORD-1203"/>
    <d v="2024-08-02T00:00:00"/>
    <n v="2024"/>
    <s v="Aug"/>
    <s v="Fri"/>
    <s v="CUST-128"/>
    <s v="PROD-009"/>
    <s v="Corporate"/>
    <s v="East"/>
    <x v="5"/>
    <x v="2"/>
    <n v="1"/>
    <n v="120"/>
    <n v="120"/>
    <n v="12"/>
    <s v="Standard Order"/>
    <s v="Weekday"/>
  </r>
  <r>
    <s v="ORD-1204"/>
    <d v="2024-12-23T00:00:00"/>
    <n v="2024"/>
    <s v="Dec"/>
    <s v="Mon"/>
    <s v="CUST-154"/>
    <s v="PROD-005"/>
    <s v="Corporate"/>
    <s v="North"/>
    <x v="3"/>
    <x v="3"/>
    <n v="7"/>
    <n v="120"/>
    <n v="840"/>
    <n v="84"/>
    <s v="Large Order"/>
    <s v="Weekday"/>
  </r>
  <r>
    <s v="ORD-1205"/>
    <d v="2024-02-22T00:00:00"/>
    <n v="2024"/>
    <s v="Feb"/>
    <s v="Thu"/>
    <s v="CUST-111"/>
    <s v="PROD-012"/>
    <s v="Corporate"/>
    <s v="West"/>
    <x v="0"/>
    <x v="0"/>
    <n v="12"/>
    <n v="120"/>
    <n v="1440"/>
    <n v="144"/>
    <s v="Large Order"/>
    <s v="Weekday"/>
  </r>
  <r>
    <s v="ORD-1206"/>
    <d v="2024-08-23T00:00:00"/>
    <n v="2024"/>
    <s v="Aug"/>
    <s v="Fri"/>
    <s v="CUST-168"/>
    <s v="PROD-003"/>
    <s v="Consumer"/>
    <s v="North"/>
    <x v="2"/>
    <x v="4"/>
    <n v="18"/>
    <n v="120"/>
    <n v="2160"/>
    <n v="216"/>
    <s v="Large Order"/>
    <s v="Weekday"/>
  </r>
  <r>
    <s v="ORD-1207"/>
    <d v="2024-07-04T00:00:00"/>
    <n v="2024"/>
    <s v="Jul"/>
    <s v="Thu"/>
    <s v="CUST-173"/>
    <s v="PROD-002"/>
    <s v="Consumer"/>
    <s v="East"/>
    <x v="0"/>
    <x v="0"/>
    <n v="8"/>
    <n v="120"/>
    <n v="960"/>
    <n v="96"/>
    <s v="Large Order"/>
    <s v="Weekday"/>
  </r>
  <r>
    <s v="ORD-1208"/>
    <d v="2024-04-29T00:00:00"/>
    <n v="2024"/>
    <s v="Apr"/>
    <s v="Mon"/>
    <s v="CUST-112"/>
    <s v="PROD-015"/>
    <s v="Corporate"/>
    <s v="North"/>
    <x v="3"/>
    <x v="3"/>
    <n v="12"/>
    <n v="120"/>
    <n v="1440"/>
    <n v="144"/>
    <s v="Large Order"/>
    <s v="Weekday"/>
  </r>
  <r>
    <s v="ORD-1209"/>
    <d v="2024-04-17T00:00:00"/>
    <n v="2024"/>
    <s v="Apr"/>
    <s v="Wed"/>
    <s v="CUST-185"/>
    <s v="PROD-020"/>
    <s v="Corporate"/>
    <s v="East"/>
    <x v="0"/>
    <x v="2"/>
    <n v="6"/>
    <n v="120"/>
    <n v="720"/>
    <n v="72"/>
    <s v="Large Order"/>
    <s v="Weekday"/>
  </r>
  <r>
    <s v="ORD-1210"/>
    <d v="2024-03-24T00:00:00"/>
    <n v="2024"/>
    <s v="Mar"/>
    <s v="Sun"/>
    <s v="CUST-159"/>
    <s v="PROD-021"/>
    <s v="Corporate"/>
    <s v="East"/>
    <x v="3"/>
    <x v="3"/>
    <n v="18"/>
    <n v="120"/>
    <n v="2160"/>
    <n v="216"/>
    <s v="Large Order"/>
    <s v="Weekend"/>
  </r>
  <r>
    <s v="ORD-1211"/>
    <d v="2024-01-29T00:00:00"/>
    <n v="2024"/>
    <s v="Jan"/>
    <s v="Mon"/>
    <s v="CUST-129"/>
    <s v="PROD-013"/>
    <s v="Consumer"/>
    <s v="West"/>
    <x v="3"/>
    <x v="4"/>
    <n v="9"/>
    <n v="120"/>
    <n v="1080"/>
    <n v="108"/>
    <s v="Large Order"/>
    <s v="Weekday"/>
  </r>
  <r>
    <s v="ORD-1212"/>
    <d v="2024-06-10T00:00:00"/>
    <n v="2024"/>
    <s v="Jun"/>
    <s v="Mon"/>
    <s v="CUST-127"/>
    <s v="PROD-013"/>
    <s v="Home Office"/>
    <s v="Central"/>
    <x v="2"/>
    <x v="2"/>
    <n v="15"/>
    <n v="120"/>
    <n v="1800"/>
    <n v="180"/>
    <s v="Large Order"/>
    <s v="Weekday"/>
  </r>
  <r>
    <s v="ORD-1213"/>
    <d v="2024-05-06T00:00:00"/>
    <n v="2024"/>
    <s v="May"/>
    <s v="Mon"/>
    <s v="CUST-195"/>
    <s v="PROD-009"/>
    <s v="Home Office"/>
    <s v="South"/>
    <x v="5"/>
    <x v="4"/>
    <n v="19"/>
    <n v="120"/>
    <n v="2280"/>
    <n v="228"/>
    <s v="Large Order"/>
    <s v="Weekday"/>
  </r>
  <r>
    <s v="ORD-1214"/>
    <d v="2024-07-23T00:00:00"/>
    <n v="2024"/>
    <s v="Jul"/>
    <s v="Tue"/>
    <s v="CUST-146"/>
    <s v="PROD-017"/>
    <s v="Consumer"/>
    <s v="South"/>
    <x v="4"/>
    <x v="0"/>
    <n v="16"/>
    <n v="120"/>
    <n v="1920"/>
    <n v="192"/>
    <s v="Large Order"/>
    <s v="Weekday"/>
  </r>
  <r>
    <s v="ORD-1215"/>
    <d v="2024-02-26T00:00:00"/>
    <n v="2024"/>
    <s v="Feb"/>
    <s v="Mon"/>
    <s v="CUST-119"/>
    <s v="PROD-022"/>
    <s v="Home Office"/>
    <s v="Central"/>
    <x v="4"/>
    <x v="1"/>
    <n v="14"/>
    <n v="120"/>
    <n v="1680"/>
    <n v="168"/>
    <s v="Large Order"/>
    <s v="Weekday"/>
  </r>
  <r>
    <s v="ORD-1216"/>
    <d v="2024-07-14T00:00:00"/>
    <n v="2024"/>
    <s v="Jul"/>
    <s v="Sun"/>
    <s v="CUST-176"/>
    <s v="PROD-009"/>
    <s v="Corporate"/>
    <s v="Central"/>
    <x v="5"/>
    <x v="0"/>
    <n v="18"/>
    <n v="120"/>
    <n v="2160"/>
    <n v="216"/>
    <s v="Large Order"/>
    <s v="Weekend"/>
  </r>
  <r>
    <s v="ORD-1217"/>
    <d v="2024-12-14T00:00:00"/>
    <n v="2024"/>
    <s v="Dec"/>
    <s v="Sat"/>
    <s v="CUST-192"/>
    <s v="PROD-025"/>
    <s v="Consumer"/>
    <s v="South"/>
    <x v="5"/>
    <x v="3"/>
    <n v="9"/>
    <n v="120"/>
    <n v="1080"/>
    <n v="108"/>
    <s v="Large Order"/>
    <s v="Weekend"/>
  </r>
  <r>
    <s v="ORD-1218"/>
    <d v="2024-02-27T00:00:00"/>
    <n v="2024"/>
    <s v="Feb"/>
    <s v="Tue"/>
    <s v="CUST-137"/>
    <s v="PROD-015"/>
    <s v="Corporate"/>
    <s v="Central"/>
    <x v="4"/>
    <x v="3"/>
    <n v="1"/>
    <n v="120"/>
    <n v="120"/>
    <n v="12"/>
    <s v="Standard Order"/>
    <s v="Weekday"/>
  </r>
  <r>
    <s v="ORD-1219"/>
    <d v="2024-09-13T00:00:00"/>
    <n v="2024"/>
    <s v="Sep"/>
    <s v="Fri"/>
    <s v="CUST-197"/>
    <s v="PROD-004"/>
    <s v="Consumer"/>
    <s v="East"/>
    <x v="5"/>
    <x v="4"/>
    <n v="10"/>
    <n v="120"/>
    <n v="1200"/>
    <n v="120"/>
    <s v="Large Order"/>
    <s v="Weekday"/>
  </r>
  <r>
    <s v="ORD-1220"/>
    <d v="2024-11-07T00:00:00"/>
    <n v="2024"/>
    <s v="Nov"/>
    <s v="Thu"/>
    <s v="CUST-125"/>
    <s v="PROD-025"/>
    <s v="Consumer"/>
    <s v="West"/>
    <x v="3"/>
    <x v="4"/>
    <n v="6"/>
    <n v="120"/>
    <n v="720"/>
    <n v="72"/>
    <s v="Large Order"/>
    <s v="Weekday"/>
  </r>
  <r>
    <s v="ORD-1221"/>
    <d v="2024-01-01T00:00:00"/>
    <n v="2024"/>
    <s v="Jan"/>
    <s v="Mon"/>
    <s v="CUST-176"/>
    <s v="PROD-001"/>
    <s v="Corporate"/>
    <s v="Central"/>
    <x v="2"/>
    <x v="3"/>
    <n v="4"/>
    <n v="120"/>
    <n v="480"/>
    <n v="48"/>
    <s v="Standard Order"/>
    <s v="Weekday"/>
  </r>
  <r>
    <s v="ORD-1222"/>
    <d v="2024-05-02T00:00:00"/>
    <n v="2024"/>
    <s v="May"/>
    <s v="Thu"/>
    <s v="CUST-107"/>
    <s v="PROD-003"/>
    <s v="Consumer"/>
    <s v="South"/>
    <x v="5"/>
    <x v="0"/>
    <n v="3"/>
    <n v="120"/>
    <n v="360"/>
    <n v="36"/>
    <s v="Standard Order"/>
    <s v="Weekday"/>
  </r>
  <r>
    <s v="ORD-1223"/>
    <d v="2024-09-29T00:00:00"/>
    <n v="2024"/>
    <s v="Sep"/>
    <s v="Sun"/>
    <s v="CUST-198"/>
    <s v="PROD-022"/>
    <s v="Consumer"/>
    <s v="West"/>
    <x v="4"/>
    <x v="2"/>
    <n v="16"/>
    <n v="120"/>
    <n v="1920"/>
    <n v="192"/>
    <s v="Large Order"/>
    <s v="Weekend"/>
  </r>
  <r>
    <s v="ORD-1224"/>
    <d v="2024-05-15T00:00:00"/>
    <n v="2024"/>
    <s v="May"/>
    <s v="Wed"/>
    <s v="CUST-167"/>
    <s v="PROD-007"/>
    <s v="Home Office"/>
    <s v="East"/>
    <x v="2"/>
    <x v="2"/>
    <n v="18"/>
    <n v="120"/>
    <n v="2160"/>
    <n v="216"/>
    <s v="Large Order"/>
    <s v="Weekday"/>
  </r>
  <r>
    <s v="ORD-1225"/>
    <d v="2024-06-08T00:00:00"/>
    <n v="2024"/>
    <s v="Jun"/>
    <s v="Sat"/>
    <s v="CUST-151"/>
    <s v="PROD-015"/>
    <s v="Home Office"/>
    <s v="North"/>
    <x v="3"/>
    <x v="2"/>
    <n v="17"/>
    <n v="120"/>
    <n v="2040"/>
    <n v="204"/>
    <s v="Large Order"/>
    <s v="Weekend"/>
  </r>
  <r>
    <s v="ORD-1226"/>
    <d v="2024-04-25T00:00:00"/>
    <n v="2024"/>
    <s v="Apr"/>
    <s v="Thu"/>
    <s v="CUST-108"/>
    <s v="PROD-019"/>
    <s v="Corporate"/>
    <s v="North"/>
    <x v="0"/>
    <x v="2"/>
    <n v="18"/>
    <n v="120"/>
    <n v="2160"/>
    <n v="216"/>
    <s v="Large Order"/>
    <s v="Weekday"/>
  </r>
  <r>
    <s v="ORD-1227"/>
    <d v="2024-01-04T00:00:00"/>
    <n v="2024"/>
    <s v="Jan"/>
    <s v="Thu"/>
    <s v="CUST-109"/>
    <s v="PROD-008"/>
    <s v="Home Office"/>
    <s v="East"/>
    <x v="0"/>
    <x v="3"/>
    <n v="3"/>
    <n v="120"/>
    <n v="360"/>
    <n v="36"/>
    <s v="Standard Order"/>
    <s v="Weekday"/>
  </r>
  <r>
    <s v="ORD-1228"/>
    <d v="2024-02-06T00:00:00"/>
    <n v="2024"/>
    <s v="Feb"/>
    <s v="Tue"/>
    <s v="CUST-165"/>
    <s v="PROD-022"/>
    <s v="Consumer"/>
    <s v="South"/>
    <x v="3"/>
    <x v="2"/>
    <n v="16"/>
    <n v="120"/>
    <n v="1920"/>
    <n v="192"/>
    <s v="Large Order"/>
    <s v="Weekday"/>
  </r>
  <r>
    <s v="ORD-1229"/>
    <d v="2024-10-19T00:00:00"/>
    <n v="2024"/>
    <s v="Oct"/>
    <s v="Sat"/>
    <s v="CUST-173"/>
    <s v="PROD-016"/>
    <s v="Corporate"/>
    <s v="West"/>
    <x v="4"/>
    <x v="0"/>
    <n v="14"/>
    <n v="120"/>
    <n v="1680"/>
    <n v="168"/>
    <s v="Large Order"/>
    <s v="Weekend"/>
  </r>
  <r>
    <s v="ORD-1230"/>
    <d v="2024-12-03T00:00:00"/>
    <n v="2024"/>
    <s v="Dec"/>
    <s v="Tue"/>
    <s v="CUST-155"/>
    <s v="PROD-014"/>
    <s v="Corporate"/>
    <s v="North"/>
    <x v="2"/>
    <x v="0"/>
    <n v="15"/>
    <n v="120"/>
    <n v="1800"/>
    <n v="180"/>
    <s v="Large Order"/>
    <s v="Weekday"/>
  </r>
  <r>
    <s v="ORD-1231"/>
    <d v="2024-12-10T00:00:00"/>
    <n v="2024"/>
    <s v="Dec"/>
    <s v="Tue"/>
    <s v="CUST-183"/>
    <s v="PROD-002"/>
    <s v="Home Office"/>
    <s v="Central"/>
    <x v="0"/>
    <x v="0"/>
    <n v="13"/>
    <n v="120"/>
    <n v="1560"/>
    <n v="156"/>
    <s v="Large Order"/>
    <s v="Weekday"/>
  </r>
  <r>
    <s v="ORD-1232"/>
    <d v="2024-05-07T00:00:00"/>
    <n v="2024"/>
    <s v="May"/>
    <s v="Tue"/>
    <s v="CUST-124"/>
    <s v="PROD-015"/>
    <s v="Consumer"/>
    <s v="West"/>
    <x v="5"/>
    <x v="3"/>
    <n v="5"/>
    <n v="120"/>
    <n v="600"/>
    <n v="60"/>
    <s v="Large Order"/>
    <s v="Weekday"/>
  </r>
  <r>
    <s v="ORD-1233"/>
    <d v="2024-08-24T00:00:00"/>
    <n v="2024"/>
    <s v="Aug"/>
    <s v="Sat"/>
    <s v="CUST-131"/>
    <s v="PROD-018"/>
    <s v="Consumer"/>
    <s v="South"/>
    <x v="2"/>
    <x v="4"/>
    <n v="4"/>
    <n v="120"/>
    <n v="480"/>
    <n v="48"/>
    <s v="Standard Order"/>
    <s v="Weekend"/>
  </r>
  <r>
    <s v="ORD-1234"/>
    <d v="2024-01-08T00:00:00"/>
    <n v="2024"/>
    <s v="Jan"/>
    <s v="Mon"/>
    <s v="CUST-111"/>
    <s v="PROD-014"/>
    <s v="Consumer"/>
    <s v="North"/>
    <x v="4"/>
    <x v="1"/>
    <n v="16"/>
    <n v="120"/>
    <n v="1920"/>
    <n v="192"/>
    <s v="Large Order"/>
    <s v="Weekday"/>
  </r>
  <r>
    <s v="ORD-1235"/>
    <d v="2024-01-31T00:00:00"/>
    <n v="2024"/>
    <s v="Jan"/>
    <s v="Wed"/>
    <s v="CUST-121"/>
    <s v="PROD-013"/>
    <s v="Corporate"/>
    <s v="Central"/>
    <x v="0"/>
    <x v="1"/>
    <n v="9"/>
    <n v="120"/>
    <n v="1080"/>
    <n v="108"/>
    <s v="Large Order"/>
    <s v="Weekday"/>
  </r>
  <r>
    <s v="ORD-1236"/>
    <d v="2024-05-26T00:00:00"/>
    <n v="2024"/>
    <s v="May"/>
    <s v="Sun"/>
    <s v="CUST-154"/>
    <s v="PROD-022"/>
    <s v="Home Office"/>
    <s v="Central"/>
    <x v="5"/>
    <x v="3"/>
    <n v="16"/>
    <n v="120"/>
    <n v="1920"/>
    <n v="192"/>
    <s v="Large Order"/>
    <s v="Weekend"/>
  </r>
  <r>
    <s v="ORD-1237"/>
    <d v="2024-04-21T00:00:00"/>
    <n v="2024"/>
    <s v="Apr"/>
    <s v="Sun"/>
    <s v="CUST-107"/>
    <s v="PROD-002"/>
    <s v="Home Office"/>
    <s v="South"/>
    <x v="5"/>
    <x v="4"/>
    <n v="11"/>
    <n v="120"/>
    <n v="1320"/>
    <n v="132"/>
    <s v="Large Order"/>
    <s v="Weekend"/>
  </r>
  <r>
    <s v="ORD-1238"/>
    <d v="2024-09-01T00:00:00"/>
    <n v="2024"/>
    <s v="Sep"/>
    <s v="Sun"/>
    <s v="CUST-164"/>
    <s v="PROD-002"/>
    <s v="Home Office"/>
    <s v="South"/>
    <x v="4"/>
    <x v="2"/>
    <n v="17"/>
    <n v="120"/>
    <n v="2040"/>
    <n v="204"/>
    <s v="Large Order"/>
    <s v="Weekend"/>
  </r>
  <r>
    <s v="ORD-1239"/>
    <d v="2024-02-05T00:00:00"/>
    <n v="2024"/>
    <s v="Feb"/>
    <s v="Mon"/>
    <s v="CUST-176"/>
    <s v="PROD-013"/>
    <s v="Consumer"/>
    <s v="North"/>
    <x v="4"/>
    <x v="4"/>
    <n v="4"/>
    <n v="120"/>
    <n v="480"/>
    <n v="48"/>
    <s v="Standard Order"/>
    <s v="Weekday"/>
  </r>
  <r>
    <s v="ORD-1240"/>
    <d v="2024-05-06T00:00:00"/>
    <n v="2024"/>
    <s v="May"/>
    <s v="Mon"/>
    <s v="CUST-174"/>
    <s v="PROD-020"/>
    <s v="Home Office"/>
    <s v="East"/>
    <x v="0"/>
    <x v="4"/>
    <n v="3"/>
    <n v="120"/>
    <n v="360"/>
    <n v="36"/>
    <s v="Standard Order"/>
    <s v="Weekday"/>
  </r>
  <r>
    <s v="ORD-1241"/>
    <d v="2024-10-16T00:00:00"/>
    <n v="2024"/>
    <s v="Oct"/>
    <s v="Wed"/>
    <s v="CUST-166"/>
    <s v="PROD-007"/>
    <s v="Corporate"/>
    <s v="East"/>
    <x v="3"/>
    <x v="1"/>
    <n v="11"/>
    <n v="120"/>
    <n v="1320"/>
    <n v="132"/>
    <s v="Large Order"/>
    <s v="Weekday"/>
  </r>
  <r>
    <s v="ORD-1242"/>
    <d v="2024-03-08T00:00:00"/>
    <n v="2024"/>
    <s v="Mar"/>
    <s v="Fri"/>
    <s v="CUST-185"/>
    <s v="PROD-015"/>
    <s v="Home Office"/>
    <s v="Central"/>
    <x v="3"/>
    <x v="0"/>
    <n v="11"/>
    <n v="120"/>
    <n v="1320"/>
    <n v="132"/>
    <s v="Large Order"/>
    <s v="Weekday"/>
  </r>
  <r>
    <s v="ORD-1243"/>
    <d v="2024-01-05T00:00:00"/>
    <n v="2024"/>
    <s v="Jan"/>
    <s v="Fri"/>
    <s v="CUST-158"/>
    <s v="PROD-004"/>
    <s v="Home Office"/>
    <s v="North"/>
    <x v="5"/>
    <x v="4"/>
    <n v="3"/>
    <n v="120"/>
    <n v="360"/>
    <n v="36"/>
    <s v="Standard Order"/>
    <s v="Weekday"/>
  </r>
  <r>
    <s v="ORD-1244"/>
    <d v="2024-05-15T00:00:00"/>
    <n v="2024"/>
    <s v="May"/>
    <s v="Wed"/>
    <s v="CUST-116"/>
    <s v="PROD-008"/>
    <s v="Corporate"/>
    <s v="Central"/>
    <x v="0"/>
    <x v="1"/>
    <n v="12"/>
    <n v="120"/>
    <n v="1440"/>
    <n v="144"/>
    <s v="Large Order"/>
    <s v="Weekday"/>
  </r>
  <r>
    <s v="ORD-1245"/>
    <d v="2024-10-05T00:00:00"/>
    <n v="2024"/>
    <s v="Oct"/>
    <s v="Sat"/>
    <s v="CUST-190"/>
    <s v="PROD-021"/>
    <s v="Corporate"/>
    <s v="South"/>
    <x v="5"/>
    <x v="4"/>
    <n v="17"/>
    <n v="120"/>
    <n v="2040"/>
    <n v="204"/>
    <s v="Large Order"/>
    <s v="Weekend"/>
  </r>
  <r>
    <s v="ORD-1246"/>
    <d v="2024-06-02T00:00:00"/>
    <n v="2024"/>
    <s v="Jun"/>
    <s v="Sun"/>
    <s v="CUST-184"/>
    <s v="PROD-009"/>
    <s v="Consumer"/>
    <s v="Central"/>
    <x v="4"/>
    <x v="4"/>
    <n v="4"/>
    <n v="120"/>
    <n v="480"/>
    <n v="48"/>
    <s v="Standard Order"/>
    <s v="Weekend"/>
  </r>
  <r>
    <s v="ORD-1247"/>
    <d v="2024-03-20T00:00:00"/>
    <n v="2024"/>
    <s v="Mar"/>
    <s v="Wed"/>
    <s v="CUST-134"/>
    <s v="PROD-007"/>
    <s v="Corporate"/>
    <s v="North"/>
    <x v="5"/>
    <x v="3"/>
    <n v="11"/>
    <n v="120"/>
    <n v="1320"/>
    <n v="132"/>
    <s v="Large Order"/>
    <s v="Weekday"/>
  </r>
  <r>
    <s v="ORD-1248"/>
    <d v="2024-09-15T00:00:00"/>
    <n v="2024"/>
    <s v="Sep"/>
    <s v="Sun"/>
    <s v="CUST-162"/>
    <s v="PROD-003"/>
    <s v="Corporate"/>
    <s v="East"/>
    <x v="0"/>
    <x v="0"/>
    <n v="14"/>
    <n v="120"/>
    <n v="1680"/>
    <n v="168"/>
    <s v="Large Order"/>
    <s v="Weekend"/>
  </r>
  <r>
    <s v="ORD-1249"/>
    <d v="2024-01-02T00:00:00"/>
    <n v="2024"/>
    <s v="Jan"/>
    <s v="Tue"/>
    <s v="CUST-142"/>
    <s v="PROD-006"/>
    <s v="Consumer"/>
    <s v="North"/>
    <x v="3"/>
    <x v="1"/>
    <n v="15"/>
    <n v="120"/>
    <n v="1800"/>
    <n v="180"/>
    <s v="Large Order"/>
    <s v="Weekday"/>
  </r>
  <r>
    <s v="ORD-1250"/>
    <d v="2024-10-14T00:00:00"/>
    <n v="2024"/>
    <s v="Oct"/>
    <s v="Mon"/>
    <s v="CUST-101"/>
    <s v="PROD-023"/>
    <s v="Consumer"/>
    <s v="West"/>
    <x v="0"/>
    <x v="3"/>
    <n v="5"/>
    <n v="120"/>
    <n v="600"/>
    <n v="60"/>
    <s v="Large Order"/>
    <s v="Weekday"/>
  </r>
  <r>
    <s v="ORD-1251"/>
    <d v="2024-10-25T00:00:00"/>
    <n v="2024"/>
    <s v="Oct"/>
    <s v="Fri"/>
    <s v="CUST-170"/>
    <s v="PROD-005"/>
    <s v="Consumer"/>
    <s v="South"/>
    <x v="2"/>
    <x v="0"/>
    <n v="2"/>
    <n v="120"/>
    <n v="240"/>
    <n v="24"/>
    <s v="Standard Order"/>
    <s v="Weekday"/>
  </r>
  <r>
    <s v="ORD-1252"/>
    <d v="2024-07-02T00:00:00"/>
    <n v="2024"/>
    <s v="Jul"/>
    <s v="Tue"/>
    <s v="CUST-126"/>
    <s v="PROD-022"/>
    <s v="Home Office"/>
    <s v="South"/>
    <x v="4"/>
    <x v="4"/>
    <n v="4"/>
    <n v="120"/>
    <n v="480"/>
    <n v="48"/>
    <s v="Standard Order"/>
    <s v="Weekday"/>
  </r>
  <r>
    <s v="ORD-1253"/>
    <d v="2024-07-27T00:00:00"/>
    <n v="2024"/>
    <s v="Jul"/>
    <s v="Sat"/>
    <s v="CUST-179"/>
    <s v="PROD-008"/>
    <s v="Home Office"/>
    <s v="East"/>
    <x v="4"/>
    <x v="2"/>
    <n v="6"/>
    <n v="120"/>
    <n v="720"/>
    <n v="72"/>
    <s v="Large Order"/>
    <s v="Weekend"/>
  </r>
  <r>
    <s v="ORD-1254"/>
    <d v="2024-07-30T00:00:00"/>
    <n v="2024"/>
    <s v="Jul"/>
    <s v="Tue"/>
    <s v="CUST-103"/>
    <s v="PROD-014"/>
    <s v="Consumer"/>
    <s v="South"/>
    <x v="3"/>
    <x v="0"/>
    <n v="8"/>
    <n v="120"/>
    <n v="960"/>
    <n v="96"/>
    <s v="Large Order"/>
    <s v="Weekday"/>
  </r>
  <r>
    <s v="ORD-1255"/>
    <d v="2024-07-14T00:00:00"/>
    <n v="2024"/>
    <s v="Jul"/>
    <s v="Sun"/>
    <s v="CUST-104"/>
    <s v="PROD-007"/>
    <s v="Corporate"/>
    <s v="South"/>
    <x v="4"/>
    <x v="2"/>
    <n v="15"/>
    <n v="120"/>
    <n v="1800"/>
    <n v="180"/>
    <s v="Large Order"/>
    <s v="Weekend"/>
  </r>
  <r>
    <s v="ORD-1256"/>
    <d v="2024-04-24T00:00:00"/>
    <n v="2024"/>
    <s v="Apr"/>
    <s v="Wed"/>
    <s v="CUST-103"/>
    <s v="PROD-013"/>
    <s v="Home Office"/>
    <s v="Central"/>
    <x v="4"/>
    <x v="0"/>
    <n v="11"/>
    <n v="120"/>
    <n v="1320"/>
    <n v="132"/>
    <s v="Large Order"/>
    <s v="Weekday"/>
  </r>
  <r>
    <s v="ORD-1257"/>
    <d v="2024-05-22T00:00:00"/>
    <n v="2024"/>
    <s v="May"/>
    <s v="Wed"/>
    <s v="CUST-144"/>
    <s v="PROD-013"/>
    <s v="Home Office"/>
    <s v="Central"/>
    <x v="5"/>
    <x v="0"/>
    <n v="18"/>
    <n v="120"/>
    <n v="2160"/>
    <n v="216"/>
    <s v="Large Order"/>
    <s v="Weekday"/>
  </r>
  <r>
    <s v="ORD-1258"/>
    <d v="2024-02-29T00:00:00"/>
    <n v="2024"/>
    <s v="Feb"/>
    <s v="Thu"/>
    <s v="CUST-133"/>
    <s v="PROD-009"/>
    <s v="Consumer"/>
    <s v="West"/>
    <x v="5"/>
    <x v="1"/>
    <n v="2"/>
    <n v="120"/>
    <n v="240"/>
    <n v="24"/>
    <s v="Standard Order"/>
    <s v="Weekday"/>
  </r>
  <r>
    <s v="ORD-1259"/>
    <d v="2024-06-25T00:00:00"/>
    <n v="2024"/>
    <s v="Jun"/>
    <s v="Tue"/>
    <s v="CUST-193"/>
    <s v="PROD-020"/>
    <s v="Corporate"/>
    <s v="West"/>
    <x v="2"/>
    <x v="4"/>
    <n v="17"/>
    <n v="120"/>
    <n v="2040"/>
    <n v="204"/>
    <s v="Large Order"/>
    <s v="Weekday"/>
  </r>
  <r>
    <s v="ORD-1260"/>
    <d v="2024-04-07T00:00:00"/>
    <n v="2024"/>
    <s v="Apr"/>
    <s v="Sun"/>
    <s v="CUST-132"/>
    <s v="PROD-001"/>
    <s v="Consumer"/>
    <s v="South"/>
    <x v="2"/>
    <x v="4"/>
    <n v="17"/>
    <n v="120"/>
    <n v="2040"/>
    <n v="204"/>
    <s v="Large Order"/>
    <s v="Weekend"/>
  </r>
  <r>
    <s v="ORD-1261"/>
    <d v="2024-12-17T00:00:00"/>
    <n v="2024"/>
    <s v="Dec"/>
    <s v="Tue"/>
    <s v="CUST-192"/>
    <s v="PROD-012"/>
    <s v="Home Office"/>
    <s v="North"/>
    <x v="4"/>
    <x v="3"/>
    <n v="14"/>
    <n v="120"/>
    <n v="1680"/>
    <n v="168"/>
    <s v="Large Order"/>
    <s v="Weekday"/>
  </r>
  <r>
    <s v="ORD-1262"/>
    <d v="2024-11-15T00:00:00"/>
    <n v="2024"/>
    <s v="Nov"/>
    <s v="Fri"/>
    <s v="CUST-140"/>
    <s v="PROD-024"/>
    <s v="Home Office"/>
    <s v="East"/>
    <x v="0"/>
    <x v="1"/>
    <n v="10"/>
    <n v="120"/>
    <n v="1200"/>
    <n v="120"/>
    <s v="Large Order"/>
    <s v="Weekday"/>
  </r>
  <r>
    <s v="ORD-1263"/>
    <d v="2024-06-16T00:00:00"/>
    <n v="2024"/>
    <s v="Jun"/>
    <s v="Sun"/>
    <s v="CUST-151"/>
    <s v="PROD-018"/>
    <s v="Home Office"/>
    <s v="Central"/>
    <x v="3"/>
    <x v="1"/>
    <n v="5"/>
    <n v="120"/>
    <n v="600"/>
    <n v="60"/>
    <s v="Large Order"/>
    <s v="Weekend"/>
  </r>
  <r>
    <s v="ORD-1264"/>
    <d v="2024-12-12T00:00:00"/>
    <n v="2024"/>
    <s v="Dec"/>
    <s v="Thu"/>
    <s v="CUST-195"/>
    <s v="PROD-019"/>
    <s v="Consumer"/>
    <s v="West"/>
    <x v="5"/>
    <x v="0"/>
    <n v="10"/>
    <n v="120"/>
    <n v="1200"/>
    <n v="120"/>
    <s v="Large Order"/>
    <s v="Weekday"/>
  </r>
  <r>
    <s v="ORD-1265"/>
    <d v="2024-06-04T00:00:00"/>
    <n v="2024"/>
    <s v="Jun"/>
    <s v="Tue"/>
    <s v="CUST-136"/>
    <s v="PROD-019"/>
    <s v="Consumer"/>
    <s v="South"/>
    <x v="2"/>
    <x v="1"/>
    <n v="20"/>
    <n v="120"/>
    <n v="2400"/>
    <n v="240"/>
    <s v="Large Order"/>
    <s v="Weekday"/>
  </r>
  <r>
    <s v="ORD-1266"/>
    <d v="2024-08-14T00:00:00"/>
    <n v="2024"/>
    <s v="Aug"/>
    <s v="Wed"/>
    <s v="CUST-156"/>
    <s v="PROD-017"/>
    <s v="Home Office"/>
    <s v="Central"/>
    <x v="4"/>
    <x v="2"/>
    <n v="16"/>
    <n v="120"/>
    <n v="1920"/>
    <n v="192"/>
    <s v="Large Order"/>
    <s v="Weekday"/>
  </r>
  <r>
    <s v="ORD-1267"/>
    <d v="2024-12-03T00:00:00"/>
    <n v="2024"/>
    <s v="Dec"/>
    <s v="Tue"/>
    <s v="CUST-110"/>
    <s v="PROD-022"/>
    <s v="Corporate"/>
    <s v="South"/>
    <x v="5"/>
    <x v="2"/>
    <n v="20"/>
    <n v="120"/>
    <n v="2400"/>
    <n v="240"/>
    <s v="Large Order"/>
    <s v="Weekday"/>
  </r>
  <r>
    <s v="ORD-1268"/>
    <d v="2024-12-10T00:00:00"/>
    <n v="2024"/>
    <s v="Dec"/>
    <s v="Tue"/>
    <s v="CUST-139"/>
    <s v="PROD-005"/>
    <s v="Consumer"/>
    <s v="West"/>
    <x v="4"/>
    <x v="1"/>
    <n v="1"/>
    <n v="120"/>
    <n v="120"/>
    <n v="12"/>
    <s v="Standard Order"/>
    <s v="Weekday"/>
  </r>
  <r>
    <s v="ORD-1269"/>
    <d v="2024-11-08T00:00:00"/>
    <n v="2024"/>
    <s v="Nov"/>
    <s v="Fri"/>
    <s v="CUST-198"/>
    <s v="PROD-014"/>
    <s v="Consumer"/>
    <s v="South"/>
    <x v="2"/>
    <x v="1"/>
    <n v="19"/>
    <n v="120"/>
    <n v="2280"/>
    <n v="228"/>
    <s v="Large Order"/>
    <s v="Weekday"/>
  </r>
  <r>
    <s v="ORD-1270"/>
    <d v="2024-09-10T00:00:00"/>
    <n v="2024"/>
    <s v="Sep"/>
    <s v="Tue"/>
    <s v="CUST-151"/>
    <s v="PROD-021"/>
    <s v="Consumer"/>
    <s v="Central"/>
    <x v="4"/>
    <x v="0"/>
    <n v="1"/>
    <n v="120"/>
    <n v="120"/>
    <n v="12"/>
    <s v="Standard Order"/>
    <s v="Weekday"/>
  </r>
  <r>
    <s v="ORD-1271"/>
    <d v="2024-08-05T00:00:00"/>
    <n v="2024"/>
    <s v="Aug"/>
    <s v="Mon"/>
    <s v="CUST-128"/>
    <s v="PROD-015"/>
    <s v="Consumer"/>
    <s v="Central"/>
    <x v="5"/>
    <x v="0"/>
    <n v="2"/>
    <n v="120"/>
    <n v="240"/>
    <n v="24"/>
    <s v="Standard Order"/>
    <s v="Weekday"/>
  </r>
  <r>
    <s v="ORD-1272"/>
    <d v="2024-08-21T00:00:00"/>
    <n v="2024"/>
    <s v="Aug"/>
    <s v="Wed"/>
    <s v="CUST-117"/>
    <s v="PROD-018"/>
    <s v="Corporate"/>
    <s v="West"/>
    <x v="5"/>
    <x v="1"/>
    <n v="20"/>
    <n v="120"/>
    <n v="2400"/>
    <n v="240"/>
    <s v="Large Order"/>
    <s v="Weekday"/>
  </r>
  <r>
    <s v="ORD-1273"/>
    <d v="2024-11-09T00:00:00"/>
    <n v="2024"/>
    <s v="Nov"/>
    <s v="Sat"/>
    <s v="CUST-192"/>
    <s v="PROD-018"/>
    <s v="Home Office"/>
    <s v="East"/>
    <x v="2"/>
    <x v="1"/>
    <n v="15"/>
    <n v="120"/>
    <n v="1800"/>
    <n v="180"/>
    <s v="Large Order"/>
    <s v="Weekend"/>
  </r>
  <r>
    <s v="ORD-1274"/>
    <d v="2024-08-18T00:00:00"/>
    <n v="2024"/>
    <s v="Aug"/>
    <s v="Sun"/>
    <s v="CUST-133"/>
    <s v="PROD-025"/>
    <s v="Consumer"/>
    <s v="East"/>
    <x v="3"/>
    <x v="2"/>
    <n v="17"/>
    <n v="120"/>
    <n v="2040"/>
    <n v="204"/>
    <s v="Large Order"/>
    <s v="Weekend"/>
  </r>
  <r>
    <s v="ORD-1275"/>
    <d v="2024-05-20T00:00:00"/>
    <n v="2024"/>
    <s v="May"/>
    <s v="Mon"/>
    <s v="CUST-156"/>
    <s v="PROD-008"/>
    <s v="Consumer"/>
    <s v="South"/>
    <x v="3"/>
    <x v="4"/>
    <n v="9"/>
    <n v="120"/>
    <n v="1080"/>
    <n v="108"/>
    <s v="Large Order"/>
    <s v="Weekday"/>
  </r>
  <r>
    <s v="ORD-1276"/>
    <d v="2024-02-11T00:00:00"/>
    <n v="2024"/>
    <s v="Feb"/>
    <s v="Sun"/>
    <s v="CUST-117"/>
    <s v="PROD-013"/>
    <s v="Consumer"/>
    <s v="Central"/>
    <x v="4"/>
    <x v="0"/>
    <n v="5"/>
    <n v="120"/>
    <n v="600"/>
    <n v="60"/>
    <s v="Large Order"/>
    <s v="Weekend"/>
  </r>
  <r>
    <s v="ORD-1277"/>
    <d v="2024-07-31T00:00:00"/>
    <n v="2024"/>
    <s v="Jul"/>
    <s v="Wed"/>
    <s v="CUST-152"/>
    <s v="PROD-015"/>
    <s v="Corporate"/>
    <s v="North"/>
    <x v="5"/>
    <x v="1"/>
    <n v="14"/>
    <n v="120"/>
    <n v="1680"/>
    <n v="168"/>
    <s v="Large Order"/>
    <s v="Weekday"/>
  </r>
  <r>
    <s v="ORD-1278"/>
    <d v="2024-07-18T00:00:00"/>
    <n v="2024"/>
    <s v="Jul"/>
    <s v="Thu"/>
    <s v="CUST-198"/>
    <s v="PROD-025"/>
    <s v="Home Office"/>
    <s v="West"/>
    <x v="0"/>
    <x v="0"/>
    <n v="19"/>
    <n v="120"/>
    <n v="2280"/>
    <n v="228"/>
    <s v="Large Order"/>
    <s v="Weekday"/>
  </r>
  <r>
    <s v="ORD-1279"/>
    <d v="2024-06-29T00:00:00"/>
    <n v="2024"/>
    <s v="Jun"/>
    <s v="Sat"/>
    <s v="CUST-138"/>
    <s v="PROD-018"/>
    <s v="Corporate"/>
    <s v="West"/>
    <x v="2"/>
    <x v="2"/>
    <n v="18"/>
    <n v="120"/>
    <n v="2160"/>
    <n v="216"/>
    <s v="Large Order"/>
    <s v="Weekend"/>
  </r>
  <r>
    <s v="ORD-1280"/>
    <d v="2024-09-06T00:00:00"/>
    <n v="2024"/>
    <s v="Sep"/>
    <s v="Fri"/>
    <s v="CUST-128"/>
    <s v="PROD-016"/>
    <s v="Corporate"/>
    <s v="Central"/>
    <x v="2"/>
    <x v="1"/>
    <n v="1"/>
    <n v="120"/>
    <n v="120"/>
    <n v="12"/>
    <s v="Standard Order"/>
    <s v="Weekday"/>
  </r>
  <r>
    <s v="ORD-1281"/>
    <d v="2024-03-25T00:00:00"/>
    <n v="2024"/>
    <s v="Mar"/>
    <s v="Mon"/>
    <s v="CUST-159"/>
    <s v="PROD-018"/>
    <s v="Consumer"/>
    <s v="North"/>
    <x v="5"/>
    <x v="4"/>
    <n v="1"/>
    <n v="120"/>
    <n v="120"/>
    <n v="12"/>
    <s v="Standard Order"/>
    <s v="Weekday"/>
  </r>
  <r>
    <s v="ORD-1282"/>
    <d v="2024-10-15T00:00:00"/>
    <n v="2024"/>
    <s v="Oct"/>
    <s v="Tue"/>
    <s v="CUST-184"/>
    <s v="PROD-021"/>
    <s v="Consumer"/>
    <s v="West"/>
    <x v="0"/>
    <x v="1"/>
    <n v="14"/>
    <n v="120"/>
    <n v="1680"/>
    <n v="168"/>
    <s v="Large Order"/>
    <s v="Weekday"/>
  </r>
  <r>
    <s v="ORD-1283"/>
    <d v="2024-04-03T00:00:00"/>
    <n v="2024"/>
    <s v="Apr"/>
    <s v="Wed"/>
    <s v="CUST-106"/>
    <s v="PROD-011"/>
    <s v="Corporate"/>
    <s v="East"/>
    <x v="2"/>
    <x v="3"/>
    <n v="7"/>
    <n v="120"/>
    <n v="840"/>
    <n v="84"/>
    <s v="Large Order"/>
    <s v="Weekday"/>
  </r>
  <r>
    <s v="ORD-1284"/>
    <d v="2024-07-13T00:00:00"/>
    <n v="2024"/>
    <s v="Jul"/>
    <s v="Sat"/>
    <s v="CUST-135"/>
    <s v="PROD-003"/>
    <s v="Corporate"/>
    <s v="North"/>
    <x v="3"/>
    <x v="4"/>
    <n v="16"/>
    <n v="120"/>
    <n v="1920"/>
    <n v="192"/>
    <s v="Large Order"/>
    <s v="Weekend"/>
  </r>
  <r>
    <s v="ORD-1285"/>
    <d v="2024-01-27T00:00:00"/>
    <n v="2024"/>
    <s v="Jan"/>
    <s v="Sat"/>
    <s v="CUST-144"/>
    <s v="PROD-025"/>
    <s v="Consumer"/>
    <s v="South"/>
    <x v="0"/>
    <x v="2"/>
    <n v="2"/>
    <n v="120"/>
    <n v="240"/>
    <n v="24"/>
    <s v="Standard Order"/>
    <s v="Weekend"/>
  </r>
  <r>
    <s v="ORD-1286"/>
    <d v="2024-04-12T00:00:00"/>
    <n v="2024"/>
    <s v="Apr"/>
    <s v="Fri"/>
    <s v="CUST-102"/>
    <s v="PROD-008"/>
    <s v="Home Office"/>
    <s v="East"/>
    <x v="4"/>
    <x v="0"/>
    <n v="5"/>
    <n v="120"/>
    <n v="600"/>
    <n v="60"/>
    <s v="Large Order"/>
    <s v="Weekday"/>
  </r>
  <r>
    <s v="ORD-1287"/>
    <d v="2024-10-15T00:00:00"/>
    <n v="2024"/>
    <s v="Oct"/>
    <s v="Tue"/>
    <s v="CUST-127"/>
    <s v="PROD-025"/>
    <s v="Corporate"/>
    <s v="East"/>
    <x v="3"/>
    <x v="4"/>
    <n v="12"/>
    <n v="120"/>
    <n v="1440"/>
    <n v="144"/>
    <s v="Large Order"/>
    <s v="Weekday"/>
  </r>
  <r>
    <s v="ORD-1288"/>
    <d v="2024-02-28T00:00:00"/>
    <n v="2024"/>
    <s v="Feb"/>
    <s v="Wed"/>
    <s v="CUST-199"/>
    <s v="PROD-004"/>
    <s v="Consumer"/>
    <s v="West"/>
    <x v="3"/>
    <x v="3"/>
    <n v="19"/>
    <n v="120"/>
    <n v="2280"/>
    <n v="228"/>
    <s v="Large Order"/>
    <s v="Weekday"/>
  </r>
  <r>
    <s v="ORD-1289"/>
    <d v="2024-10-21T00:00:00"/>
    <n v="2024"/>
    <s v="Oct"/>
    <s v="Mon"/>
    <s v="CUST-186"/>
    <s v="PROD-023"/>
    <s v="Corporate"/>
    <s v="Central"/>
    <x v="2"/>
    <x v="2"/>
    <n v="7"/>
    <n v="120"/>
    <n v="840"/>
    <n v="84"/>
    <s v="Large Order"/>
    <s v="Weekday"/>
  </r>
  <r>
    <s v="ORD-1290"/>
    <d v="2024-02-22T00:00:00"/>
    <n v="2024"/>
    <s v="Feb"/>
    <s v="Thu"/>
    <s v="CUST-189"/>
    <s v="PROD-004"/>
    <s v="Corporate"/>
    <s v="East"/>
    <x v="5"/>
    <x v="3"/>
    <n v="19"/>
    <n v="120"/>
    <n v="2280"/>
    <n v="228"/>
    <s v="Large Order"/>
    <s v="Weekday"/>
  </r>
  <r>
    <s v="ORD-1291"/>
    <d v="2024-09-29T00:00:00"/>
    <n v="2024"/>
    <s v="Sep"/>
    <s v="Sun"/>
    <s v="CUST-154"/>
    <s v="PROD-003"/>
    <s v="Home Office"/>
    <s v="West"/>
    <x v="3"/>
    <x v="0"/>
    <n v="17"/>
    <n v="120"/>
    <n v="2040"/>
    <n v="204"/>
    <s v="Large Order"/>
    <s v="Weekend"/>
  </r>
  <r>
    <s v="ORD-1292"/>
    <d v="2024-08-03T00:00:00"/>
    <n v="2024"/>
    <s v="Aug"/>
    <s v="Sat"/>
    <s v="CUST-162"/>
    <s v="PROD-012"/>
    <s v="Consumer"/>
    <s v="East"/>
    <x v="2"/>
    <x v="1"/>
    <n v="15"/>
    <n v="120"/>
    <n v="1800"/>
    <n v="180"/>
    <s v="Large Order"/>
    <s v="Weekend"/>
  </r>
  <r>
    <s v="ORD-1293"/>
    <d v="2024-03-31T00:00:00"/>
    <n v="2024"/>
    <s v="Mar"/>
    <s v="Sun"/>
    <s v="CUST-193"/>
    <s v="PROD-020"/>
    <s v="Home Office"/>
    <s v="East"/>
    <x v="3"/>
    <x v="1"/>
    <n v="18"/>
    <n v="120"/>
    <n v="2160"/>
    <n v="216"/>
    <s v="Large Order"/>
    <s v="Weekend"/>
  </r>
  <r>
    <s v="ORD-1294"/>
    <d v="2024-08-11T00:00:00"/>
    <n v="2024"/>
    <s v="Aug"/>
    <s v="Sun"/>
    <s v="CUST-193"/>
    <s v="PROD-011"/>
    <s v="Home Office"/>
    <s v="West"/>
    <x v="3"/>
    <x v="0"/>
    <n v="8"/>
    <n v="120"/>
    <n v="960"/>
    <n v="96"/>
    <s v="Large Order"/>
    <s v="Weekend"/>
  </r>
  <r>
    <s v="ORD-1295"/>
    <d v="2024-05-22T00:00:00"/>
    <n v="2024"/>
    <s v="May"/>
    <s v="Wed"/>
    <s v="CUST-157"/>
    <s v="PROD-019"/>
    <s v="Consumer"/>
    <s v="South"/>
    <x v="2"/>
    <x v="3"/>
    <n v="20"/>
    <n v="120"/>
    <n v="2400"/>
    <n v="240"/>
    <s v="Large Order"/>
    <s v="Weekday"/>
  </r>
  <r>
    <s v="ORD-1296"/>
    <d v="2024-01-15T00:00:00"/>
    <n v="2024"/>
    <s v="Jan"/>
    <s v="Mon"/>
    <s v="CUST-163"/>
    <s v="PROD-016"/>
    <s v="Corporate"/>
    <s v="East"/>
    <x v="4"/>
    <x v="3"/>
    <n v="7"/>
    <n v="120"/>
    <n v="840"/>
    <n v="84"/>
    <s v="Large Order"/>
    <s v="Weekday"/>
  </r>
  <r>
    <s v="ORD-1297"/>
    <d v="2024-06-23T00:00:00"/>
    <n v="2024"/>
    <s v="Jun"/>
    <s v="Sun"/>
    <s v="CUST-135"/>
    <s v="PROD-018"/>
    <s v="Home Office"/>
    <s v="West"/>
    <x v="3"/>
    <x v="2"/>
    <n v="1"/>
    <n v="120"/>
    <n v="120"/>
    <n v="12"/>
    <s v="Standard Order"/>
    <s v="Weekend"/>
  </r>
  <r>
    <s v="ORD-1298"/>
    <d v="2024-02-13T00:00:00"/>
    <n v="2024"/>
    <s v="Feb"/>
    <s v="Tue"/>
    <s v="CUST-130"/>
    <s v="PROD-016"/>
    <s v="Home Office"/>
    <s v="West"/>
    <x v="2"/>
    <x v="1"/>
    <n v="18"/>
    <n v="120"/>
    <n v="2160"/>
    <n v="216"/>
    <s v="Large Order"/>
    <s v="Weekday"/>
  </r>
  <r>
    <s v="ORD-1299"/>
    <d v="2024-11-26T00:00:00"/>
    <n v="2024"/>
    <s v="Nov"/>
    <s v="Tue"/>
    <s v="CUST-191"/>
    <s v="PROD-001"/>
    <s v="Corporate"/>
    <s v="Central"/>
    <x v="2"/>
    <x v="1"/>
    <n v="3"/>
    <n v="120"/>
    <n v="360"/>
    <n v="36"/>
    <s v="Standard Order"/>
    <s v="Weekday"/>
  </r>
  <r>
    <s v="ORD-1300"/>
    <d v="2024-12-20T00:00:00"/>
    <n v="2024"/>
    <s v="Dec"/>
    <s v="Fri"/>
    <s v="CUST-131"/>
    <s v="PROD-012"/>
    <s v="Corporate"/>
    <s v="East"/>
    <x v="5"/>
    <x v="3"/>
    <n v="16"/>
    <n v="120"/>
    <n v="1920"/>
    <n v="192"/>
    <s v="Large Order"/>
    <s v="Weekday"/>
  </r>
  <r>
    <s v="ORD-1301"/>
    <d v="2024-08-05T00:00:00"/>
    <n v="2024"/>
    <s v="Aug"/>
    <s v="Mon"/>
    <s v="CUST-195"/>
    <s v="PROD-012"/>
    <s v="Home Office"/>
    <s v="South"/>
    <x v="3"/>
    <x v="3"/>
    <n v="15"/>
    <n v="120"/>
    <n v="1800"/>
    <n v="180"/>
    <s v="Large Order"/>
    <s v="Weekday"/>
  </r>
  <r>
    <s v="ORD-1302"/>
    <d v="2024-04-28T00:00:00"/>
    <n v="2024"/>
    <s v="Apr"/>
    <s v="Sun"/>
    <s v="CUST-115"/>
    <s v="PROD-011"/>
    <s v="Home Office"/>
    <s v="West"/>
    <x v="4"/>
    <x v="2"/>
    <n v="4"/>
    <n v="120"/>
    <n v="480"/>
    <n v="48"/>
    <s v="Standard Order"/>
    <s v="Weekend"/>
  </r>
  <r>
    <s v="ORD-1303"/>
    <d v="2024-04-08T00:00:00"/>
    <n v="2024"/>
    <s v="Apr"/>
    <s v="Mon"/>
    <s v="CUST-127"/>
    <s v="PROD-009"/>
    <s v="Home Office"/>
    <s v="South"/>
    <x v="2"/>
    <x v="4"/>
    <n v="19"/>
    <n v="120"/>
    <n v="2280"/>
    <n v="228"/>
    <s v="Large Order"/>
    <s v="Weekday"/>
  </r>
  <r>
    <s v="ORD-1304"/>
    <d v="2024-11-01T00:00:00"/>
    <n v="2024"/>
    <s v="Nov"/>
    <s v="Fri"/>
    <s v="CUST-136"/>
    <s v="PROD-010"/>
    <s v="Consumer"/>
    <s v="South"/>
    <x v="4"/>
    <x v="3"/>
    <n v="8"/>
    <n v="120"/>
    <n v="960"/>
    <n v="96"/>
    <s v="Large Order"/>
    <s v="Weekday"/>
  </r>
  <r>
    <s v="ORD-1305"/>
    <d v="2024-01-08T00:00:00"/>
    <n v="2024"/>
    <s v="Jan"/>
    <s v="Mon"/>
    <s v="CUST-190"/>
    <s v="PROD-009"/>
    <s v="Home Office"/>
    <s v="West"/>
    <x v="4"/>
    <x v="4"/>
    <n v="2"/>
    <n v="120"/>
    <n v="240"/>
    <n v="24"/>
    <s v="Standard Order"/>
    <s v="Weekday"/>
  </r>
  <r>
    <s v="ORD-1306"/>
    <d v="2024-05-29T00:00:00"/>
    <n v="2024"/>
    <s v="May"/>
    <s v="Wed"/>
    <s v="CUST-189"/>
    <s v="PROD-004"/>
    <s v="Consumer"/>
    <s v="South"/>
    <x v="2"/>
    <x v="1"/>
    <n v="1"/>
    <n v="120"/>
    <n v="120"/>
    <n v="12"/>
    <s v="Standard Order"/>
    <s v="Weekday"/>
  </r>
  <r>
    <s v="ORD-1307"/>
    <d v="2024-09-02T00:00:00"/>
    <n v="2024"/>
    <s v="Sep"/>
    <s v="Mon"/>
    <s v="CUST-156"/>
    <s v="PROD-002"/>
    <s v="Corporate"/>
    <s v="West"/>
    <x v="4"/>
    <x v="1"/>
    <n v="9"/>
    <n v="120"/>
    <n v="1080"/>
    <n v="108"/>
    <s v="Large Order"/>
    <s v="Weekday"/>
  </r>
  <r>
    <s v="ORD-1308"/>
    <d v="2024-02-28T00:00:00"/>
    <n v="2024"/>
    <s v="Feb"/>
    <s v="Wed"/>
    <s v="CUST-108"/>
    <s v="PROD-003"/>
    <s v="Corporate"/>
    <s v="East"/>
    <x v="2"/>
    <x v="0"/>
    <n v="19"/>
    <n v="120"/>
    <n v="2280"/>
    <n v="228"/>
    <s v="Large Order"/>
    <s v="Weekday"/>
  </r>
  <r>
    <s v="ORD-1309"/>
    <d v="2024-03-18T00:00:00"/>
    <n v="2024"/>
    <s v="Mar"/>
    <s v="Mon"/>
    <s v="CUST-119"/>
    <s v="PROD-003"/>
    <s v="Home Office"/>
    <s v="South"/>
    <x v="3"/>
    <x v="1"/>
    <n v="8"/>
    <n v="120"/>
    <n v="960"/>
    <n v="96"/>
    <s v="Large Order"/>
    <s v="Weekday"/>
  </r>
  <r>
    <s v="ORD-1310"/>
    <d v="2024-11-06T00:00:00"/>
    <n v="2024"/>
    <s v="Nov"/>
    <s v="Wed"/>
    <s v="CUST-176"/>
    <s v="PROD-025"/>
    <s v="Home Office"/>
    <s v="East"/>
    <x v="4"/>
    <x v="1"/>
    <n v="17"/>
    <n v="120"/>
    <n v="2040"/>
    <n v="204"/>
    <s v="Large Order"/>
    <s v="Weekday"/>
  </r>
  <r>
    <s v="ORD-1311"/>
    <d v="2024-06-01T00:00:00"/>
    <n v="2024"/>
    <s v="Jun"/>
    <s v="Sat"/>
    <s v="CUST-175"/>
    <s v="PROD-019"/>
    <s v="Corporate"/>
    <s v="East"/>
    <x v="3"/>
    <x v="0"/>
    <n v="20"/>
    <n v="120"/>
    <n v="2400"/>
    <n v="240"/>
    <s v="Large Order"/>
    <s v="Weekend"/>
  </r>
  <r>
    <s v="ORD-1312"/>
    <d v="2024-04-16T00:00:00"/>
    <n v="2024"/>
    <s v="Apr"/>
    <s v="Tue"/>
    <s v="CUST-180"/>
    <s v="PROD-022"/>
    <s v="Consumer"/>
    <s v="North"/>
    <x v="3"/>
    <x v="2"/>
    <n v="3"/>
    <n v="120"/>
    <n v="360"/>
    <n v="36"/>
    <s v="Standard Order"/>
    <s v="Weekday"/>
  </r>
  <r>
    <s v="ORD-1313"/>
    <d v="2024-10-09T00:00:00"/>
    <n v="2024"/>
    <s v="Oct"/>
    <s v="Wed"/>
    <s v="CUST-109"/>
    <s v="PROD-014"/>
    <s v="Consumer"/>
    <s v="East"/>
    <x v="0"/>
    <x v="1"/>
    <n v="15"/>
    <n v="120"/>
    <n v="1800"/>
    <n v="180"/>
    <s v="Large Order"/>
    <s v="Weekday"/>
  </r>
  <r>
    <s v="ORD-1314"/>
    <d v="2024-05-29T00:00:00"/>
    <n v="2024"/>
    <s v="May"/>
    <s v="Wed"/>
    <s v="CUST-104"/>
    <s v="PROD-023"/>
    <s v="Consumer"/>
    <s v="East"/>
    <x v="3"/>
    <x v="1"/>
    <n v="10"/>
    <n v="120"/>
    <n v="1200"/>
    <n v="120"/>
    <s v="Large Order"/>
    <s v="Weekday"/>
  </r>
  <r>
    <s v="ORD-1315"/>
    <d v="2024-02-06T00:00:00"/>
    <n v="2024"/>
    <s v="Feb"/>
    <s v="Tue"/>
    <s v="CUST-187"/>
    <s v="PROD-021"/>
    <s v="Consumer"/>
    <s v="South"/>
    <x v="3"/>
    <x v="2"/>
    <n v="19"/>
    <n v="120"/>
    <n v="2280"/>
    <n v="228"/>
    <s v="Large Order"/>
    <s v="Weekday"/>
  </r>
  <r>
    <s v="ORD-1316"/>
    <d v="2024-08-05T00:00:00"/>
    <n v="2024"/>
    <s v="Aug"/>
    <s v="Mon"/>
    <s v="CUST-114"/>
    <s v="PROD-021"/>
    <s v="Home Office"/>
    <s v="East"/>
    <x v="4"/>
    <x v="2"/>
    <n v="5"/>
    <n v="120"/>
    <n v="600"/>
    <n v="60"/>
    <s v="Large Order"/>
    <s v="Weekday"/>
  </r>
  <r>
    <s v="ORD-1317"/>
    <d v="2024-02-06T00:00:00"/>
    <n v="2024"/>
    <s v="Feb"/>
    <s v="Tue"/>
    <s v="CUST-107"/>
    <s v="PROD-020"/>
    <s v="Consumer"/>
    <s v="East"/>
    <x v="3"/>
    <x v="1"/>
    <n v="19"/>
    <n v="120"/>
    <n v="2280"/>
    <n v="228"/>
    <s v="Large Order"/>
    <s v="Weekday"/>
  </r>
  <r>
    <s v="ORD-1318"/>
    <d v="2024-03-04T00:00:00"/>
    <n v="2024"/>
    <s v="Mar"/>
    <s v="Mon"/>
    <s v="CUST-159"/>
    <s v="PROD-023"/>
    <s v="Home Office"/>
    <s v="North"/>
    <x v="3"/>
    <x v="4"/>
    <n v="13"/>
    <n v="120"/>
    <n v="1560"/>
    <n v="156"/>
    <s v="Large Order"/>
    <s v="Weekday"/>
  </r>
  <r>
    <s v="ORD-1319"/>
    <d v="2024-10-03T00:00:00"/>
    <n v="2024"/>
    <s v="Oct"/>
    <s v="Thu"/>
    <s v="CUST-163"/>
    <s v="PROD-020"/>
    <s v="Corporate"/>
    <s v="North"/>
    <x v="0"/>
    <x v="3"/>
    <n v="2"/>
    <n v="120"/>
    <n v="240"/>
    <n v="24"/>
    <s v="Standard Order"/>
    <s v="Weekday"/>
  </r>
  <r>
    <s v="ORD-1320"/>
    <d v="2024-11-05T00:00:00"/>
    <n v="2024"/>
    <s v="Nov"/>
    <s v="Tue"/>
    <s v="CUST-132"/>
    <s v="PROD-008"/>
    <s v="Consumer"/>
    <s v="North"/>
    <x v="0"/>
    <x v="0"/>
    <n v="19"/>
    <n v="120"/>
    <n v="2280"/>
    <n v="228"/>
    <s v="Large Order"/>
    <s v="Weekday"/>
  </r>
  <r>
    <s v="ORD-1321"/>
    <d v="2024-12-10T00:00:00"/>
    <n v="2024"/>
    <s v="Dec"/>
    <s v="Tue"/>
    <s v="CUST-134"/>
    <s v="PROD-025"/>
    <s v="Home Office"/>
    <s v="West"/>
    <x v="0"/>
    <x v="1"/>
    <n v="6"/>
    <n v="120"/>
    <n v="720"/>
    <n v="72"/>
    <s v="Large Order"/>
    <s v="Weekday"/>
  </r>
  <r>
    <s v="ORD-1322"/>
    <d v="2024-05-22T00:00:00"/>
    <n v="2024"/>
    <s v="May"/>
    <s v="Wed"/>
    <s v="CUST-123"/>
    <s v="PROD-021"/>
    <s v="Home Office"/>
    <s v="East"/>
    <x v="2"/>
    <x v="1"/>
    <n v="16"/>
    <n v="120"/>
    <n v="1920"/>
    <n v="192"/>
    <s v="Large Order"/>
    <s v="Weekday"/>
  </r>
  <r>
    <s v="ORD-1323"/>
    <d v="2024-06-27T00:00:00"/>
    <n v="2024"/>
    <s v="Jun"/>
    <s v="Thu"/>
    <s v="CUST-152"/>
    <s v="PROD-022"/>
    <s v="Corporate"/>
    <s v="East"/>
    <x v="3"/>
    <x v="3"/>
    <n v="4"/>
    <n v="120"/>
    <n v="480"/>
    <n v="48"/>
    <s v="Standard Order"/>
    <s v="Weekday"/>
  </r>
  <r>
    <s v="ORD-1324"/>
    <d v="2024-07-29T00:00:00"/>
    <n v="2024"/>
    <s v="Jul"/>
    <s v="Mon"/>
    <s v="CUST-188"/>
    <s v="PROD-022"/>
    <s v="Corporate"/>
    <s v="East"/>
    <x v="3"/>
    <x v="4"/>
    <n v="13"/>
    <n v="120"/>
    <n v="1560"/>
    <n v="156"/>
    <s v="Large Order"/>
    <s v="Weekday"/>
  </r>
  <r>
    <s v="ORD-1325"/>
    <d v="2024-01-19T00:00:00"/>
    <n v="2024"/>
    <s v="Jan"/>
    <s v="Fri"/>
    <s v="CUST-158"/>
    <s v="PROD-009"/>
    <s v="Consumer"/>
    <s v="Central"/>
    <x v="3"/>
    <x v="1"/>
    <n v="11"/>
    <n v="120"/>
    <n v="1320"/>
    <n v="132"/>
    <s v="Large Order"/>
    <s v="Weekday"/>
  </r>
  <r>
    <s v="ORD-1326"/>
    <d v="2024-09-20T00:00:00"/>
    <n v="2024"/>
    <s v="Sep"/>
    <s v="Fri"/>
    <s v="CUST-100"/>
    <s v="PROD-015"/>
    <s v="Home Office"/>
    <s v="West"/>
    <x v="5"/>
    <x v="4"/>
    <n v="14"/>
    <n v="120"/>
    <n v="1680"/>
    <n v="168"/>
    <s v="Large Order"/>
    <s v="Weekday"/>
  </r>
  <r>
    <s v="ORD-1327"/>
    <d v="2024-07-04T00:00:00"/>
    <n v="2024"/>
    <s v="Jul"/>
    <s v="Thu"/>
    <s v="CUST-179"/>
    <s v="PROD-025"/>
    <s v="Corporate"/>
    <s v="West"/>
    <x v="2"/>
    <x v="4"/>
    <n v="2"/>
    <n v="120"/>
    <n v="240"/>
    <n v="24"/>
    <s v="Standard Order"/>
    <s v="Weekday"/>
  </r>
  <r>
    <s v="ORD-1328"/>
    <d v="2024-03-08T00:00:00"/>
    <n v="2024"/>
    <s v="Mar"/>
    <s v="Fri"/>
    <s v="CUST-136"/>
    <s v="PROD-004"/>
    <s v="Corporate"/>
    <s v="East"/>
    <x v="2"/>
    <x v="4"/>
    <n v="1"/>
    <n v="120"/>
    <n v="120"/>
    <n v="12"/>
    <s v="Standard Order"/>
    <s v="Weekday"/>
  </r>
  <r>
    <s v="ORD-1329"/>
    <d v="2024-05-02T00:00:00"/>
    <n v="2024"/>
    <s v="May"/>
    <s v="Thu"/>
    <s v="CUST-190"/>
    <s v="PROD-018"/>
    <s v="Consumer"/>
    <s v="North"/>
    <x v="3"/>
    <x v="0"/>
    <n v="1"/>
    <n v="120"/>
    <n v="120"/>
    <n v="12"/>
    <s v="Standard Order"/>
    <s v="Weekday"/>
  </r>
  <r>
    <s v="ORD-1330"/>
    <d v="2024-04-25T00:00:00"/>
    <n v="2024"/>
    <s v="Apr"/>
    <s v="Thu"/>
    <s v="CUST-114"/>
    <s v="PROD-021"/>
    <s v="Corporate"/>
    <s v="West"/>
    <x v="0"/>
    <x v="3"/>
    <n v="5"/>
    <n v="120"/>
    <n v="600"/>
    <n v="60"/>
    <s v="Large Order"/>
    <s v="Weekday"/>
  </r>
  <r>
    <s v="ORD-1331"/>
    <d v="2024-09-17T00:00:00"/>
    <n v="2024"/>
    <s v="Sep"/>
    <s v="Tue"/>
    <s v="CUST-190"/>
    <s v="PROD-016"/>
    <s v="Corporate"/>
    <s v="Central"/>
    <x v="2"/>
    <x v="4"/>
    <n v="16"/>
    <n v="120"/>
    <n v="1920"/>
    <n v="192"/>
    <s v="Large Order"/>
    <s v="Weekday"/>
  </r>
  <r>
    <s v="ORD-1332"/>
    <d v="2024-03-15T00:00:00"/>
    <n v="2024"/>
    <s v="Mar"/>
    <s v="Fri"/>
    <s v="CUST-149"/>
    <s v="PROD-017"/>
    <s v="Consumer"/>
    <s v="East"/>
    <x v="5"/>
    <x v="3"/>
    <n v="5"/>
    <n v="120"/>
    <n v="600"/>
    <n v="60"/>
    <s v="Large Order"/>
    <s v="Weekday"/>
  </r>
  <r>
    <s v="ORD-1333"/>
    <d v="2024-07-31T00:00:00"/>
    <n v="2024"/>
    <s v="Jul"/>
    <s v="Wed"/>
    <s v="CUST-143"/>
    <s v="PROD-001"/>
    <s v="Home Office"/>
    <s v="South"/>
    <x v="3"/>
    <x v="4"/>
    <n v="10"/>
    <n v="120"/>
    <n v="1200"/>
    <n v="120"/>
    <s v="Large Order"/>
    <s v="Weekday"/>
  </r>
  <r>
    <s v="ORD-1334"/>
    <d v="2024-10-23T00:00:00"/>
    <n v="2024"/>
    <s v="Oct"/>
    <s v="Wed"/>
    <s v="CUST-184"/>
    <s v="PROD-015"/>
    <s v="Corporate"/>
    <s v="West"/>
    <x v="4"/>
    <x v="3"/>
    <n v="18"/>
    <n v="120"/>
    <n v="2160"/>
    <n v="216"/>
    <s v="Large Order"/>
    <s v="Weekday"/>
  </r>
  <r>
    <s v="ORD-1335"/>
    <d v="2024-10-09T00:00:00"/>
    <n v="2024"/>
    <s v="Oct"/>
    <s v="Wed"/>
    <s v="CUST-197"/>
    <s v="PROD-015"/>
    <s v="Home Office"/>
    <s v="West"/>
    <x v="2"/>
    <x v="2"/>
    <n v="11"/>
    <n v="120"/>
    <n v="1320"/>
    <n v="132"/>
    <s v="Large Order"/>
    <s v="Weekday"/>
  </r>
  <r>
    <s v="ORD-1336"/>
    <d v="2024-10-19T00:00:00"/>
    <n v="2024"/>
    <s v="Oct"/>
    <s v="Sat"/>
    <s v="CUST-149"/>
    <s v="PROD-002"/>
    <s v="Consumer"/>
    <s v="South"/>
    <x v="2"/>
    <x v="1"/>
    <n v="11"/>
    <n v="120"/>
    <n v="1320"/>
    <n v="132"/>
    <s v="Large Order"/>
    <s v="Weekend"/>
  </r>
  <r>
    <s v="ORD-1337"/>
    <d v="2024-07-16T00:00:00"/>
    <n v="2024"/>
    <s v="Jul"/>
    <s v="Tue"/>
    <s v="CUST-184"/>
    <s v="PROD-016"/>
    <s v="Home Office"/>
    <s v="North"/>
    <x v="4"/>
    <x v="4"/>
    <n v="2"/>
    <n v="120"/>
    <n v="240"/>
    <n v="24"/>
    <s v="Standard Order"/>
    <s v="Weekday"/>
  </r>
  <r>
    <s v="ORD-1338"/>
    <d v="2024-06-18T00:00:00"/>
    <n v="2024"/>
    <s v="Jun"/>
    <s v="Tue"/>
    <s v="CUST-112"/>
    <s v="PROD-017"/>
    <s v="Corporate"/>
    <s v="North"/>
    <x v="0"/>
    <x v="2"/>
    <n v="15"/>
    <n v="120"/>
    <n v="1800"/>
    <n v="180"/>
    <s v="Large Order"/>
    <s v="Weekday"/>
  </r>
  <r>
    <s v="ORD-1339"/>
    <d v="2024-07-28T00:00:00"/>
    <n v="2024"/>
    <s v="Jul"/>
    <s v="Sun"/>
    <s v="CUST-183"/>
    <s v="PROD-016"/>
    <s v="Consumer"/>
    <s v="Central"/>
    <x v="0"/>
    <x v="1"/>
    <n v="9"/>
    <n v="120"/>
    <n v="1080"/>
    <n v="108"/>
    <s v="Large Order"/>
    <s v="Weekend"/>
  </r>
  <r>
    <s v="ORD-1340"/>
    <d v="2024-11-28T00:00:00"/>
    <n v="2024"/>
    <s v="Nov"/>
    <s v="Thu"/>
    <s v="CUST-110"/>
    <s v="PROD-013"/>
    <s v="Corporate"/>
    <s v="North"/>
    <x v="5"/>
    <x v="1"/>
    <n v="11"/>
    <n v="120"/>
    <n v="1320"/>
    <n v="132"/>
    <s v="Large Order"/>
    <s v="Weekday"/>
  </r>
  <r>
    <s v="ORD-1341"/>
    <d v="2024-10-04T00:00:00"/>
    <n v="2024"/>
    <s v="Oct"/>
    <s v="Fri"/>
    <s v="CUST-104"/>
    <s v="PROD-008"/>
    <s v="Home Office"/>
    <s v="North"/>
    <x v="0"/>
    <x v="0"/>
    <n v="10"/>
    <n v="120"/>
    <n v="1200"/>
    <n v="120"/>
    <s v="Large Order"/>
    <s v="Weekday"/>
  </r>
  <r>
    <s v="ORD-1342"/>
    <d v="2024-08-10T00:00:00"/>
    <n v="2024"/>
    <s v="Aug"/>
    <s v="Sat"/>
    <s v="CUST-112"/>
    <s v="PROD-015"/>
    <s v="Home Office"/>
    <s v="East"/>
    <x v="0"/>
    <x v="0"/>
    <n v="6"/>
    <n v="120"/>
    <n v="720"/>
    <n v="72"/>
    <s v="Large Order"/>
    <s v="Weekend"/>
  </r>
  <r>
    <s v="ORD-1343"/>
    <d v="2024-01-24T00:00:00"/>
    <n v="2024"/>
    <s v="Jan"/>
    <s v="Wed"/>
    <s v="CUST-141"/>
    <s v="PROD-012"/>
    <s v="Consumer"/>
    <s v="South"/>
    <x v="3"/>
    <x v="2"/>
    <n v="12"/>
    <n v="120"/>
    <n v="1440"/>
    <n v="144"/>
    <s v="Large Order"/>
    <s v="Weekday"/>
  </r>
  <r>
    <s v="ORD-1344"/>
    <d v="2024-09-28T00:00:00"/>
    <n v="2024"/>
    <s v="Sep"/>
    <s v="Sat"/>
    <s v="CUST-152"/>
    <s v="PROD-006"/>
    <s v="Home Office"/>
    <s v="West"/>
    <x v="4"/>
    <x v="1"/>
    <n v="6"/>
    <n v="120"/>
    <n v="720"/>
    <n v="72"/>
    <s v="Large Order"/>
    <s v="Weekend"/>
  </r>
  <r>
    <s v="ORD-1345"/>
    <d v="2024-11-13T00:00:00"/>
    <n v="2024"/>
    <s v="Nov"/>
    <s v="Wed"/>
    <s v="CUST-187"/>
    <s v="PROD-019"/>
    <s v="Consumer"/>
    <s v="North"/>
    <x v="2"/>
    <x v="3"/>
    <n v="5"/>
    <n v="120"/>
    <n v="600"/>
    <n v="60"/>
    <s v="Large Order"/>
    <s v="Weekday"/>
  </r>
  <r>
    <s v="ORD-1346"/>
    <d v="2024-08-23T00:00:00"/>
    <n v="2024"/>
    <s v="Aug"/>
    <s v="Fri"/>
    <s v="CUST-132"/>
    <s v="PROD-015"/>
    <s v="Home Office"/>
    <s v="Central"/>
    <x v="0"/>
    <x v="2"/>
    <n v="10"/>
    <n v="120"/>
    <n v="1200"/>
    <n v="120"/>
    <s v="Large Order"/>
    <s v="Weekday"/>
  </r>
  <r>
    <s v="ORD-1347"/>
    <d v="2024-02-07T00:00:00"/>
    <n v="2024"/>
    <s v="Feb"/>
    <s v="Wed"/>
    <s v="CUST-156"/>
    <s v="PROD-010"/>
    <s v="Corporate"/>
    <s v="West"/>
    <x v="5"/>
    <x v="1"/>
    <n v="14"/>
    <n v="120"/>
    <n v="1680"/>
    <n v="168"/>
    <s v="Large Order"/>
    <s v="Weekday"/>
  </r>
  <r>
    <s v="ORD-1348"/>
    <d v="2024-06-03T00:00:00"/>
    <n v="2024"/>
    <s v="Jun"/>
    <s v="Mon"/>
    <s v="CUST-125"/>
    <s v="PROD-004"/>
    <s v="Corporate"/>
    <s v="East"/>
    <x v="2"/>
    <x v="3"/>
    <n v="8"/>
    <n v="120"/>
    <n v="960"/>
    <n v="96"/>
    <s v="Large Order"/>
    <s v="Weekday"/>
  </r>
  <r>
    <s v="ORD-1349"/>
    <d v="2024-10-21T00:00:00"/>
    <n v="2024"/>
    <s v="Oct"/>
    <s v="Mon"/>
    <s v="CUST-137"/>
    <s v="PROD-001"/>
    <s v="Home Office"/>
    <s v="North"/>
    <x v="3"/>
    <x v="4"/>
    <n v="13"/>
    <n v="120"/>
    <n v="1560"/>
    <n v="156"/>
    <s v="Large Order"/>
    <s v="Weekday"/>
  </r>
  <r>
    <s v="ORD-1350"/>
    <d v="2024-12-17T00:00:00"/>
    <n v="2024"/>
    <s v="Dec"/>
    <s v="Tue"/>
    <s v="CUST-199"/>
    <s v="PROD-020"/>
    <s v="Home Office"/>
    <s v="South"/>
    <x v="0"/>
    <x v="3"/>
    <n v="16"/>
    <n v="120"/>
    <n v="1920"/>
    <n v="192"/>
    <s v="Large Order"/>
    <s v="Weekday"/>
  </r>
  <r>
    <s v="ORD-1351"/>
    <d v="2024-04-27T00:00:00"/>
    <n v="2024"/>
    <s v="Apr"/>
    <s v="Sat"/>
    <s v="CUST-177"/>
    <s v="PROD-021"/>
    <s v="Corporate"/>
    <s v="North"/>
    <x v="4"/>
    <x v="2"/>
    <n v="7"/>
    <n v="120"/>
    <n v="840"/>
    <n v="84"/>
    <s v="Large Order"/>
    <s v="Weekend"/>
  </r>
  <r>
    <s v="ORD-1352"/>
    <d v="2024-11-17T00:00:00"/>
    <n v="2024"/>
    <s v="Nov"/>
    <s v="Sun"/>
    <s v="CUST-112"/>
    <s v="PROD-010"/>
    <s v="Home Office"/>
    <s v="East"/>
    <x v="0"/>
    <x v="3"/>
    <n v="15"/>
    <n v="120"/>
    <n v="1800"/>
    <n v="180"/>
    <s v="Large Order"/>
    <s v="Weekend"/>
  </r>
  <r>
    <s v="ORD-1353"/>
    <d v="2024-03-08T00:00:00"/>
    <n v="2024"/>
    <s v="Mar"/>
    <s v="Fri"/>
    <s v="CUST-111"/>
    <s v="PROD-024"/>
    <s v="Corporate"/>
    <s v="Central"/>
    <x v="3"/>
    <x v="2"/>
    <n v="14"/>
    <n v="120"/>
    <n v="1680"/>
    <n v="168"/>
    <s v="Large Order"/>
    <s v="Weekday"/>
  </r>
  <r>
    <s v="ORD-1354"/>
    <d v="2024-10-03T00:00:00"/>
    <n v="2024"/>
    <s v="Oct"/>
    <s v="Thu"/>
    <s v="CUST-146"/>
    <s v="PROD-009"/>
    <s v="Home Office"/>
    <s v="North"/>
    <x v="5"/>
    <x v="1"/>
    <n v="6"/>
    <n v="120"/>
    <n v="720"/>
    <n v="72"/>
    <s v="Large Order"/>
    <s v="Weekday"/>
  </r>
  <r>
    <s v="ORD-1355"/>
    <d v="2024-05-31T00:00:00"/>
    <n v="2024"/>
    <s v="May"/>
    <s v="Fri"/>
    <s v="CUST-195"/>
    <s v="PROD-015"/>
    <s v="Corporate"/>
    <s v="West"/>
    <x v="0"/>
    <x v="2"/>
    <n v="3"/>
    <n v="120"/>
    <n v="360"/>
    <n v="36"/>
    <s v="Standard Order"/>
    <s v="Weekday"/>
  </r>
  <r>
    <s v="ORD-1356"/>
    <d v="2024-12-12T00:00:00"/>
    <n v="2024"/>
    <s v="Dec"/>
    <s v="Thu"/>
    <s v="CUST-192"/>
    <s v="PROD-018"/>
    <s v="Home Office"/>
    <s v="North"/>
    <x v="2"/>
    <x v="1"/>
    <n v="12"/>
    <n v="120"/>
    <n v="1440"/>
    <n v="144"/>
    <s v="Large Order"/>
    <s v="Weekday"/>
  </r>
  <r>
    <s v="ORD-1357"/>
    <d v="2024-01-08T00:00:00"/>
    <n v="2024"/>
    <s v="Jan"/>
    <s v="Mon"/>
    <s v="CUST-133"/>
    <s v="PROD-015"/>
    <s v="Home Office"/>
    <s v="East"/>
    <x v="0"/>
    <x v="3"/>
    <n v="12"/>
    <n v="120"/>
    <n v="1440"/>
    <n v="144"/>
    <s v="Large Order"/>
    <s v="Weekday"/>
  </r>
  <r>
    <s v="ORD-1358"/>
    <d v="2024-10-26T00:00:00"/>
    <n v="2024"/>
    <s v="Oct"/>
    <s v="Sat"/>
    <s v="CUST-148"/>
    <s v="PROD-004"/>
    <s v="Home Office"/>
    <s v="South"/>
    <x v="3"/>
    <x v="4"/>
    <n v="8"/>
    <n v="120"/>
    <n v="960"/>
    <n v="96"/>
    <s v="Large Order"/>
    <s v="Weekend"/>
  </r>
  <r>
    <s v="ORD-1359"/>
    <d v="2024-10-14T00:00:00"/>
    <n v="2024"/>
    <s v="Oct"/>
    <s v="Mon"/>
    <s v="CUST-141"/>
    <s v="PROD-021"/>
    <s v="Home Office"/>
    <s v="West"/>
    <x v="4"/>
    <x v="1"/>
    <n v="3"/>
    <n v="120"/>
    <n v="360"/>
    <n v="36"/>
    <s v="Standard Order"/>
    <s v="Weekday"/>
  </r>
  <r>
    <s v="ORD-1360"/>
    <d v="2024-12-24T00:00:00"/>
    <n v="2024"/>
    <s v="Dec"/>
    <s v="Tue"/>
    <s v="CUST-138"/>
    <s v="PROD-004"/>
    <s v="Home Office"/>
    <s v="North"/>
    <x v="2"/>
    <x v="0"/>
    <n v="5"/>
    <n v="120"/>
    <n v="600"/>
    <n v="60"/>
    <s v="Large Order"/>
    <s v="Weekday"/>
  </r>
  <r>
    <s v="ORD-1361"/>
    <d v="2024-06-04T00:00:00"/>
    <n v="2024"/>
    <s v="Jun"/>
    <s v="Tue"/>
    <s v="CUST-163"/>
    <s v="PROD-008"/>
    <s v="Consumer"/>
    <s v="Central"/>
    <x v="0"/>
    <x v="1"/>
    <n v="18"/>
    <n v="120"/>
    <n v="2160"/>
    <n v="216"/>
    <s v="Large Order"/>
    <s v="Weekday"/>
  </r>
  <r>
    <s v="ORD-1362"/>
    <d v="2024-07-08T00:00:00"/>
    <n v="2024"/>
    <s v="Jul"/>
    <s v="Mon"/>
    <s v="CUST-185"/>
    <s v="PROD-014"/>
    <s v="Home Office"/>
    <s v="West"/>
    <x v="5"/>
    <x v="2"/>
    <n v="19"/>
    <n v="120"/>
    <n v="2280"/>
    <n v="228"/>
    <s v="Large Order"/>
    <s v="Weekday"/>
  </r>
  <r>
    <s v="ORD-1363"/>
    <d v="2024-07-31T00:00:00"/>
    <n v="2024"/>
    <s v="Jul"/>
    <s v="Wed"/>
    <s v="CUST-183"/>
    <s v="PROD-020"/>
    <s v="Consumer"/>
    <s v="South"/>
    <x v="2"/>
    <x v="3"/>
    <n v="14"/>
    <n v="120"/>
    <n v="1680"/>
    <n v="168"/>
    <s v="Large Order"/>
    <s v="Weekday"/>
  </r>
  <r>
    <s v="ORD-1364"/>
    <d v="2024-01-17T00:00:00"/>
    <n v="2024"/>
    <s v="Jan"/>
    <s v="Wed"/>
    <s v="CUST-188"/>
    <s v="PROD-015"/>
    <s v="Corporate"/>
    <s v="Central"/>
    <x v="4"/>
    <x v="3"/>
    <n v="15"/>
    <n v="120"/>
    <n v="1800"/>
    <n v="180"/>
    <s v="Large Order"/>
    <s v="Weekday"/>
  </r>
  <r>
    <s v="ORD-1365"/>
    <d v="2024-02-20T00:00:00"/>
    <n v="2024"/>
    <s v="Feb"/>
    <s v="Tue"/>
    <s v="CUST-187"/>
    <s v="PROD-021"/>
    <s v="Corporate"/>
    <s v="North"/>
    <x v="5"/>
    <x v="3"/>
    <n v="12"/>
    <n v="120"/>
    <n v="1440"/>
    <n v="144"/>
    <s v="Large Order"/>
    <s v="Weekday"/>
  </r>
  <r>
    <s v="ORD-1366"/>
    <d v="2024-04-07T00:00:00"/>
    <n v="2024"/>
    <s v="Apr"/>
    <s v="Sun"/>
    <s v="CUST-115"/>
    <s v="PROD-022"/>
    <s v="Corporate"/>
    <s v="South"/>
    <x v="0"/>
    <x v="4"/>
    <n v="7"/>
    <n v="120"/>
    <n v="840"/>
    <n v="84"/>
    <s v="Large Order"/>
    <s v="Weekend"/>
  </r>
  <r>
    <s v="ORD-1367"/>
    <d v="2024-01-11T00:00:00"/>
    <n v="2024"/>
    <s v="Jan"/>
    <s v="Thu"/>
    <s v="CUST-106"/>
    <s v="PROD-005"/>
    <s v="Corporate"/>
    <s v="South"/>
    <x v="4"/>
    <x v="4"/>
    <n v="19"/>
    <n v="120"/>
    <n v="2280"/>
    <n v="228"/>
    <s v="Large Order"/>
    <s v="Weekday"/>
  </r>
  <r>
    <s v="ORD-1368"/>
    <d v="2024-04-16T00:00:00"/>
    <n v="2024"/>
    <s v="Apr"/>
    <s v="Tue"/>
    <s v="CUST-175"/>
    <s v="PROD-011"/>
    <s v="Consumer"/>
    <s v="South"/>
    <x v="4"/>
    <x v="4"/>
    <n v="5"/>
    <n v="120"/>
    <n v="600"/>
    <n v="60"/>
    <s v="Large Order"/>
    <s v="Weekday"/>
  </r>
  <r>
    <s v="ORD-1369"/>
    <d v="2024-01-02T00:00:00"/>
    <n v="2024"/>
    <s v="Jan"/>
    <s v="Tue"/>
    <s v="CUST-135"/>
    <s v="PROD-018"/>
    <s v="Consumer"/>
    <s v="North"/>
    <x v="4"/>
    <x v="0"/>
    <n v="9"/>
    <n v="120"/>
    <n v="1080"/>
    <n v="108"/>
    <s v="Large Order"/>
    <s v="Weekday"/>
  </r>
  <r>
    <s v="ORD-1370"/>
    <d v="2024-12-04T00:00:00"/>
    <n v="2024"/>
    <s v="Dec"/>
    <s v="Wed"/>
    <s v="CUST-103"/>
    <s v="PROD-012"/>
    <s v="Consumer"/>
    <s v="South"/>
    <x v="0"/>
    <x v="0"/>
    <n v="8"/>
    <n v="120"/>
    <n v="960"/>
    <n v="96"/>
    <s v="Large Order"/>
    <s v="Weekday"/>
  </r>
  <r>
    <s v="ORD-1371"/>
    <d v="2024-03-30T00:00:00"/>
    <n v="2024"/>
    <s v="Mar"/>
    <s v="Sat"/>
    <s v="CUST-133"/>
    <s v="PROD-024"/>
    <s v="Consumer"/>
    <s v="Central"/>
    <x v="4"/>
    <x v="0"/>
    <n v="14"/>
    <n v="120"/>
    <n v="1680"/>
    <n v="168"/>
    <s v="Large Order"/>
    <s v="Weekend"/>
  </r>
  <r>
    <s v="ORD-1372"/>
    <d v="2024-08-31T00:00:00"/>
    <n v="2024"/>
    <s v="Aug"/>
    <s v="Sat"/>
    <s v="CUST-157"/>
    <s v="PROD-019"/>
    <s v="Corporate"/>
    <s v="Central"/>
    <x v="5"/>
    <x v="2"/>
    <n v="4"/>
    <n v="120"/>
    <n v="480"/>
    <n v="48"/>
    <s v="Standard Order"/>
    <s v="Weekend"/>
  </r>
  <r>
    <s v="ORD-1373"/>
    <d v="2024-11-10T00:00:00"/>
    <n v="2024"/>
    <s v="Nov"/>
    <s v="Sun"/>
    <s v="CUST-105"/>
    <s v="PROD-010"/>
    <s v="Home Office"/>
    <s v="West"/>
    <x v="5"/>
    <x v="0"/>
    <n v="15"/>
    <n v="120"/>
    <n v="1800"/>
    <n v="180"/>
    <s v="Large Order"/>
    <s v="Weekend"/>
  </r>
  <r>
    <s v="ORD-1374"/>
    <d v="2024-02-01T00:00:00"/>
    <n v="2024"/>
    <s v="Feb"/>
    <s v="Thu"/>
    <s v="CUST-161"/>
    <s v="PROD-022"/>
    <s v="Corporate"/>
    <s v="Central"/>
    <x v="2"/>
    <x v="1"/>
    <n v="4"/>
    <n v="120"/>
    <n v="480"/>
    <n v="48"/>
    <s v="Standard Order"/>
    <s v="Weekday"/>
  </r>
  <r>
    <s v="ORD-1375"/>
    <d v="2024-02-07T00:00:00"/>
    <n v="2024"/>
    <s v="Feb"/>
    <s v="Wed"/>
    <s v="CUST-110"/>
    <s v="PROD-005"/>
    <s v="Corporate"/>
    <s v="East"/>
    <x v="5"/>
    <x v="4"/>
    <n v="3"/>
    <n v="120"/>
    <n v="360"/>
    <n v="36"/>
    <s v="Standard Order"/>
    <s v="Weekday"/>
  </r>
  <r>
    <s v="ORD-1376"/>
    <d v="2024-11-20T00:00:00"/>
    <n v="2024"/>
    <s v="Nov"/>
    <s v="Wed"/>
    <s v="CUST-174"/>
    <s v="PROD-013"/>
    <s v="Home Office"/>
    <s v="North"/>
    <x v="3"/>
    <x v="1"/>
    <n v="20"/>
    <n v="120"/>
    <n v="2400"/>
    <n v="240"/>
    <s v="Large Order"/>
    <s v="Weekday"/>
  </r>
  <r>
    <s v="ORD-1377"/>
    <d v="2024-09-15T00:00:00"/>
    <n v="2024"/>
    <s v="Sep"/>
    <s v="Sun"/>
    <s v="CUST-177"/>
    <s v="PROD-023"/>
    <s v="Corporate"/>
    <s v="South"/>
    <x v="0"/>
    <x v="4"/>
    <n v="4"/>
    <n v="120"/>
    <n v="480"/>
    <n v="48"/>
    <s v="Standard Order"/>
    <s v="Weekend"/>
  </r>
  <r>
    <s v="ORD-1378"/>
    <d v="2024-04-20T00:00:00"/>
    <n v="2024"/>
    <s v="Apr"/>
    <s v="Sat"/>
    <s v="CUST-155"/>
    <s v="PROD-014"/>
    <s v="Corporate"/>
    <s v="East"/>
    <x v="4"/>
    <x v="1"/>
    <n v="11"/>
    <n v="120"/>
    <n v="1320"/>
    <n v="132"/>
    <s v="Large Order"/>
    <s v="Weekend"/>
  </r>
  <r>
    <s v="ORD-1379"/>
    <d v="2024-07-31T00:00:00"/>
    <n v="2024"/>
    <s v="Jul"/>
    <s v="Wed"/>
    <s v="CUST-193"/>
    <s v="PROD-014"/>
    <s v="Consumer"/>
    <s v="North"/>
    <x v="3"/>
    <x v="3"/>
    <n v="11"/>
    <n v="120"/>
    <n v="1320"/>
    <n v="132"/>
    <s v="Large Order"/>
    <s v="Weekday"/>
  </r>
  <r>
    <s v="ORD-1380"/>
    <d v="2024-03-19T00:00:00"/>
    <n v="2024"/>
    <s v="Mar"/>
    <s v="Tue"/>
    <s v="CUST-187"/>
    <s v="PROD-003"/>
    <s v="Corporate"/>
    <s v="North"/>
    <x v="0"/>
    <x v="0"/>
    <n v="3"/>
    <n v="120"/>
    <n v="360"/>
    <n v="36"/>
    <s v="Standard Order"/>
    <s v="Weekday"/>
  </r>
  <r>
    <s v="ORD-1381"/>
    <d v="2024-07-09T00:00:00"/>
    <n v="2024"/>
    <s v="Jul"/>
    <s v="Tue"/>
    <s v="CUST-116"/>
    <s v="PROD-019"/>
    <s v="Home Office"/>
    <s v="West"/>
    <x v="0"/>
    <x v="0"/>
    <n v="18"/>
    <n v="120"/>
    <n v="2160"/>
    <n v="216"/>
    <s v="Large Order"/>
    <s v="Weekday"/>
  </r>
  <r>
    <s v="ORD-1382"/>
    <d v="2024-07-29T00:00:00"/>
    <n v="2024"/>
    <s v="Jul"/>
    <s v="Mon"/>
    <s v="CUST-145"/>
    <s v="PROD-024"/>
    <s v="Home Office"/>
    <s v="Central"/>
    <x v="2"/>
    <x v="4"/>
    <n v="2"/>
    <n v="120"/>
    <n v="240"/>
    <n v="24"/>
    <s v="Standard Order"/>
    <s v="Weekday"/>
  </r>
  <r>
    <s v="ORD-1383"/>
    <d v="2024-06-08T00:00:00"/>
    <n v="2024"/>
    <s v="Jun"/>
    <s v="Sat"/>
    <s v="CUST-145"/>
    <s v="PROD-017"/>
    <s v="Consumer"/>
    <s v="Central"/>
    <x v="5"/>
    <x v="1"/>
    <n v="7"/>
    <n v="120"/>
    <n v="840"/>
    <n v="84"/>
    <s v="Large Order"/>
    <s v="Weekend"/>
  </r>
  <r>
    <s v="ORD-1384"/>
    <d v="2024-04-24T00:00:00"/>
    <n v="2024"/>
    <s v="Apr"/>
    <s v="Wed"/>
    <s v="CUST-113"/>
    <s v="PROD-012"/>
    <s v="Corporate"/>
    <s v="Central"/>
    <x v="5"/>
    <x v="4"/>
    <n v="4"/>
    <n v="120"/>
    <n v="480"/>
    <n v="48"/>
    <s v="Standard Order"/>
    <s v="Weekday"/>
  </r>
  <r>
    <s v="ORD-1385"/>
    <d v="2024-04-25T00:00:00"/>
    <n v="2024"/>
    <s v="Apr"/>
    <s v="Thu"/>
    <s v="CUST-154"/>
    <s v="PROD-020"/>
    <s v="Home Office"/>
    <s v="East"/>
    <x v="5"/>
    <x v="3"/>
    <n v="18"/>
    <n v="120"/>
    <n v="2160"/>
    <n v="216"/>
    <s v="Large Order"/>
    <s v="Weekday"/>
  </r>
  <r>
    <s v="ORD-1386"/>
    <d v="2024-01-15T00:00:00"/>
    <n v="2024"/>
    <s v="Jan"/>
    <s v="Mon"/>
    <s v="CUST-123"/>
    <s v="PROD-011"/>
    <s v="Corporate"/>
    <s v="North"/>
    <x v="3"/>
    <x v="2"/>
    <n v="12"/>
    <n v="120"/>
    <n v="1440"/>
    <n v="144"/>
    <s v="Large Order"/>
    <s v="Weekday"/>
  </r>
  <r>
    <s v="ORD-1387"/>
    <d v="2024-10-16T00:00:00"/>
    <n v="2024"/>
    <s v="Oct"/>
    <s v="Wed"/>
    <s v="CUST-184"/>
    <s v="PROD-005"/>
    <s v="Corporate"/>
    <s v="West"/>
    <x v="0"/>
    <x v="4"/>
    <n v="1"/>
    <n v="120"/>
    <n v="120"/>
    <n v="12"/>
    <s v="Standard Order"/>
    <s v="Weekday"/>
  </r>
  <r>
    <s v="ORD-1388"/>
    <d v="2024-04-20T00:00:00"/>
    <n v="2024"/>
    <s v="Apr"/>
    <s v="Sat"/>
    <s v="CUST-148"/>
    <s v="PROD-011"/>
    <s v="Corporate"/>
    <s v="North"/>
    <x v="2"/>
    <x v="3"/>
    <n v="6"/>
    <n v="120"/>
    <n v="720"/>
    <n v="72"/>
    <s v="Large Order"/>
    <s v="Weekend"/>
  </r>
  <r>
    <s v="ORD-1389"/>
    <d v="2024-10-17T00:00:00"/>
    <n v="2024"/>
    <s v="Oct"/>
    <s v="Thu"/>
    <s v="CUST-176"/>
    <s v="PROD-005"/>
    <s v="Consumer"/>
    <s v="West"/>
    <x v="0"/>
    <x v="0"/>
    <n v="6"/>
    <n v="120"/>
    <n v="720"/>
    <n v="72"/>
    <s v="Large Order"/>
    <s v="Weekday"/>
  </r>
  <r>
    <s v="ORD-1390"/>
    <d v="2024-12-11T00:00:00"/>
    <n v="2024"/>
    <s v="Dec"/>
    <s v="Wed"/>
    <s v="CUST-110"/>
    <s v="PROD-022"/>
    <s v="Corporate"/>
    <s v="Central"/>
    <x v="2"/>
    <x v="1"/>
    <n v="14"/>
    <n v="120"/>
    <n v="1680"/>
    <n v="168"/>
    <s v="Large Order"/>
    <s v="Weekday"/>
  </r>
  <r>
    <s v="ORD-1391"/>
    <d v="2024-07-31T00:00:00"/>
    <n v="2024"/>
    <s v="Jul"/>
    <s v="Wed"/>
    <s v="CUST-134"/>
    <s v="PROD-004"/>
    <s v="Consumer"/>
    <s v="West"/>
    <x v="5"/>
    <x v="3"/>
    <n v="12"/>
    <n v="120"/>
    <n v="1440"/>
    <n v="144"/>
    <s v="Large Order"/>
    <s v="Weekday"/>
  </r>
  <r>
    <s v="ORD-1392"/>
    <d v="2024-12-13T00:00:00"/>
    <n v="2024"/>
    <s v="Dec"/>
    <s v="Fri"/>
    <s v="CUST-186"/>
    <s v="PROD-017"/>
    <s v="Home Office"/>
    <s v="South"/>
    <x v="2"/>
    <x v="1"/>
    <n v="10"/>
    <n v="120"/>
    <n v="1200"/>
    <n v="120"/>
    <s v="Large Order"/>
    <s v="Weekday"/>
  </r>
  <r>
    <s v="ORD-1393"/>
    <d v="2024-11-02T00:00:00"/>
    <n v="2024"/>
    <s v="Nov"/>
    <s v="Sat"/>
    <s v="CUST-107"/>
    <s v="PROD-010"/>
    <s v="Consumer"/>
    <s v="North"/>
    <x v="4"/>
    <x v="3"/>
    <n v="7"/>
    <n v="120"/>
    <n v="840"/>
    <n v="84"/>
    <s v="Large Order"/>
    <s v="Weekend"/>
  </r>
  <r>
    <s v="ORD-1394"/>
    <d v="2024-05-28T00:00:00"/>
    <n v="2024"/>
    <s v="May"/>
    <s v="Tue"/>
    <s v="CUST-141"/>
    <s v="PROD-016"/>
    <s v="Consumer"/>
    <s v="Central"/>
    <x v="0"/>
    <x v="1"/>
    <n v="14"/>
    <n v="120"/>
    <n v="1680"/>
    <n v="168"/>
    <s v="Large Order"/>
    <s v="Weekday"/>
  </r>
  <r>
    <s v="ORD-1395"/>
    <d v="2024-09-29T00:00:00"/>
    <n v="2024"/>
    <s v="Sep"/>
    <s v="Sun"/>
    <s v="CUST-190"/>
    <s v="PROD-018"/>
    <s v="Consumer"/>
    <s v="North"/>
    <x v="5"/>
    <x v="0"/>
    <n v="12"/>
    <n v="120"/>
    <n v="1440"/>
    <n v="144"/>
    <s v="Large Order"/>
    <s v="Weekend"/>
  </r>
  <r>
    <s v="ORD-1396"/>
    <d v="2024-08-11T00:00:00"/>
    <n v="2024"/>
    <s v="Aug"/>
    <s v="Sun"/>
    <s v="CUST-102"/>
    <s v="PROD-011"/>
    <s v="Corporate"/>
    <s v="East"/>
    <x v="0"/>
    <x v="1"/>
    <n v="19"/>
    <n v="120"/>
    <n v="2280"/>
    <n v="228"/>
    <s v="Large Order"/>
    <s v="Weekend"/>
  </r>
  <r>
    <s v="ORD-1397"/>
    <d v="2024-12-29T00:00:00"/>
    <n v="2024"/>
    <s v="Dec"/>
    <s v="Sun"/>
    <s v="CUST-181"/>
    <s v="PROD-004"/>
    <s v="Corporate"/>
    <s v="East"/>
    <x v="3"/>
    <x v="3"/>
    <n v="13"/>
    <n v="120"/>
    <n v="1560"/>
    <n v="156"/>
    <s v="Large Order"/>
    <s v="Weekend"/>
  </r>
  <r>
    <s v="ORD-1398"/>
    <d v="2024-03-28T00:00:00"/>
    <n v="2024"/>
    <s v="Mar"/>
    <s v="Thu"/>
    <s v="CUST-179"/>
    <s v="PROD-003"/>
    <s v="Corporate"/>
    <s v="Central"/>
    <x v="3"/>
    <x v="2"/>
    <n v="14"/>
    <n v="120"/>
    <n v="1680"/>
    <n v="168"/>
    <s v="Large Order"/>
    <s v="Weekday"/>
  </r>
  <r>
    <s v="ORD-1399"/>
    <d v="2024-08-11T00:00:00"/>
    <n v="2024"/>
    <s v="Aug"/>
    <s v="Sun"/>
    <s v="CUST-175"/>
    <s v="PROD-003"/>
    <s v="Corporate"/>
    <s v="North"/>
    <x v="5"/>
    <x v="3"/>
    <n v="13"/>
    <n v="120"/>
    <n v="1560"/>
    <n v="156"/>
    <s v="Large Order"/>
    <s v="Weekend"/>
  </r>
  <r>
    <s v="ORD-1400"/>
    <d v="2024-04-23T00:00:00"/>
    <n v="2024"/>
    <s v="Apr"/>
    <s v="Tue"/>
    <s v="CUST-142"/>
    <s v="PROD-017"/>
    <s v="Consumer"/>
    <s v="South"/>
    <x v="0"/>
    <x v="2"/>
    <n v="4"/>
    <n v="120"/>
    <n v="480"/>
    <n v="48"/>
    <s v="Standard Order"/>
    <s v="Weekday"/>
  </r>
  <r>
    <s v="ORD-1401"/>
    <d v="2024-06-27T00:00:00"/>
    <n v="2024"/>
    <s v="Jun"/>
    <s v="Thu"/>
    <s v="CUST-144"/>
    <s v="PROD-008"/>
    <s v="Home Office"/>
    <s v="North"/>
    <x v="4"/>
    <x v="2"/>
    <n v="4"/>
    <n v="120"/>
    <n v="480"/>
    <n v="48"/>
    <s v="Standard Order"/>
    <s v="Weekday"/>
  </r>
  <r>
    <s v="ORD-1402"/>
    <d v="2024-03-29T00:00:00"/>
    <n v="2024"/>
    <s v="Mar"/>
    <s v="Fri"/>
    <s v="CUST-177"/>
    <s v="PROD-006"/>
    <s v="Consumer"/>
    <s v="Central"/>
    <x v="0"/>
    <x v="4"/>
    <n v="16"/>
    <n v="120"/>
    <n v="1920"/>
    <n v="192"/>
    <s v="Large Order"/>
    <s v="Weekday"/>
  </r>
  <r>
    <s v="ORD-1403"/>
    <d v="2024-10-23T00:00:00"/>
    <n v="2024"/>
    <s v="Oct"/>
    <s v="Wed"/>
    <s v="CUST-157"/>
    <s v="PROD-021"/>
    <s v="Home Office"/>
    <s v="West"/>
    <x v="5"/>
    <x v="3"/>
    <n v="20"/>
    <n v="120"/>
    <n v="2400"/>
    <n v="240"/>
    <s v="Large Order"/>
    <s v="Weekday"/>
  </r>
  <r>
    <s v="ORD-1404"/>
    <d v="2024-03-18T00:00:00"/>
    <n v="2024"/>
    <s v="Mar"/>
    <s v="Mon"/>
    <s v="CUST-156"/>
    <s v="PROD-015"/>
    <s v="Consumer"/>
    <s v="North"/>
    <x v="2"/>
    <x v="4"/>
    <n v="10"/>
    <n v="120"/>
    <n v="1200"/>
    <n v="120"/>
    <s v="Large Order"/>
    <s v="Weekday"/>
  </r>
  <r>
    <s v="ORD-1405"/>
    <d v="2024-01-29T00:00:00"/>
    <n v="2024"/>
    <s v="Jan"/>
    <s v="Mon"/>
    <s v="CUST-145"/>
    <s v="PROD-010"/>
    <s v="Home Office"/>
    <s v="North"/>
    <x v="0"/>
    <x v="0"/>
    <n v="15"/>
    <n v="120"/>
    <n v="1800"/>
    <n v="180"/>
    <s v="Large Order"/>
    <s v="Weekday"/>
  </r>
  <r>
    <s v="ORD-1406"/>
    <d v="2024-07-07T00:00:00"/>
    <n v="2024"/>
    <s v="Jul"/>
    <s v="Sun"/>
    <s v="CUST-136"/>
    <s v="PROD-020"/>
    <s v="Consumer"/>
    <s v="North"/>
    <x v="0"/>
    <x v="1"/>
    <n v="20"/>
    <n v="120"/>
    <n v="2400"/>
    <n v="240"/>
    <s v="Large Order"/>
    <s v="Weekend"/>
  </r>
  <r>
    <s v="ORD-1407"/>
    <d v="2024-10-24T00:00:00"/>
    <n v="2024"/>
    <s v="Oct"/>
    <s v="Thu"/>
    <s v="CUST-170"/>
    <s v="PROD-015"/>
    <s v="Home Office"/>
    <s v="South"/>
    <x v="0"/>
    <x v="3"/>
    <n v="19"/>
    <n v="120"/>
    <n v="2280"/>
    <n v="228"/>
    <s v="Large Order"/>
    <s v="Weekday"/>
  </r>
  <r>
    <s v="ORD-1408"/>
    <d v="2024-11-05T00:00:00"/>
    <n v="2024"/>
    <s v="Nov"/>
    <s v="Tue"/>
    <s v="CUST-160"/>
    <s v="PROD-002"/>
    <s v="Home Office"/>
    <s v="South"/>
    <x v="4"/>
    <x v="3"/>
    <n v="15"/>
    <n v="120"/>
    <n v="1800"/>
    <n v="180"/>
    <s v="Large Order"/>
    <s v="Weekday"/>
  </r>
  <r>
    <s v="ORD-1409"/>
    <d v="2024-02-13T00:00:00"/>
    <n v="2024"/>
    <s v="Feb"/>
    <s v="Tue"/>
    <s v="CUST-164"/>
    <s v="PROD-002"/>
    <s v="Home Office"/>
    <s v="South"/>
    <x v="4"/>
    <x v="1"/>
    <n v="8"/>
    <n v="120"/>
    <n v="960"/>
    <n v="96"/>
    <s v="Large Order"/>
    <s v="Weekday"/>
  </r>
  <r>
    <s v="ORD-1410"/>
    <d v="2024-09-25T00:00:00"/>
    <n v="2024"/>
    <s v="Sep"/>
    <s v="Wed"/>
    <s v="CUST-166"/>
    <s v="PROD-012"/>
    <s v="Home Office"/>
    <s v="Central"/>
    <x v="4"/>
    <x v="1"/>
    <n v="12"/>
    <n v="120"/>
    <n v="1440"/>
    <n v="144"/>
    <s v="Large Order"/>
    <s v="Weekday"/>
  </r>
  <r>
    <s v="ORD-1411"/>
    <d v="2024-07-28T00:00:00"/>
    <n v="2024"/>
    <s v="Jul"/>
    <s v="Sun"/>
    <s v="CUST-199"/>
    <s v="PROD-002"/>
    <s v="Corporate"/>
    <s v="East"/>
    <x v="5"/>
    <x v="0"/>
    <n v="11"/>
    <n v="120"/>
    <n v="1320"/>
    <n v="132"/>
    <s v="Large Order"/>
    <s v="Weekend"/>
  </r>
  <r>
    <s v="ORD-1412"/>
    <d v="2024-10-12T00:00:00"/>
    <n v="2024"/>
    <s v="Oct"/>
    <s v="Sat"/>
    <s v="CUST-186"/>
    <s v="PROD-009"/>
    <s v="Corporate"/>
    <s v="South"/>
    <x v="3"/>
    <x v="3"/>
    <n v="20"/>
    <n v="120"/>
    <n v="2400"/>
    <n v="240"/>
    <s v="Large Order"/>
    <s v="Weekend"/>
  </r>
  <r>
    <s v="ORD-1413"/>
    <d v="2024-02-11T00:00:00"/>
    <n v="2024"/>
    <s v="Feb"/>
    <s v="Sun"/>
    <s v="CUST-174"/>
    <s v="PROD-012"/>
    <s v="Home Office"/>
    <s v="North"/>
    <x v="4"/>
    <x v="1"/>
    <n v="10"/>
    <n v="120"/>
    <n v="1200"/>
    <n v="120"/>
    <s v="Large Order"/>
    <s v="Weekend"/>
  </r>
  <r>
    <s v="ORD-1414"/>
    <d v="2024-03-07T00:00:00"/>
    <n v="2024"/>
    <s v="Mar"/>
    <s v="Thu"/>
    <s v="CUST-176"/>
    <s v="PROD-010"/>
    <s v="Home Office"/>
    <s v="Central"/>
    <x v="0"/>
    <x v="3"/>
    <n v="18"/>
    <n v="120"/>
    <n v="2160"/>
    <n v="216"/>
    <s v="Large Order"/>
    <s v="Weekday"/>
  </r>
  <r>
    <s v="ORD-1415"/>
    <d v="2024-03-06T00:00:00"/>
    <n v="2024"/>
    <s v="Mar"/>
    <s v="Wed"/>
    <s v="CUST-185"/>
    <s v="PROD-003"/>
    <s v="Home Office"/>
    <s v="South"/>
    <x v="5"/>
    <x v="0"/>
    <n v="14"/>
    <n v="120"/>
    <n v="1680"/>
    <n v="168"/>
    <s v="Large Order"/>
    <s v="Weekday"/>
  </r>
  <r>
    <s v="ORD-1416"/>
    <d v="2024-07-04T00:00:00"/>
    <n v="2024"/>
    <s v="Jul"/>
    <s v="Thu"/>
    <s v="CUST-139"/>
    <s v="PROD-011"/>
    <s v="Consumer"/>
    <s v="North"/>
    <x v="4"/>
    <x v="2"/>
    <n v="16"/>
    <n v="120"/>
    <n v="1920"/>
    <n v="192"/>
    <s v="Large Order"/>
    <s v="Weekday"/>
  </r>
  <r>
    <s v="ORD-1417"/>
    <d v="2024-03-20T00:00:00"/>
    <n v="2024"/>
    <s v="Mar"/>
    <s v="Wed"/>
    <s v="CUST-109"/>
    <s v="PROD-017"/>
    <s v="Corporate"/>
    <s v="Central"/>
    <x v="0"/>
    <x v="4"/>
    <n v="18"/>
    <n v="120"/>
    <n v="2160"/>
    <n v="216"/>
    <s v="Large Order"/>
    <s v="Weekday"/>
  </r>
  <r>
    <s v="ORD-1418"/>
    <d v="2024-01-20T00:00:00"/>
    <n v="2024"/>
    <s v="Jan"/>
    <s v="Sat"/>
    <s v="CUST-184"/>
    <s v="PROD-005"/>
    <s v="Corporate"/>
    <s v="South"/>
    <x v="5"/>
    <x v="2"/>
    <n v="20"/>
    <n v="120"/>
    <n v="2400"/>
    <n v="240"/>
    <s v="Large Order"/>
    <s v="Weekend"/>
  </r>
  <r>
    <s v="ORD-1419"/>
    <d v="2024-04-02T00:00:00"/>
    <n v="2024"/>
    <s v="Apr"/>
    <s v="Tue"/>
    <s v="CUST-188"/>
    <s v="PROD-024"/>
    <s v="Home Office"/>
    <s v="West"/>
    <x v="4"/>
    <x v="3"/>
    <n v="15"/>
    <n v="120"/>
    <n v="1800"/>
    <n v="180"/>
    <s v="Large Order"/>
    <s v="Weekday"/>
  </r>
  <r>
    <s v="ORD-1420"/>
    <d v="2024-12-12T00:00:00"/>
    <n v="2024"/>
    <s v="Dec"/>
    <s v="Thu"/>
    <s v="CUST-192"/>
    <s v="PROD-020"/>
    <s v="Consumer"/>
    <s v="East"/>
    <x v="2"/>
    <x v="1"/>
    <n v="10"/>
    <n v="120"/>
    <n v="1200"/>
    <n v="120"/>
    <s v="Large Order"/>
    <s v="Weekday"/>
  </r>
  <r>
    <s v="ORD-1421"/>
    <d v="2024-04-29T00:00:00"/>
    <n v="2024"/>
    <s v="Apr"/>
    <s v="Mon"/>
    <s v="CUST-168"/>
    <s v="PROD-016"/>
    <s v="Consumer"/>
    <s v="West"/>
    <x v="3"/>
    <x v="4"/>
    <n v="7"/>
    <n v="120"/>
    <n v="840"/>
    <n v="84"/>
    <s v="Large Order"/>
    <s v="Weekday"/>
  </r>
  <r>
    <s v="ORD-1422"/>
    <d v="2024-08-13T00:00:00"/>
    <n v="2024"/>
    <s v="Aug"/>
    <s v="Tue"/>
    <s v="CUST-159"/>
    <s v="PROD-017"/>
    <s v="Corporate"/>
    <s v="East"/>
    <x v="2"/>
    <x v="2"/>
    <n v="17"/>
    <n v="120"/>
    <n v="2040"/>
    <n v="204"/>
    <s v="Large Order"/>
    <s v="Weekday"/>
  </r>
  <r>
    <s v="ORD-1423"/>
    <d v="2024-04-12T00:00:00"/>
    <n v="2024"/>
    <s v="Apr"/>
    <s v="Fri"/>
    <s v="CUST-177"/>
    <s v="PROD-002"/>
    <s v="Consumer"/>
    <s v="North"/>
    <x v="3"/>
    <x v="4"/>
    <n v="16"/>
    <n v="120"/>
    <n v="1920"/>
    <n v="192"/>
    <s v="Large Order"/>
    <s v="Weekday"/>
  </r>
  <r>
    <s v="ORD-1424"/>
    <d v="2024-02-22T00:00:00"/>
    <n v="2024"/>
    <s v="Feb"/>
    <s v="Thu"/>
    <s v="CUST-191"/>
    <s v="PROD-010"/>
    <s v="Home Office"/>
    <s v="West"/>
    <x v="0"/>
    <x v="3"/>
    <n v="3"/>
    <n v="120"/>
    <n v="360"/>
    <n v="36"/>
    <s v="Standard Order"/>
    <s v="Weekday"/>
  </r>
  <r>
    <s v="ORD-1425"/>
    <d v="2024-08-18T00:00:00"/>
    <n v="2024"/>
    <s v="Aug"/>
    <s v="Sun"/>
    <s v="CUST-165"/>
    <s v="PROD-003"/>
    <s v="Consumer"/>
    <s v="West"/>
    <x v="2"/>
    <x v="3"/>
    <n v="8"/>
    <n v="120"/>
    <n v="960"/>
    <n v="96"/>
    <s v="Large Order"/>
    <s v="Weekend"/>
  </r>
  <r>
    <s v="ORD-1426"/>
    <d v="2024-01-14T00:00:00"/>
    <n v="2024"/>
    <s v="Jan"/>
    <s v="Sun"/>
    <s v="CUST-153"/>
    <s v="PROD-017"/>
    <s v="Consumer"/>
    <s v="East"/>
    <x v="2"/>
    <x v="0"/>
    <n v="12"/>
    <n v="120"/>
    <n v="1440"/>
    <n v="144"/>
    <s v="Large Order"/>
    <s v="Weekend"/>
  </r>
  <r>
    <s v="ORD-1427"/>
    <d v="2024-07-10T00:00:00"/>
    <n v="2024"/>
    <s v="Jul"/>
    <s v="Wed"/>
    <s v="CUST-128"/>
    <s v="PROD-004"/>
    <s v="Consumer"/>
    <s v="South"/>
    <x v="3"/>
    <x v="2"/>
    <n v="11"/>
    <n v="120"/>
    <n v="1320"/>
    <n v="132"/>
    <s v="Large Order"/>
    <s v="Weekday"/>
  </r>
  <r>
    <s v="ORD-1428"/>
    <d v="2024-01-20T00:00:00"/>
    <n v="2024"/>
    <s v="Jan"/>
    <s v="Sat"/>
    <s v="CUST-136"/>
    <s v="PROD-025"/>
    <s v="Corporate"/>
    <s v="South"/>
    <x v="4"/>
    <x v="0"/>
    <n v="16"/>
    <n v="120"/>
    <n v="1920"/>
    <n v="192"/>
    <s v="Large Order"/>
    <s v="Weekend"/>
  </r>
  <r>
    <s v="ORD-1429"/>
    <d v="2024-02-10T00:00:00"/>
    <n v="2024"/>
    <s v="Feb"/>
    <s v="Sat"/>
    <s v="CUST-102"/>
    <s v="PROD-005"/>
    <s v="Corporate"/>
    <s v="East"/>
    <x v="4"/>
    <x v="4"/>
    <n v="18"/>
    <n v="120"/>
    <n v="2160"/>
    <n v="216"/>
    <s v="Large Order"/>
    <s v="Weekend"/>
  </r>
  <r>
    <s v="ORD-1430"/>
    <d v="2024-09-27T00:00:00"/>
    <n v="2024"/>
    <s v="Sep"/>
    <s v="Fri"/>
    <s v="CUST-154"/>
    <s v="PROD-008"/>
    <s v="Consumer"/>
    <s v="West"/>
    <x v="3"/>
    <x v="2"/>
    <n v="10"/>
    <n v="120"/>
    <n v="1200"/>
    <n v="120"/>
    <s v="Large Order"/>
    <s v="Weekday"/>
  </r>
  <r>
    <s v="ORD-1431"/>
    <d v="2024-08-02T00:00:00"/>
    <n v="2024"/>
    <s v="Aug"/>
    <s v="Fri"/>
    <s v="CUST-181"/>
    <s v="PROD-003"/>
    <s v="Home Office"/>
    <s v="Central"/>
    <x v="2"/>
    <x v="1"/>
    <n v="4"/>
    <n v="120"/>
    <n v="480"/>
    <n v="48"/>
    <s v="Standard Order"/>
    <s v="Weekday"/>
  </r>
  <r>
    <s v="ORD-1432"/>
    <d v="2024-11-01T00:00:00"/>
    <n v="2024"/>
    <s v="Nov"/>
    <s v="Fri"/>
    <s v="CUST-168"/>
    <s v="PROD-019"/>
    <s v="Consumer"/>
    <s v="East"/>
    <x v="5"/>
    <x v="3"/>
    <n v="8"/>
    <n v="120"/>
    <n v="960"/>
    <n v="96"/>
    <s v="Large Order"/>
    <s v="Weekday"/>
  </r>
  <r>
    <s v="ORD-1433"/>
    <d v="2024-08-07T00:00:00"/>
    <n v="2024"/>
    <s v="Aug"/>
    <s v="Wed"/>
    <s v="CUST-100"/>
    <s v="PROD-008"/>
    <s v="Home Office"/>
    <s v="Central"/>
    <x v="3"/>
    <x v="0"/>
    <n v="19"/>
    <n v="120"/>
    <n v="2280"/>
    <n v="228"/>
    <s v="Large Order"/>
    <s v="Weekday"/>
  </r>
  <r>
    <s v="ORD-1434"/>
    <d v="2024-09-25T00:00:00"/>
    <n v="2024"/>
    <s v="Sep"/>
    <s v="Wed"/>
    <s v="CUST-146"/>
    <s v="PROD-018"/>
    <s v="Consumer"/>
    <s v="West"/>
    <x v="5"/>
    <x v="4"/>
    <n v="17"/>
    <n v="120"/>
    <n v="2040"/>
    <n v="204"/>
    <s v="Large Order"/>
    <s v="Weekday"/>
  </r>
  <r>
    <s v="ORD-1435"/>
    <d v="2024-10-10T00:00:00"/>
    <n v="2024"/>
    <s v="Oct"/>
    <s v="Thu"/>
    <s v="CUST-102"/>
    <s v="PROD-002"/>
    <s v="Corporate"/>
    <s v="East"/>
    <x v="2"/>
    <x v="3"/>
    <n v="13"/>
    <n v="120"/>
    <n v="1560"/>
    <n v="156"/>
    <s v="Large Order"/>
    <s v="Weekday"/>
  </r>
  <r>
    <s v="ORD-1436"/>
    <d v="2024-01-09T00:00:00"/>
    <n v="2024"/>
    <s v="Jan"/>
    <s v="Tue"/>
    <s v="CUST-145"/>
    <s v="PROD-008"/>
    <s v="Consumer"/>
    <s v="Central"/>
    <x v="3"/>
    <x v="3"/>
    <n v="4"/>
    <n v="120"/>
    <n v="480"/>
    <n v="48"/>
    <s v="Standard Order"/>
    <s v="Weekday"/>
  </r>
  <r>
    <s v="ORD-1437"/>
    <d v="2024-03-09T00:00:00"/>
    <n v="2024"/>
    <s v="Mar"/>
    <s v="Sat"/>
    <s v="CUST-105"/>
    <s v="PROD-011"/>
    <s v="Corporate"/>
    <s v="South"/>
    <x v="5"/>
    <x v="1"/>
    <n v="6"/>
    <n v="120"/>
    <n v="720"/>
    <n v="72"/>
    <s v="Large Order"/>
    <s v="Weekend"/>
  </r>
  <r>
    <s v="ORD-1438"/>
    <d v="2024-12-22T00:00:00"/>
    <n v="2024"/>
    <s v="Dec"/>
    <s v="Sun"/>
    <s v="CUST-161"/>
    <s v="PROD-005"/>
    <s v="Home Office"/>
    <s v="North"/>
    <x v="4"/>
    <x v="1"/>
    <n v="3"/>
    <n v="120"/>
    <n v="360"/>
    <n v="36"/>
    <s v="Standard Order"/>
    <s v="Weekend"/>
  </r>
  <r>
    <s v="ORD-1439"/>
    <d v="2024-01-19T00:00:00"/>
    <n v="2024"/>
    <s v="Jan"/>
    <s v="Fri"/>
    <s v="CUST-137"/>
    <s v="PROD-007"/>
    <s v="Consumer"/>
    <s v="West"/>
    <x v="0"/>
    <x v="3"/>
    <n v="2"/>
    <n v="120"/>
    <n v="240"/>
    <n v="24"/>
    <s v="Standard Order"/>
    <s v="Weekday"/>
  </r>
  <r>
    <s v="ORD-1440"/>
    <d v="2024-09-20T00:00:00"/>
    <n v="2024"/>
    <s v="Sep"/>
    <s v="Fri"/>
    <s v="CUST-150"/>
    <s v="PROD-009"/>
    <s v="Home Office"/>
    <s v="East"/>
    <x v="2"/>
    <x v="2"/>
    <n v="2"/>
    <n v="120"/>
    <n v="240"/>
    <n v="24"/>
    <s v="Standard Order"/>
    <s v="Weekday"/>
  </r>
  <r>
    <s v="ORD-1441"/>
    <d v="2024-05-26T00:00:00"/>
    <n v="2024"/>
    <s v="May"/>
    <s v="Sun"/>
    <s v="CUST-145"/>
    <s v="PROD-009"/>
    <s v="Consumer"/>
    <s v="West"/>
    <x v="3"/>
    <x v="1"/>
    <n v="4"/>
    <n v="120"/>
    <n v="480"/>
    <n v="48"/>
    <s v="Standard Order"/>
    <s v="Weekend"/>
  </r>
  <r>
    <s v="ORD-1442"/>
    <d v="2024-07-23T00:00:00"/>
    <n v="2024"/>
    <s v="Jul"/>
    <s v="Tue"/>
    <s v="CUST-195"/>
    <s v="PROD-011"/>
    <s v="Corporate"/>
    <s v="North"/>
    <x v="2"/>
    <x v="1"/>
    <n v="6"/>
    <n v="120"/>
    <n v="720"/>
    <n v="72"/>
    <s v="Large Order"/>
    <s v="Weekday"/>
  </r>
  <r>
    <s v="ORD-1443"/>
    <d v="2024-07-07T00:00:00"/>
    <n v="2024"/>
    <s v="Jul"/>
    <s v="Sun"/>
    <s v="CUST-166"/>
    <s v="PROD-024"/>
    <s v="Corporate"/>
    <s v="East"/>
    <x v="0"/>
    <x v="4"/>
    <n v="14"/>
    <n v="120"/>
    <n v="1680"/>
    <n v="168"/>
    <s v="Large Order"/>
    <s v="Weekend"/>
  </r>
  <r>
    <s v="ORD-1444"/>
    <d v="2024-04-02T00:00:00"/>
    <n v="2024"/>
    <s v="Apr"/>
    <s v="Tue"/>
    <s v="CUST-169"/>
    <s v="PROD-004"/>
    <s v="Corporate"/>
    <s v="West"/>
    <x v="3"/>
    <x v="3"/>
    <n v="3"/>
    <n v="120"/>
    <n v="360"/>
    <n v="36"/>
    <s v="Standard Order"/>
    <s v="Weekday"/>
  </r>
  <r>
    <s v="ORD-1445"/>
    <d v="2024-06-05T00:00:00"/>
    <n v="2024"/>
    <s v="Jun"/>
    <s v="Wed"/>
    <s v="CUST-157"/>
    <s v="PROD-006"/>
    <s v="Home Office"/>
    <s v="East"/>
    <x v="2"/>
    <x v="0"/>
    <n v="15"/>
    <n v="120"/>
    <n v="1800"/>
    <n v="180"/>
    <s v="Large Order"/>
    <s v="Weekday"/>
  </r>
  <r>
    <s v="ORD-1446"/>
    <d v="2024-06-29T00:00:00"/>
    <n v="2024"/>
    <s v="Jun"/>
    <s v="Sat"/>
    <s v="CUST-178"/>
    <s v="PROD-021"/>
    <s v="Corporate"/>
    <s v="South"/>
    <x v="3"/>
    <x v="1"/>
    <n v="2"/>
    <n v="120"/>
    <n v="240"/>
    <n v="24"/>
    <s v="Standard Order"/>
    <s v="Weekend"/>
  </r>
  <r>
    <s v="ORD-1447"/>
    <d v="2024-07-05T00:00:00"/>
    <n v="2024"/>
    <s v="Jul"/>
    <s v="Fri"/>
    <s v="CUST-165"/>
    <s v="PROD-001"/>
    <s v="Home Office"/>
    <s v="South"/>
    <x v="4"/>
    <x v="1"/>
    <n v="5"/>
    <n v="120"/>
    <n v="600"/>
    <n v="60"/>
    <s v="Large Order"/>
    <s v="Weekday"/>
  </r>
  <r>
    <s v="ORD-1448"/>
    <d v="2024-01-18T00:00:00"/>
    <n v="2024"/>
    <s v="Jan"/>
    <s v="Thu"/>
    <s v="CUST-116"/>
    <s v="PROD-025"/>
    <s v="Consumer"/>
    <s v="West"/>
    <x v="4"/>
    <x v="4"/>
    <n v="12"/>
    <n v="120"/>
    <n v="1440"/>
    <n v="144"/>
    <s v="Large Order"/>
    <s v="Weekday"/>
  </r>
  <r>
    <s v="ORD-1449"/>
    <d v="2024-01-17T00:00:00"/>
    <n v="2024"/>
    <s v="Jan"/>
    <s v="Wed"/>
    <s v="CUST-177"/>
    <s v="PROD-012"/>
    <s v="Consumer"/>
    <s v="East"/>
    <x v="2"/>
    <x v="0"/>
    <n v="12"/>
    <n v="120"/>
    <n v="1440"/>
    <n v="144"/>
    <s v="Large Order"/>
    <s v="Weekday"/>
  </r>
  <r>
    <s v="ORD-1450"/>
    <d v="2024-10-20T00:00:00"/>
    <n v="2024"/>
    <s v="Oct"/>
    <s v="Sun"/>
    <s v="CUST-117"/>
    <s v="PROD-013"/>
    <s v="Home Office"/>
    <s v="South"/>
    <x v="3"/>
    <x v="2"/>
    <n v="11"/>
    <n v="120"/>
    <n v="1320"/>
    <n v="132"/>
    <s v="Large Order"/>
    <s v="Weekend"/>
  </r>
  <r>
    <s v="ORD-1451"/>
    <d v="2024-02-28T00:00:00"/>
    <n v="2024"/>
    <s v="Feb"/>
    <s v="Wed"/>
    <s v="CUST-103"/>
    <s v="PROD-016"/>
    <s v="Home Office"/>
    <s v="West"/>
    <x v="4"/>
    <x v="4"/>
    <n v="17"/>
    <n v="120"/>
    <n v="2040"/>
    <n v="204"/>
    <s v="Large Order"/>
    <s v="Weekday"/>
  </r>
  <r>
    <s v="ORD-1452"/>
    <d v="2024-03-01T00:00:00"/>
    <n v="2024"/>
    <s v="Mar"/>
    <s v="Fri"/>
    <s v="CUST-133"/>
    <s v="PROD-007"/>
    <s v="Corporate"/>
    <s v="North"/>
    <x v="2"/>
    <x v="1"/>
    <n v="20"/>
    <n v="120"/>
    <n v="2400"/>
    <n v="240"/>
    <s v="Large Order"/>
    <s v="Weekday"/>
  </r>
  <r>
    <s v="ORD-1453"/>
    <d v="2024-04-12T00:00:00"/>
    <n v="2024"/>
    <s v="Apr"/>
    <s v="Fri"/>
    <s v="CUST-115"/>
    <s v="PROD-015"/>
    <s v="Consumer"/>
    <s v="East"/>
    <x v="0"/>
    <x v="1"/>
    <n v="6"/>
    <n v="120"/>
    <n v="720"/>
    <n v="72"/>
    <s v="Large Order"/>
    <s v="Weekday"/>
  </r>
  <r>
    <s v="ORD-1454"/>
    <d v="2024-02-14T00:00:00"/>
    <n v="2024"/>
    <s v="Feb"/>
    <s v="Wed"/>
    <s v="CUST-187"/>
    <s v="PROD-023"/>
    <s v="Corporate"/>
    <s v="South"/>
    <x v="3"/>
    <x v="3"/>
    <n v="3"/>
    <n v="120"/>
    <n v="360"/>
    <n v="36"/>
    <s v="Standard Order"/>
    <s v="Weekday"/>
  </r>
  <r>
    <s v="ORD-1455"/>
    <d v="2024-06-02T00:00:00"/>
    <n v="2024"/>
    <s v="Jun"/>
    <s v="Sun"/>
    <s v="CUST-120"/>
    <s v="PROD-012"/>
    <s v="Home Office"/>
    <s v="North"/>
    <x v="4"/>
    <x v="2"/>
    <n v="17"/>
    <n v="120"/>
    <n v="2040"/>
    <n v="204"/>
    <s v="Large Order"/>
    <s v="Weekend"/>
  </r>
  <r>
    <s v="ORD-1456"/>
    <d v="2024-03-12T00:00:00"/>
    <n v="2024"/>
    <s v="Mar"/>
    <s v="Tue"/>
    <s v="CUST-130"/>
    <s v="PROD-012"/>
    <s v="Corporate"/>
    <s v="North"/>
    <x v="0"/>
    <x v="1"/>
    <n v="18"/>
    <n v="120"/>
    <n v="2160"/>
    <n v="216"/>
    <s v="Large Order"/>
    <s v="Weekday"/>
  </r>
  <r>
    <s v="ORD-1457"/>
    <d v="2024-10-09T00:00:00"/>
    <n v="2024"/>
    <s v="Oct"/>
    <s v="Wed"/>
    <s v="CUST-116"/>
    <s v="PROD-003"/>
    <s v="Home Office"/>
    <s v="Central"/>
    <x v="0"/>
    <x v="1"/>
    <n v="10"/>
    <n v="120"/>
    <n v="1200"/>
    <n v="120"/>
    <s v="Large Order"/>
    <s v="Weekday"/>
  </r>
  <r>
    <s v="ORD-1458"/>
    <d v="2024-09-26T00:00:00"/>
    <n v="2024"/>
    <s v="Sep"/>
    <s v="Thu"/>
    <s v="CUST-152"/>
    <s v="PROD-003"/>
    <s v="Corporate"/>
    <s v="Central"/>
    <x v="5"/>
    <x v="0"/>
    <n v="5"/>
    <n v="120"/>
    <n v="600"/>
    <n v="60"/>
    <s v="Large Order"/>
    <s v="Weekday"/>
  </r>
  <r>
    <s v="ORD-1459"/>
    <d v="2024-08-18T00:00:00"/>
    <n v="2024"/>
    <s v="Aug"/>
    <s v="Sun"/>
    <s v="CUST-159"/>
    <s v="PROD-012"/>
    <s v="Home Office"/>
    <s v="South"/>
    <x v="5"/>
    <x v="4"/>
    <n v="5"/>
    <n v="120"/>
    <n v="600"/>
    <n v="60"/>
    <s v="Large Order"/>
    <s v="Weekend"/>
  </r>
  <r>
    <s v="ORD-1460"/>
    <d v="2024-11-23T00:00:00"/>
    <n v="2024"/>
    <s v="Nov"/>
    <s v="Sat"/>
    <s v="CUST-175"/>
    <s v="PROD-014"/>
    <s v="Consumer"/>
    <s v="East"/>
    <x v="4"/>
    <x v="0"/>
    <n v="17"/>
    <n v="120"/>
    <n v="2040"/>
    <n v="204"/>
    <s v="Large Order"/>
    <s v="Weekend"/>
  </r>
  <r>
    <s v="ORD-1461"/>
    <d v="2024-03-04T00:00:00"/>
    <n v="2024"/>
    <s v="Mar"/>
    <s v="Mon"/>
    <s v="CUST-166"/>
    <s v="PROD-006"/>
    <s v="Consumer"/>
    <s v="North"/>
    <x v="3"/>
    <x v="2"/>
    <n v="6"/>
    <n v="120"/>
    <n v="720"/>
    <n v="72"/>
    <s v="Large Order"/>
    <s v="Weekday"/>
  </r>
  <r>
    <s v="ORD-1462"/>
    <d v="2024-06-26T00:00:00"/>
    <n v="2024"/>
    <s v="Jun"/>
    <s v="Wed"/>
    <s v="CUST-166"/>
    <s v="PROD-009"/>
    <s v="Corporate"/>
    <s v="East"/>
    <x v="0"/>
    <x v="4"/>
    <n v="7"/>
    <n v="120"/>
    <n v="840"/>
    <n v="84"/>
    <s v="Large Order"/>
    <s v="Weekday"/>
  </r>
  <r>
    <s v="ORD-1463"/>
    <d v="2024-05-20T00:00:00"/>
    <n v="2024"/>
    <s v="May"/>
    <s v="Mon"/>
    <s v="CUST-116"/>
    <s v="PROD-020"/>
    <s v="Home Office"/>
    <s v="South"/>
    <x v="3"/>
    <x v="2"/>
    <n v="18"/>
    <n v="120"/>
    <n v="2160"/>
    <n v="216"/>
    <s v="Large Order"/>
    <s v="Weekday"/>
  </r>
  <r>
    <s v="ORD-1464"/>
    <d v="2024-10-30T00:00:00"/>
    <n v="2024"/>
    <s v="Oct"/>
    <s v="Wed"/>
    <s v="CUST-174"/>
    <s v="PROD-022"/>
    <s v="Consumer"/>
    <s v="North"/>
    <x v="4"/>
    <x v="4"/>
    <n v="20"/>
    <n v="120"/>
    <n v="2400"/>
    <n v="240"/>
    <s v="Large Order"/>
    <s v="Weekday"/>
  </r>
  <r>
    <s v="ORD-1465"/>
    <d v="2024-06-21T00:00:00"/>
    <n v="2024"/>
    <s v="Jun"/>
    <s v="Fri"/>
    <s v="CUST-172"/>
    <s v="PROD-003"/>
    <s v="Consumer"/>
    <s v="Central"/>
    <x v="0"/>
    <x v="4"/>
    <n v="2"/>
    <n v="120"/>
    <n v="240"/>
    <n v="24"/>
    <s v="Standard Order"/>
    <s v="Weekday"/>
  </r>
  <r>
    <s v="ORD-1466"/>
    <d v="2024-05-15T00:00:00"/>
    <n v="2024"/>
    <s v="May"/>
    <s v="Wed"/>
    <s v="CUST-183"/>
    <s v="PROD-014"/>
    <s v="Consumer"/>
    <s v="East"/>
    <x v="5"/>
    <x v="1"/>
    <n v="20"/>
    <n v="120"/>
    <n v="2400"/>
    <n v="240"/>
    <s v="Large Order"/>
    <s v="Weekday"/>
  </r>
  <r>
    <s v="ORD-1467"/>
    <d v="2024-11-17T00:00:00"/>
    <n v="2024"/>
    <s v="Nov"/>
    <s v="Sun"/>
    <s v="CUST-169"/>
    <s v="PROD-016"/>
    <s v="Corporate"/>
    <s v="North"/>
    <x v="3"/>
    <x v="1"/>
    <n v="8"/>
    <n v="120"/>
    <n v="960"/>
    <n v="96"/>
    <s v="Large Order"/>
    <s v="Weekend"/>
  </r>
  <r>
    <s v="ORD-1468"/>
    <d v="2024-06-01T00:00:00"/>
    <n v="2024"/>
    <s v="Jun"/>
    <s v="Sat"/>
    <s v="CUST-158"/>
    <s v="PROD-006"/>
    <s v="Consumer"/>
    <s v="South"/>
    <x v="0"/>
    <x v="1"/>
    <n v="15"/>
    <n v="120"/>
    <n v="1800"/>
    <n v="180"/>
    <s v="Large Order"/>
    <s v="Weekend"/>
  </r>
  <r>
    <s v="ORD-1469"/>
    <d v="2024-04-14T00:00:00"/>
    <n v="2024"/>
    <s v="Apr"/>
    <s v="Sun"/>
    <s v="CUST-143"/>
    <s v="PROD-011"/>
    <s v="Home Office"/>
    <s v="Central"/>
    <x v="4"/>
    <x v="3"/>
    <n v="11"/>
    <n v="120"/>
    <n v="1320"/>
    <n v="132"/>
    <s v="Large Order"/>
    <s v="Weekend"/>
  </r>
  <r>
    <s v="ORD-1470"/>
    <d v="2024-07-23T00:00:00"/>
    <n v="2024"/>
    <s v="Jul"/>
    <s v="Tue"/>
    <s v="CUST-116"/>
    <s v="PROD-018"/>
    <s v="Corporate"/>
    <s v="South"/>
    <x v="5"/>
    <x v="1"/>
    <n v="4"/>
    <n v="120"/>
    <n v="480"/>
    <n v="48"/>
    <s v="Standard Order"/>
    <s v="Weekday"/>
  </r>
  <r>
    <s v="ORD-1471"/>
    <d v="2024-03-03T00:00:00"/>
    <n v="2024"/>
    <s v="Mar"/>
    <s v="Sun"/>
    <s v="CUST-134"/>
    <s v="PROD-005"/>
    <s v="Corporate"/>
    <s v="South"/>
    <x v="4"/>
    <x v="1"/>
    <n v="4"/>
    <n v="120"/>
    <n v="480"/>
    <n v="48"/>
    <s v="Standard Order"/>
    <s v="Weekend"/>
  </r>
  <r>
    <s v="ORD-1472"/>
    <d v="2024-11-11T00:00:00"/>
    <n v="2024"/>
    <s v="Nov"/>
    <s v="Mon"/>
    <s v="CUST-153"/>
    <s v="PROD-011"/>
    <s v="Consumer"/>
    <s v="West"/>
    <x v="4"/>
    <x v="2"/>
    <n v="19"/>
    <n v="120"/>
    <n v="2280"/>
    <n v="228"/>
    <s v="Large Order"/>
    <s v="Weekday"/>
  </r>
  <r>
    <s v="ORD-1473"/>
    <d v="2024-03-22T00:00:00"/>
    <n v="2024"/>
    <s v="Mar"/>
    <s v="Fri"/>
    <s v="CUST-163"/>
    <s v="PROD-016"/>
    <s v="Home Office"/>
    <s v="South"/>
    <x v="2"/>
    <x v="0"/>
    <n v="10"/>
    <n v="120"/>
    <n v="1200"/>
    <n v="120"/>
    <s v="Large Order"/>
    <s v="Weekday"/>
  </r>
  <r>
    <s v="ORD-1474"/>
    <d v="2024-07-20T00:00:00"/>
    <n v="2024"/>
    <s v="Jul"/>
    <s v="Sat"/>
    <s v="CUST-164"/>
    <s v="PROD-007"/>
    <s v="Corporate"/>
    <s v="West"/>
    <x v="4"/>
    <x v="0"/>
    <n v="19"/>
    <n v="120"/>
    <n v="2280"/>
    <n v="228"/>
    <s v="Large Order"/>
    <s v="Weekend"/>
  </r>
  <r>
    <s v="ORD-1475"/>
    <d v="2024-05-24T00:00:00"/>
    <n v="2024"/>
    <s v="May"/>
    <s v="Fri"/>
    <s v="CUST-163"/>
    <s v="PROD-010"/>
    <s v="Home Office"/>
    <s v="East"/>
    <x v="2"/>
    <x v="0"/>
    <n v="18"/>
    <n v="120"/>
    <n v="2160"/>
    <n v="216"/>
    <s v="Large Order"/>
    <s v="Weekday"/>
  </r>
  <r>
    <s v="ORD-1476"/>
    <d v="2024-08-08T00:00:00"/>
    <n v="2024"/>
    <s v="Aug"/>
    <s v="Thu"/>
    <s v="CUST-117"/>
    <s v="PROD-025"/>
    <s v="Corporate"/>
    <s v="South"/>
    <x v="3"/>
    <x v="1"/>
    <n v="13"/>
    <n v="120"/>
    <n v="1560"/>
    <n v="156"/>
    <s v="Large Order"/>
    <s v="Weekday"/>
  </r>
  <r>
    <s v="ORD-1477"/>
    <d v="2024-01-27T00:00:00"/>
    <n v="2024"/>
    <s v="Jan"/>
    <s v="Sat"/>
    <s v="CUST-172"/>
    <s v="PROD-012"/>
    <s v="Home Office"/>
    <s v="East"/>
    <x v="4"/>
    <x v="1"/>
    <n v="18"/>
    <n v="120"/>
    <n v="2160"/>
    <n v="216"/>
    <s v="Large Order"/>
    <s v="Weekend"/>
  </r>
  <r>
    <s v="ORD-1478"/>
    <d v="2024-09-15T00:00:00"/>
    <n v="2024"/>
    <s v="Sep"/>
    <s v="Sun"/>
    <s v="CUST-157"/>
    <s v="PROD-020"/>
    <s v="Home Office"/>
    <s v="Central"/>
    <x v="3"/>
    <x v="0"/>
    <n v="20"/>
    <n v="120"/>
    <n v="2400"/>
    <n v="240"/>
    <s v="Large Order"/>
    <s v="Weekend"/>
  </r>
  <r>
    <s v="ORD-1479"/>
    <d v="2024-07-20T00:00:00"/>
    <n v="2024"/>
    <s v="Jul"/>
    <s v="Sat"/>
    <s v="CUST-147"/>
    <s v="PROD-012"/>
    <s v="Corporate"/>
    <s v="North"/>
    <x v="5"/>
    <x v="4"/>
    <n v="5"/>
    <n v="120"/>
    <n v="600"/>
    <n v="60"/>
    <s v="Large Order"/>
    <s v="Weekend"/>
  </r>
  <r>
    <s v="ORD-1480"/>
    <d v="2024-07-24T00:00:00"/>
    <n v="2024"/>
    <s v="Jul"/>
    <s v="Wed"/>
    <s v="CUST-164"/>
    <s v="PROD-002"/>
    <s v="Consumer"/>
    <s v="Central"/>
    <x v="0"/>
    <x v="1"/>
    <n v="5"/>
    <n v="120"/>
    <n v="600"/>
    <n v="60"/>
    <s v="Large Order"/>
    <s v="Weekday"/>
  </r>
  <r>
    <s v="ORD-1481"/>
    <d v="2024-09-22T00:00:00"/>
    <n v="2024"/>
    <s v="Sep"/>
    <s v="Sun"/>
    <s v="CUST-158"/>
    <s v="PROD-017"/>
    <s v="Consumer"/>
    <s v="Central"/>
    <x v="5"/>
    <x v="4"/>
    <n v="5"/>
    <n v="120"/>
    <n v="600"/>
    <n v="60"/>
    <s v="Large Order"/>
    <s v="Weekend"/>
  </r>
  <r>
    <s v="ORD-1482"/>
    <d v="2024-06-12T00:00:00"/>
    <n v="2024"/>
    <s v="Jun"/>
    <s v="Wed"/>
    <s v="CUST-120"/>
    <s v="PROD-024"/>
    <s v="Corporate"/>
    <s v="Central"/>
    <x v="5"/>
    <x v="4"/>
    <n v="10"/>
    <n v="120"/>
    <n v="1200"/>
    <n v="120"/>
    <s v="Large Order"/>
    <s v="Weekday"/>
  </r>
  <r>
    <s v="ORD-1483"/>
    <d v="2024-09-17T00:00:00"/>
    <n v="2024"/>
    <s v="Sep"/>
    <s v="Tue"/>
    <s v="CUST-168"/>
    <s v="PROD-010"/>
    <s v="Corporate"/>
    <s v="West"/>
    <x v="5"/>
    <x v="3"/>
    <n v="16"/>
    <n v="120"/>
    <n v="1920"/>
    <n v="192"/>
    <s v="Large Order"/>
    <s v="Weekday"/>
  </r>
  <r>
    <s v="ORD-1484"/>
    <d v="2024-06-18T00:00:00"/>
    <n v="2024"/>
    <s v="Jun"/>
    <s v="Tue"/>
    <s v="CUST-186"/>
    <s v="PROD-019"/>
    <s v="Consumer"/>
    <s v="Central"/>
    <x v="2"/>
    <x v="0"/>
    <n v="10"/>
    <n v="120"/>
    <n v="1200"/>
    <n v="120"/>
    <s v="Large Order"/>
    <s v="Weekday"/>
  </r>
  <r>
    <s v="ORD-1485"/>
    <d v="2024-11-01T00:00:00"/>
    <n v="2024"/>
    <s v="Nov"/>
    <s v="Fri"/>
    <s v="CUST-160"/>
    <s v="PROD-019"/>
    <s v="Corporate"/>
    <s v="Central"/>
    <x v="5"/>
    <x v="4"/>
    <n v="8"/>
    <n v="120"/>
    <n v="960"/>
    <n v="96"/>
    <s v="Large Order"/>
    <s v="Weekday"/>
  </r>
  <r>
    <s v="ORD-1486"/>
    <d v="2024-09-02T00:00:00"/>
    <n v="2024"/>
    <s v="Sep"/>
    <s v="Mon"/>
    <s v="CUST-121"/>
    <s v="PROD-025"/>
    <s v="Home Office"/>
    <s v="North"/>
    <x v="5"/>
    <x v="2"/>
    <n v="13"/>
    <n v="120"/>
    <n v="1560"/>
    <n v="156"/>
    <s v="Large Order"/>
    <s v="Weekday"/>
  </r>
  <r>
    <s v="ORD-1487"/>
    <d v="2024-01-17T00:00:00"/>
    <n v="2024"/>
    <s v="Jan"/>
    <s v="Wed"/>
    <s v="CUST-173"/>
    <s v="PROD-007"/>
    <s v="Home Office"/>
    <s v="South"/>
    <x v="0"/>
    <x v="1"/>
    <n v="1"/>
    <n v="120"/>
    <n v="120"/>
    <n v="12"/>
    <s v="Standard Order"/>
    <s v="Weekday"/>
  </r>
  <r>
    <s v="ORD-1488"/>
    <d v="2024-03-18T00:00:00"/>
    <n v="2024"/>
    <s v="Mar"/>
    <s v="Mon"/>
    <s v="CUST-152"/>
    <s v="PROD-014"/>
    <s v="Home Office"/>
    <s v="Central"/>
    <x v="4"/>
    <x v="1"/>
    <n v="17"/>
    <n v="120"/>
    <n v="2040"/>
    <n v="204"/>
    <s v="Large Order"/>
    <s v="Weekday"/>
  </r>
  <r>
    <s v="ORD-1489"/>
    <d v="2024-02-01T00:00:00"/>
    <n v="2024"/>
    <s v="Feb"/>
    <s v="Thu"/>
    <s v="CUST-190"/>
    <s v="PROD-007"/>
    <s v="Consumer"/>
    <s v="South"/>
    <x v="5"/>
    <x v="1"/>
    <n v="18"/>
    <n v="120"/>
    <n v="2160"/>
    <n v="216"/>
    <s v="Large Order"/>
    <s v="Weekday"/>
  </r>
  <r>
    <s v="ORD-1490"/>
    <d v="2024-09-26T00:00:00"/>
    <n v="2024"/>
    <s v="Sep"/>
    <s v="Thu"/>
    <s v="CUST-148"/>
    <s v="PROD-015"/>
    <s v="Corporate"/>
    <s v="East"/>
    <x v="4"/>
    <x v="3"/>
    <n v="18"/>
    <n v="120"/>
    <n v="2160"/>
    <n v="216"/>
    <s v="Large Order"/>
    <s v="Weekday"/>
  </r>
  <r>
    <s v="ORD-1491"/>
    <d v="2024-12-12T00:00:00"/>
    <n v="2024"/>
    <s v="Dec"/>
    <s v="Thu"/>
    <s v="CUST-198"/>
    <s v="PROD-020"/>
    <s v="Home Office"/>
    <s v="South"/>
    <x v="3"/>
    <x v="2"/>
    <n v="16"/>
    <n v="120"/>
    <n v="1920"/>
    <n v="192"/>
    <s v="Large Order"/>
    <s v="Weekday"/>
  </r>
  <r>
    <s v="ORD-1492"/>
    <d v="2024-05-22T00:00:00"/>
    <n v="2024"/>
    <s v="May"/>
    <s v="Wed"/>
    <s v="CUST-171"/>
    <s v="PROD-010"/>
    <s v="Corporate"/>
    <s v="Central"/>
    <x v="4"/>
    <x v="1"/>
    <n v="10"/>
    <n v="120"/>
    <n v="1200"/>
    <n v="120"/>
    <s v="Large Order"/>
    <s v="Weekday"/>
  </r>
  <r>
    <s v="ORD-1493"/>
    <d v="2024-06-11T00:00:00"/>
    <n v="2024"/>
    <s v="Jun"/>
    <s v="Tue"/>
    <s v="CUST-161"/>
    <s v="PROD-024"/>
    <s v="Corporate"/>
    <s v="West"/>
    <x v="5"/>
    <x v="4"/>
    <n v="9"/>
    <n v="120"/>
    <n v="1080"/>
    <n v="108"/>
    <s v="Large Order"/>
    <s v="Weekday"/>
  </r>
  <r>
    <s v="ORD-1494"/>
    <d v="2024-12-12T00:00:00"/>
    <n v="2024"/>
    <s v="Dec"/>
    <s v="Thu"/>
    <s v="CUST-169"/>
    <s v="PROD-012"/>
    <s v="Corporate"/>
    <s v="East"/>
    <x v="2"/>
    <x v="3"/>
    <n v="5"/>
    <n v="120"/>
    <n v="600"/>
    <n v="60"/>
    <s v="Large Order"/>
    <s v="Weekday"/>
  </r>
  <r>
    <s v="ORD-1495"/>
    <d v="2024-02-10T00:00:00"/>
    <n v="2024"/>
    <s v="Feb"/>
    <s v="Sat"/>
    <s v="CUST-144"/>
    <s v="PROD-024"/>
    <s v="Corporate"/>
    <s v="East"/>
    <x v="3"/>
    <x v="4"/>
    <n v="16"/>
    <n v="120"/>
    <n v="1920"/>
    <n v="192"/>
    <s v="Large Order"/>
    <s v="Weekend"/>
  </r>
  <r>
    <s v="ORD-1496"/>
    <d v="2024-05-18T00:00:00"/>
    <n v="2024"/>
    <s v="May"/>
    <s v="Sat"/>
    <s v="CUST-171"/>
    <s v="PROD-005"/>
    <s v="Home Office"/>
    <s v="Central"/>
    <x v="3"/>
    <x v="4"/>
    <n v="4"/>
    <n v="120"/>
    <n v="480"/>
    <n v="48"/>
    <s v="Standard Order"/>
    <s v="Weekend"/>
  </r>
  <r>
    <s v="ORD-1497"/>
    <d v="2024-05-02T00:00:00"/>
    <n v="2024"/>
    <s v="May"/>
    <s v="Thu"/>
    <s v="CUST-131"/>
    <s v="PROD-008"/>
    <s v="Consumer"/>
    <s v="North"/>
    <x v="5"/>
    <x v="1"/>
    <n v="8"/>
    <n v="120"/>
    <n v="960"/>
    <n v="96"/>
    <s v="Large Order"/>
    <s v="Weekday"/>
  </r>
  <r>
    <s v="ORD-1498"/>
    <d v="2024-06-18T00:00:00"/>
    <n v="2024"/>
    <s v="Jun"/>
    <s v="Tue"/>
    <s v="CUST-191"/>
    <s v="PROD-022"/>
    <s v="Corporate"/>
    <s v="West"/>
    <x v="0"/>
    <x v="4"/>
    <n v="5"/>
    <n v="120"/>
    <n v="600"/>
    <n v="60"/>
    <s v="Large Order"/>
    <s v="Weekday"/>
  </r>
  <r>
    <s v="ORD-1499"/>
    <d v="2024-03-21T00:00:00"/>
    <n v="2024"/>
    <s v="Mar"/>
    <s v="Thu"/>
    <s v="CUST-152"/>
    <s v="PROD-016"/>
    <s v="Home Office"/>
    <s v="North"/>
    <x v="2"/>
    <x v="3"/>
    <n v="7"/>
    <n v="120"/>
    <n v="840"/>
    <n v="84"/>
    <s v="Large Order"/>
    <s v="Weekday"/>
  </r>
  <r>
    <s v="ORD-1500"/>
    <d v="2024-06-13T00:00:00"/>
    <n v="2024"/>
    <s v="Jun"/>
    <s v="Thu"/>
    <s v="CUST-136"/>
    <s v="PROD-025"/>
    <s v="Home Office"/>
    <s v="North"/>
    <x v="0"/>
    <x v="2"/>
    <n v="3"/>
    <n v="120"/>
    <n v="360"/>
    <n v="36"/>
    <s v="Standard Order"/>
    <s v="Weekday"/>
  </r>
  <r>
    <s v="ORD-1501"/>
    <d v="2024-09-30T00:00:00"/>
    <n v="2024"/>
    <s v="Sep"/>
    <s v="Mon"/>
    <s v="CUST-194"/>
    <s v="PROD-006"/>
    <s v="Home Office"/>
    <s v="South"/>
    <x v="0"/>
    <x v="2"/>
    <n v="14"/>
    <n v="120"/>
    <n v="1680"/>
    <n v="168"/>
    <s v="Large Order"/>
    <s v="Weekday"/>
  </r>
  <r>
    <s v="ORD-1502"/>
    <d v="2024-01-19T00:00:00"/>
    <n v="2024"/>
    <s v="Jan"/>
    <s v="Fri"/>
    <s v="CUST-150"/>
    <s v="PROD-024"/>
    <s v="Corporate"/>
    <s v="North"/>
    <x v="4"/>
    <x v="0"/>
    <n v="10"/>
    <n v="120"/>
    <n v="1200"/>
    <n v="120"/>
    <s v="Large Order"/>
    <s v="Weekday"/>
  </r>
  <r>
    <s v="ORD-1503"/>
    <d v="2024-06-01T00:00:00"/>
    <n v="2024"/>
    <s v="Jun"/>
    <s v="Sat"/>
    <s v="CUST-172"/>
    <s v="PROD-011"/>
    <s v="Home Office"/>
    <s v="Central"/>
    <x v="0"/>
    <x v="4"/>
    <n v="10"/>
    <n v="120"/>
    <n v="1200"/>
    <n v="120"/>
    <s v="Large Order"/>
    <s v="Weekend"/>
  </r>
  <r>
    <s v="ORD-1504"/>
    <d v="2024-09-25T00:00:00"/>
    <n v="2024"/>
    <s v="Sep"/>
    <s v="Wed"/>
    <s v="CUST-163"/>
    <s v="PROD-015"/>
    <s v="Consumer"/>
    <s v="West"/>
    <x v="5"/>
    <x v="0"/>
    <n v="9"/>
    <n v="120"/>
    <n v="1080"/>
    <n v="108"/>
    <s v="Large Order"/>
    <s v="Weekday"/>
  </r>
  <r>
    <s v="ORD-1505"/>
    <d v="2024-06-18T00:00:00"/>
    <n v="2024"/>
    <s v="Jun"/>
    <s v="Tue"/>
    <s v="CUST-120"/>
    <s v="PROD-021"/>
    <s v="Home Office"/>
    <s v="South"/>
    <x v="2"/>
    <x v="0"/>
    <n v="9"/>
    <n v="120"/>
    <n v="1080"/>
    <n v="108"/>
    <s v="Large Order"/>
    <s v="Weekday"/>
  </r>
  <r>
    <s v="ORD-1506"/>
    <d v="2024-06-21T00:00:00"/>
    <n v="2024"/>
    <s v="Jun"/>
    <s v="Fri"/>
    <s v="CUST-137"/>
    <s v="PROD-006"/>
    <s v="Home Office"/>
    <s v="North"/>
    <x v="4"/>
    <x v="1"/>
    <n v="20"/>
    <n v="120"/>
    <n v="2400"/>
    <n v="240"/>
    <s v="Large Order"/>
    <s v="Weekday"/>
  </r>
  <r>
    <s v="ORD-1507"/>
    <d v="2024-08-06T00:00:00"/>
    <n v="2024"/>
    <s v="Aug"/>
    <s v="Tue"/>
    <s v="CUST-165"/>
    <s v="PROD-013"/>
    <s v="Corporate"/>
    <s v="North"/>
    <x v="0"/>
    <x v="2"/>
    <n v="4"/>
    <n v="120"/>
    <n v="480"/>
    <n v="48"/>
    <s v="Standard Order"/>
    <s v="Weekday"/>
  </r>
  <r>
    <s v="ORD-1508"/>
    <d v="2024-09-01T00:00:00"/>
    <n v="2024"/>
    <s v="Sep"/>
    <s v="Sun"/>
    <s v="CUST-141"/>
    <s v="PROD-009"/>
    <s v="Consumer"/>
    <s v="Central"/>
    <x v="0"/>
    <x v="3"/>
    <n v="13"/>
    <n v="120"/>
    <n v="1560"/>
    <n v="156"/>
    <s v="Large Order"/>
    <s v="Weekend"/>
  </r>
  <r>
    <s v="ORD-1509"/>
    <d v="2024-06-17T00:00:00"/>
    <n v="2024"/>
    <s v="Jun"/>
    <s v="Mon"/>
    <s v="CUST-138"/>
    <s v="PROD-001"/>
    <s v="Home Office"/>
    <s v="West"/>
    <x v="5"/>
    <x v="2"/>
    <n v="9"/>
    <n v="120"/>
    <n v="1080"/>
    <n v="108"/>
    <s v="Large Order"/>
    <s v="Weekday"/>
  </r>
  <r>
    <s v="ORD-1510"/>
    <d v="2024-02-01T00:00:00"/>
    <n v="2024"/>
    <s v="Feb"/>
    <s v="Thu"/>
    <s v="CUST-185"/>
    <s v="PROD-010"/>
    <s v="Consumer"/>
    <s v="North"/>
    <x v="2"/>
    <x v="4"/>
    <n v="6"/>
    <n v="120"/>
    <n v="720"/>
    <n v="72"/>
    <s v="Large Order"/>
    <s v="Weekday"/>
  </r>
  <r>
    <s v="ORD-1511"/>
    <d v="2024-12-26T00:00:00"/>
    <n v="2024"/>
    <s v="Dec"/>
    <s v="Thu"/>
    <s v="CUST-198"/>
    <s v="PROD-021"/>
    <s v="Corporate"/>
    <s v="South"/>
    <x v="0"/>
    <x v="2"/>
    <n v="10"/>
    <n v="120"/>
    <n v="1200"/>
    <n v="120"/>
    <s v="Large Order"/>
    <s v="Weekday"/>
  </r>
  <r>
    <s v="ORD-1512"/>
    <d v="2024-04-22T00:00:00"/>
    <n v="2024"/>
    <s v="Apr"/>
    <s v="Mon"/>
    <s v="CUST-117"/>
    <s v="PROD-015"/>
    <s v="Corporate"/>
    <s v="South"/>
    <x v="4"/>
    <x v="4"/>
    <n v="20"/>
    <n v="120"/>
    <n v="2400"/>
    <n v="240"/>
    <s v="Large Order"/>
    <s v="Weekday"/>
  </r>
  <r>
    <s v="ORD-1513"/>
    <d v="2024-08-29T00:00:00"/>
    <n v="2024"/>
    <s v="Aug"/>
    <s v="Thu"/>
    <s v="CUST-196"/>
    <s v="PROD-025"/>
    <s v="Home Office"/>
    <s v="Central"/>
    <x v="4"/>
    <x v="4"/>
    <n v="8"/>
    <n v="120"/>
    <n v="960"/>
    <n v="96"/>
    <s v="Large Order"/>
    <s v="Weekday"/>
  </r>
  <r>
    <s v="ORD-1514"/>
    <d v="2024-02-11T00:00:00"/>
    <n v="2024"/>
    <s v="Feb"/>
    <s v="Sun"/>
    <s v="CUST-167"/>
    <s v="PROD-023"/>
    <s v="Corporate"/>
    <s v="Central"/>
    <x v="5"/>
    <x v="4"/>
    <n v="12"/>
    <n v="120"/>
    <n v="1440"/>
    <n v="144"/>
    <s v="Large Order"/>
    <s v="Weekend"/>
  </r>
  <r>
    <s v="ORD-1515"/>
    <d v="2024-02-27T00:00:00"/>
    <n v="2024"/>
    <s v="Feb"/>
    <s v="Tue"/>
    <s v="CUST-107"/>
    <s v="PROD-007"/>
    <s v="Home Office"/>
    <s v="North"/>
    <x v="5"/>
    <x v="2"/>
    <n v="19"/>
    <n v="120"/>
    <n v="2280"/>
    <n v="228"/>
    <s v="Large Order"/>
    <s v="Weekday"/>
  </r>
  <r>
    <s v="ORD-1516"/>
    <d v="2024-06-16T00:00:00"/>
    <n v="2024"/>
    <s v="Jun"/>
    <s v="Sun"/>
    <s v="CUST-166"/>
    <s v="PROD-022"/>
    <s v="Corporate"/>
    <s v="North"/>
    <x v="0"/>
    <x v="1"/>
    <n v="7"/>
    <n v="120"/>
    <n v="840"/>
    <n v="84"/>
    <s v="Large Order"/>
    <s v="Weekend"/>
  </r>
  <r>
    <s v="ORD-1517"/>
    <d v="2024-02-16T00:00:00"/>
    <n v="2024"/>
    <s v="Feb"/>
    <s v="Fri"/>
    <s v="CUST-165"/>
    <s v="PROD-015"/>
    <s v="Corporate"/>
    <s v="West"/>
    <x v="0"/>
    <x v="1"/>
    <n v="5"/>
    <n v="120"/>
    <n v="600"/>
    <n v="60"/>
    <s v="Large Order"/>
    <s v="Weekday"/>
  </r>
  <r>
    <s v="ORD-1518"/>
    <d v="2024-10-15T00:00:00"/>
    <n v="2024"/>
    <s v="Oct"/>
    <s v="Tue"/>
    <s v="CUST-107"/>
    <s v="PROD-022"/>
    <s v="Home Office"/>
    <s v="South"/>
    <x v="2"/>
    <x v="1"/>
    <n v="10"/>
    <n v="120"/>
    <n v="1200"/>
    <n v="120"/>
    <s v="Large Order"/>
    <s v="Weekday"/>
  </r>
  <r>
    <s v="ORD-1519"/>
    <d v="2024-05-10T00:00:00"/>
    <n v="2024"/>
    <s v="May"/>
    <s v="Fri"/>
    <s v="CUST-100"/>
    <s v="PROD-019"/>
    <s v="Home Office"/>
    <s v="North"/>
    <x v="4"/>
    <x v="3"/>
    <n v="3"/>
    <n v="120"/>
    <n v="360"/>
    <n v="36"/>
    <s v="Standard Order"/>
    <s v="Weekday"/>
  </r>
  <r>
    <s v="ORD-1520"/>
    <d v="2024-12-24T00:00:00"/>
    <n v="2024"/>
    <s v="Dec"/>
    <s v="Tue"/>
    <s v="CUST-108"/>
    <s v="PROD-003"/>
    <s v="Home Office"/>
    <s v="West"/>
    <x v="0"/>
    <x v="1"/>
    <n v="16"/>
    <n v="120"/>
    <n v="1920"/>
    <n v="192"/>
    <s v="Large Order"/>
    <s v="Weekday"/>
  </r>
  <r>
    <s v="ORD-1521"/>
    <d v="2024-04-02T00:00:00"/>
    <n v="2024"/>
    <s v="Apr"/>
    <s v="Tue"/>
    <s v="CUST-198"/>
    <s v="PROD-012"/>
    <s v="Consumer"/>
    <s v="Central"/>
    <x v="2"/>
    <x v="1"/>
    <n v="13"/>
    <n v="120"/>
    <n v="1560"/>
    <n v="156"/>
    <s v="Large Order"/>
    <s v="Weekday"/>
  </r>
  <r>
    <s v="ORD-1522"/>
    <d v="2024-07-11T00:00:00"/>
    <n v="2024"/>
    <s v="Jul"/>
    <s v="Thu"/>
    <s v="CUST-110"/>
    <s v="PROD-005"/>
    <s v="Home Office"/>
    <s v="South"/>
    <x v="5"/>
    <x v="4"/>
    <n v="12"/>
    <n v="120"/>
    <n v="1440"/>
    <n v="144"/>
    <s v="Large Order"/>
    <s v="Weekday"/>
  </r>
  <r>
    <s v="ORD-1523"/>
    <d v="2024-07-20T00:00:00"/>
    <n v="2024"/>
    <s v="Jul"/>
    <s v="Sat"/>
    <s v="CUST-167"/>
    <s v="PROD-001"/>
    <s v="Consumer"/>
    <s v="West"/>
    <x v="4"/>
    <x v="1"/>
    <n v="1"/>
    <n v="120"/>
    <n v="120"/>
    <n v="12"/>
    <s v="Standard Order"/>
    <s v="Weekend"/>
  </r>
  <r>
    <s v="ORD-1524"/>
    <d v="2024-12-10T00:00:00"/>
    <n v="2024"/>
    <s v="Dec"/>
    <s v="Tue"/>
    <s v="CUST-192"/>
    <s v="PROD-018"/>
    <s v="Home Office"/>
    <s v="East"/>
    <x v="2"/>
    <x v="2"/>
    <n v="13"/>
    <n v="120"/>
    <n v="1560"/>
    <n v="156"/>
    <s v="Large Order"/>
    <s v="Weekday"/>
  </r>
  <r>
    <s v="ORD-1525"/>
    <d v="2024-08-23T00:00:00"/>
    <n v="2024"/>
    <s v="Aug"/>
    <s v="Fri"/>
    <s v="CUST-144"/>
    <s v="PROD-007"/>
    <s v="Consumer"/>
    <s v="South"/>
    <x v="3"/>
    <x v="1"/>
    <n v="4"/>
    <n v="120"/>
    <n v="480"/>
    <n v="48"/>
    <s v="Standard Order"/>
    <s v="Weekday"/>
  </r>
  <r>
    <s v="ORD-1526"/>
    <d v="2024-11-10T00:00:00"/>
    <n v="2024"/>
    <s v="Nov"/>
    <s v="Sun"/>
    <s v="CUST-198"/>
    <s v="PROD-007"/>
    <s v="Consumer"/>
    <s v="North"/>
    <x v="4"/>
    <x v="0"/>
    <n v="3"/>
    <n v="120"/>
    <n v="360"/>
    <n v="36"/>
    <s v="Standard Order"/>
    <s v="Weekend"/>
  </r>
  <r>
    <s v="ORD-1527"/>
    <d v="2024-08-16T00:00:00"/>
    <n v="2024"/>
    <s v="Aug"/>
    <s v="Fri"/>
    <s v="CUST-176"/>
    <s v="PROD-008"/>
    <s v="Home Office"/>
    <s v="South"/>
    <x v="0"/>
    <x v="2"/>
    <n v="2"/>
    <n v="120"/>
    <n v="240"/>
    <n v="24"/>
    <s v="Standard Order"/>
    <s v="Weekday"/>
  </r>
  <r>
    <s v="ORD-1528"/>
    <d v="2024-10-03T00:00:00"/>
    <n v="2024"/>
    <s v="Oct"/>
    <s v="Thu"/>
    <s v="CUST-127"/>
    <s v="PROD-017"/>
    <s v="Consumer"/>
    <s v="East"/>
    <x v="4"/>
    <x v="4"/>
    <n v="10"/>
    <n v="120"/>
    <n v="1200"/>
    <n v="120"/>
    <s v="Large Order"/>
    <s v="Weekday"/>
  </r>
  <r>
    <s v="ORD-1529"/>
    <d v="2024-06-12T00:00:00"/>
    <n v="2024"/>
    <s v="Jun"/>
    <s v="Wed"/>
    <s v="CUST-173"/>
    <s v="PROD-008"/>
    <s v="Home Office"/>
    <s v="East"/>
    <x v="3"/>
    <x v="4"/>
    <n v="10"/>
    <n v="120"/>
    <n v="1200"/>
    <n v="120"/>
    <s v="Large Order"/>
    <s v="Weekday"/>
  </r>
  <r>
    <s v="ORD-1530"/>
    <d v="2024-04-23T00:00:00"/>
    <n v="2024"/>
    <s v="Apr"/>
    <s v="Tue"/>
    <s v="CUST-152"/>
    <s v="PROD-002"/>
    <s v="Corporate"/>
    <s v="Central"/>
    <x v="3"/>
    <x v="2"/>
    <n v="18"/>
    <n v="120"/>
    <n v="2160"/>
    <n v="216"/>
    <s v="Large Order"/>
    <s v="Weekday"/>
  </r>
  <r>
    <s v="ORD-1531"/>
    <d v="2024-11-16T00:00:00"/>
    <n v="2024"/>
    <s v="Nov"/>
    <s v="Sat"/>
    <s v="CUST-186"/>
    <s v="PROD-016"/>
    <s v="Corporate"/>
    <s v="West"/>
    <x v="5"/>
    <x v="1"/>
    <n v="2"/>
    <n v="120"/>
    <n v="240"/>
    <n v="24"/>
    <s v="Standard Order"/>
    <s v="Weekend"/>
  </r>
  <r>
    <s v="ORD-1532"/>
    <d v="2024-09-25T00:00:00"/>
    <n v="2024"/>
    <s v="Sep"/>
    <s v="Wed"/>
    <s v="CUST-140"/>
    <s v="PROD-014"/>
    <s v="Home Office"/>
    <s v="South"/>
    <x v="2"/>
    <x v="2"/>
    <n v="5"/>
    <n v="120"/>
    <n v="600"/>
    <n v="60"/>
    <s v="Large Order"/>
    <s v="Weekday"/>
  </r>
  <r>
    <s v="ORD-1533"/>
    <d v="2024-10-02T00:00:00"/>
    <n v="2024"/>
    <s v="Oct"/>
    <s v="Wed"/>
    <s v="CUST-160"/>
    <s v="PROD-010"/>
    <s v="Consumer"/>
    <s v="Central"/>
    <x v="4"/>
    <x v="0"/>
    <n v="5"/>
    <n v="120"/>
    <n v="600"/>
    <n v="60"/>
    <s v="Large Order"/>
    <s v="Weekday"/>
  </r>
  <r>
    <s v="ORD-1534"/>
    <d v="2024-10-14T00:00:00"/>
    <n v="2024"/>
    <s v="Oct"/>
    <s v="Mon"/>
    <s v="CUST-152"/>
    <s v="PROD-017"/>
    <s v="Corporate"/>
    <s v="North"/>
    <x v="5"/>
    <x v="3"/>
    <n v="5"/>
    <n v="120"/>
    <n v="600"/>
    <n v="60"/>
    <s v="Large Order"/>
    <s v="Weekday"/>
  </r>
  <r>
    <s v="ORD-1535"/>
    <d v="2024-04-14T00:00:00"/>
    <n v="2024"/>
    <s v="Apr"/>
    <s v="Sun"/>
    <s v="CUST-142"/>
    <s v="PROD-015"/>
    <s v="Home Office"/>
    <s v="Central"/>
    <x v="0"/>
    <x v="2"/>
    <n v="12"/>
    <n v="120"/>
    <n v="1440"/>
    <n v="144"/>
    <s v="Large Order"/>
    <s v="Weekend"/>
  </r>
  <r>
    <s v="ORD-1536"/>
    <d v="2024-01-27T00:00:00"/>
    <n v="2024"/>
    <s v="Jan"/>
    <s v="Sat"/>
    <s v="CUST-134"/>
    <s v="PROD-020"/>
    <s v="Corporate"/>
    <s v="Central"/>
    <x v="5"/>
    <x v="2"/>
    <n v="2"/>
    <n v="120"/>
    <n v="240"/>
    <n v="24"/>
    <s v="Standard Order"/>
    <s v="Weekend"/>
  </r>
  <r>
    <s v="ORD-1537"/>
    <d v="2024-10-27T00:00:00"/>
    <n v="2024"/>
    <s v="Oct"/>
    <s v="Sun"/>
    <s v="CUST-192"/>
    <s v="PROD-007"/>
    <s v="Home Office"/>
    <s v="South"/>
    <x v="5"/>
    <x v="3"/>
    <n v="16"/>
    <n v="120"/>
    <n v="1920"/>
    <n v="192"/>
    <s v="Large Order"/>
    <s v="Weekend"/>
  </r>
  <r>
    <s v="ORD-1538"/>
    <d v="2024-06-04T00:00:00"/>
    <n v="2024"/>
    <s v="Jun"/>
    <s v="Tue"/>
    <s v="CUST-101"/>
    <s v="PROD-024"/>
    <s v="Consumer"/>
    <s v="South"/>
    <x v="4"/>
    <x v="1"/>
    <n v="4"/>
    <n v="120"/>
    <n v="480"/>
    <n v="48"/>
    <s v="Standard Order"/>
    <s v="Weekday"/>
  </r>
  <r>
    <s v="ORD-1539"/>
    <d v="2024-05-04T00:00:00"/>
    <n v="2024"/>
    <s v="May"/>
    <s v="Sat"/>
    <s v="CUST-189"/>
    <s v="PROD-013"/>
    <s v="Home Office"/>
    <s v="East"/>
    <x v="4"/>
    <x v="3"/>
    <n v="8"/>
    <n v="120"/>
    <n v="960"/>
    <n v="96"/>
    <s v="Large Order"/>
    <s v="Weekend"/>
  </r>
  <r>
    <s v="ORD-1540"/>
    <d v="2024-07-13T00:00:00"/>
    <n v="2024"/>
    <s v="Jul"/>
    <s v="Sat"/>
    <s v="CUST-159"/>
    <s v="PROD-010"/>
    <s v="Home Office"/>
    <s v="West"/>
    <x v="3"/>
    <x v="1"/>
    <n v="9"/>
    <n v="120"/>
    <n v="1080"/>
    <n v="108"/>
    <s v="Large Order"/>
    <s v="Weekend"/>
  </r>
  <r>
    <s v="ORD-1541"/>
    <d v="2024-08-26T00:00:00"/>
    <n v="2024"/>
    <s v="Aug"/>
    <s v="Mon"/>
    <s v="CUST-112"/>
    <s v="PROD-025"/>
    <s v="Home Office"/>
    <s v="Central"/>
    <x v="2"/>
    <x v="3"/>
    <n v="11"/>
    <n v="120"/>
    <n v="1320"/>
    <n v="132"/>
    <s v="Large Order"/>
    <s v="Weekday"/>
  </r>
  <r>
    <s v="ORD-1542"/>
    <d v="2024-06-09T00:00:00"/>
    <n v="2024"/>
    <s v="Jun"/>
    <s v="Sun"/>
    <s v="CUST-152"/>
    <s v="PROD-008"/>
    <s v="Consumer"/>
    <s v="West"/>
    <x v="5"/>
    <x v="4"/>
    <n v="5"/>
    <n v="120"/>
    <n v="600"/>
    <n v="60"/>
    <s v="Large Order"/>
    <s v="Weekend"/>
  </r>
  <r>
    <s v="ORD-1543"/>
    <d v="2024-10-26T00:00:00"/>
    <n v="2024"/>
    <s v="Oct"/>
    <s v="Sat"/>
    <s v="CUST-174"/>
    <s v="PROD-010"/>
    <s v="Home Office"/>
    <s v="West"/>
    <x v="2"/>
    <x v="2"/>
    <n v="5"/>
    <n v="120"/>
    <n v="600"/>
    <n v="60"/>
    <s v="Large Order"/>
    <s v="Weekend"/>
  </r>
  <r>
    <s v="ORD-1544"/>
    <d v="2024-07-13T00:00:00"/>
    <n v="2024"/>
    <s v="Jul"/>
    <s v="Sat"/>
    <s v="CUST-172"/>
    <s v="PROD-018"/>
    <s v="Consumer"/>
    <s v="West"/>
    <x v="2"/>
    <x v="1"/>
    <n v="11"/>
    <n v="120"/>
    <n v="1320"/>
    <n v="132"/>
    <s v="Large Order"/>
    <s v="Weekend"/>
  </r>
  <r>
    <s v="ORD-1545"/>
    <d v="2024-11-24T00:00:00"/>
    <n v="2024"/>
    <s v="Nov"/>
    <s v="Sun"/>
    <s v="CUST-194"/>
    <s v="PROD-006"/>
    <s v="Corporate"/>
    <s v="North"/>
    <x v="2"/>
    <x v="4"/>
    <n v="12"/>
    <n v="120"/>
    <n v="1440"/>
    <n v="144"/>
    <s v="Large Order"/>
    <s v="Weekend"/>
  </r>
  <r>
    <s v="ORD-1546"/>
    <d v="2024-09-07T00:00:00"/>
    <n v="2024"/>
    <s v="Sep"/>
    <s v="Sat"/>
    <s v="CUST-123"/>
    <s v="PROD-017"/>
    <s v="Home Office"/>
    <s v="West"/>
    <x v="0"/>
    <x v="0"/>
    <n v="2"/>
    <n v="120"/>
    <n v="240"/>
    <n v="24"/>
    <s v="Standard Order"/>
    <s v="Weekend"/>
  </r>
  <r>
    <s v="ORD-1547"/>
    <d v="2024-12-08T00:00:00"/>
    <n v="2024"/>
    <s v="Dec"/>
    <s v="Sun"/>
    <s v="CUST-106"/>
    <s v="PROD-005"/>
    <s v="Consumer"/>
    <s v="West"/>
    <x v="2"/>
    <x v="2"/>
    <n v="8"/>
    <n v="120"/>
    <n v="960"/>
    <n v="96"/>
    <s v="Large Order"/>
    <s v="Weekend"/>
  </r>
  <r>
    <s v="ORD-1548"/>
    <d v="2024-01-05T00:00:00"/>
    <n v="2024"/>
    <s v="Jan"/>
    <s v="Fri"/>
    <s v="CUST-127"/>
    <s v="PROD-012"/>
    <s v="Home Office"/>
    <s v="North"/>
    <x v="2"/>
    <x v="4"/>
    <n v="2"/>
    <n v="120"/>
    <n v="240"/>
    <n v="24"/>
    <s v="Standard Order"/>
    <s v="Weekday"/>
  </r>
  <r>
    <s v="ORD-1549"/>
    <d v="2024-09-04T00:00:00"/>
    <n v="2024"/>
    <s v="Sep"/>
    <s v="Wed"/>
    <s v="CUST-184"/>
    <s v="PROD-001"/>
    <s v="Corporate"/>
    <s v="East"/>
    <x v="0"/>
    <x v="0"/>
    <n v="18"/>
    <n v="120"/>
    <n v="2160"/>
    <n v="216"/>
    <s v="Large Order"/>
    <s v="Weekday"/>
  </r>
  <r>
    <s v="ORD-1550"/>
    <d v="2024-01-09T00:00:00"/>
    <n v="2024"/>
    <s v="Jan"/>
    <s v="Tue"/>
    <s v="CUST-167"/>
    <s v="PROD-018"/>
    <s v="Home Office"/>
    <s v="Central"/>
    <x v="3"/>
    <x v="1"/>
    <n v="10"/>
    <n v="120"/>
    <n v="1200"/>
    <n v="120"/>
    <s v="Large Order"/>
    <s v="Weekday"/>
  </r>
  <r>
    <s v="ORD-1551"/>
    <d v="2024-04-01T00:00:00"/>
    <n v="2024"/>
    <s v="Apr"/>
    <s v="Mon"/>
    <s v="CUST-113"/>
    <s v="PROD-005"/>
    <s v="Consumer"/>
    <s v="West"/>
    <x v="5"/>
    <x v="4"/>
    <n v="8"/>
    <n v="120"/>
    <n v="960"/>
    <n v="96"/>
    <s v="Large Order"/>
    <s v="Weekday"/>
  </r>
  <r>
    <s v="ORD-1552"/>
    <d v="2024-05-09T00:00:00"/>
    <n v="2024"/>
    <s v="May"/>
    <s v="Thu"/>
    <s v="CUST-145"/>
    <s v="PROD-003"/>
    <s v="Corporate"/>
    <s v="South"/>
    <x v="2"/>
    <x v="1"/>
    <n v="12"/>
    <n v="120"/>
    <n v="1440"/>
    <n v="144"/>
    <s v="Large Order"/>
    <s v="Weekday"/>
  </r>
  <r>
    <s v="ORD-1553"/>
    <d v="2024-10-16T00:00:00"/>
    <n v="2024"/>
    <s v="Oct"/>
    <s v="Wed"/>
    <s v="CUST-131"/>
    <s v="PROD-010"/>
    <s v="Home Office"/>
    <s v="West"/>
    <x v="4"/>
    <x v="0"/>
    <n v="3"/>
    <n v="120"/>
    <n v="360"/>
    <n v="36"/>
    <s v="Standard Order"/>
    <s v="Weekday"/>
  </r>
  <r>
    <s v="ORD-1554"/>
    <d v="2024-02-17T00:00:00"/>
    <n v="2024"/>
    <s v="Feb"/>
    <s v="Sat"/>
    <s v="CUST-151"/>
    <s v="PROD-018"/>
    <s v="Corporate"/>
    <s v="West"/>
    <x v="2"/>
    <x v="0"/>
    <n v="16"/>
    <n v="120"/>
    <n v="1920"/>
    <n v="192"/>
    <s v="Large Order"/>
    <s v="Weekend"/>
  </r>
  <r>
    <s v="ORD-1555"/>
    <d v="2024-12-25T00:00:00"/>
    <n v="2024"/>
    <s v="Dec"/>
    <s v="Wed"/>
    <s v="CUST-121"/>
    <s v="PROD-014"/>
    <s v="Consumer"/>
    <s v="South"/>
    <x v="2"/>
    <x v="0"/>
    <n v="11"/>
    <n v="120"/>
    <n v="1320"/>
    <n v="132"/>
    <s v="Large Order"/>
    <s v="Weekday"/>
  </r>
  <r>
    <s v="ORD-1556"/>
    <d v="2024-09-27T00:00:00"/>
    <n v="2024"/>
    <s v="Sep"/>
    <s v="Fri"/>
    <s v="CUST-105"/>
    <s v="PROD-023"/>
    <s v="Consumer"/>
    <s v="Central"/>
    <x v="4"/>
    <x v="0"/>
    <n v="19"/>
    <n v="120"/>
    <n v="2280"/>
    <n v="228"/>
    <s v="Large Order"/>
    <s v="Weekday"/>
  </r>
  <r>
    <s v="ORD-1557"/>
    <d v="2024-02-08T00:00:00"/>
    <n v="2024"/>
    <s v="Feb"/>
    <s v="Thu"/>
    <s v="CUST-187"/>
    <s v="PROD-019"/>
    <s v="Corporate"/>
    <s v="South"/>
    <x v="5"/>
    <x v="3"/>
    <n v="2"/>
    <n v="120"/>
    <n v="240"/>
    <n v="24"/>
    <s v="Standard Order"/>
    <s v="Weekday"/>
  </r>
  <r>
    <s v="ORD-1558"/>
    <d v="2024-01-09T00:00:00"/>
    <n v="2024"/>
    <s v="Jan"/>
    <s v="Tue"/>
    <s v="CUST-126"/>
    <s v="PROD-025"/>
    <s v="Home Office"/>
    <s v="Central"/>
    <x v="4"/>
    <x v="3"/>
    <n v="13"/>
    <n v="120"/>
    <n v="1560"/>
    <n v="156"/>
    <s v="Large Order"/>
    <s v="Weekday"/>
  </r>
  <r>
    <s v="ORD-1559"/>
    <d v="2024-03-24T00:00:00"/>
    <n v="2024"/>
    <s v="Mar"/>
    <s v="Sun"/>
    <s v="CUST-172"/>
    <s v="PROD-013"/>
    <s v="Consumer"/>
    <s v="Central"/>
    <x v="5"/>
    <x v="2"/>
    <n v="18"/>
    <n v="120"/>
    <n v="2160"/>
    <n v="216"/>
    <s v="Large Order"/>
    <s v="Weekend"/>
  </r>
  <r>
    <s v="ORD-1560"/>
    <d v="2024-12-18T00:00:00"/>
    <n v="2024"/>
    <s v="Dec"/>
    <s v="Wed"/>
    <s v="CUST-192"/>
    <s v="PROD-024"/>
    <s v="Consumer"/>
    <s v="Central"/>
    <x v="5"/>
    <x v="1"/>
    <n v="12"/>
    <n v="120"/>
    <n v="1440"/>
    <n v="144"/>
    <s v="Large Order"/>
    <s v="Weekday"/>
  </r>
  <r>
    <s v="ORD-1561"/>
    <d v="2024-04-28T00:00:00"/>
    <n v="2024"/>
    <s v="Apr"/>
    <s v="Sun"/>
    <s v="CUST-109"/>
    <s v="PROD-025"/>
    <s v="Corporate"/>
    <s v="East"/>
    <x v="5"/>
    <x v="1"/>
    <n v="20"/>
    <n v="120"/>
    <n v="2400"/>
    <n v="240"/>
    <s v="Large Order"/>
    <s v="Weekend"/>
  </r>
  <r>
    <s v="ORD-1562"/>
    <d v="2024-06-16T00:00:00"/>
    <n v="2024"/>
    <s v="Jun"/>
    <s v="Sun"/>
    <s v="CUST-103"/>
    <s v="PROD-015"/>
    <s v="Home Office"/>
    <s v="Central"/>
    <x v="3"/>
    <x v="4"/>
    <n v="16"/>
    <n v="120"/>
    <n v="1920"/>
    <n v="192"/>
    <s v="Large Order"/>
    <s v="Weekend"/>
  </r>
  <r>
    <s v="ORD-1563"/>
    <d v="2024-07-11T00:00:00"/>
    <n v="2024"/>
    <s v="Jul"/>
    <s v="Thu"/>
    <s v="CUST-155"/>
    <s v="PROD-022"/>
    <s v="Consumer"/>
    <s v="North"/>
    <x v="5"/>
    <x v="4"/>
    <n v="13"/>
    <n v="120"/>
    <n v="1560"/>
    <n v="156"/>
    <s v="Large Order"/>
    <s v="Weekday"/>
  </r>
  <r>
    <s v="ORD-1564"/>
    <d v="2024-05-31T00:00:00"/>
    <n v="2024"/>
    <s v="May"/>
    <s v="Fri"/>
    <s v="CUST-131"/>
    <s v="PROD-003"/>
    <s v="Home Office"/>
    <s v="North"/>
    <x v="0"/>
    <x v="2"/>
    <n v="9"/>
    <n v="120"/>
    <n v="1080"/>
    <n v="108"/>
    <s v="Large Order"/>
    <s v="Weekday"/>
  </r>
  <r>
    <s v="ORD-1565"/>
    <d v="2024-07-18T00:00:00"/>
    <n v="2024"/>
    <s v="Jul"/>
    <s v="Thu"/>
    <s v="CUST-140"/>
    <s v="PROD-003"/>
    <s v="Corporate"/>
    <s v="North"/>
    <x v="0"/>
    <x v="1"/>
    <n v="1"/>
    <n v="120"/>
    <n v="120"/>
    <n v="12"/>
    <s v="Standard Order"/>
    <s v="Weekday"/>
  </r>
  <r>
    <s v="ORD-1566"/>
    <d v="2024-07-03T00:00:00"/>
    <n v="2024"/>
    <s v="Jul"/>
    <s v="Wed"/>
    <s v="CUST-197"/>
    <s v="PROD-005"/>
    <s v="Corporate"/>
    <s v="West"/>
    <x v="0"/>
    <x v="1"/>
    <n v="3"/>
    <n v="120"/>
    <n v="360"/>
    <n v="36"/>
    <s v="Standard Order"/>
    <s v="Weekday"/>
  </r>
  <r>
    <s v="ORD-1567"/>
    <d v="2024-10-12T00:00:00"/>
    <n v="2024"/>
    <s v="Oct"/>
    <s v="Sat"/>
    <s v="CUST-171"/>
    <s v="PROD-004"/>
    <s v="Home Office"/>
    <s v="East"/>
    <x v="2"/>
    <x v="4"/>
    <n v="1"/>
    <n v="120"/>
    <n v="120"/>
    <n v="12"/>
    <s v="Standard Order"/>
    <s v="Weekend"/>
  </r>
  <r>
    <s v="ORD-1568"/>
    <d v="2024-02-17T00:00:00"/>
    <n v="2024"/>
    <s v="Feb"/>
    <s v="Sat"/>
    <s v="CUST-176"/>
    <s v="PROD-013"/>
    <s v="Home Office"/>
    <s v="South"/>
    <x v="3"/>
    <x v="1"/>
    <n v="1"/>
    <n v="120"/>
    <n v="120"/>
    <n v="12"/>
    <s v="Standard Order"/>
    <s v="Weekend"/>
  </r>
  <r>
    <s v="ORD-1569"/>
    <d v="2024-02-13T00:00:00"/>
    <n v="2024"/>
    <s v="Feb"/>
    <s v="Tue"/>
    <s v="CUST-192"/>
    <s v="PROD-019"/>
    <s v="Home Office"/>
    <s v="East"/>
    <x v="4"/>
    <x v="1"/>
    <n v="17"/>
    <n v="120"/>
    <n v="2040"/>
    <n v="204"/>
    <s v="Large Order"/>
    <s v="Weekday"/>
  </r>
  <r>
    <s v="ORD-1570"/>
    <d v="2024-03-27T00:00:00"/>
    <n v="2024"/>
    <s v="Mar"/>
    <s v="Wed"/>
    <s v="CUST-117"/>
    <s v="PROD-009"/>
    <s v="Corporate"/>
    <s v="East"/>
    <x v="3"/>
    <x v="2"/>
    <n v="16"/>
    <n v="120"/>
    <n v="1920"/>
    <n v="192"/>
    <s v="Large Order"/>
    <s v="Weekday"/>
  </r>
  <r>
    <s v="ORD-1571"/>
    <d v="2024-08-10T00:00:00"/>
    <n v="2024"/>
    <s v="Aug"/>
    <s v="Sat"/>
    <s v="CUST-135"/>
    <s v="PROD-016"/>
    <s v="Corporate"/>
    <s v="Central"/>
    <x v="3"/>
    <x v="2"/>
    <n v="3"/>
    <n v="120"/>
    <n v="360"/>
    <n v="36"/>
    <s v="Standard Order"/>
    <s v="Weekend"/>
  </r>
  <r>
    <s v="ORD-1572"/>
    <d v="2024-11-16T00:00:00"/>
    <n v="2024"/>
    <s v="Nov"/>
    <s v="Sat"/>
    <s v="CUST-163"/>
    <s v="PROD-007"/>
    <s v="Home Office"/>
    <s v="Central"/>
    <x v="5"/>
    <x v="3"/>
    <n v="15"/>
    <n v="120"/>
    <n v="1800"/>
    <n v="180"/>
    <s v="Large Order"/>
    <s v="Weekend"/>
  </r>
  <r>
    <s v="ORD-1573"/>
    <d v="2024-01-04T00:00:00"/>
    <n v="2024"/>
    <s v="Jan"/>
    <s v="Thu"/>
    <s v="CUST-150"/>
    <s v="PROD-013"/>
    <s v="Corporate"/>
    <s v="East"/>
    <x v="5"/>
    <x v="1"/>
    <n v="11"/>
    <n v="120"/>
    <n v="1320"/>
    <n v="132"/>
    <s v="Large Order"/>
    <s v="Weekday"/>
  </r>
  <r>
    <s v="ORD-1574"/>
    <d v="2024-11-29T00:00:00"/>
    <n v="2024"/>
    <s v="Nov"/>
    <s v="Fri"/>
    <s v="CUST-176"/>
    <s v="PROD-011"/>
    <s v="Consumer"/>
    <s v="West"/>
    <x v="3"/>
    <x v="2"/>
    <n v="20"/>
    <n v="120"/>
    <n v="2400"/>
    <n v="240"/>
    <s v="Large Order"/>
    <s v="Weekday"/>
  </r>
  <r>
    <s v="ORD-1575"/>
    <d v="2024-09-02T00:00:00"/>
    <n v="2024"/>
    <s v="Sep"/>
    <s v="Mon"/>
    <s v="CUST-140"/>
    <s v="PROD-011"/>
    <s v="Consumer"/>
    <s v="East"/>
    <x v="2"/>
    <x v="1"/>
    <n v="10"/>
    <n v="120"/>
    <n v="1200"/>
    <n v="120"/>
    <s v="Large Order"/>
    <s v="Weekday"/>
  </r>
  <r>
    <s v="ORD-1576"/>
    <d v="2024-10-21T00:00:00"/>
    <n v="2024"/>
    <s v="Oct"/>
    <s v="Mon"/>
    <s v="CUST-200"/>
    <s v="PROD-013"/>
    <s v="Consumer"/>
    <s v="South"/>
    <x v="3"/>
    <x v="1"/>
    <n v="9"/>
    <n v="120"/>
    <n v="1080"/>
    <n v="108"/>
    <s v="Large Order"/>
    <s v="Weekday"/>
  </r>
  <r>
    <s v="ORD-1577"/>
    <d v="2024-07-05T00:00:00"/>
    <n v="2024"/>
    <s v="Jul"/>
    <s v="Fri"/>
    <s v="CUST-114"/>
    <s v="PROD-019"/>
    <s v="Home Office"/>
    <s v="South"/>
    <x v="4"/>
    <x v="4"/>
    <n v="18"/>
    <n v="120"/>
    <n v="2160"/>
    <n v="216"/>
    <s v="Large Order"/>
    <s v="Weekday"/>
  </r>
  <r>
    <s v="ORD-1578"/>
    <d v="2024-01-14T00:00:00"/>
    <n v="2024"/>
    <s v="Jan"/>
    <s v="Sun"/>
    <s v="CUST-193"/>
    <s v="PROD-015"/>
    <s v="Corporate"/>
    <s v="South"/>
    <x v="4"/>
    <x v="0"/>
    <n v="10"/>
    <n v="120"/>
    <n v="1200"/>
    <n v="120"/>
    <s v="Large Order"/>
    <s v="Weekend"/>
  </r>
  <r>
    <s v="ORD-1579"/>
    <d v="2024-07-28T00:00:00"/>
    <n v="2024"/>
    <s v="Jul"/>
    <s v="Sun"/>
    <s v="CUST-186"/>
    <s v="PROD-021"/>
    <s v="Corporate"/>
    <s v="West"/>
    <x v="4"/>
    <x v="2"/>
    <n v="10"/>
    <n v="120"/>
    <n v="1200"/>
    <n v="120"/>
    <s v="Large Order"/>
    <s v="Weekend"/>
  </r>
  <r>
    <s v="ORD-1580"/>
    <d v="2024-08-04T00:00:00"/>
    <n v="2024"/>
    <s v="Aug"/>
    <s v="Sun"/>
    <s v="CUST-148"/>
    <s v="PROD-020"/>
    <s v="Consumer"/>
    <s v="Central"/>
    <x v="2"/>
    <x v="4"/>
    <n v="16"/>
    <n v="120"/>
    <n v="1920"/>
    <n v="192"/>
    <s v="Large Order"/>
    <s v="Weekend"/>
  </r>
  <r>
    <s v="ORD-1581"/>
    <d v="2024-09-16T00:00:00"/>
    <n v="2024"/>
    <s v="Sep"/>
    <s v="Mon"/>
    <s v="CUST-188"/>
    <s v="PROD-002"/>
    <s v="Corporate"/>
    <s v="North"/>
    <x v="5"/>
    <x v="4"/>
    <n v="12"/>
    <n v="120"/>
    <n v="1440"/>
    <n v="144"/>
    <s v="Large Order"/>
    <s v="Weekday"/>
  </r>
  <r>
    <s v="ORD-1582"/>
    <d v="2024-10-31T00:00:00"/>
    <n v="2024"/>
    <s v="Oct"/>
    <s v="Thu"/>
    <s v="CUST-181"/>
    <s v="PROD-025"/>
    <s v="Consumer"/>
    <s v="North"/>
    <x v="0"/>
    <x v="3"/>
    <n v="8"/>
    <n v="120"/>
    <n v="960"/>
    <n v="96"/>
    <s v="Large Order"/>
    <s v="Weekday"/>
  </r>
  <r>
    <s v="ORD-1583"/>
    <d v="2024-03-26T00:00:00"/>
    <n v="2024"/>
    <s v="Mar"/>
    <s v="Tue"/>
    <s v="CUST-182"/>
    <s v="PROD-019"/>
    <s v="Home Office"/>
    <s v="North"/>
    <x v="0"/>
    <x v="3"/>
    <n v="13"/>
    <n v="120"/>
    <n v="1560"/>
    <n v="156"/>
    <s v="Large Order"/>
    <s v="Weekday"/>
  </r>
  <r>
    <s v="ORD-1584"/>
    <d v="2024-08-08T00:00:00"/>
    <n v="2024"/>
    <s v="Aug"/>
    <s v="Thu"/>
    <s v="CUST-113"/>
    <s v="PROD-009"/>
    <s v="Consumer"/>
    <s v="Central"/>
    <x v="0"/>
    <x v="4"/>
    <n v="8"/>
    <n v="120"/>
    <n v="960"/>
    <n v="96"/>
    <s v="Large Order"/>
    <s v="Weekday"/>
  </r>
  <r>
    <s v="ORD-1585"/>
    <d v="2024-10-12T00:00:00"/>
    <n v="2024"/>
    <s v="Oct"/>
    <s v="Sat"/>
    <s v="CUST-174"/>
    <s v="PROD-008"/>
    <s v="Home Office"/>
    <s v="Central"/>
    <x v="5"/>
    <x v="1"/>
    <n v="15"/>
    <n v="120"/>
    <n v="1800"/>
    <n v="180"/>
    <s v="Large Order"/>
    <s v="Weekend"/>
  </r>
  <r>
    <s v="ORD-1586"/>
    <d v="2024-12-13T00:00:00"/>
    <n v="2024"/>
    <s v="Dec"/>
    <s v="Fri"/>
    <s v="CUST-175"/>
    <s v="PROD-005"/>
    <s v="Home Office"/>
    <s v="North"/>
    <x v="5"/>
    <x v="1"/>
    <n v="12"/>
    <n v="120"/>
    <n v="1440"/>
    <n v="144"/>
    <s v="Large Order"/>
    <s v="Weekday"/>
  </r>
  <r>
    <s v="ORD-1587"/>
    <d v="2024-02-23T00:00:00"/>
    <n v="2024"/>
    <s v="Feb"/>
    <s v="Fri"/>
    <s v="CUST-137"/>
    <s v="PROD-004"/>
    <s v="Corporate"/>
    <s v="Central"/>
    <x v="0"/>
    <x v="3"/>
    <n v="5"/>
    <n v="120"/>
    <n v="600"/>
    <n v="60"/>
    <s v="Large Order"/>
    <s v="Weekday"/>
  </r>
  <r>
    <s v="ORD-1588"/>
    <d v="2024-08-21T00:00:00"/>
    <n v="2024"/>
    <s v="Aug"/>
    <s v="Wed"/>
    <s v="CUST-200"/>
    <s v="PROD-016"/>
    <s v="Consumer"/>
    <s v="North"/>
    <x v="5"/>
    <x v="1"/>
    <n v="12"/>
    <n v="120"/>
    <n v="1440"/>
    <n v="144"/>
    <s v="Large Order"/>
    <s v="Weekday"/>
  </r>
  <r>
    <s v="ORD-1589"/>
    <d v="2024-12-22T00:00:00"/>
    <n v="2024"/>
    <s v="Dec"/>
    <s v="Sun"/>
    <s v="CUST-157"/>
    <s v="PROD-010"/>
    <s v="Corporate"/>
    <s v="North"/>
    <x v="0"/>
    <x v="0"/>
    <n v="2"/>
    <n v="120"/>
    <n v="240"/>
    <n v="24"/>
    <s v="Standard Order"/>
    <s v="Weekend"/>
  </r>
  <r>
    <s v="ORD-1590"/>
    <d v="2024-01-12T00:00:00"/>
    <n v="2024"/>
    <s v="Jan"/>
    <s v="Fri"/>
    <s v="CUST-143"/>
    <s v="PROD-022"/>
    <s v="Home Office"/>
    <s v="South"/>
    <x v="0"/>
    <x v="2"/>
    <n v="6"/>
    <n v="120"/>
    <n v="720"/>
    <n v="72"/>
    <s v="Large Order"/>
    <s v="Weekday"/>
  </r>
  <r>
    <s v="ORD-1591"/>
    <d v="2024-09-21T00:00:00"/>
    <n v="2024"/>
    <s v="Sep"/>
    <s v="Sat"/>
    <s v="CUST-122"/>
    <s v="PROD-011"/>
    <s v="Home Office"/>
    <s v="South"/>
    <x v="4"/>
    <x v="1"/>
    <n v="18"/>
    <n v="120"/>
    <n v="2160"/>
    <n v="216"/>
    <s v="Large Order"/>
    <s v="Weekend"/>
  </r>
  <r>
    <s v="ORD-1592"/>
    <d v="2024-04-28T00:00:00"/>
    <n v="2024"/>
    <s v="Apr"/>
    <s v="Sun"/>
    <s v="CUST-151"/>
    <s v="PROD-006"/>
    <s v="Home Office"/>
    <s v="West"/>
    <x v="4"/>
    <x v="4"/>
    <n v="14"/>
    <n v="120"/>
    <n v="1680"/>
    <n v="168"/>
    <s v="Large Order"/>
    <s v="Weekend"/>
  </r>
  <r>
    <s v="ORD-1593"/>
    <d v="2024-04-11T00:00:00"/>
    <n v="2024"/>
    <s v="Apr"/>
    <s v="Thu"/>
    <s v="CUST-157"/>
    <s v="PROD-013"/>
    <s v="Home Office"/>
    <s v="North"/>
    <x v="2"/>
    <x v="2"/>
    <n v="1"/>
    <n v="120"/>
    <n v="120"/>
    <n v="12"/>
    <s v="Standard Order"/>
    <s v="Weekday"/>
  </r>
  <r>
    <s v="ORD-1594"/>
    <d v="2024-05-22T00:00:00"/>
    <n v="2024"/>
    <s v="May"/>
    <s v="Wed"/>
    <s v="CUST-196"/>
    <s v="PROD-019"/>
    <s v="Home Office"/>
    <s v="South"/>
    <x v="0"/>
    <x v="4"/>
    <n v="4"/>
    <n v="120"/>
    <n v="480"/>
    <n v="48"/>
    <s v="Standard Order"/>
    <s v="Weekday"/>
  </r>
  <r>
    <s v="ORD-1595"/>
    <d v="2024-04-05T00:00:00"/>
    <n v="2024"/>
    <s v="Apr"/>
    <s v="Fri"/>
    <s v="CUST-146"/>
    <s v="PROD-015"/>
    <s v="Corporate"/>
    <s v="Central"/>
    <x v="4"/>
    <x v="1"/>
    <n v="4"/>
    <n v="120"/>
    <n v="480"/>
    <n v="48"/>
    <s v="Standard Order"/>
    <s v="Weekday"/>
  </r>
  <r>
    <s v="ORD-1596"/>
    <d v="2024-09-27T00:00:00"/>
    <n v="2024"/>
    <s v="Sep"/>
    <s v="Fri"/>
    <s v="CUST-181"/>
    <s v="PROD-013"/>
    <s v="Corporate"/>
    <s v="Central"/>
    <x v="5"/>
    <x v="0"/>
    <n v="20"/>
    <n v="120"/>
    <n v="2400"/>
    <n v="240"/>
    <s v="Large Order"/>
    <s v="Weekday"/>
  </r>
  <r>
    <s v="ORD-1597"/>
    <d v="2024-06-27T00:00:00"/>
    <n v="2024"/>
    <s v="Jun"/>
    <s v="Thu"/>
    <s v="CUST-145"/>
    <s v="PROD-006"/>
    <s v="Corporate"/>
    <s v="East"/>
    <x v="5"/>
    <x v="4"/>
    <n v="10"/>
    <n v="120"/>
    <n v="1200"/>
    <n v="120"/>
    <s v="Large Order"/>
    <s v="Weekday"/>
  </r>
  <r>
    <s v="ORD-1598"/>
    <d v="2024-02-13T00:00:00"/>
    <n v="2024"/>
    <s v="Feb"/>
    <s v="Tue"/>
    <s v="CUST-186"/>
    <s v="PROD-004"/>
    <s v="Consumer"/>
    <s v="Central"/>
    <x v="3"/>
    <x v="2"/>
    <n v="8"/>
    <n v="120"/>
    <n v="960"/>
    <n v="96"/>
    <s v="Large Order"/>
    <s v="Weekday"/>
  </r>
  <r>
    <s v="ORD-1599"/>
    <d v="2024-07-10T00:00:00"/>
    <n v="2024"/>
    <s v="Jul"/>
    <s v="Wed"/>
    <s v="CUST-188"/>
    <s v="PROD-013"/>
    <s v="Consumer"/>
    <s v="West"/>
    <x v="5"/>
    <x v="4"/>
    <n v="14"/>
    <n v="120"/>
    <n v="1680"/>
    <n v="168"/>
    <s v="Large Order"/>
    <s v="Weekday"/>
  </r>
  <r>
    <s v="ORD-1600"/>
    <d v="2024-07-15T00:00:00"/>
    <n v="2024"/>
    <s v="Jul"/>
    <s v="Mon"/>
    <s v="CUST-154"/>
    <s v="PROD-021"/>
    <s v="Consumer"/>
    <s v="East"/>
    <x v="2"/>
    <x v="2"/>
    <n v="18"/>
    <n v="120"/>
    <n v="2160"/>
    <n v="216"/>
    <s v="Large Order"/>
    <s v="Weekday"/>
  </r>
  <r>
    <s v="ORD-1601"/>
    <d v="2024-10-11T00:00:00"/>
    <n v="2024"/>
    <s v="Oct"/>
    <s v="Fri"/>
    <s v="CUST-121"/>
    <s v="PROD-005"/>
    <s v="Corporate"/>
    <s v="North"/>
    <x v="3"/>
    <x v="1"/>
    <n v="6"/>
    <n v="120"/>
    <n v="720"/>
    <n v="72"/>
    <s v="Large Order"/>
    <s v="Weekday"/>
  </r>
  <r>
    <s v="ORD-1602"/>
    <d v="2024-11-13T00:00:00"/>
    <n v="2024"/>
    <s v="Nov"/>
    <s v="Wed"/>
    <s v="CUST-106"/>
    <s v="PROD-016"/>
    <s v="Corporate"/>
    <s v="West"/>
    <x v="0"/>
    <x v="1"/>
    <n v="5"/>
    <n v="120"/>
    <n v="600"/>
    <n v="60"/>
    <s v="Large Order"/>
    <s v="Weekday"/>
  </r>
  <r>
    <s v="ORD-1603"/>
    <d v="2024-10-14T00:00:00"/>
    <n v="2024"/>
    <s v="Oct"/>
    <s v="Mon"/>
    <s v="CUST-164"/>
    <s v="PROD-014"/>
    <s v="Home Office"/>
    <s v="Central"/>
    <x v="2"/>
    <x v="1"/>
    <n v="16"/>
    <n v="120"/>
    <n v="1920"/>
    <n v="192"/>
    <s v="Large Order"/>
    <s v="Weekday"/>
  </r>
  <r>
    <s v="ORD-1604"/>
    <d v="2024-09-07T00:00:00"/>
    <n v="2024"/>
    <s v="Sep"/>
    <s v="Sat"/>
    <s v="CUST-121"/>
    <s v="PROD-001"/>
    <s v="Consumer"/>
    <s v="South"/>
    <x v="5"/>
    <x v="3"/>
    <n v="8"/>
    <n v="120"/>
    <n v="960"/>
    <n v="96"/>
    <s v="Large Order"/>
    <s v="Weekend"/>
  </r>
  <r>
    <s v="ORD-1605"/>
    <d v="2024-04-25T00:00:00"/>
    <n v="2024"/>
    <s v="Apr"/>
    <s v="Thu"/>
    <s v="CUST-168"/>
    <s v="PROD-025"/>
    <s v="Corporate"/>
    <s v="Central"/>
    <x v="4"/>
    <x v="1"/>
    <n v="15"/>
    <n v="120"/>
    <n v="1800"/>
    <n v="180"/>
    <s v="Large Order"/>
    <s v="Weekday"/>
  </r>
  <r>
    <s v="ORD-1606"/>
    <d v="2024-10-08T00:00:00"/>
    <n v="2024"/>
    <s v="Oct"/>
    <s v="Tue"/>
    <s v="CUST-165"/>
    <s v="PROD-004"/>
    <s v="Consumer"/>
    <s v="West"/>
    <x v="5"/>
    <x v="3"/>
    <n v="9"/>
    <n v="120"/>
    <n v="1080"/>
    <n v="108"/>
    <s v="Large Order"/>
    <s v="Weekday"/>
  </r>
  <r>
    <s v="ORD-1607"/>
    <d v="2024-10-04T00:00:00"/>
    <n v="2024"/>
    <s v="Oct"/>
    <s v="Fri"/>
    <s v="CUST-196"/>
    <s v="PROD-018"/>
    <s v="Consumer"/>
    <s v="East"/>
    <x v="2"/>
    <x v="0"/>
    <n v="7"/>
    <n v="120"/>
    <n v="840"/>
    <n v="84"/>
    <s v="Large Order"/>
    <s v="Weekday"/>
  </r>
  <r>
    <s v="ORD-1608"/>
    <d v="2024-11-30T00:00:00"/>
    <n v="2024"/>
    <s v="Nov"/>
    <s v="Sat"/>
    <s v="CUST-196"/>
    <s v="PROD-002"/>
    <s v="Consumer"/>
    <s v="South"/>
    <x v="3"/>
    <x v="0"/>
    <n v="15"/>
    <n v="120"/>
    <n v="1800"/>
    <n v="180"/>
    <s v="Large Order"/>
    <s v="Weekend"/>
  </r>
  <r>
    <s v="ORD-1609"/>
    <d v="2024-08-12T00:00:00"/>
    <n v="2024"/>
    <s v="Aug"/>
    <s v="Mon"/>
    <s v="CUST-115"/>
    <s v="PROD-024"/>
    <s v="Consumer"/>
    <s v="Central"/>
    <x v="4"/>
    <x v="4"/>
    <n v="19"/>
    <n v="120"/>
    <n v="2280"/>
    <n v="228"/>
    <s v="Large Order"/>
    <s v="Weekday"/>
  </r>
  <r>
    <s v="ORD-1610"/>
    <d v="2024-11-19T00:00:00"/>
    <n v="2024"/>
    <s v="Nov"/>
    <s v="Tue"/>
    <s v="CUST-154"/>
    <s v="PROD-005"/>
    <s v="Consumer"/>
    <s v="East"/>
    <x v="5"/>
    <x v="0"/>
    <n v="7"/>
    <n v="120"/>
    <n v="840"/>
    <n v="84"/>
    <s v="Large Order"/>
    <s v="Weekday"/>
  </r>
  <r>
    <s v="ORD-1611"/>
    <d v="2024-10-18T00:00:00"/>
    <n v="2024"/>
    <s v="Oct"/>
    <s v="Fri"/>
    <s v="CUST-144"/>
    <s v="PROD-020"/>
    <s v="Home Office"/>
    <s v="Central"/>
    <x v="3"/>
    <x v="3"/>
    <n v="18"/>
    <n v="120"/>
    <n v="2160"/>
    <n v="216"/>
    <s v="Large Order"/>
    <s v="Weekday"/>
  </r>
  <r>
    <s v="ORD-1612"/>
    <d v="2024-05-28T00:00:00"/>
    <n v="2024"/>
    <s v="May"/>
    <s v="Tue"/>
    <s v="CUST-173"/>
    <s v="PROD-022"/>
    <s v="Corporate"/>
    <s v="South"/>
    <x v="5"/>
    <x v="1"/>
    <n v="4"/>
    <n v="120"/>
    <n v="480"/>
    <n v="48"/>
    <s v="Standard Order"/>
    <s v="Weekday"/>
  </r>
  <r>
    <s v="ORD-1613"/>
    <d v="2024-01-31T00:00:00"/>
    <n v="2024"/>
    <s v="Jan"/>
    <s v="Wed"/>
    <s v="CUST-135"/>
    <s v="PROD-023"/>
    <s v="Home Office"/>
    <s v="West"/>
    <x v="4"/>
    <x v="3"/>
    <n v="5"/>
    <n v="120"/>
    <n v="600"/>
    <n v="60"/>
    <s v="Large Order"/>
    <s v="Weekday"/>
  </r>
  <r>
    <s v="ORD-1614"/>
    <d v="2024-05-06T00:00:00"/>
    <n v="2024"/>
    <s v="May"/>
    <s v="Mon"/>
    <s v="CUST-197"/>
    <s v="PROD-016"/>
    <s v="Home Office"/>
    <s v="West"/>
    <x v="2"/>
    <x v="3"/>
    <n v="5"/>
    <n v="120"/>
    <n v="600"/>
    <n v="60"/>
    <s v="Large Order"/>
    <s v="Weekday"/>
  </r>
  <r>
    <s v="ORD-1615"/>
    <d v="2024-11-17T00:00:00"/>
    <n v="2024"/>
    <s v="Nov"/>
    <s v="Sun"/>
    <s v="CUST-153"/>
    <s v="PROD-003"/>
    <s v="Corporate"/>
    <s v="West"/>
    <x v="2"/>
    <x v="3"/>
    <n v="3"/>
    <n v="120"/>
    <n v="360"/>
    <n v="36"/>
    <s v="Standard Order"/>
    <s v="Weekend"/>
  </r>
  <r>
    <s v="ORD-1616"/>
    <d v="2024-12-21T00:00:00"/>
    <n v="2024"/>
    <s v="Dec"/>
    <s v="Sat"/>
    <s v="CUST-147"/>
    <s v="PROD-011"/>
    <s v="Corporate"/>
    <s v="East"/>
    <x v="2"/>
    <x v="0"/>
    <n v="19"/>
    <n v="120"/>
    <n v="2280"/>
    <n v="228"/>
    <s v="Large Order"/>
    <s v="Weekend"/>
  </r>
  <r>
    <s v="ORD-1617"/>
    <d v="2024-08-22T00:00:00"/>
    <n v="2024"/>
    <s v="Aug"/>
    <s v="Thu"/>
    <s v="CUST-181"/>
    <s v="PROD-003"/>
    <s v="Home Office"/>
    <s v="East"/>
    <x v="3"/>
    <x v="1"/>
    <n v="18"/>
    <n v="120"/>
    <n v="2160"/>
    <n v="216"/>
    <s v="Large Order"/>
    <s v="Weekday"/>
  </r>
  <r>
    <s v="ORD-1618"/>
    <d v="2024-04-18T00:00:00"/>
    <n v="2024"/>
    <s v="Apr"/>
    <s v="Thu"/>
    <s v="CUST-163"/>
    <s v="PROD-010"/>
    <s v="Corporate"/>
    <s v="North"/>
    <x v="3"/>
    <x v="2"/>
    <n v="11"/>
    <n v="120"/>
    <n v="1320"/>
    <n v="132"/>
    <s v="Large Order"/>
    <s v="Weekday"/>
  </r>
  <r>
    <s v="ORD-1619"/>
    <d v="2024-10-16T00:00:00"/>
    <n v="2024"/>
    <s v="Oct"/>
    <s v="Wed"/>
    <s v="CUST-162"/>
    <s v="PROD-002"/>
    <s v="Corporate"/>
    <s v="West"/>
    <x v="0"/>
    <x v="1"/>
    <n v="4"/>
    <n v="120"/>
    <n v="480"/>
    <n v="48"/>
    <s v="Standard Order"/>
    <s v="Weekday"/>
  </r>
  <r>
    <s v="ORD-1620"/>
    <d v="2024-01-09T00:00:00"/>
    <n v="2024"/>
    <s v="Jan"/>
    <s v="Tue"/>
    <s v="CUST-115"/>
    <s v="PROD-015"/>
    <s v="Consumer"/>
    <s v="East"/>
    <x v="2"/>
    <x v="1"/>
    <n v="1"/>
    <n v="120"/>
    <n v="120"/>
    <n v="12"/>
    <s v="Standard Order"/>
    <s v="Weekday"/>
  </r>
  <r>
    <s v="ORD-1621"/>
    <d v="2024-04-13T00:00:00"/>
    <n v="2024"/>
    <s v="Apr"/>
    <s v="Sat"/>
    <s v="CUST-188"/>
    <s v="PROD-006"/>
    <s v="Consumer"/>
    <s v="South"/>
    <x v="3"/>
    <x v="3"/>
    <n v="9"/>
    <n v="120"/>
    <n v="1080"/>
    <n v="108"/>
    <s v="Large Order"/>
    <s v="Weekend"/>
  </r>
  <r>
    <s v="ORD-1622"/>
    <d v="2024-05-08T00:00:00"/>
    <n v="2024"/>
    <s v="May"/>
    <s v="Wed"/>
    <s v="CUST-110"/>
    <s v="PROD-002"/>
    <s v="Corporate"/>
    <s v="North"/>
    <x v="4"/>
    <x v="2"/>
    <n v="13"/>
    <n v="120"/>
    <n v="1560"/>
    <n v="156"/>
    <s v="Large Order"/>
    <s v="Weekday"/>
  </r>
  <r>
    <s v="ORD-1623"/>
    <d v="2024-08-07T00:00:00"/>
    <n v="2024"/>
    <s v="Aug"/>
    <s v="Wed"/>
    <s v="CUST-183"/>
    <s v="PROD-001"/>
    <s v="Consumer"/>
    <s v="West"/>
    <x v="0"/>
    <x v="2"/>
    <n v="7"/>
    <n v="120"/>
    <n v="840"/>
    <n v="84"/>
    <s v="Large Order"/>
    <s v="Weekday"/>
  </r>
  <r>
    <s v="ORD-1624"/>
    <d v="2024-10-30T00:00:00"/>
    <n v="2024"/>
    <s v="Oct"/>
    <s v="Wed"/>
    <s v="CUST-128"/>
    <s v="PROD-001"/>
    <s v="Home Office"/>
    <s v="West"/>
    <x v="2"/>
    <x v="0"/>
    <n v="1"/>
    <n v="120"/>
    <n v="120"/>
    <n v="12"/>
    <s v="Standard Order"/>
    <s v="Weekday"/>
  </r>
  <r>
    <s v="ORD-1625"/>
    <d v="2024-08-04T00:00:00"/>
    <n v="2024"/>
    <s v="Aug"/>
    <s v="Sun"/>
    <s v="CUST-188"/>
    <s v="PROD-003"/>
    <s v="Consumer"/>
    <s v="East"/>
    <x v="2"/>
    <x v="0"/>
    <n v="8"/>
    <n v="120"/>
    <n v="960"/>
    <n v="96"/>
    <s v="Large Order"/>
    <s v="Weekend"/>
  </r>
  <r>
    <s v="ORD-1626"/>
    <d v="2024-02-22T00:00:00"/>
    <n v="2024"/>
    <s v="Feb"/>
    <s v="Thu"/>
    <s v="CUST-140"/>
    <s v="PROD-005"/>
    <s v="Corporate"/>
    <s v="North"/>
    <x v="3"/>
    <x v="2"/>
    <n v="13"/>
    <n v="120"/>
    <n v="1560"/>
    <n v="156"/>
    <s v="Large Order"/>
    <s v="Weekday"/>
  </r>
  <r>
    <s v="ORD-1627"/>
    <d v="2024-11-24T00:00:00"/>
    <n v="2024"/>
    <s v="Nov"/>
    <s v="Sun"/>
    <s v="CUST-186"/>
    <s v="PROD-017"/>
    <s v="Consumer"/>
    <s v="South"/>
    <x v="0"/>
    <x v="2"/>
    <n v="19"/>
    <n v="120"/>
    <n v="2280"/>
    <n v="228"/>
    <s v="Large Order"/>
    <s v="Weekend"/>
  </r>
  <r>
    <s v="ORD-1628"/>
    <d v="2024-08-13T00:00:00"/>
    <n v="2024"/>
    <s v="Aug"/>
    <s v="Tue"/>
    <s v="CUST-144"/>
    <s v="PROD-021"/>
    <s v="Home Office"/>
    <s v="North"/>
    <x v="4"/>
    <x v="4"/>
    <n v="5"/>
    <n v="120"/>
    <n v="600"/>
    <n v="60"/>
    <s v="Large Order"/>
    <s v="Weekday"/>
  </r>
  <r>
    <s v="ORD-1629"/>
    <d v="2024-12-17T00:00:00"/>
    <n v="2024"/>
    <s v="Dec"/>
    <s v="Tue"/>
    <s v="CUST-156"/>
    <s v="PROD-004"/>
    <s v="Consumer"/>
    <s v="East"/>
    <x v="0"/>
    <x v="4"/>
    <n v="5"/>
    <n v="120"/>
    <n v="600"/>
    <n v="60"/>
    <s v="Large Order"/>
    <s v="Weekday"/>
  </r>
  <r>
    <s v="ORD-1630"/>
    <d v="2024-07-15T00:00:00"/>
    <n v="2024"/>
    <s v="Jul"/>
    <s v="Mon"/>
    <s v="CUST-144"/>
    <s v="PROD-005"/>
    <s v="Corporate"/>
    <s v="Central"/>
    <x v="3"/>
    <x v="0"/>
    <n v="8"/>
    <n v="120"/>
    <n v="960"/>
    <n v="96"/>
    <s v="Large Order"/>
    <s v="Weekday"/>
  </r>
  <r>
    <s v="ORD-1631"/>
    <d v="2024-05-07T00:00:00"/>
    <n v="2024"/>
    <s v="May"/>
    <s v="Tue"/>
    <s v="CUST-170"/>
    <s v="PROD-024"/>
    <s v="Home Office"/>
    <s v="Central"/>
    <x v="5"/>
    <x v="0"/>
    <n v="20"/>
    <n v="120"/>
    <n v="2400"/>
    <n v="240"/>
    <s v="Large Order"/>
    <s v="Weekday"/>
  </r>
  <r>
    <s v="ORD-1632"/>
    <d v="2024-12-03T00:00:00"/>
    <n v="2024"/>
    <s v="Dec"/>
    <s v="Tue"/>
    <s v="CUST-138"/>
    <s v="PROD-020"/>
    <s v="Consumer"/>
    <s v="South"/>
    <x v="5"/>
    <x v="1"/>
    <n v="17"/>
    <n v="120"/>
    <n v="2040"/>
    <n v="204"/>
    <s v="Large Order"/>
    <s v="Weekday"/>
  </r>
  <r>
    <s v="ORD-1633"/>
    <d v="2024-05-31T00:00:00"/>
    <n v="2024"/>
    <s v="May"/>
    <s v="Fri"/>
    <s v="CUST-182"/>
    <s v="PROD-016"/>
    <s v="Consumer"/>
    <s v="Central"/>
    <x v="4"/>
    <x v="1"/>
    <n v="13"/>
    <n v="120"/>
    <n v="1560"/>
    <n v="156"/>
    <s v="Large Order"/>
    <s v="Weekday"/>
  </r>
  <r>
    <s v="ORD-1634"/>
    <d v="2024-11-22T00:00:00"/>
    <n v="2024"/>
    <s v="Nov"/>
    <s v="Fri"/>
    <s v="CUST-176"/>
    <s v="PROD-001"/>
    <s v="Consumer"/>
    <s v="East"/>
    <x v="5"/>
    <x v="2"/>
    <n v="12"/>
    <n v="120"/>
    <n v="1440"/>
    <n v="144"/>
    <s v="Large Order"/>
    <s v="Weekday"/>
  </r>
  <r>
    <s v="ORD-1635"/>
    <d v="2024-07-17T00:00:00"/>
    <n v="2024"/>
    <s v="Jul"/>
    <s v="Wed"/>
    <s v="CUST-172"/>
    <s v="PROD-018"/>
    <s v="Corporate"/>
    <s v="North"/>
    <x v="3"/>
    <x v="0"/>
    <n v="6"/>
    <n v="120"/>
    <n v="720"/>
    <n v="72"/>
    <s v="Large Order"/>
    <s v="Weekday"/>
  </r>
  <r>
    <s v="ORD-1636"/>
    <d v="2024-01-09T00:00:00"/>
    <n v="2024"/>
    <s v="Jan"/>
    <s v="Tue"/>
    <s v="CUST-175"/>
    <s v="PROD-009"/>
    <s v="Consumer"/>
    <s v="Central"/>
    <x v="0"/>
    <x v="0"/>
    <n v="7"/>
    <n v="120"/>
    <n v="840"/>
    <n v="84"/>
    <s v="Large Order"/>
    <s v="Weekday"/>
  </r>
  <r>
    <s v="ORD-1637"/>
    <d v="2024-07-22T00:00:00"/>
    <n v="2024"/>
    <s v="Jul"/>
    <s v="Mon"/>
    <s v="CUST-164"/>
    <s v="PROD-025"/>
    <s v="Corporate"/>
    <s v="Central"/>
    <x v="5"/>
    <x v="1"/>
    <n v="14"/>
    <n v="120"/>
    <n v="1680"/>
    <n v="168"/>
    <s v="Large Order"/>
    <s v="Weekday"/>
  </r>
  <r>
    <s v="ORD-1638"/>
    <d v="2024-02-12T00:00:00"/>
    <n v="2024"/>
    <s v="Feb"/>
    <s v="Mon"/>
    <s v="CUST-181"/>
    <s v="PROD-020"/>
    <s v="Home Office"/>
    <s v="South"/>
    <x v="5"/>
    <x v="3"/>
    <n v="5"/>
    <n v="120"/>
    <n v="600"/>
    <n v="60"/>
    <s v="Large Order"/>
    <s v="Weekday"/>
  </r>
  <r>
    <s v="ORD-1639"/>
    <d v="2024-02-10T00:00:00"/>
    <n v="2024"/>
    <s v="Feb"/>
    <s v="Sat"/>
    <s v="CUST-165"/>
    <s v="PROD-018"/>
    <s v="Consumer"/>
    <s v="South"/>
    <x v="4"/>
    <x v="0"/>
    <n v="11"/>
    <n v="120"/>
    <n v="1320"/>
    <n v="132"/>
    <s v="Large Order"/>
    <s v="Weekend"/>
  </r>
  <r>
    <s v="ORD-1640"/>
    <d v="2024-06-07T00:00:00"/>
    <n v="2024"/>
    <s v="Jun"/>
    <s v="Fri"/>
    <s v="CUST-189"/>
    <s v="PROD-002"/>
    <s v="Corporate"/>
    <s v="Central"/>
    <x v="4"/>
    <x v="1"/>
    <n v="8"/>
    <n v="120"/>
    <n v="960"/>
    <n v="96"/>
    <s v="Large Order"/>
    <s v="Weekday"/>
  </r>
  <r>
    <s v="ORD-1641"/>
    <d v="2024-02-29T00:00:00"/>
    <n v="2024"/>
    <s v="Feb"/>
    <s v="Thu"/>
    <s v="CUST-158"/>
    <s v="PROD-002"/>
    <s v="Home Office"/>
    <s v="South"/>
    <x v="5"/>
    <x v="2"/>
    <n v="10"/>
    <n v="120"/>
    <n v="1200"/>
    <n v="120"/>
    <s v="Large Order"/>
    <s v="Weekday"/>
  </r>
  <r>
    <s v="ORD-1642"/>
    <d v="2024-03-02T00:00:00"/>
    <n v="2024"/>
    <s v="Mar"/>
    <s v="Sat"/>
    <s v="CUST-101"/>
    <s v="PROD-023"/>
    <s v="Home Office"/>
    <s v="East"/>
    <x v="4"/>
    <x v="3"/>
    <n v="1"/>
    <n v="120"/>
    <n v="120"/>
    <n v="12"/>
    <s v="Standard Order"/>
    <s v="Weekend"/>
  </r>
  <r>
    <s v="ORD-1643"/>
    <d v="2024-09-24T00:00:00"/>
    <n v="2024"/>
    <s v="Sep"/>
    <s v="Tue"/>
    <s v="CUST-166"/>
    <s v="PROD-006"/>
    <s v="Home Office"/>
    <s v="East"/>
    <x v="3"/>
    <x v="3"/>
    <n v="12"/>
    <n v="120"/>
    <n v="1440"/>
    <n v="144"/>
    <s v="Large Order"/>
    <s v="Weekday"/>
  </r>
  <r>
    <s v="ORD-1644"/>
    <d v="2024-03-01T00:00:00"/>
    <n v="2024"/>
    <s v="Mar"/>
    <s v="Fri"/>
    <s v="CUST-198"/>
    <s v="PROD-014"/>
    <s v="Consumer"/>
    <s v="North"/>
    <x v="3"/>
    <x v="3"/>
    <n v="9"/>
    <n v="120"/>
    <n v="1080"/>
    <n v="108"/>
    <s v="Large Order"/>
    <s v="Weekday"/>
  </r>
  <r>
    <s v="ORD-1645"/>
    <d v="2024-12-30T00:00:00"/>
    <n v="2024"/>
    <s v="Dec"/>
    <s v="Mon"/>
    <s v="CUST-173"/>
    <s v="PROD-016"/>
    <s v="Home Office"/>
    <s v="East"/>
    <x v="0"/>
    <x v="0"/>
    <n v="15"/>
    <n v="120"/>
    <n v="1800"/>
    <n v="180"/>
    <s v="Large Order"/>
    <s v="Weekday"/>
  </r>
  <r>
    <s v="ORD-1646"/>
    <d v="2024-09-12T00:00:00"/>
    <n v="2024"/>
    <s v="Sep"/>
    <s v="Thu"/>
    <s v="CUST-172"/>
    <s v="PROD-006"/>
    <s v="Consumer"/>
    <s v="South"/>
    <x v="3"/>
    <x v="4"/>
    <n v="9"/>
    <n v="120"/>
    <n v="1080"/>
    <n v="108"/>
    <s v="Large Order"/>
    <s v="Weekday"/>
  </r>
  <r>
    <s v="ORD-1647"/>
    <d v="2024-12-11T00:00:00"/>
    <n v="2024"/>
    <s v="Dec"/>
    <s v="Wed"/>
    <s v="CUST-192"/>
    <s v="PROD-024"/>
    <s v="Consumer"/>
    <s v="East"/>
    <x v="4"/>
    <x v="0"/>
    <n v="17"/>
    <n v="120"/>
    <n v="2040"/>
    <n v="204"/>
    <s v="Large Order"/>
    <s v="Weekday"/>
  </r>
  <r>
    <s v="ORD-1648"/>
    <d v="2024-05-05T00:00:00"/>
    <n v="2024"/>
    <s v="May"/>
    <s v="Sun"/>
    <s v="CUST-105"/>
    <s v="PROD-013"/>
    <s v="Corporate"/>
    <s v="West"/>
    <x v="3"/>
    <x v="0"/>
    <n v="5"/>
    <n v="120"/>
    <n v="600"/>
    <n v="60"/>
    <s v="Large Order"/>
    <s v="Weekend"/>
  </r>
  <r>
    <s v="ORD-1649"/>
    <d v="2024-10-10T00:00:00"/>
    <n v="2024"/>
    <s v="Oct"/>
    <s v="Thu"/>
    <s v="CUST-191"/>
    <s v="PROD-008"/>
    <s v="Home Office"/>
    <s v="East"/>
    <x v="2"/>
    <x v="3"/>
    <n v="11"/>
    <n v="120"/>
    <n v="1320"/>
    <n v="132"/>
    <s v="Large Order"/>
    <s v="Weekday"/>
  </r>
  <r>
    <s v="ORD-1650"/>
    <d v="2024-05-18T00:00:00"/>
    <n v="2024"/>
    <s v="May"/>
    <s v="Sat"/>
    <s v="CUST-109"/>
    <s v="PROD-004"/>
    <s v="Home Office"/>
    <s v="North"/>
    <x v="3"/>
    <x v="0"/>
    <n v="17"/>
    <n v="120"/>
    <n v="2040"/>
    <n v="204"/>
    <s v="Large Order"/>
    <s v="Weekend"/>
  </r>
  <r>
    <s v="ORD-1651"/>
    <d v="2024-04-01T00:00:00"/>
    <n v="2024"/>
    <s v="Apr"/>
    <s v="Mon"/>
    <s v="CUST-128"/>
    <s v="PROD-013"/>
    <s v="Home Office"/>
    <s v="Central"/>
    <x v="0"/>
    <x v="3"/>
    <n v="3"/>
    <n v="120"/>
    <n v="360"/>
    <n v="36"/>
    <s v="Standard Order"/>
    <s v="Weekday"/>
  </r>
  <r>
    <s v="ORD-1652"/>
    <d v="2024-06-08T00:00:00"/>
    <n v="2024"/>
    <s v="Jun"/>
    <s v="Sat"/>
    <s v="CUST-141"/>
    <s v="PROD-015"/>
    <s v="Consumer"/>
    <s v="Central"/>
    <x v="5"/>
    <x v="3"/>
    <n v="1"/>
    <n v="120"/>
    <n v="120"/>
    <n v="12"/>
    <s v="Standard Order"/>
    <s v="Weekend"/>
  </r>
  <r>
    <s v="ORD-1653"/>
    <d v="2024-10-15T00:00:00"/>
    <n v="2024"/>
    <s v="Oct"/>
    <s v="Tue"/>
    <s v="CUST-200"/>
    <s v="PROD-008"/>
    <s v="Corporate"/>
    <s v="South"/>
    <x v="5"/>
    <x v="1"/>
    <n v="15"/>
    <n v="120"/>
    <n v="1800"/>
    <n v="180"/>
    <s v="Large Order"/>
    <s v="Weekday"/>
  </r>
  <r>
    <s v="ORD-1654"/>
    <d v="2024-04-10T00:00:00"/>
    <n v="2024"/>
    <s v="Apr"/>
    <s v="Wed"/>
    <s v="CUST-193"/>
    <s v="PROD-005"/>
    <s v="Home Office"/>
    <s v="North"/>
    <x v="4"/>
    <x v="0"/>
    <n v="1"/>
    <n v="120"/>
    <n v="120"/>
    <n v="12"/>
    <s v="Standard Order"/>
    <s v="Weekday"/>
  </r>
  <r>
    <s v="ORD-1655"/>
    <d v="2024-04-29T00:00:00"/>
    <n v="2024"/>
    <s v="Apr"/>
    <s v="Mon"/>
    <s v="CUST-169"/>
    <s v="PROD-011"/>
    <s v="Corporate"/>
    <s v="Central"/>
    <x v="0"/>
    <x v="1"/>
    <n v="1"/>
    <n v="120"/>
    <n v="120"/>
    <n v="12"/>
    <s v="Standard Order"/>
    <s v="Weekday"/>
  </r>
  <r>
    <s v="ORD-1656"/>
    <d v="2024-06-06T00:00:00"/>
    <n v="2024"/>
    <s v="Jun"/>
    <s v="Thu"/>
    <s v="CUST-113"/>
    <s v="PROD-008"/>
    <s v="Consumer"/>
    <s v="North"/>
    <x v="5"/>
    <x v="0"/>
    <n v="14"/>
    <n v="120"/>
    <n v="1680"/>
    <n v="168"/>
    <s v="Large Order"/>
    <s v="Weekday"/>
  </r>
  <r>
    <s v="ORD-1657"/>
    <d v="2024-03-13T00:00:00"/>
    <n v="2024"/>
    <s v="Mar"/>
    <s v="Wed"/>
    <s v="CUST-191"/>
    <s v="PROD-002"/>
    <s v="Corporate"/>
    <s v="West"/>
    <x v="0"/>
    <x v="4"/>
    <n v="8"/>
    <n v="120"/>
    <n v="960"/>
    <n v="96"/>
    <s v="Large Order"/>
    <s v="Weekday"/>
  </r>
  <r>
    <s v="ORD-1658"/>
    <d v="2024-07-30T00:00:00"/>
    <n v="2024"/>
    <s v="Jul"/>
    <s v="Tue"/>
    <s v="CUST-189"/>
    <s v="PROD-024"/>
    <s v="Corporate"/>
    <s v="North"/>
    <x v="2"/>
    <x v="4"/>
    <n v="3"/>
    <n v="120"/>
    <n v="360"/>
    <n v="36"/>
    <s v="Standard Order"/>
    <s v="Weekday"/>
  </r>
  <r>
    <s v="ORD-1659"/>
    <d v="2024-03-09T00:00:00"/>
    <n v="2024"/>
    <s v="Mar"/>
    <s v="Sat"/>
    <s v="CUST-181"/>
    <s v="PROD-019"/>
    <s v="Corporate"/>
    <s v="East"/>
    <x v="0"/>
    <x v="2"/>
    <n v="19"/>
    <n v="120"/>
    <n v="2280"/>
    <n v="228"/>
    <s v="Large Order"/>
    <s v="Weekend"/>
  </r>
  <r>
    <s v="ORD-1660"/>
    <d v="2024-05-01T00:00:00"/>
    <n v="2024"/>
    <s v="May"/>
    <s v="Wed"/>
    <s v="CUST-137"/>
    <s v="PROD-013"/>
    <s v="Corporate"/>
    <s v="South"/>
    <x v="3"/>
    <x v="3"/>
    <n v="11"/>
    <n v="120"/>
    <n v="1320"/>
    <n v="132"/>
    <s v="Large Order"/>
    <s v="Weekday"/>
  </r>
  <r>
    <s v="ORD-1661"/>
    <d v="2024-04-29T00:00:00"/>
    <n v="2024"/>
    <s v="Apr"/>
    <s v="Mon"/>
    <s v="CUST-109"/>
    <s v="PROD-025"/>
    <s v="Consumer"/>
    <s v="East"/>
    <x v="4"/>
    <x v="0"/>
    <n v="19"/>
    <n v="120"/>
    <n v="2280"/>
    <n v="228"/>
    <s v="Large Order"/>
    <s v="Weekday"/>
  </r>
  <r>
    <s v="ORD-1662"/>
    <d v="2024-03-25T00:00:00"/>
    <n v="2024"/>
    <s v="Mar"/>
    <s v="Mon"/>
    <s v="CUST-157"/>
    <s v="PROD-014"/>
    <s v="Corporate"/>
    <s v="East"/>
    <x v="3"/>
    <x v="2"/>
    <n v="4"/>
    <n v="120"/>
    <n v="480"/>
    <n v="48"/>
    <s v="Standard Order"/>
    <s v="Weekday"/>
  </r>
  <r>
    <s v="ORD-1663"/>
    <d v="2024-08-19T00:00:00"/>
    <n v="2024"/>
    <s v="Aug"/>
    <s v="Mon"/>
    <s v="CUST-139"/>
    <s v="PROD-004"/>
    <s v="Corporate"/>
    <s v="North"/>
    <x v="3"/>
    <x v="3"/>
    <n v="3"/>
    <n v="120"/>
    <n v="360"/>
    <n v="36"/>
    <s v="Standard Order"/>
    <s v="Weekday"/>
  </r>
  <r>
    <s v="ORD-1664"/>
    <d v="2024-12-26T00:00:00"/>
    <n v="2024"/>
    <s v="Dec"/>
    <s v="Thu"/>
    <s v="CUST-189"/>
    <s v="PROD-007"/>
    <s v="Home Office"/>
    <s v="North"/>
    <x v="0"/>
    <x v="2"/>
    <n v="11"/>
    <n v="120"/>
    <n v="1320"/>
    <n v="132"/>
    <s v="Large Order"/>
    <s v="Weekday"/>
  </r>
  <r>
    <s v="ORD-1665"/>
    <d v="2024-07-01T00:00:00"/>
    <n v="2024"/>
    <s v="Jul"/>
    <s v="Mon"/>
    <s v="CUST-150"/>
    <s v="PROD-022"/>
    <s v="Home Office"/>
    <s v="Central"/>
    <x v="0"/>
    <x v="2"/>
    <n v="10"/>
    <n v="120"/>
    <n v="1200"/>
    <n v="120"/>
    <s v="Large Order"/>
    <s v="Weekday"/>
  </r>
  <r>
    <s v="ORD-1666"/>
    <d v="2024-01-16T00:00:00"/>
    <n v="2024"/>
    <s v="Jan"/>
    <s v="Tue"/>
    <s v="CUST-151"/>
    <s v="PROD-024"/>
    <s v="Corporate"/>
    <s v="North"/>
    <x v="5"/>
    <x v="1"/>
    <n v="18"/>
    <n v="120"/>
    <n v="2160"/>
    <n v="216"/>
    <s v="Large Order"/>
    <s v="Weekday"/>
  </r>
  <r>
    <s v="ORD-1667"/>
    <d v="2024-02-22T00:00:00"/>
    <n v="2024"/>
    <s v="Feb"/>
    <s v="Thu"/>
    <s v="CUST-117"/>
    <s v="PROD-002"/>
    <s v="Consumer"/>
    <s v="North"/>
    <x v="0"/>
    <x v="1"/>
    <n v="8"/>
    <n v="120"/>
    <n v="960"/>
    <n v="96"/>
    <s v="Large Order"/>
    <s v="Weekday"/>
  </r>
  <r>
    <s v="ORD-1668"/>
    <d v="2024-07-09T00:00:00"/>
    <n v="2024"/>
    <s v="Jul"/>
    <s v="Tue"/>
    <s v="CUST-187"/>
    <s v="PROD-019"/>
    <s v="Home Office"/>
    <s v="West"/>
    <x v="0"/>
    <x v="0"/>
    <n v="19"/>
    <n v="120"/>
    <n v="2280"/>
    <n v="228"/>
    <s v="Large Order"/>
    <s v="Weekday"/>
  </r>
  <r>
    <s v="ORD-1669"/>
    <d v="2024-01-12T00:00:00"/>
    <n v="2024"/>
    <s v="Jan"/>
    <s v="Fri"/>
    <s v="CUST-108"/>
    <s v="PROD-005"/>
    <s v="Consumer"/>
    <s v="North"/>
    <x v="2"/>
    <x v="3"/>
    <n v="3"/>
    <n v="120"/>
    <n v="360"/>
    <n v="36"/>
    <s v="Standard Order"/>
    <s v="Weekday"/>
  </r>
  <r>
    <s v="ORD-1670"/>
    <d v="2024-03-03T00:00:00"/>
    <n v="2024"/>
    <s v="Mar"/>
    <s v="Sun"/>
    <s v="CUST-105"/>
    <s v="PROD-006"/>
    <s v="Corporate"/>
    <s v="West"/>
    <x v="0"/>
    <x v="1"/>
    <n v="19"/>
    <n v="120"/>
    <n v="2280"/>
    <n v="228"/>
    <s v="Large Order"/>
    <s v="Weekend"/>
  </r>
  <r>
    <s v="ORD-1671"/>
    <d v="2024-09-11T00:00:00"/>
    <n v="2024"/>
    <s v="Sep"/>
    <s v="Wed"/>
    <s v="CUST-103"/>
    <s v="PROD-006"/>
    <s v="Corporate"/>
    <s v="South"/>
    <x v="2"/>
    <x v="2"/>
    <n v="12"/>
    <n v="120"/>
    <n v="1440"/>
    <n v="144"/>
    <s v="Large Order"/>
    <s v="Weekday"/>
  </r>
  <r>
    <s v="ORD-1672"/>
    <d v="2024-05-20T00:00:00"/>
    <n v="2024"/>
    <s v="May"/>
    <s v="Mon"/>
    <s v="CUST-135"/>
    <s v="PROD-002"/>
    <s v="Corporate"/>
    <s v="West"/>
    <x v="4"/>
    <x v="2"/>
    <n v="20"/>
    <n v="120"/>
    <n v="2400"/>
    <n v="240"/>
    <s v="Large Order"/>
    <s v="Weekday"/>
  </r>
  <r>
    <s v="ORD-1673"/>
    <d v="2024-11-27T00:00:00"/>
    <n v="2024"/>
    <s v="Nov"/>
    <s v="Wed"/>
    <s v="CUST-137"/>
    <s v="PROD-018"/>
    <s v="Corporate"/>
    <s v="South"/>
    <x v="2"/>
    <x v="3"/>
    <n v="16"/>
    <n v="120"/>
    <n v="1920"/>
    <n v="192"/>
    <s v="Large Order"/>
    <s v="Weekday"/>
  </r>
  <r>
    <s v="ORD-1674"/>
    <d v="2024-07-15T00:00:00"/>
    <n v="2024"/>
    <s v="Jul"/>
    <s v="Mon"/>
    <s v="CUST-117"/>
    <s v="PROD-021"/>
    <s v="Corporate"/>
    <s v="East"/>
    <x v="4"/>
    <x v="4"/>
    <n v="17"/>
    <n v="120"/>
    <n v="2040"/>
    <n v="204"/>
    <s v="Large Order"/>
    <s v="Weekday"/>
  </r>
  <r>
    <s v="ORD-1675"/>
    <d v="2024-01-10T00:00:00"/>
    <n v="2024"/>
    <s v="Jan"/>
    <s v="Wed"/>
    <s v="CUST-148"/>
    <s v="PROD-016"/>
    <s v="Home Office"/>
    <s v="West"/>
    <x v="3"/>
    <x v="3"/>
    <n v="18"/>
    <n v="120"/>
    <n v="2160"/>
    <n v="216"/>
    <s v="Large Order"/>
    <s v="Weekday"/>
  </r>
  <r>
    <s v="ORD-1676"/>
    <d v="2024-10-16T00:00:00"/>
    <n v="2024"/>
    <s v="Oct"/>
    <s v="Wed"/>
    <s v="CUST-164"/>
    <s v="PROD-009"/>
    <s v="Corporate"/>
    <s v="North"/>
    <x v="2"/>
    <x v="4"/>
    <n v="6"/>
    <n v="120"/>
    <n v="720"/>
    <n v="72"/>
    <s v="Large Order"/>
    <s v="Weekday"/>
  </r>
  <r>
    <s v="ORD-1677"/>
    <d v="2024-04-22T00:00:00"/>
    <n v="2024"/>
    <s v="Apr"/>
    <s v="Mon"/>
    <s v="CUST-103"/>
    <s v="PROD-016"/>
    <s v="Corporate"/>
    <s v="South"/>
    <x v="0"/>
    <x v="4"/>
    <n v="17"/>
    <n v="120"/>
    <n v="2040"/>
    <n v="204"/>
    <s v="Large Order"/>
    <s v="Weekday"/>
  </r>
  <r>
    <s v="ORD-1678"/>
    <d v="2024-04-29T00:00:00"/>
    <n v="2024"/>
    <s v="Apr"/>
    <s v="Mon"/>
    <s v="CUST-120"/>
    <s v="PROD-022"/>
    <s v="Consumer"/>
    <s v="East"/>
    <x v="4"/>
    <x v="0"/>
    <n v="8"/>
    <n v="120"/>
    <n v="960"/>
    <n v="96"/>
    <s v="Large Order"/>
    <s v="Weekday"/>
  </r>
  <r>
    <s v="ORD-1679"/>
    <d v="2024-04-22T00:00:00"/>
    <n v="2024"/>
    <s v="Apr"/>
    <s v="Mon"/>
    <s v="CUST-173"/>
    <s v="PROD-006"/>
    <s v="Corporate"/>
    <s v="North"/>
    <x v="3"/>
    <x v="3"/>
    <n v="6"/>
    <n v="120"/>
    <n v="720"/>
    <n v="72"/>
    <s v="Large Order"/>
    <s v="Weekday"/>
  </r>
  <r>
    <s v="ORD-1680"/>
    <d v="2024-12-23T00:00:00"/>
    <n v="2024"/>
    <s v="Dec"/>
    <s v="Mon"/>
    <s v="CUST-145"/>
    <s v="PROD-023"/>
    <s v="Home Office"/>
    <s v="West"/>
    <x v="0"/>
    <x v="4"/>
    <n v="12"/>
    <n v="120"/>
    <n v="1440"/>
    <n v="144"/>
    <s v="Large Order"/>
    <s v="Weekday"/>
  </r>
  <r>
    <s v="ORD-1681"/>
    <d v="2024-03-13T00:00:00"/>
    <n v="2024"/>
    <s v="Mar"/>
    <s v="Wed"/>
    <s v="CUST-172"/>
    <s v="PROD-018"/>
    <s v="Consumer"/>
    <s v="Central"/>
    <x v="2"/>
    <x v="0"/>
    <n v="10"/>
    <n v="120"/>
    <n v="1200"/>
    <n v="120"/>
    <s v="Large Order"/>
    <s v="Weekday"/>
  </r>
  <r>
    <s v="ORD-1682"/>
    <d v="2024-02-16T00:00:00"/>
    <n v="2024"/>
    <s v="Feb"/>
    <s v="Fri"/>
    <s v="CUST-107"/>
    <s v="PROD-008"/>
    <s v="Consumer"/>
    <s v="South"/>
    <x v="5"/>
    <x v="0"/>
    <n v="1"/>
    <n v="120"/>
    <n v="120"/>
    <n v="12"/>
    <s v="Standard Order"/>
    <s v="Weekday"/>
  </r>
  <r>
    <s v="ORD-1683"/>
    <d v="2024-06-18T00:00:00"/>
    <n v="2024"/>
    <s v="Jun"/>
    <s v="Tue"/>
    <s v="CUST-178"/>
    <s v="PROD-011"/>
    <s v="Consumer"/>
    <s v="Central"/>
    <x v="4"/>
    <x v="3"/>
    <n v="6"/>
    <n v="120"/>
    <n v="720"/>
    <n v="72"/>
    <s v="Large Order"/>
    <s v="Weekday"/>
  </r>
  <r>
    <s v="ORD-1684"/>
    <d v="2024-01-31T00:00:00"/>
    <n v="2024"/>
    <s v="Jan"/>
    <s v="Wed"/>
    <s v="CUST-102"/>
    <s v="PROD-023"/>
    <s v="Consumer"/>
    <s v="West"/>
    <x v="5"/>
    <x v="4"/>
    <n v="5"/>
    <n v="120"/>
    <n v="600"/>
    <n v="60"/>
    <s v="Large Order"/>
    <s v="Weekday"/>
  </r>
  <r>
    <s v="ORD-1685"/>
    <d v="2024-07-05T00:00:00"/>
    <n v="2024"/>
    <s v="Jul"/>
    <s v="Fri"/>
    <s v="CUST-109"/>
    <s v="PROD-019"/>
    <s v="Corporate"/>
    <s v="West"/>
    <x v="2"/>
    <x v="3"/>
    <n v="4"/>
    <n v="120"/>
    <n v="480"/>
    <n v="48"/>
    <s v="Standard Order"/>
    <s v="Weekday"/>
  </r>
  <r>
    <s v="ORD-1686"/>
    <d v="2024-03-10T00:00:00"/>
    <n v="2024"/>
    <s v="Mar"/>
    <s v="Sun"/>
    <s v="CUST-120"/>
    <s v="PROD-021"/>
    <s v="Home Office"/>
    <s v="Central"/>
    <x v="2"/>
    <x v="2"/>
    <n v="16"/>
    <n v="120"/>
    <n v="1920"/>
    <n v="192"/>
    <s v="Large Order"/>
    <s v="Weekend"/>
  </r>
  <r>
    <s v="ORD-1687"/>
    <d v="2024-12-28T00:00:00"/>
    <n v="2024"/>
    <s v="Dec"/>
    <s v="Sat"/>
    <s v="CUST-171"/>
    <s v="PROD-012"/>
    <s v="Home Office"/>
    <s v="East"/>
    <x v="5"/>
    <x v="2"/>
    <n v="8"/>
    <n v="120"/>
    <n v="960"/>
    <n v="96"/>
    <s v="Large Order"/>
    <s v="Weekend"/>
  </r>
  <r>
    <s v="ORD-1688"/>
    <d v="2024-07-12T00:00:00"/>
    <n v="2024"/>
    <s v="Jul"/>
    <s v="Fri"/>
    <s v="CUST-139"/>
    <s v="PROD-005"/>
    <s v="Home Office"/>
    <s v="North"/>
    <x v="3"/>
    <x v="4"/>
    <n v="6"/>
    <n v="120"/>
    <n v="720"/>
    <n v="72"/>
    <s v="Large Order"/>
    <s v="Weekday"/>
  </r>
  <r>
    <s v="ORD-1689"/>
    <d v="2024-07-19T00:00:00"/>
    <n v="2024"/>
    <s v="Jul"/>
    <s v="Fri"/>
    <s v="CUST-198"/>
    <s v="PROD-006"/>
    <s v="Home Office"/>
    <s v="North"/>
    <x v="0"/>
    <x v="4"/>
    <n v="20"/>
    <n v="120"/>
    <n v="2400"/>
    <n v="240"/>
    <s v="Large Order"/>
    <s v="Weekday"/>
  </r>
  <r>
    <s v="ORD-1690"/>
    <d v="2024-04-23T00:00:00"/>
    <n v="2024"/>
    <s v="Apr"/>
    <s v="Tue"/>
    <s v="CUST-181"/>
    <s v="PROD-016"/>
    <s v="Home Office"/>
    <s v="South"/>
    <x v="0"/>
    <x v="0"/>
    <n v="5"/>
    <n v="120"/>
    <n v="600"/>
    <n v="60"/>
    <s v="Large Order"/>
    <s v="Weekday"/>
  </r>
  <r>
    <s v="ORD-1691"/>
    <d v="2024-05-01T00:00:00"/>
    <n v="2024"/>
    <s v="May"/>
    <s v="Wed"/>
    <s v="CUST-144"/>
    <s v="PROD-021"/>
    <s v="Corporate"/>
    <s v="South"/>
    <x v="4"/>
    <x v="3"/>
    <n v="3"/>
    <n v="120"/>
    <n v="360"/>
    <n v="36"/>
    <s v="Standard Order"/>
    <s v="Weekday"/>
  </r>
  <r>
    <s v="ORD-1692"/>
    <d v="2024-08-16T00:00:00"/>
    <n v="2024"/>
    <s v="Aug"/>
    <s v="Fri"/>
    <s v="CUST-101"/>
    <s v="PROD-008"/>
    <s v="Corporate"/>
    <s v="West"/>
    <x v="4"/>
    <x v="0"/>
    <n v="3"/>
    <n v="120"/>
    <n v="360"/>
    <n v="36"/>
    <s v="Standard Order"/>
    <s v="Weekday"/>
  </r>
  <r>
    <s v="ORD-1693"/>
    <d v="2024-01-01T00:00:00"/>
    <n v="2024"/>
    <s v="Jan"/>
    <s v="Mon"/>
    <s v="CUST-106"/>
    <s v="PROD-024"/>
    <s v="Corporate"/>
    <s v="Central"/>
    <x v="2"/>
    <x v="1"/>
    <n v="14"/>
    <n v="120"/>
    <n v="1680"/>
    <n v="168"/>
    <s v="Large Order"/>
    <s v="Weekday"/>
  </r>
  <r>
    <s v="ORD-1694"/>
    <d v="2024-09-09T00:00:00"/>
    <n v="2024"/>
    <s v="Sep"/>
    <s v="Mon"/>
    <s v="CUST-148"/>
    <s v="PROD-013"/>
    <s v="Corporate"/>
    <s v="South"/>
    <x v="5"/>
    <x v="4"/>
    <n v="4"/>
    <n v="120"/>
    <n v="480"/>
    <n v="48"/>
    <s v="Standard Order"/>
    <s v="Weekday"/>
  </r>
  <r>
    <s v="ORD-1695"/>
    <d v="2024-11-29T00:00:00"/>
    <n v="2024"/>
    <s v="Nov"/>
    <s v="Fri"/>
    <s v="CUST-197"/>
    <s v="PROD-006"/>
    <s v="Home Office"/>
    <s v="East"/>
    <x v="4"/>
    <x v="0"/>
    <n v="15"/>
    <n v="120"/>
    <n v="1800"/>
    <n v="180"/>
    <s v="Large Order"/>
    <s v="Weekday"/>
  </r>
  <r>
    <s v="ORD-1696"/>
    <d v="2024-05-30T00:00:00"/>
    <n v="2024"/>
    <s v="May"/>
    <s v="Thu"/>
    <s v="CUST-102"/>
    <s v="PROD-004"/>
    <s v="Corporate"/>
    <s v="Central"/>
    <x v="3"/>
    <x v="1"/>
    <n v="3"/>
    <n v="120"/>
    <n v="360"/>
    <n v="36"/>
    <s v="Standard Order"/>
    <s v="Weekday"/>
  </r>
  <r>
    <s v="ORD-1697"/>
    <d v="2024-03-23T00:00:00"/>
    <n v="2024"/>
    <s v="Mar"/>
    <s v="Sat"/>
    <s v="CUST-193"/>
    <s v="PROD-003"/>
    <s v="Consumer"/>
    <s v="West"/>
    <x v="5"/>
    <x v="4"/>
    <n v="11"/>
    <n v="120"/>
    <n v="1320"/>
    <n v="132"/>
    <s v="Large Order"/>
    <s v="Weekend"/>
  </r>
  <r>
    <s v="ORD-1698"/>
    <d v="2024-09-04T00:00:00"/>
    <n v="2024"/>
    <s v="Sep"/>
    <s v="Wed"/>
    <s v="CUST-190"/>
    <s v="PROD-021"/>
    <s v="Consumer"/>
    <s v="East"/>
    <x v="2"/>
    <x v="1"/>
    <n v="6"/>
    <n v="120"/>
    <n v="720"/>
    <n v="72"/>
    <s v="Large Order"/>
    <s v="Weekday"/>
  </r>
  <r>
    <s v="ORD-1699"/>
    <d v="2024-03-21T00:00:00"/>
    <n v="2024"/>
    <s v="Mar"/>
    <s v="Thu"/>
    <s v="CUST-106"/>
    <s v="PROD-007"/>
    <s v="Consumer"/>
    <s v="East"/>
    <x v="3"/>
    <x v="4"/>
    <n v="7"/>
    <n v="120"/>
    <n v="840"/>
    <n v="84"/>
    <s v="Large Order"/>
    <s v="Weekday"/>
  </r>
  <r>
    <s v="ORD-1700"/>
    <d v="2024-10-03T00:00:00"/>
    <n v="2024"/>
    <s v="Oct"/>
    <s v="Thu"/>
    <s v="CUST-133"/>
    <s v="PROD-010"/>
    <s v="Home Office"/>
    <s v="South"/>
    <x v="3"/>
    <x v="1"/>
    <n v="8"/>
    <n v="120"/>
    <n v="960"/>
    <n v="96"/>
    <s v="Large Order"/>
    <s v="Weekday"/>
  </r>
  <r>
    <s v="ORD-1701"/>
    <d v="2024-10-19T00:00:00"/>
    <n v="2024"/>
    <s v="Oct"/>
    <s v="Sat"/>
    <s v="CUST-170"/>
    <s v="PROD-002"/>
    <s v="Corporate"/>
    <s v="Central"/>
    <x v="4"/>
    <x v="0"/>
    <n v="12"/>
    <n v="120"/>
    <n v="1440"/>
    <n v="144"/>
    <s v="Large Order"/>
    <s v="Weekend"/>
  </r>
  <r>
    <s v="ORD-1702"/>
    <d v="2024-05-30T00:00:00"/>
    <n v="2024"/>
    <s v="May"/>
    <s v="Thu"/>
    <s v="CUST-184"/>
    <s v="PROD-016"/>
    <s v="Home Office"/>
    <s v="North"/>
    <x v="5"/>
    <x v="2"/>
    <n v="7"/>
    <n v="120"/>
    <n v="840"/>
    <n v="84"/>
    <s v="Large Order"/>
    <s v="Weekday"/>
  </r>
  <r>
    <s v="ORD-1703"/>
    <d v="2024-03-28T00:00:00"/>
    <n v="2024"/>
    <s v="Mar"/>
    <s v="Thu"/>
    <s v="CUST-181"/>
    <s v="PROD-016"/>
    <s v="Corporate"/>
    <s v="East"/>
    <x v="0"/>
    <x v="1"/>
    <n v="4"/>
    <n v="120"/>
    <n v="480"/>
    <n v="48"/>
    <s v="Standard Order"/>
    <s v="Weekday"/>
  </r>
  <r>
    <s v="ORD-1704"/>
    <d v="2024-08-29T00:00:00"/>
    <n v="2024"/>
    <s v="Aug"/>
    <s v="Thu"/>
    <s v="CUST-162"/>
    <s v="PROD-003"/>
    <s v="Home Office"/>
    <s v="West"/>
    <x v="3"/>
    <x v="3"/>
    <n v="18"/>
    <n v="120"/>
    <n v="2160"/>
    <n v="216"/>
    <s v="Large Order"/>
    <s v="Weekday"/>
  </r>
  <r>
    <s v="ORD-1705"/>
    <d v="2024-07-14T00:00:00"/>
    <n v="2024"/>
    <s v="Jul"/>
    <s v="Sun"/>
    <s v="CUST-147"/>
    <s v="PROD-002"/>
    <s v="Consumer"/>
    <s v="North"/>
    <x v="2"/>
    <x v="3"/>
    <n v="9"/>
    <n v="120"/>
    <n v="1080"/>
    <n v="108"/>
    <s v="Large Order"/>
    <s v="Weekend"/>
  </r>
  <r>
    <s v="ORD-1706"/>
    <d v="2024-04-25T00:00:00"/>
    <n v="2024"/>
    <s v="Apr"/>
    <s v="Thu"/>
    <s v="CUST-134"/>
    <s v="PROD-005"/>
    <s v="Home Office"/>
    <s v="South"/>
    <x v="0"/>
    <x v="3"/>
    <n v="4"/>
    <n v="120"/>
    <n v="480"/>
    <n v="48"/>
    <s v="Standard Order"/>
    <s v="Weekday"/>
  </r>
  <r>
    <s v="ORD-1707"/>
    <d v="2024-10-04T00:00:00"/>
    <n v="2024"/>
    <s v="Oct"/>
    <s v="Fri"/>
    <s v="CUST-152"/>
    <s v="PROD-018"/>
    <s v="Home Office"/>
    <s v="West"/>
    <x v="4"/>
    <x v="4"/>
    <n v="2"/>
    <n v="120"/>
    <n v="240"/>
    <n v="24"/>
    <s v="Standard Order"/>
    <s v="Weekday"/>
  </r>
  <r>
    <s v="ORD-1708"/>
    <d v="2024-08-02T00:00:00"/>
    <n v="2024"/>
    <s v="Aug"/>
    <s v="Fri"/>
    <s v="CUST-168"/>
    <s v="PROD-019"/>
    <s v="Home Office"/>
    <s v="Central"/>
    <x v="2"/>
    <x v="0"/>
    <n v="8"/>
    <n v="120"/>
    <n v="960"/>
    <n v="96"/>
    <s v="Large Order"/>
    <s v="Weekday"/>
  </r>
  <r>
    <s v="ORD-1709"/>
    <d v="2024-07-21T00:00:00"/>
    <n v="2024"/>
    <s v="Jul"/>
    <s v="Sun"/>
    <s v="CUST-191"/>
    <s v="PROD-019"/>
    <s v="Consumer"/>
    <s v="South"/>
    <x v="5"/>
    <x v="4"/>
    <n v="17"/>
    <n v="120"/>
    <n v="2040"/>
    <n v="204"/>
    <s v="Large Order"/>
    <s v="Weekend"/>
  </r>
  <r>
    <s v="ORD-1710"/>
    <d v="2024-03-16T00:00:00"/>
    <n v="2024"/>
    <s v="Mar"/>
    <s v="Sat"/>
    <s v="CUST-115"/>
    <s v="PROD-006"/>
    <s v="Corporate"/>
    <s v="West"/>
    <x v="4"/>
    <x v="2"/>
    <n v="7"/>
    <n v="120"/>
    <n v="840"/>
    <n v="84"/>
    <s v="Large Order"/>
    <s v="Weekend"/>
  </r>
  <r>
    <s v="ORD-1711"/>
    <d v="2024-01-22T00:00:00"/>
    <n v="2024"/>
    <s v="Jan"/>
    <s v="Mon"/>
    <s v="CUST-154"/>
    <s v="PROD-007"/>
    <s v="Consumer"/>
    <s v="North"/>
    <x v="2"/>
    <x v="3"/>
    <n v="5"/>
    <n v="120"/>
    <n v="600"/>
    <n v="60"/>
    <s v="Large Order"/>
    <s v="Weekday"/>
  </r>
  <r>
    <s v="ORD-1712"/>
    <d v="2024-06-12T00:00:00"/>
    <n v="2024"/>
    <s v="Jun"/>
    <s v="Wed"/>
    <s v="CUST-193"/>
    <s v="PROD-013"/>
    <s v="Consumer"/>
    <s v="North"/>
    <x v="0"/>
    <x v="3"/>
    <n v="18"/>
    <n v="120"/>
    <n v="2160"/>
    <n v="216"/>
    <s v="Large Order"/>
    <s v="Weekday"/>
  </r>
  <r>
    <s v="ORD-1713"/>
    <d v="2024-05-21T00:00:00"/>
    <n v="2024"/>
    <s v="May"/>
    <s v="Tue"/>
    <s v="CUST-166"/>
    <s v="PROD-023"/>
    <s v="Corporate"/>
    <s v="South"/>
    <x v="0"/>
    <x v="1"/>
    <n v="20"/>
    <n v="120"/>
    <n v="2400"/>
    <n v="240"/>
    <s v="Large Order"/>
    <s v="Weekday"/>
  </r>
  <r>
    <s v="ORD-1714"/>
    <d v="2024-02-27T00:00:00"/>
    <n v="2024"/>
    <s v="Feb"/>
    <s v="Tue"/>
    <s v="CUST-153"/>
    <s v="PROD-019"/>
    <s v="Consumer"/>
    <s v="East"/>
    <x v="4"/>
    <x v="0"/>
    <n v="19"/>
    <n v="120"/>
    <n v="2280"/>
    <n v="228"/>
    <s v="Large Order"/>
    <s v="Weekday"/>
  </r>
  <r>
    <s v="ORD-1715"/>
    <d v="2024-02-24T00:00:00"/>
    <n v="2024"/>
    <s v="Feb"/>
    <s v="Sat"/>
    <s v="CUST-172"/>
    <s v="PROD-018"/>
    <s v="Consumer"/>
    <s v="Central"/>
    <x v="3"/>
    <x v="3"/>
    <n v="12"/>
    <n v="120"/>
    <n v="1440"/>
    <n v="144"/>
    <s v="Large Order"/>
    <s v="Weekend"/>
  </r>
  <r>
    <s v="ORD-1716"/>
    <d v="2024-07-15T00:00:00"/>
    <n v="2024"/>
    <s v="Jul"/>
    <s v="Mon"/>
    <s v="CUST-183"/>
    <s v="PROD-020"/>
    <s v="Corporate"/>
    <s v="Central"/>
    <x v="5"/>
    <x v="3"/>
    <n v="16"/>
    <n v="120"/>
    <n v="1920"/>
    <n v="192"/>
    <s v="Large Order"/>
    <s v="Weekday"/>
  </r>
  <r>
    <s v="ORD-1717"/>
    <d v="2024-07-25T00:00:00"/>
    <n v="2024"/>
    <s v="Jul"/>
    <s v="Thu"/>
    <s v="CUST-118"/>
    <s v="PROD-022"/>
    <s v="Home Office"/>
    <s v="West"/>
    <x v="5"/>
    <x v="3"/>
    <n v="13"/>
    <n v="120"/>
    <n v="1560"/>
    <n v="156"/>
    <s v="Large Order"/>
    <s v="Weekday"/>
  </r>
  <r>
    <s v="ORD-1718"/>
    <d v="2024-12-19T00:00:00"/>
    <n v="2024"/>
    <s v="Dec"/>
    <s v="Thu"/>
    <s v="CUST-130"/>
    <s v="PROD-009"/>
    <s v="Consumer"/>
    <s v="North"/>
    <x v="2"/>
    <x v="3"/>
    <n v="12"/>
    <n v="120"/>
    <n v="1440"/>
    <n v="144"/>
    <s v="Large Order"/>
    <s v="Weekday"/>
  </r>
  <r>
    <s v="ORD-1719"/>
    <d v="2024-06-08T00:00:00"/>
    <n v="2024"/>
    <s v="Jun"/>
    <s v="Sat"/>
    <s v="CUST-135"/>
    <s v="PROD-008"/>
    <s v="Corporate"/>
    <s v="West"/>
    <x v="0"/>
    <x v="1"/>
    <n v="5"/>
    <n v="120"/>
    <n v="600"/>
    <n v="60"/>
    <s v="Large Order"/>
    <s v="Weekend"/>
  </r>
  <r>
    <s v="ORD-1720"/>
    <d v="2024-06-13T00:00:00"/>
    <n v="2024"/>
    <s v="Jun"/>
    <s v="Thu"/>
    <s v="CUST-134"/>
    <s v="PROD-020"/>
    <s v="Home Office"/>
    <s v="Central"/>
    <x v="2"/>
    <x v="2"/>
    <n v="3"/>
    <n v="120"/>
    <n v="360"/>
    <n v="36"/>
    <s v="Standard Order"/>
    <s v="Weekday"/>
  </r>
  <r>
    <s v="ORD-1721"/>
    <d v="2024-07-27T00:00:00"/>
    <n v="2024"/>
    <s v="Jul"/>
    <s v="Sat"/>
    <s v="CUST-194"/>
    <s v="PROD-012"/>
    <s v="Corporate"/>
    <s v="Central"/>
    <x v="5"/>
    <x v="2"/>
    <n v="2"/>
    <n v="120"/>
    <n v="240"/>
    <n v="24"/>
    <s v="Standard Order"/>
    <s v="Weekend"/>
  </r>
  <r>
    <s v="ORD-1722"/>
    <d v="2024-02-03T00:00:00"/>
    <n v="2024"/>
    <s v="Feb"/>
    <s v="Sat"/>
    <s v="CUST-139"/>
    <s v="PROD-013"/>
    <s v="Home Office"/>
    <s v="South"/>
    <x v="5"/>
    <x v="4"/>
    <n v="5"/>
    <n v="120"/>
    <n v="600"/>
    <n v="60"/>
    <s v="Large Order"/>
    <s v="Weekend"/>
  </r>
  <r>
    <s v="ORD-1723"/>
    <d v="2024-10-18T00:00:00"/>
    <n v="2024"/>
    <s v="Oct"/>
    <s v="Fri"/>
    <s v="CUST-103"/>
    <s v="PROD-007"/>
    <s v="Consumer"/>
    <s v="South"/>
    <x v="4"/>
    <x v="1"/>
    <n v="2"/>
    <n v="120"/>
    <n v="240"/>
    <n v="24"/>
    <s v="Standard Order"/>
    <s v="Weekday"/>
  </r>
  <r>
    <s v="ORD-1724"/>
    <d v="2024-01-26T00:00:00"/>
    <n v="2024"/>
    <s v="Jan"/>
    <s v="Fri"/>
    <s v="CUST-146"/>
    <s v="PROD-009"/>
    <s v="Home Office"/>
    <s v="North"/>
    <x v="4"/>
    <x v="4"/>
    <n v="12"/>
    <n v="120"/>
    <n v="1440"/>
    <n v="144"/>
    <s v="Large Order"/>
    <s v="Weekday"/>
  </r>
  <r>
    <s v="ORD-1725"/>
    <d v="2024-07-22T00:00:00"/>
    <n v="2024"/>
    <s v="Jul"/>
    <s v="Mon"/>
    <s v="CUST-181"/>
    <s v="PROD-008"/>
    <s v="Consumer"/>
    <s v="Central"/>
    <x v="0"/>
    <x v="1"/>
    <n v="12"/>
    <n v="120"/>
    <n v="1440"/>
    <n v="144"/>
    <s v="Large Order"/>
    <s v="Weekday"/>
  </r>
  <r>
    <s v="ORD-1726"/>
    <d v="2024-03-31T00:00:00"/>
    <n v="2024"/>
    <s v="Mar"/>
    <s v="Sun"/>
    <s v="CUST-160"/>
    <s v="PROD-012"/>
    <s v="Home Office"/>
    <s v="North"/>
    <x v="5"/>
    <x v="3"/>
    <n v="12"/>
    <n v="120"/>
    <n v="1440"/>
    <n v="144"/>
    <s v="Large Order"/>
    <s v="Weekend"/>
  </r>
  <r>
    <s v="ORD-1727"/>
    <d v="2024-12-18T00:00:00"/>
    <n v="2024"/>
    <s v="Dec"/>
    <s v="Wed"/>
    <s v="CUST-111"/>
    <s v="PROD-013"/>
    <s v="Corporate"/>
    <s v="South"/>
    <x v="0"/>
    <x v="4"/>
    <n v="2"/>
    <n v="120"/>
    <n v="240"/>
    <n v="24"/>
    <s v="Standard Order"/>
    <s v="Weekday"/>
  </r>
  <r>
    <s v="ORD-1728"/>
    <d v="2024-04-19T00:00:00"/>
    <n v="2024"/>
    <s v="Apr"/>
    <s v="Fri"/>
    <s v="CUST-128"/>
    <s v="PROD-022"/>
    <s v="Home Office"/>
    <s v="North"/>
    <x v="4"/>
    <x v="1"/>
    <n v="7"/>
    <n v="120"/>
    <n v="840"/>
    <n v="84"/>
    <s v="Large Order"/>
    <s v="Weekday"/>
  </r>
  <r>
    <s v="ORD-1729"/>
    <d v="2024-09-19T00:00:00"/>
    <n v="2024"/>
    <s v="Sep"/>
    <s v="Thu"/>
    <s v="CUST-102"/>
    <s v="PROD-016"/>
    <s v="Home Office"/>
    <s v="Central"/>
    <x v="0"/>
    <x v="4"/>
    <n v="5"/>
    <n v="120"/>
    <n v="600"/>
    <n v="60"/>
    <s v="Large Order"/>
    <s v="Weekday"/>
  </r>
  <r>
    <s v="ORD-1730"/>
    <d v="2024-01-05T00:00:00"/>
    <n v="2024"/>
    <s v="Jan"/>
    <s v="Fri"/>
    <s v="CUST-128"/>
    <s v="PROD-010"/>
    <s v="Corporate"/>
    <s v="South"/>
    <x v="5"/>
    <x v="1"/>
    <n v="9"/>
    <n v="120"/>
    <n v="1080"/>
    <n v="108"/>
    <s v="Large Order"/>
    <s v="Weekday"/>
  </r>
  <r>
    <s v="ORD-1731"/>
    <d v="2024-06-27T00:00:00"/>
    <n v="2024"/>
    <s v="Jun"/>
    <s v="Thu"/>
    <s v="CUST-158"/>
    <s v="PROD-015"/>
    <s v="Corporate"/>
    <s v="North"/>
    <x v="4"/>
    <x v="4"/>
    <n v="10"/>
    <n v="120"/>
    <n v="1200"/>
    <n v="120"/>
    <s v="Large Order"/>
    <s v="Weekday"/>
  </r>
  <r>
    <s v="ORD-1732"/>
    <d v="2024-07-22T00:00:00"/>
    <n v="2024"/>
    <s v="Jul"/>
    <s v="Mon"/>
    <s v="CUST-174"/>
    <s v="PROD-017"/>
    <s v="Consumer"/>
    <s v="North"/>
    <x v="0"/>
    <x v="4"/>
    <n v="12"/>
    <n v="120"/>
    <n v="1440"/>
    <n v="144"/>
    <s v="Large Order"/>
    <s v="Weekday"/>
  </r>
  <r>
    <s v="ORD-1733"/>
    <d v="2024-11-07T00:00:00"/>
    <n v="2024"/>
    <s v="Nov"/>
    <s v="Thu"/>
    <s v="CUST-136"/>
    <s v="PROD-016"/>
    <s v="Corporate"/>
    <s v="East"/>
    <x v="0"/>
    <x v="3"/>
    <n v="3"/>
    <n v="120"/>
    <n v="360"/>
    <n v="36"/>
    <s v="Standard Order"/>
    <s v="Weekday"/>
  </r>
  <r>
    <s v="ORD-1734"/>
    <d v="2024-11-23T00:00:00"/>
    <n v="2024"/>
    <s v="Nov"/>
    <s v="Sat"/>
    <s v="CUST-141"/>
    <s v="PROD-021"/>
    <s v="Corporate"/>
    <s v="West"/>
    <x v="3"/>
    <x v="4"/>
    <n v="10"/>
    <n v="120"/>
    <n v="1200"/>
    <n v="120"/>
    <s v="Large Order"/>
    <s v="Weekend"/>
  </r>
  <r>
    <s v="ORD-1735"/>
    <d v="2024-05-03T00:00:00"/>
    <n v="2024"/>
    <s v="May"/>
    <s v="Fri"/>
    <s v="CUST-107"/>
    <s v="PROD-022"/>
    <s v="Home Office"/>
    <s v="East"/>
    <x v="2"/>
    <x v="0"/>
    <n v="11"/>
    <n v="120"/>
    <n v="1320"/>
    <n v="132"/>
    <s v="Large Order"/>
    <s v="Weekday"/>
  </r>
  <r>
    <s v="ORD-1736"/>
    <d v="2024-12-01T00:00:00"/>
    <n v="2024"/>
    <s v="Dec"/>
    <s v="Sun"/>
    <s v="CUST-163"/>
    <s v="PROD-014"/>
    <s v="Corporate"/>
    <s v="South"/>
    <x v="3"/>
    <x v="0"/>
    <n v="13"/>
    <n v="120"/>
    <n v="1560"/>
    <n v="156"/>
    <s v="Large Order"/>
    <s v="Weekend"/>
  </r>
  <r>
    <s v="ORD-1737"/>
    <d v="2024-10-25T00:00:00"/>
    <n v="2024"/>
    <s v="Oct"/>
    <s v="Fri"/>
    <s v="CUST-190"/>
    <s v="PROD-011"/>
    <s v="Home Office"/>
    <s v="East"/>
    <x v="4"/>
    <x v="1"/>
    <n v="8"/>
    <n v="120"/>
    <n v="960"/>
    <n v="96"/>
    <s v="Large Order"/>
    <s v="Weekday"/>
  </r>
  <r>
    <s v="ORD-1738"/>
    <d v="2024-12-09T00:00:00"/>
    <n v="2024"/>
    <s v="Dec"/>
    <s v="Mon"/>
    <s v="CUST-145"/>
    <s v="PROD-006"/>
    <s v="Home Office"/>
    <s v="East"/>
    <x v="3"/>
    <x v="0"/>
    <n v="18"/>
    <n v="120"/>
    <n v="2160"/>
    <n v="216"/>
    <s v="Large Order"/>
    <s v="Weekday"/>
  </r>
  <r>
    <s v="ORD-1739"/>
    <d v="2024-08-29T00:00:00"/>
    <n v="2024"/>
    <s v="Aug"/>
    <s v="Thu"/>
    <s v="CUST-116"/>
    <s v="PROD-024"/>
    <s v="Home Office"/>
    <s v="North"/>
    <x v="3"/>
    <x v="2"/>
    <n v="18"/>
    <n v="120"/>
    <n v="2160"/>
    <n v="216"/>
    <s v="Large Order"/>
    <s v="Weekday"/>
  </r>
  <r>
    <s v="ORD-1740"/>
    <d v="2024-12-14T00:00:00"/>
    <n v="2024"/>
    <s v="Dec"/>
    <s v="Sat"/>
    <s v="CUST-142"/>
    <s v="PROD-008"/>
    <s v="Home Office"/>
    <s v="East"/>
    <x v="0"/>
    <x v="3"/>
    <n v="12"/>
    <n v="120"/>
    <n v="1440"/>
    <n v="144"/>
    <s v="Large Order"/>
    <s v="Weekend"/>
  </r>
  <r>
    <s v="ORD-1741"/>
    <d v="2024-08-03T00:00:00"/>
    <n v="2024"/>
    <s v="Aug"/>
    <s v="Sat"/>
    <s v="CUST-200"/>
    <s v="PROD-009"/>
    <s v="Corporate"/>
    <s v="Central"/>
    <x v="3"/>
    <x v="0"/>
    <n v="19"/>
    <n v="120"/>
    <n v="2280"/>
    <n v="228"/>
    <s v="Large Order"/>
    <s v="Weekend"/>
  </r>
  <r>
    <s v="ORD-1742"/>
    <d v="2024-08-28T00:00:00"/>
    <n v="2024"/>
    <s v="Aug"/>
    <s v="Wed"/>
    <s v="CUST-106"/>
    <s v="PROD-019"/>
    <s v="Home Office"/>
    <s v="West"/>
    <x v="5"/>
    <x v="2"/>
    <n v="20"/>
    <n v="120"/>
    <n v="2400"/>
    <n v="240"/>
    <s v="Large Order"/>
    <s v="Weekday"/>
  </r>
  <r>
    <s v="ORD-1743"/>
    <d v="2024-09-13T00:00:00"/>
    <n v="2024"/>
    <s v="Sep"/>
    <s v="Fri"/>
    <s v="CUST-115"/>
    <s v="PROD-017"/>
    <s v="Home Office"/>
    <s v="West"/>
    <x v="2"/>
    <x v="2"/>
    <n v="10"/>
    <n v="120"/>
    <n v="1200"/>
    <n v="120"/>
    <s v="Large Order"/>
    <s v="Weekday"/>
  </r>
  <r>
    <s v="ORD-1744"/>
    <d v="2024-03-11T00:00:00"/>
    <n v="2024"/>
    <s v="Mar"/>
    <s v="Mon"/>
    <s v="CUST-125"/>
    <s v="PROD-019"/>
    <s v="Corporate"/>
    <s v="South"/>
    <x v="2"/>
    <x v="2"/>
    <n v="15"/>
    <n v="120"/>
    <n v="1800"/>
    <n v="180"/>
    <s v="Large Order"/>
    <s v="Weekday"/>
  </r>
  <r>
    <s v="ORD-1745"/>
    <d v="2024-02-11T00:00:00"/>
    <n v="2024"/>
    <s v="Feb"/>
    <s v="Sun"/>
    <s v="CUST-162"/>
    <s v="PROD-011"/>
    <s v="Corporate"/>
    <s v="Central"/>
    <x v="4"/>
    <x v="3"/>
    <n v="2"/>
    <n v="120"/>
    <n v="240"/>
    <n v="24"/>
    <s v="Standard Order"/>
    <s v="Weekend"/>
  </r>
  <r>
    <s v="ORD-1746"/>
    <d v="2024-04-17T00:00:00"/>
    <n v="2024"/>
    <s v="Apr"/>
    <s v="Wed"/>
    <s v="CUST-197"/>
    <s v="PROD-025"/>
    <s v="Consumer"/>
    <s v="West"/>
    <x v="5"/>
    <x v="0"/>
    <n v="6"/>
    <n v="120"/>
    <n v="720"/>
    <n v="72"/>
    <s v="Large Order"/>
    <s v="Weekday"/>
  </r>
  <r>
    <s v="ORD-1747"/>
    <d v="2024-03-07T00:00:00"/>
    <n v="2024"/>
    <s v="Mar"/>
    <s v="Thu"/>
    <s v="CUST-178"/>
    <s v="PROD-013"/>
    <s v="Corporate"/>
    <s v="South"/>
    <x v="2"/>
    <x v="1"/>
    <n v="14"/>
    <n v="120"/>
    <n v="1680"/>
    <n v="168"/>
    <s v="Large Order"/>
    <s v="Weekday"/>
  </r>
  <r>
    <s v="ORD-1748"/>
    <d v="2024-01-03T00:00:00"/>
    <n v="2024"/>
    <s v="Jan"/>
    <s v="Wed"/>
    <s v="CUST-104"/>
    <s v="PROD-024"/>
    <s v="Home Office"/>
    <s v="North"/>
    <x v="4"/>
    <x v="3"/>
    <n v="12"/>
    <n v="120"/>
    <n v="1440"/>
    <n v="144"/>
    <s v="Large Order"/>
    <s v="Weekday"/>
  </r>
  <r>
    <s v="ORD-1749"/>
    <d v="2024-09-28T00:00:00"/>
    <n v="2024"/>
    <s v="Sep"/>
    <s v="Sat"/>
    <s v="CUST-124"/>
    <s v="PROD-021"/>
    <s v="Consumer"/>
    <s v="West"/>
    <x v="0"/>
    <x v="3"/>
    <n v="8"/>
    <n v="120"/>
    <n v="960"/>
    <n v="96"/>
    <s v="Large Order"/>
    <s v="Weekend"/>
  </r>
  <r>
    <s v="ORD-1750"/>
    <d v="2024-06-08T00:00:00"/>
    <n v="2024"/>
    <s v="Jun"/>
    <s v="Sat"/>
    <s v="CUST-116"/>
    <s v="PROD-017"/>
    <s v="Consumer"/>
    <s v="West"/>
    <x v="2"/>
    <x v="0"/>
    <n v="19"/>
    <n v="120"/>
    <n v="2280"/>
    <n v="228"/>
    <s v="Large Order"/>
    <s v="Weekend"/>
  </r>
  <r>
    <s v="ORD-1751"/>
    <d v="2024-01-24T00:00:00"/>
    <n v="2024"/>
    <s v="Jan"/>
    <s v="Wed"/>
    <s v="CUST-138"/>
    <s v="PROD-024"/>
    <s v="Corporate"/>
    <s v="East"/>
    <x v="2"/>
    <x v="3"/>
    <n v="17"/>
    <n v="120"/>
    <n v="2040"/>
    <n v="204"/>
    <s v="Large Order"/>
    <s v="Weekday"/>
  </r>
  <r>
    <s v="ORD-1752"/>
    <d v="2024-08-10T00:00:00"/>
    <n v="2024"/>
    <s v="Aug"/>
    <s v="Sat"/>
    <s v="CUST-187"/>
    <s v="PROD-016"/>
    <s v="Consumer"/>
    <s v="South"/>
    <x v="3"/>
    <x v="2"/>
    <n v="12"/>
    <n v="120"/>
    <n v="1440"/>
    <n v="144"/>
    <s v="Large Order"/>
    <s v="Weekend"/>
  </r>
  <r>
    <s v="ORD-1753"/>
    <d v="2024-07-25T00:00:00"/>
    <n v="2024"/>
    <s v="Jul"/>
    <s v="Thu"/>
    <s v="CUST-102"/>
    <s v="PROD-024"/>
    <s v="Consumer"/>
    <s v="North"/>
    <x v="4"/>
    <x v="0"/>
    <n v="5"/>
    <n v="120"/>
    <n v="600"/>
    <n v="60"/>
    <s v="Large Order"/>
    <s v="Weekday"/>
  </r>
  <r>
    <s v="ORD-1754"/>
    <d v="2024-10-28T00:00:00"/>
    <n v="2024"/>
    <s v="Oct"/>
    <s v="Mon"/>
    <s v="CUST-164"/>
    <s v="PROD-012"/>
    <s v="Consumer"/>
    <s v="Central"/>
    <x v="0"/>
    <x v="3"/>
    <n v="2"/>
    <n v="120"/>
    <n v="240"/>
    <n v="24"/>
    <s v="Standard Order"/>
    <s v="Weekday"/>
  </r>
  <r>
    <s v="ORD-1755"/>
    <d v="2024-09-30T00:00:00"/>
    <n v="2024"/>
    <s v="Sep"/>
    <s v="Mon"/>
    <s v="CUST-179"/>
    <s v="PROD-002"/>
    <s v="Consumer"/>
    <s v="West"/>
    <x v="5"/>
    <x v="0"/>
    <n v="4"/>
    <n v="120"/>
    <n v="480"/>
    <n v="48"/>
    <s v="Standard Order"/>
    <s v="Weekday"/>
  </r>
  <r>
    <s v="ORD-1756"/>
    <d v="2024-01-25T00:00:00"/>
    <n v="2024"/>
    <s v="Jan"/>
    <s v="Thu"/>
    <s v="CUST-188"/>
    <s v="PROD-015"/>
    <s v="Consumer"/>
    <s v="South"/>
    <x v="2"/>
    <x v="3"/>
    <n v="13"/>
    <n v="120"/>
    <n v="1560"/>
    <n v="156"/>
    <s v="Large Order"/>
    <s v="Weekday"/>
  </r>
  <r>
    <s v="ORD-1757"/>
    <d v="2024-08-30T00:00:00"/>
    <n v="2024"/>
    <s v="Aug"/>
    <s v="Fri"/>
    <s v="CUST-189"/>
    <s v="PROD-023"/>
    <s v="Consumer"/>
    <s v="Central"/>
    <x v="4"/>
    <x v="0"/>
    <n v="1"/>
    <n v="120"/>
    <n v="120"/>
    <n v="12"/>
    <s v="Standard Order"/>
    <s v="Weekday"/>
  </r>
  <r>
    <s v="ORD-1758"/>
    <d v="2024-12-05T00:00:00"/>
    <n v="2024"/>
    <s v="Dec"/>
    <s v="Thu"/>
    <s v="CUST-166"/>
    <s v="PROD-020"/>
    <s v="Corporate"/>
    <s v="North"/>
    <x v="5"/>
    <x v="0"/>
    <n v="5"/>
    <n v="120"/>
    <n v="600"/>
    <n v="60"/>
    <s v="Large Order"/>
    <s v="Weekday"/>
  </r>
  <r>
    <s v="ORD-1759"/>
    <d v="2024-09-18T00:00:00"/>
    <n v="2024"/>
    <s v="Sep"/>
    <s v="Wed"/>
    <s v="CUST-192"/>
    <s v="PROD-010"/>
    <s v="Home Office"/>
    <s v="East"/>
    <x v="0"/>
    <x v="1"/>
    <n v="4"/>
    <n v="120"/>
    <n v="480"/>
    <n v="48"/>
    <s v="Standard Order"/>
    <s v="Weekday"/>
  </r>
  <r>
    <s v="ORD-1760"/>
    <d v="2024-04-11T00:00:00"/>
    <n v="2024"/>
    <s v="Apr"/>
    <s v="Thu"/>
    <s v="CUST-177"/>
    <s v="PROD-017"/>
    <s v="Consumer"/>
    <s v="Central"/>
    <x v="3"/>
    <x v="1"/>
    <n v="7"/>
    <n v="120"/>
    <n v="840"/>
    <n v="84"/>
    <s v="Large Order"/>
    <s v="Weekday"/>
  </r>
  <r>
    <s v="ORD-1761"/>
    <d v="2024-05-31T00:00:00"/>
    <n v="2024"/>
    <s v="May"/>
    <s v="Fri"/>
    <s v="CUST-120"/>
    <s v="PROD-016"/>
    <s v="Consumer"/>
    <s v="North"/>
    <x v="5"/>
    <x v="1"/>
    <n v="7"/>
    <n v="120"/>
    <n v="840"/>
    <n v="84"/>
    <s v="Large Order"/>
    <s v="Weekday"/>
  </r>
  <r>
    <s v="ORD-1762"/>
    <d v="2024-06-18T00:00:00"/>
    <n v="2024"/>
    <s v="Jun"/>
    <s v="Tue"/>
    <s v="CUST-130"/>
    <s v="PROD-022"/>
    <s v="Consumer"/>
    <s v="North"/>
    <x v="0"/>
    <x v="4"/>
    <n v="3"/>
    <n v="120"/>
    <n v="360"/>
    <n v="36"/>
    <s v="Standard Order"/>
    <s v="Weekday"/>
  </r>
  <r>
    <s v="ORD-1763"/>
    <d v="2024-12-08T00:00:00"/>
    <n v="2024"/>
    <s v="Dec"/>
    <s v="Sun"/>
    <s v="CUST-163"/>
    <s v="PROD-025"/>
    <s v="Consumer"/>
    <s v="West"/>
    <x v="0"/>
    <x v="0"/>
    <n v="17"/>
    <n v="120"/>
    <n v="2040"/>
    <n v="204"/>
    <s v="Large Order"/>
    <s v="Weekend"/>
  </r>
  <r>
    <s v="ORD-1764"/>
    <d v="2024-05-11T00:00:00"/>
    <n v="2024"/>
    <s v="May"/>
    <s v="Sat"/>
    <s v="CUST-182"/>
    <s v="PROD-010"/>
    <s v="Consumer"/>
    <s v="East"/>
    <x v="2"/>
    <x v="0"/>
    <n v="9"/>
    <n v="120"/>
    <n v="1080"/>
    <n v="108"/>
    <s v="Large Order"/>
    <s v="Weekend"/>
  </r>
  <r>
    <s v="ORD-1765"/>
    <d v="2024-03-30T00:00:00"/>
    <n v="2024"/>
    <s v="Mar"/>
    <s v="Sat"/>
    <s v="CUST-105"/>
    <s v="PROD-022"/>
    <s v="Corporate"/>
    <s v="North"/>
    <x v="3"/>
    <x v="0"/>
    <n v="11"/>
    <n v="120"/>
    <n v="1320"/>
    <n v="132"/>
    <s v="Large Order"/>
    <s v="Weekend"/>
  </r>
  <r>
    <s v="ORD-1766"/>
    <d v="2024-02-18T00:00:00"/>
    <n v="2024"/>
    <s v="Feb"/>
    <s v="Sun"/>
    <s v="CUST-197"/>
    <s v="PROD-005"/>
    <s v="Consumer"/>
    <s v="North"/>
    <x v="0"/>
    <x v="1"/>
    <n v="6"/>
    <n v="120"/>
    <n v="720"/>
    <n v="72"/>
    <s v="Large Order"/>
    <s v="Weekend"/>
  </r>
  <r>
    <s v="ORD-1767"/>
    <d v="2024-11-14T00:00:00"/>
    <n v="2024"/>
    <s v="Nov"/>
    <s v="Thu"/>
    <s v="CUST-134"/>
    <s v="PROD-012"/>
    <s v="Home Office"/>
    <s v="West"/>
    <x v="0"/>
    <x v="1"/>
    <n v="11"/>
    <n v="120"/>
    <n v="1320"/>
    <n v="132"/>
    <s v="Large Order"/>
    <s v="Weekday"/>
  </r>
  <r>
    <s v="ORD-1768"/>
    <d v="2024-07-23T00:00:00"/>
    <n v="2024"/>
    <s v="Jul"/>
    <s v="Tue"/>
    <s v="CUST-158"/>
    <s v="PROD-023"/>
    <s v="Corporate"/>
    <s v="North"/>
    <x v="2"/>
    <x v="2"/>
    <n v="16"/>
    <n v="120"/>
    <n v="1920"/>
    <n v="192"/>
    <s v="Large Order"/>
    <s v="Weekday"/>
  </r>
  <r>
    <s v="ORD-1769"/>
    <d v="2024-02-27T00:00:00"/>
    <n v="2024"/>
    <s v="Feb"/>
    <s v="Tue"/>
    <s v="CUST-116"/>
    <s v="PROD-006"/>
    <s v="Home Office"/>
    <s v="West"/>
    <x v="0"/>
    <x v="4"/>
    <n v="4"/>
    <n v="120"/>
    <n v="480"/>
    <n v="48"/>
    <s v="Standard Order"/>
    <s v="Weekday"/>
  </r>
  <r>
    <s v="ORD-1770"/>
    <d v="2024-09-04T00:00:00"/>
    <n v="2024"/>
    <s v="Sep"/>
    <s v="Wed"/>
    <s v="CUST-172"/>
    <s v="PROD-006"/>
    <s v="Home Office"/>
    <s v="South"/>
    <x v="2"/>
    <x v="3"/>
    <n v="20"/>
    <n v="120"/>
    <n v="2400"/>
    <n v="240"/>
    <s v="Large Order"/>
    <s v="Weekday"/>
  </r>
  <r>
    <s v="ORD-1771"/>
    <d v="2024-11-09T00:00:00"/>
    <n v="2024"/>
    <s v="Nov"/>
    <s v="Sat"/>
    <s v="CUST-103"/>
    <s v="PROD-016"/>
    <s v="Home Office"/>
    <s v="East"/>
    <x v="4"/>
    <x v="1"/>
    <n v="16"/>
    <n v="120"/>
    <n v="1920"/>
    <n v="192"/>
    <s v="Large Order"/>
    <s v="Weekend"/>
  </r>
  <r>
    <s v="ORD-1772"/>
    <d v="2024-08-13T00:00:00"/>
    <n v="2024"/>
    <s v="Aug"/>
    <s v="Tue"/>
    <s v="CUST-105"/>
    <s v="PROD-021"/>
    <s v="Consumer"/>
    <s v="South"/>
    <x v="3"/>
    <x v="4"/>
    <n v="11"/>
    <n v="120"/>
    <n v="1320"/>
    <n v="132"/>
    <s v="Large Order"/>
    <s v="Weekday"/>
  </r>
  <r>
    <s v="ORD-1773"/>
    <d v="2024-10-22T00:00:00"/>
    <n v="2024"/>
    <s v="Oct"/>
    <s v="Tue"/>
    <s v="CUST-192"/>
    <s v="PROD-022"/>
    <s v="Home Office"/>
    <s v="South"/>
    <x v="4"/>
    <x v="4"/>
    <n v="11"/>
    <n v="120"/>
    <n v="1320"/>
    <n v="132"/>
    <s v="Large Order"/>
    <s v="Weekday"/>
  </r>
  <r>
    <s v="ORD-1774"/>
    <d v="2024-02-18T00:00:00"/>
    <n v="2024"/>
    <s v="Feb"/>
    <s v="Sun"/>
    <s v="CUST-155"/>
    <s v="PROD-016"/>
    <s v="Home Office"/>
    <s v="North"/>
    <x v="4"/>
    <x v="1"/>
    <n v="12"/>
    <n v="120"/>
    <n v="1440"/>
    <n v="144"/>
    <s v="Large Order"/>
    <s v="Weekend"/>
  </r>
  <r>
    <s v="ORD-1775"/>
    <d v="2024-03-17T00:00:00"/>
    <n v="2024"/>
    <s v="Mar"/>
    <s v="Sun"/>
    <s v="CUST-171"/>
    <s v="PROD-001"/>
    <s v="Home Office"/>
    <s v="West"/>
    <x v="0"/>
    <x v="1"/>
    <n v="6"/>
    <n v="120"/>
    <n v="720"/>
    <n v="72"/>
    <s v="Large Order"/>
    <s v="Weekend"/>
  </r>
  <r>
    <s v="ORD-1776"/>
    <d v="2024-09-10T00:00:00"/>
    <n v="2024"/>
    <s v="Sep"/>
    <s v="Tue"/>
    <s v="CUST-121"/>
    <s v="PROD-011"/>
    <s v="Consumer"/>
    <s v="Central"/>
    <x v="2"/>
    <x v="3"/>
    <n v="8"/>
    <n v="120"/>
    <n v="960"/>
    <n v="96"/>
    <s v="Large Order"/>
    <s v="Weekday"/>
  </r>
  <r>
    <s v="ORD-1777"/>
    <d v="2024-01-26T00:00:00"/>
    <n v="2024"/>
    <s v="Jan"/>
    <s v="Fri"/>
    <s v="CUST-164"/>
    <s v="PROD-021"/>
    <s v="Consumer"/>
    <s v="Central"/>
    <x v="5"/>
    <x v="2"/>
    <n v="13"/>
    <n v="120"/>
    <n v="1560"/>
    <n v="156"/>
    <s v="Large Order"/>
    <s v="Weekday"/>
  </r>
  <r>
    <s v="ORD-1778"/>
    <d v="2024-02-10T00:00:00"/>
    <n v="2024"/>
    <s v="Feb"/>
    <s v="Sat"/>
    <s v="CUST-158"/>
    <s v="PROD-015"/>
    <s v="Corporate"/>
    <s v="North"/>
    <x v="5"/>
    <x v="1"/>
    <n v="3"/>
    <n v="120"/>
    <n v="360"/>
    <n v="36"/>
    <s v="Standard Order"/>
    <s v="Weekend"/>
  </r>
  <r>
    <s v="ORD-1779"/>
    <d v="2024-06-10T00:00:00"/>
    <n v="2024"/>
    <s v="Jun"/>
    <s v="Mon"/>
    <s v="CUST-115"/>
    <s v="PROD-004"/>
    <s v="Corporate"/>
    <s v="Central"/>
    <x v="0"/>
    <x v="4"/>
    <n v="13"/>
    <n v="120"/>
    <n v="1560"/>
    <n v="156"/>
    <s v="Large Order"/>
    <s v="Weekday"/>
  </r>
  <r>
    <s v="ORD-1780"/>
    <d v="2024-10-08T00:00:00"/>
    <n v="2024"/>
    <s v="Oct"/>
    <s v="Tue"/>
    <s v="CUST-100"/>
    <s v="PROD-020"/>
    <s v="Consumer"/>
    <s v="West"/>
    <x v="5"/>
    <x v="4"/>
    <n v="10"/>
    <n v="120"/>
    <n v="1200"/>
    <n v="120"/>
    <s v="Large Order"/>
    <s v="Weekday"/>
  </r>
  <r>
    <s v="ORD-1781"/>
    <d v="2024-04-15T00:00:00"/>
    <n v="2024"/>
    <s v="Apr"/>
    <s v="Mon"/>
    <s v="CUST-183"/>
    <s v="PROD-011"/>
    <s v="Home Office"/>
    <s v="Central"/>
    <x v="2"/>
    <x v="2"/>
    <n v="12"/>
    <n v="120"/>
    <n v="1440"/>
    <n v="144"/>
    <s v="Large Order"/>
    <s v="Weekday"/>
  </r>
  <r>
    <s v="ORD-1782"/>
    <d v="2024-08-20T00:00:00"/>
    <n v="2024"/>
    <s v="Aug"/>
    <s v="Tue"/>
    <s v="CUST-142"/>
    <s v="PROD-020"/>
    <s v="Home Office"/>
    <s v="South"/>
    <x v="5"/>
    <x v="3"/>
    <n v="16"/>
    <n v="120"/>
    <n v="1920"/>
    <n v="192"/>
    <s v="Large Order"/>
    <s v="Weekday"/>
  </r>
  <r>
    <s v="ORD-1783"/>
    <d v="2024-08-19T00:00:00"/>
    <n v="2024"/>
    <s v="Aug"/>
    <s v="Mon"/>
    <s v="CUST-114"/>
    <s v="PROD-001"/>
    <s v="Consumer"/>
    <s v="North"/>
    <x v="4"/>
    <x v="3"/>
    <n v="11"/>
    <n v="120"/>
    <n v="1320"/>
    <n v="132"/>
    <s v="Large Order"/>
    <s v="Weekday"/>
  </r>
  <r>
    <s v="ORD-1784"/>
    <d v="2024-10-07T00:00:00"/>
    <n v="2024"/>
    <s v="Oct"/>
    <s v="Mon"/>
    <s v="CUST-166"/>
    <s v="PROD-002"/>
    <s v="Corporate"/>
    <s v="South"/>
    <x v="0"/>
    <x v="1"/>
    <n v="6"/>
    <n v="120"/>
    <n v="720"/>
    <n v="72"/>
    <s v="Large Order"/>
    <s v="Weekday"/>
  </r>
  <r>
    <s v="ORD-1785"/>
    <d v="2024-02-24T00:00:00"/>
    <n v="2024"/>
    <s v="Feb"/>
    <s v="Sat"/>
    <s v="CUST-132"/>
    <s v="PROD-007"/>
    <s v="Home Office"/>
    <s v="East"/>
    <x v="4"/>
    <x v="1"/>
    <n v="4"/>
    <n v="120"/>
    <n v="480"/>
    <n v="48"/>
    <s v="Standard Order"/>
    <s v="Weekend"/>
  </r>
  <r>
    <s v="ORD-1786"/>
    <d v="2024-04-20T00:00:00"/>
    <n v="2024"/>
    <s v="Apr"/>
    <s v="Sat"/>
    <s v="CUST-158"/>
    <s v="PROD-004"/>
    <s v="Consumer"/>
    <s v="West"/>
    <x v="3"/>
    <x v="4"/>
    <n v="14"/>
    <n v="120"/>
    <n v="1680"/>
    <n v="168"/>
    <s v="Large Order"/>
    <s v="Weekend"/>
  </r>
  <r>
    <s v="ORD-1787"/>
    <d v="2024-03-04T00:00:00"/>
    <n v="2024"/>
    <s v="Mar"/>
    <s v="Mon"/>
    <s v="CUST-198"/>
    <s v="PROD-022"/>
    <s v="Corporate"/>
    <s v="North"/>
    <x v="2"/>
    <x v="2"/>
    <n v="19"/>
    <n v="120"/>
    <n v="2280"/>
    <n v="228"/>
    <s v="Large Order"/>
    <s v="Weekday"/>
  </r>
  <r>
    <s v="ORD-1788"/>
    <d v="2024-09-12T00:00:00"/>
    <n v="2024"/>
    <s v="Sep"/>
    <s v="Thu"/>
    <s v="CUST-100"/>
    <s v="PROD-018"/>
    <s v="Home Office"/>
    <s v="Central"/>
    <x v="0"/>
    <x v="1"/>
    <n v="14"/>
    <n v="120"/>
    <n v="1680"/>
    <n v="168"/>
    <s v="Large Order"/>
    <s v="Weekday"/>
  </r>
  <r>
    <s v="ORD-1789"/>
    <d v="2024-09-17T00:00:00"/>
    <n v="2024"/>
    <s v="Sep"/>
    <s v="Tue"/>
    <s v="CUST-199"/>
    <s v="PROD-006"/>
    <s v="Consumer"/>
    <s v="West"/>
    <x v="5"/>
    <x v="4"/>
    <n v="5"/>
    <n v="120"/>
    <n v="600"/>
    <n v="60"/>
    <s v="Large Order"/>
    <s v="Weekday"/>
  </r>
  <r>
    <s v="ORD-1790"/>
    <d v="2024-11-06T00:00:00"/>
    <n v="2024"/>
    <s v="Nov"/>
    <s v="Wed"/>
    <s v="CUST-141"/>
    <s v="PROD-014"/>
    <s v="Home Office"/>
    <s v="East"/>
    <x v="2"/>
    <x v="2"/>
    <n v="20"/>
    <n v="120"/>
    <n v="2400"/>
    <n v="240"/>
    <s v="Large Order"/>
    <s v="Weekday"/>
  </r>
  <r>
    <s v="ORD-1791"/>
    <d v="2024-05-20T00:00:00"/>
    <n v="2024"/>
    <s v="May"/>
    <s v="Mon"/>
    <s v="CUST-150"/>
    <s v="PROD-015"/>
    <s v="Corporate"/>
    <s v="East"/>
    <x v="3"/>
    <x v="4"/>
    <n v="5"/>
    <n v="120"/>
    <n v="600"/>
    <n v="60"/>
    <s v="Large Order"/>
    <s v="Weekday"/>
  </r>
  <r>
    <s v="ORD-1792"/>
    <d v="2024-12-24T00:00:00"/>
    <n v="2024"/>
    <s v="Dec"/>
    <s v="Tue"/>
    <s v="CUST-195"/>
    <s v="PROD-023"/>
    <s v="Home Office"/>
    <s v="South"/>
    <x v="3"/>
    <x v="4"/>
    <n v="18"/>
    <n v="120"/>
    <n v="2160"/>
    <n v="216"/>
    <s v="Large Order"/>
    <s v="Weekday"/>
  </r>
  <r>
    <s v="ORD-1793"/>
    <d v="2024-11-19T00:00:00"/>
    <n v="2024"/>
    <s v="Nov"/>
    <s v="Tue"/>
    <s v="CUST-127"/>
    <s v="PROD-020"/>
    <s v="Consumer"/>
    <s v="Central"/>
    <x v="4"/>
    <x v="2"/>
    <n v="10"/>
    <n v="120"/>
    <n v="1200"/>
    <n v="120"/>
    <s v="Large Order"/>
    <s v="Weekday"/>
  </r>
  <r>
    <s v="ORD-1794"/>
    <d v="2024-12-29T00:00:00"/>
    <n v="2024"/>
    <s v="Dec"/>
    <s v="Sun"/>
    <s v="CUST-183"/>
    <s v="PROD-018"/>
    <s v="Consumer"/>
    <s v="Central"/>
    <x v="5"/>
    <x v="3"/>
    <n v="11"/>
    <n v="120"/>
    <n v="1320"/>
    <n v="132"/>
    <s v="Large Order"/>
    <s v="Weekend"/>
  </r>
  <r>
    <s v="ORD-1795"/>
    <d v="2024-10-14T00:00:00"/>
    <n v="2024"/>
    <s v="Oct"/>
    <s v="Mon"/>
    <s v="CUST-161"/>
    <s v="PROD-022"/>
    <s v="Home Office"/>
    <s v="Central"/>
    <x v="5"/>
    <x v="4"/>
    <n v="14"/>
    <n v="120"/>
    <n v="1680"/>
    <n v="168"/>
    <s v="Large Order"/>
    <s v="Weekday"/>
  </r>
  <r>
    <s v="ORD-1796"/>
    <d v="2024-05-26T00:00:00"/>
    <n v="2024"/>
    <s v="May"/>
    <s v="Sun"/>
    <s v="CUST-154"/>
    <s v="PROD-004"/>
    <s v="Consumer"/>
    <s v="East"/>
    <x v="5"/>
    <x v="0"/>
    <n v="1"/>
    <n v="120"/>
    <n v="120"/>
    <n v="12"/>
    <s v="Standard Order"/>
    <s v="Weekend"/>
  </r>
  <r>
    <s v="ORD-1797"/>
    <d v="2024-12-09T00:00:00"/>
    <n v="2024"/>
    <s v="Dec"/>
    <s v="Mon"/>
    <s v="CUST-107"/>
    <s v="PROD-025"/>
    <s v="Consumer"/>
    <s v="East"/>
    <x v="3"/>
    <x v="3"/>
    <n v="6"/>
    <n v="120"/>
    <n v="720"/>
    <n v="72"/>
    <s v="Large Order"/>
    <s v="Weekday"/>
  </r>
  <r>
    <s v="ORD-1798"/>
    <d v="2024-03-15T00:00:00"/>
    <n v="2024"/>
    <s v="Mar"/>
    <s v="Fri"/>
    <s v="CUST-107"/>
    <s v="PROD-007"/>
    <s v="Home Office"/>
    <s v="Central"/>
    <x v="3"/>
    <x v="1"/>
    <n v="18"/>
    <n v="120"/>
    <n v="2160"/>
    <n v="216"/>
    <s v="Large Order"/>
    <s v="Weekday"/>
  </r>
  <r>
    <s v="ORD-1799"/>
    <d v="2024-02-22T00:00:00"/>
    <n v="2024"/>
    <s v="Feb"/>
    <s v="Thu"/>
    <s v="CUST-178"/>
    <s v="PROD-008"/>
    <s v="Home Office"/>
    <s v="North"/>
    <x v="5"/>
    <x v="4"/>
    <n v="18"/>
    <n v="120"/>
    <n v="2160"/>
    <n v="216"/>
    <s v="Large Order"/>
    <s v="Weekday"/>
  </r>
  <r>
    <s v="ORD-1800"/>
    <d v="2024-12-22T00:00:00"/>
    <n v="2024"/>
    <s v="Dec"/>
    <s v="Sun"/>
    <s v="CUST-136"/>
    <s v="PROD-013"/>
    <s v="Home Office"/>
    <s v="East"/>
    <x v="0"/>
    <x v="3"/>
    <n v="13"/>
    <n v="120"/>
    <n v="1560"/>
    <n v="156"/>
    <s v="Large Order"/>
    <s v="Weekend"/>
  </r>
  <r>
    <s v="ORD-1801"/>
    <d v="2024-10-09T00:00:00"/>
    <n v="2024"/>
    <s v="Oct"/>
    <s v="Wed"/>
    <s v="CUST-106"/>
    <s v="PROD-007"/>
    <s v="Consumer"/>
    <s v="East"/>
    <x v="3"/>
    <x v="1"/>
    <n v="20"/>
    <n v="120"/>
    <n v="2400"/>
    <n v="240"/>
    <s v="Large Order"/>
    <s v="Weekday"/>
  </r>
  <r>
    <s v="ORD-1802"/>
    <d v="2024-04-25T00:00:00"/>
    <n v="2024"/>
    <s v="Apr"/>
    <s v="Thu"/>
    <s v="CUST-181"/>
    <s v="PROD-025"/>
    <s v="Home Office"/>
    <s v="South"/>
    <x v="3"/>
    <x v="4"/>
    <n v="19"/>
    <n v="120"/>
    <n v="2280"/>
    <n v="228"/>
    <s v="Large Order"/>
    <s v="Weekday"/>
  </r>
  <r>
    <s v="ORD-1803"/>
    <d v="2024-04-10T00:00:00"/>
    <n v="2024"/>
    <s v="Apr"/>
    <s v="Wed"/>
    <s v="CUST-199"/>
    <s v="PROD-010"/>
    <s v="Home Office"/>
    <s v="Central"/>
    <x v="4"/>
    <x v="0"/>
    <n v="15"/>
    <n v="120"/>
    <n v="1800"/>
    <n v="180"/>
    <s v="Large Order"/>
    <s v="Weekday"/>
  </r>
  <r>
    <s v="ORD-1804"/>
    <d v="2024-04-05T00:00:00"/>
    <n v="2024"/>
    <s v="Apr"/>
    <s v="Fri"/>
    <s v="CUST-122"/>
    <s v="PROD-004"/>
    <s v="Home Office"/>
    <s v="South"/>
    <x v="5"/>
    <x v="3"/>
    <n v="13"/>
    <n v="120"/>
    <n v="1560"/>
    <n v="156"/>
    <s v="Large Order"/>
    <s v="Weekday"/>
  </r>
  <r>
    <s v="ORD-1805"/>
    <d v="2024-10-11T00:00:00"/>
    <n v="2024"/>
    <s v="Oct"/>
    <s v="Fri"/>
    <s v="CUST-133"/>
    <s v="PROD-019"/>
    <s v="Consumer"/>
    <s v="South"/>
    <x v="4"/>
    <x v="1"/>
    <n v="9"/>
    <n v="120"/>
    <n v="1080"/>
    <n v="108"/>
    <s v="Large Order"/>
    <s v="Weekday"/>
  </r>
  <r>
    <s v="ORD-1806"/>
    <d v="2024-12-29T00:00:00"/>
    <n v="2024"/>
    <s v="Dec"/>
    <s v="Sun"/>
    <s v="CUST-119"/>
    <s v="PROD-011"/>
    <s v="Consumer"/>
    <s v="Central"/>
    <x v="4"/>
    <x v="4"/>
    <n v="20"/>
    <n v="120"/>
    <n v="2400"/>
    <n v="240"/>
    <s v="Large Order"/>
    <s v="Weekend"/>
  </r>
  <r>
    <s v="ORD-1807"/>
    <d v="2024-12-04T00:00:00"/>
    <n v="2024"/>
    <s v="Dec"/>
    <s v="Wed"/>
    <s v="CUST-138"/>
    <s v="PROD-018"/>
    <s v="Corporate"/>
    <s v="Central"/>
    <x v="5"/>
    <x v="3"/>
    <n v="12"/>
    <n v="120"/>
    <n v="1440"/>
    <n v="144"/>
    <s v="Large Order"/>
    <s v="Weekday"/>
  </r>
  <r>
    <s v="ORD-1808"/>
    <d v="2024-09-26T00:00:00"/>
    <n v="2024"/>
    <s v="Sep"/>
    <s v="Thu"/>
    <s v="CUST-128"/>
    <s v="PROD-003"/>
    <s v="Consumer"/>
    <s v="East"/>
    <x v="5"/>
    <x v="4"/>
    <n v="17"/>
    <n v="120"/>
    <n v="2040"/>
    <n v="204"/>
    <s v="Large Order"/>
    <s v="Weekday"/>
  </r>
  <r>
    <s v="ORD-1809"/>
    <d v="2024-10-01T00:00:00"/>
    <n v="2024"/>
    <s v="Oct"/>
    <s v="Tue"/>
    <s v="CUST-151"/>
    <s v="PROD-008"/>
    <s v="Consumer"/>
    <s v="Central"/>
    <x v="3"/>
    <x v="3"/>
    <n v="7"/>
    <n v="120"/>
    <n v="840"/>
    <n v="84"/>
    <s v="Large Order"/>
    <s v="Weekday"/>
  </r>
  <r>
    <s v="ORD-1810"/>
    <d v="2024-07-03T00:00:00"/>
    <n v="2024"/>
    <s v="Jul"/>
    <s v="Wed"/>
    <s v="CUST-137"/>
    <s v="PROD-017"/>
    <s v="Consumer"/>
    <s v="West"/>
    <x v="5"/>
    <x v="0"/>
    <n v="16"/>
    <n v="120"/>
    <n v="1920"/>
    <n v="192"/>
    <s v="Large Order"/>
    <s v="Weekday"/>
  </r>
  <r>
    <s v="ORD-1811"/>
    <d v="2024-02-28T00:00:00"/>
    <n v="2024"/>
    <s v="Feb"/>
    <s v="Wed"/>
    <s v="CUST-185"/>
    <s v="PROD-008"/>
    <s v="Corporate"/>
    <s v="West"/>
    <x v="2"/>
    <x v="2"/>
    <n v="20"/>
    <n v="120"/>
    <n v="2400"/>
    <n v="240"/>
    <s v="Large Order"/>
    <s v="Weekday"/>
  </r>
  <r>
    <s v="ORD-1812"/>
    <d v="2024-01-21T00:00:00"/>
    <n v="2024"/>
    <s v="Jan"/>
    <s v="Sun"/>
    <s v="CUST-187"/>
    <s v="PROD-004"/>
    <s v="Corporate"/>
    <s v="Central"/>
    <x v="2"/>
    <x v="3"/>
    <n v="13"/>
    <n v="120"/>
    <n v="1560"/>
    <n v="156"/>
    <s v="Large Order"/>
    <s v="Weekend"/>
  </r>
  <r>
    <s v="ORD-1813"/>
    <d v="2024-01-13T00:00:00"/>
    <n v="2024"/>
    <s v="Jan"/>
    <s v="Sat"/>
    <s v="CUST-166"/>
    <s v="PROD-017"/>
    <s v="Corporate"/>
    <s v="Central"/>
    <x v="5"/>
    <x v="3"/>
    <n v="15"/>
    <n v="120"/>
    <n v="1800"/>
    <n v="180"/>
    <s v="Large Order"/>
    <s v="Weekend"/>
  </r>
  <r>
    <s v="ORD-1814"/>
    <d v="2024-11-29T00:00:00"/>
    <n v="2024"/>
    <s v="Nov"/>
    <s v="Fri"/>
    <s v="CUST-124"/>
    <s v="PROD-003"/>
    <s v="Corporate"/>
    <s v="North"/>
    <x v="5"/>
    <x v="4"/>
    <n v="4"/>
    <n v="120"/>
    <n v="480"/>
    <n v="48"/>
    <s v="Standard Order"/>
    <s v="Weekday"/>
  </r>
  <r>
    <s v="ORD-1815"/>
    <d v="2024-09-30T00:00:00"/>
    <n v="2024"/>
    <s v="Sep"/>
    <s v="Mon"/>
    <s v="CUST-100"/>
    <s v="PROD-007"/>
    <s v="Home Office"/>
    <s v="West"/>
    <x v="0"/>
    <x v="1"/>
    <n v="7"/>
    <n v="120"/>
    <n v="840"/>
    <n v="84"/>
    <s v="Large Order"/>
    <s v="Weekday"/>
  </r>
  <r>
    <s v="ORD-1816"/>
    <d v="2024-02-23T00:00:00"/>
    <n v="2024"/>
    <s v="Feb"/>
    <s v="Fri"/>
    <s v="CUST-126"/>
    <s v="PROD-021"/>
    <s v="Home Office"/>
    <s v="East"/>
    <x v="2"/>
    <x v="2"/>
    <n v="3"/>
    <n v="120"/>
    <n v="360"/>
    <n v="36"/>
    <s v="Standard Order"/>
    <s v="Weekday"/>
  </r>
  <r>
    <s v="ORD-1817"/>
    <d v="2024-01-13T00:00:00"/>
    <n v="2024"/>
    <s v="Jan"/>
    <s v="Sat"/>
    <s v="CUST-158"/>
    <s v="PROD-002"/>
    <s v="Home Office"/>
    <s v="Central"/>
    <x v="3"/>
    <x v="2"/>
    <n v="3"/>
    <n v="120"/>
    <n v="360"/>
    <n v="36"/>
    <s v="Standard Order"/>
    <s v="Weekend"/>
  </r>
  <r>
    <s v="ORD-1818"/>
    <d v="2024-05-08T00:00:00"/>
    <n v="2024"/>
    <s v="May"/>
    <s v="Wed"/>
    <s v="CUST-171"/>
    <s v="PROD-008"/>
    <s v="Consumer"/>
    <s v="East"/>
    <x v="5"/>
    <x v="1"/>
    <n v="9"/>
    <n v="120"/>
    <n v="1080"/>
    <n v="108"/>
    <s v="Large Order"/>
    <s v="Weekday"/>
  </r>
  <r>
    <s v="ORD-1819"/>
    <d v="2024-11-18T00:00:00"/>
    <n v="2024"/>
    <s v="Nov"/>
    <s v="Mon"/>
    <s v="CUST-151"/>
    <s v="PROD-001"/>
    <s v="Corporate"/>
    <s v="Central"/>
    <x v="3"/>
    <x v="4"/>
    <n v="13"/>
    <n v="120"/>
    <n v="1560"/>
    <n v="156"/>
    <s v="Large Order"/>
    <s v="Weekday"/>
  </r>
  <r>
    <s v="ORD-1820"/>
    <d v="2024-01-04T00:00:00"/>
    <n v="2024"/>
    <s v="Jan"/>
    <s v="Thu"/>
    <s v="CUST-182"/>
    <s v="PROD-003"/>
    <s v="Home Office"/>
    <s v="East"/>
    <x v="5"/>
    <x v="0"/>
    <n v="19"/>
    <n v="120"/>
    <n v="2280"/>
    <n v="228"/>
    <s v="Large Order"/>
    <s v="Weekday"/>
  </r>
  <r>
    <s v="ORD-1821"/>
    <d v="2024-07-02T00:00:00"/>
    <n v="2024"/>
    <s v="Jul"/>
    <s v="Tue"/>
    <s v="CUST-164"/>
    <s v="PROD-022"/>
    <s v="Consumer"/>
    <s v="North"/>
    <x v="3"/>
    <x v="3"/>
    <n v="10"/>
    <n v="120"/>
    <n v="1200"/>
    <n v="120"/>
    <s v="Large Order"/>
    <s v="Weekday"/>
  </r>
  <r>
    <s v="ORD-1822"/>
    <d v="2024-08-12T00:00:00"/>
    <n v="2024"/>
    <s v="Aug"/>
    <s v="Mon"/>
    <s v="CUST-148"/>
    <s v="PROD-016"/>
    <s v="Corporate"/>
    <s v="South"/>
    <x v="0"/>
    <x v="2"/>
    <n v="6"/>
    <n v="120"/>
    <n v="720"/>
    <n v="72"/>
    <s v="Large Order"/>
    <s v="Weekday"/>
  </r>
  <r>
    <s v="ORD-1823"/>
    <d v="2024-07-19T00:00:00"/>
    <n v="2024"/>
    <s v="Jul"/>
    <s v="Fri"/>
    <s v="CUST-169"/>
    <s v="PROD-010"/>
    <s v="Corporate"/>
    <s v="North"/>
    <x v="4"/>
    <x v="0"/>
    <n v="12"/>
    <n v="120"/>
    <n v="1440"/>
    <n v="144"/>
    <s v="Large Order"/>
    <s v="Weekday"/>
  </r>
  <r>
    <s v="ORD-1824"/>
    <d v="2024-10-10T00:00:00"/>
    <n v="2024"/>
    <s v="Oct"/>
    <s v="Thu"/>
    <s v="CUST-171"/>
    <s v="PROD-002"/>
    <s v="Consumer"/>
    <s v="East"/>
    <x v="0"/>
    <x v="1"/>
    <n v="1"/>
    <n v="120"/>
    <n v="120"/>
    <n v="12"/>
    <s v="Standard Order"/>
    <s v="Weekday"/>
  </r>
  <r>
    <s v="ORD-1825"/>
    <d v="2024-10-02T00:00:00"/>
    <n v="2024"/>
    <s v="Oct"/>
    <s v="Wed"/>
    <s v="CUST-170"/>
    <s v="PROD-007"/>
    <s v="Consumer"/>
    <s v="South"/>
    <x v="3"/>
    <x v="4"/>
    <n v="12"/>
    <n v="120"/>
    <n v="1440"/>
    <n v="144"/>
    <s v="Large Order"/>
    <s v="Weekday"/>
  </r>
  <r>
    <s v="ORD-1826"/>
    <d v="2024-03-13T00:00:00"/>
    <n v="2024"/>
    <s v="Mar"/>
    <s v="Wed"/>
    <s v="CUST-120"/>
    <s v="PROD-020"/>
    <s v="Consumer"/>
    <s v="Central"/>
    <x v="4"/>
    <x v="2"/>
    <n v="9"/>
    <n v="120"/>
    <n v="1080"/>
    <n v="108"/>
    <s v="Large Order"/>
    <s v="Weekday"/>
  </r>
  <r>
    <s v="ORD-1827"/>
    <d v="2024-12-09T00:00:00"/>
    <n v="2024"/>
    <s v="Dec"/>
    <s v="Mon"/>
    <s v="CUST-172"/>
    <s v="PROD-015"/>
    <s v="Consumer"/>
    <s v="Central"/>
    <x v="5"/>
    <x v="0"/>
    <n v="18"/>
    <n v="120"/>
    <n v="2160"/>
    <n v="216"/>
    <s v="Large Order"/>
    <s v="Weekday"/>
  </r>
  <r>
    <s v="ORD-1828"/>
    <d v="2024-05-08T00:00:00"/>
    <n v="2024"/>
    <s v="May"/>
    <s v="Wed"/>
    <s v="CUST-112"/>
    <s v="PROD-016"/>
    <s v="Consumer"/>
    <s v="North"/>
    <x v="5"/>
    <x v="2"/>
    <n v="11"/>
    <n v="120"/>
    <n v="1320"/>
    <n v="132"/>
    <s v="Large Order"/>
    <s v="Weekday"/>
  </r>
  <r>
    <s v="ORD-1829"/>
    <d v="2024-02-21T00:00:00"/>
    <n v="2024"/>
    <s v="Feb"/>
    <s v="Wed"/>
    <s v="CUST-136"/>
    <s v="PROD-007"/>
    <s v="Home Office"/>
    <s v="Central"/>
    <x v="0"/>
    <x v="3"/>
    <n v="11"/>
    <n v="120"/>
    <n v="1320"/>
    <n v="132"/>
    <s v="Large Order"/>
    <s v="Weekday"/>
  </r>
  <r>
    <s v="ORD-1830"/>
    <d v="2024-11-11T00:00:00"/>
    <n v="2024"/>
    <s v="Nov"/>
    <s v="Mon"/>
    <s v="CUST-184"/>
    <s v="PROD-005"/>
    <s v="Corporate"/>
    <s v="East"/>
    <x v="5"/>
    <x v="3"/>
    <n v="19"/>
    <n v="120"/>
    <n v="2280"/>
    <n v="228"/>
    <s v="Large Order"/>
    <s v="Weekday"/>
  </r>
  <r>
    <s v="ORD-1831"/>
    <d v="2024-08-07T00:00:00"/>
    <n v="2024"/>
    <s v="Aug"/>
    <s v="Wed"/>
    <s v="CUST-121"/>
    <s v="PROD-008"/>
    <s v="Consumer"/>
    <s v="East"/>
    <x v="3"/>
    <x v="1"/>
    <n v="8"/>
    <n v="120"/>
    <n v="960"/>
    <n v="96"/>
    <s v="Large Order"/>
    <s v="Weekday"/>
  </r>
  <r>
    <s v="ORD-1832"/>
    <d v="2024-05-21T00:00:00"/>
    <n v="2024"/>
    <s v="May"/>
    <s v="Tue"/>
    <s v="CUST-146"/>
    <s v="PROD-016"/>
    <s v="Consumer"/>
    <s v="South"/>
    <x v="3"/>
    <x v="3"/>
    <n v="15"/>
    <n v="120"/>
    <n v="1800"/>
    <n v="180"/>
    <s v="Large Order"/>
    <s v="Weekday"/>
  </r>
  <r>
    <s v="ORD-1833"/>
    <d v="2024-09-06T00:00:00"/>
    <n v="2024"/>
    <s v="Sep"/>
    <s v="Fri"/>
    <s v="CUST-170"/>
    <s v="PROD-021"/>
    <s v="Consumer"/>
    <s v="East"/>
    <x v="4"/>
    <x v="3"/>
    <n v="20"/>
    <n v="120"/>
    <n v="2400"/>
    <n v="240"/>
    <s v="Large Order"/>
    <s v="Weekday"/>
  </r>
  <r>
    <s v="ORD-1834"/>
    <d v="2024-03-12T00:00:00"/>
    <n v="2024"/>
    <s v="Mar"/>
    <s v="Tue"/>
    <s v="CUST-168"/>
    <s v="PROD-024"/>
    <s v="Consumer"/>
    <s v="Central"/>
    <x v="3"/>
    <x v="0"/>
    <n v="3"/>
    <n v="120"/>
    <n v="360"/>
    <n v="36"/>
    <s v="Standard Order"/>
    <s v="Weekday"/>
  </r>
  <r>
    <s v="ORD-1835"/>
    <d v="2024-09-16T00:00:00"/>
    <n v="2024"/>
    <s v="Sep"/>
    <s v="Mon"/>
    <s v="CUST-180"/>
    <s v="PROD-019"/>
    <s v="Consumer"/>
    <s v="Central"/>
    <x v="5"/>
    <x v="2"/>
    <n v="13"/>
    <n v="120"/>
    <n v="1560"/>
    <n v="156"/>
    <s v="Large Order"/>
    <s v="Weekday"/>
  </r>
  <r>
    <s v="ORD-1836"/>
    <d v="2024-01-19T00:00:00"/>
    <n v="2024"/>
    <s v="Jan"/>
    <s v="Fri"/>
    <s v="CUST-170"/>
    <s v="PROD-018"/>
    <s v="Corporate"/>
    <s v="Central"/>
    <x v="5"/>
    <x v="2"/>
    <n v="16"/>
    <n v="120"/>
    <n v="1920"/>
    <n v="192"/>
    <s v="Large Order"/>
    <s v="Weekday"/>
  </r>
  <r>
    <s v="ORD-1837"/>
    <d v="2024-07-06T00:00:00"/>
    <n v="2024"/>
    <s v="Jul"/>
    <s v="Sat"/>
    <s v="CUST-150"/>
    <s v="PROD-024"/>
    <s v="Consumer"/>
    <s v="East"/>
    <x v="5"/>
    <x v="4"/>
    <n v="10"/>
    <n v="120"/>
    <n v="1200"/>
    <n v="120"/>
    <s v="Large Order"/>
    <s v="Weekend"/>
  </r>
  <r>
    <s v="ORD-1838"/>
    <d v="2024-09-18T00:00:00"/>
    <n v="2024"/>
    <s v="Sep"/>
    <s v="Wed"/>
    <s v="CUST-111"/>
    <s v="PROD-017"/>
    <s v="Corporate"/>
    <s v="South"/>
    <x v="3"/>
    <x v="4"/>
    <n v="1"/>
    <n v="120"/>
    <n v="120"/>
    <n v="12"/>
    <s v="Standard Order"/>
    <s v="Weekday"/>
  </r>
  <r>
    <s v="ORD-1839"/>
    <d v="2024-12-16T00:00:00"/>
    <n v="2024"/>
    <s v="Dec"/>
    <s v="Mon"/>
    <s v="CUST-121"/>
    <s v="PROD-015"/>
    <s v="Home Office"/>
    <s v="West"/>
    <x v="4"/>
    <x v="4"/>
    <n v="6"/>
    <n v="120"/>
    <n v="720"/>
    <n v="72"/>
    <s v="Large Order"/>
    <s v="Weekday"/>
  </r>
  <r>
    <s v="ORD-1840"/>
    <d v="2024-12-03T00:00:00"/>
    <n v="2024"/>
    <s v="Dec"/>
    <s v="Tue"/>
    <s v="CUST-118"/>
    <s v="PROD-012"/>
    <s v="Home Office"/>
    <s v="East"/>
    <x v="2"/>
    <x v="1"/>
    <n v="2"/>
    <n v="120"/>
    <n v="240"/>
    <n v="24"/>
    <s v="Standard Order"/>
    <s v="Weekday"/>
  </r>
  <r>
    <s v="ORD-1841"/>
    <d v="2024-04-28T00:00:00"/>
    <n v="2024"/>
    <s v="Apr"/>
    <s v="Sun"/>
    <s v="CUST-108"/>
    <s v="PROD-008"/>
    <s v="Corporate"/>
    <s v="West"/>
    <x v="3"/>
    <x v="4"/>
    <n v="2"/>
    <n v="120"/>
    <n v="240"/>
    <n v="24"/>
    <s v="Standard Order"/>
    <s v="Weekend"/>
  </r>
  <r>
    <s v="ORD-1842"/>
    <d v="2024-07-03T00:00:00"/>
    <n v="2024"/>
    <s v="Jul"/>
    <s v="Wed"/>
    <s v="CUST-149"/>
    <s v="PROD-002"/>
    <s v="Corporate"/>
    <s v="East"/>
    <x v="2"/>
    <x v="3"/>
    <n v="2"/>
    <n v="120"/>
    <n v="240"/>
    <n v="24"/>
    <s v="Standard Order"/>
    <s v="Weekday"/>
  </r>
  <r>
    <s v="ORD-1843"/>
    <d v="2024-02-22T00:00:00"/>
    <n v="2024"/>
    <s v="Feb"/>
    <s v="Thu"/>
    <s v="CUST-190"/>
    <s v="PROD-024"/>
    <s v="Home Office"/>
    <s v="West"/>
    <x v="3"/>
    <x v="4"/>
    <n v="9"/>
    <n v="120"/>
    <n v="1080"/>
    <n v="108"/>
    <s v="Large Order"/>
    <s v="Weekday"/>
  </r>
  <r>
    <s v="ORD-1844"/>
    <d v="2024-03-30T00:00:00"/>
    <n v="2024"/>
    <s v="Mar"/>
    <s v="Sat"/>
    <s v="CUST-148"/>
    <s v="PROD-012"/>
    <s v="Home Office"/>
    <s v="South"/>
    <x v="2"/>
    <x v="0"/>
    <n v="19"/>
    <n v="120"/>
    <n v="2280"/>
    <n v="228"/>
    <s v="Large Order"/>
    <s v="Weekend"/>
  </r>
  <r>
    <s v="ORD-1845"/>
    <d v="2024-09-21T00:00:00"/>
    <n v="2024"/>
    <s v="Sep"/>
    <s v="Sat"/>
    <s v="CUST-132"/>
    <s v="PROD-017"/>
    <s v="Corporate"/>
    <s v="North"/>
    <x v="4"/>
    <x v="3"/>
    <n v="13"/>
    <n v="120"/>
    <n v="1560"/>
    <n v="156"/>
    <s v="Large Order"/>
    <s v="Weekend"/>
  </r>
  <r>
    <s v="ORD-1846"/>
    <d v="2024-09-06T00:00:00"/>
    <n v="2024"/>
    <s v="Sep"/>
    <s v="Fri"/>
    <s v="CUST-161"/>
    <s v="PROD-017"/>
    <s v="Home Office"/>
    <s v="East"/>
    <x v="0"/>
    <x v="2"/>
    <n v="5"/>
    <n v="120"/>
    <n v="600"/>
    <n v="60"/>
    <s v="Large Order"/>
    <s v="Weekday"/>
  </r>
  <r>
    <s v="ORD-1847"/>
    <d v="2024-02-09T00:00:00"/>
    <n v="2024"/>
    <s v="Feb"/>
    <s v="Fri"/>
    <s v="CUST-165"/>
    <s v="PROD-007"/>
    <s v="Home Office"/>
    <s v="South"/>
    <x v="3"/>
    <x v="3"/>
    <n v="5"/>
    <n v="120"/>
    <n v="600"/>
    <n v="60"/>
    <s v="Large Order"/>
    <s v="Weekday"/>
  </r>
  <r>
    <s v="ORD-1848"/>
    <d v="2024-11-04T00:00:00"/>
    <n v="2024"/>
    <s v="Nov"/>
    <s v="Mon"/>
    <s v="CUST-191"/>
    <s v="PROD-014"/>
    <s v="Consumer"/>
    <s v="South"/>
    <x v="4"/>
    <x v="1"/>
    <n v="11"/>
    <n v="120"/>
    <n v="1320"/>
    <n v="132"/>
    <s v="Large Order"/>
    <s v="Weekday"/>
  </r>
  <r>
    <s v="ORD-1849"/>
    <d v="2024-12-11T00:00:00"/>
    <n v="2024"/>
    <s v="Dec"/>
    <s v="Wed"/>
    <s v="CUST-161"/>
    <s v="PROD-019"/>
    <s v="Corporate"/>
    <s v="South"/>
    <x v="4"/>
    <x v="1"/>
    <n v="6"/>
    <n v="120"/>
    <n v="720"/>
    <n v="72"/>
    <s v="Large Order"/>
    <s v="Weekday"/>
  </r>
  <r>
    <s v="ORD-1850"/>
    <d v="2024-01-12T00:00:00"/>
    <n v="2024"/>
    <s v="Jan"/>
    <s v="Fri"/>
    <s v="CUST-131"/>
    <s v="PROD-019"/>
    <s v="Consumer"/>
    <s v="North"/>
    <x v="4"/>
    <x v="4"/>
    <n v="19"/>
    <n v="120"/>
    <n v="2280"/>
    <n v="228"/>
    <s v="Large Order"/>
    <s v="Weekday"/>
  </r>
  <r>
    <s v="ORD-1851"/>
    <d v="2024-01-21T00:00:00"/>
    <n v="2024"/>
    <s v="Jan"/>
    <s v="Sun"/>
    <s v="CUST-173"/>
    <s v="PROD-006"/>
    <s v="Consumer"/>
    <s v="North"/>
    <x v="0"/>
    <x v="4"/>
    <n v="9"/>
    <n v="120"/>
    <n v="1080"/>
    <n v="108"/>
    <s v="Large Order"/>
    <s v="Weekend"/>
  </r>
  <r>
    <s v="ORD-1852"/>
    <d v="2024-07-26T00:00:00"/>
    <n v="2024"/>
    <s v="Jul"/>
    <s v="Fri"/>
    <s v="CUST-176"/>
    <s v="PROD-024"/>
    <s v="Home Office"/>
    <s v="West"/>
    <x v="0"/>
    <x v="2"/>
    <n v="10"/>
    <n v="120"/>
    <n v="1200"/>
    <n v="120"/>
    <s v="Large Order"/>
    <s v="Weekday"/>
  </r>
  <r>
    <s v="ORD-1853"/>
    <d v="2024-08-17T00:00:00"/>
    <n v="2024"/>
    <s v="Aug"/>
    <s v="Sat"/>
    <s v="CUST-177"/>
    <s v="PROD-006"/>
    <s v="Corporate"/>
    <s v="Central"/>
    <x v="2"/>
    <x v="4"/>
    <n v="8"/>
    <n v="120"/>
    <n v="960"/>
    <n v="96"/>
    <s v="Large Order"/>
    <s v="Weekend"/>
  </r>
  <r>
    <s v="ORD-1854"/>
    <d v="2024-03-14T00:00:00"/>
    <n v="2024"/>
    <s v="Mar"/>
    <s v="Thu"/>
    <s v="CUST-174"/>
    <s v="PROD-022"/>
    <s v="Consumer"/>
    <s v="North"/>
    <x v="5"/>
    <x v="3"/>
    <n v="17"/>
    <n v="120"/>
    <n v="2040"/>
    <n v="204"/>
    <s v="Large Order"/>
    <s v="Weekday"/>
  </r>
  <r>
    <s v="ORD-1855"/>
    <d v="2024-08-20T00:00:00"/>
    <n v="2024"/>
    <s v="Aug"/>
    <s v="Tue"/>
    <s v="CUST-176"/>
    <s v="PROD-008"/>
    <s v="Home Office"/>
    <s v="Central"/>
    <x v="0"/>
    <x v="0"/>
    <n v="13"/>
    <n v="120"/>
    <n v="1560"/>
    <n v="156"/>
    <s v="Large Order"/>
    <s v="Weekday"/>
  </r>
  <r>
    <s v="ORD-1856"/>
    <d v="2024-01-09T00:00:00"/>
    <n v="2024"/>
    <s v="Jan"/>
    <s v="Tue"/>
    <s v="CUST-125"/>
    <s v="PROD-022"/>
    <s v="Home Office"/>
    <s v="Central"/>
    <x v="5"/>
    <x v="4"/>
    <n v="14"/>
    <n v="120"/>
    <n v="1680"/>
    <n v="168"/>
    <s v="Large Order"/>
    <s v="Weekday"/>
  </r>
  <r>
    <s v="ORD-1857"/>
    <d v="2024-02-19T00:00:00"/>
    <n v="2024"/>
    <s v="Feb"/>
    <s v="Mon"/>
    <s v="CUST-122"/>
    <s v="PROD-020"/>
    <s v="Corporate"/>
    <s v="North"/>
    <x v="5"/>
    <x v="4"/>
    <n v="2"/>
    <n v="120"/>
    <n v="240"/>
    <n v="24"/>
    <s v="Standard Order"/>
    <s v="Weekday"/>
  </r>
  <r>
    <s v="ORD-1858"/>
    <d v="2024-09-14T00:00:00"/>
    <n v="2024"/>
    <s v="Sep"/>
    <s v="Sat"/>
    <s v="CUST-196"/>
    <s v="PROD-016"/>
    <s v="Consumer"/>
    <s v="West"/>
    <x v="0"/>
    <x v="4"/>
    <n v="5"/>
    <n v="120"/>
    <n v="600"/>
    <n v="60"/>
    <s v="Large Order"/>
    <s v="Weekend"/>
  </r>
  <r>
    <s v="ORD-1859"/>
    <d v="2024-01-01T00:00:00"/>
    <n v="2024"/>
    <s v="Jan"/>
    <s v="Mon"/>
    <s v="CUST-199"/>
    <s v="PROD-017"/>
    <s v="Home Office"/>
    <s v="South"/>
    <x v="2"/>
    <x v="0"/>
    <n v="14"/>
    <n v="120"/>
    <n v="1680"/>
    <n v="168"/>
    <s v="Large Order"/>
    <s v="Weekday"/>
  </r>
  <r>
    <s v="ORD-1860"/>
    <d v="2024-12-23T00:00:00"/>
    <n v="2024"/>
    <s v="Dec"/>
    <s v="Mon"/>
    <s v="CUST-167"/>
    <s v="PROD-016"/>
    <s v="Corporate"/>
    <s v="East"/>
    <x v="4"/>
    <x v="4"/>
    <n v="13"/>
    <n v="120"/>
    <n v="1560"/>
    <n v="156"/>
    <s v="Large Order"/>
    <s v="Weekday"/>
  </r>
  <r>
    <s v="ORD-1861"/>
    <d v="2024-02-20T00:00:00"/>
    <n v="2024"/>
    <s v="Feb"/>
    <s v="Tue"/>
    <s v="CUST-154"/>
    <s v="PROD-016"/>
    <s v="Consumer"/>
    <s v="West"/>
    <x v="3"/>
    <x v="0"/>
    <n v="8"/>
    <n v="120"/>
    <n v="960"/>
    <n v="96"/>
    <s v="Large Order"/>
    <s v="Weekday"/>
  </r>
  <r>
    <s v="ORD-1862"/>
    <d v="2024-05-25T00:00:00"/>
    <n v="2024"/>
    <s v="May"/>
    <s v="Sat"/>
    <s v="CUST-176"/>
    <s v="PROD-009"/>
    <s v="Home Office"/>
    <s v="Central"/>
    <x v="2"/>
    <x v="0"/>
    <n v="7"/>
    <n v="120"/>
    <n v="840"/>
    <n v="84"/>
    <s v="Large Order"/>
    <s v="Weekend"/>
  </r>
  <r>
    <s v="ORD-1863"/>
    <d v="2024-10-22T00:00:00"/>
    <n v="2024"/>
    <s v="Oct"/>
    <s v="Tue"/>
    <s v="CUST-166"/>
    <s v="PROD-001"/>
    <s v="Consumer"/>
    <s v="South"/>
    <x v="5"/>
    <x v="3"/>
    <n v="13"/>
    <n v="120"/>
    <n v="1560"/>
    <n v="156"/>
    <s v="Large Order"/>
    <s v="Weekday"/>
  </r>
  <r>
    <s v="ORD-1864"/>
    <d v="2024-07-28T00:00:00"/>
    <n v="2024"/>
    <s v="Jul"/>
    <s v="Sun"/>
    <s v="CUST-146"/>
    <s v="PROD-014"/>
    <s v="Consumer"/>
    <s v="Central"/>
    <x v="4"/>
    <x v="4"/>
    <n v="19"/>
    <n v="120"/>
    <n v="2280"/>
    <n v="228"/>
    <s v="Large Order"/>
    <s v="Weekend"/>
  </r>
  <r>
    <s v="ORD-1865"/>
    <d v="2024-08-04T00:00:00"/>
    <n v="2024"/>
    <s v="Aug"/>
    <s v="Sun"/>
    <s v="CUST-172"/>
    <s v="PROD-009"/>
    <s v="Corporate"/>
    <s v="West"/>
    <x v="5"/>
    <x v="1"/>
    <n v="13"/>
    <n v="120"/>
    <n v="1560"/>
    <n v="156"/>
    <s v="Large Order"/>
    <s v="Weekend"/>
  </r>
  <r>
    <s v="ORD-1866"/>
    <d v="2024-10-09T00:00:00"/>
    <n v="2024"/>
    <s v="Oct"/>
    <s v="Wed"/>
    <s v="CUST-200"/>
    <s v="PROD-006"/>
    <s v="Home Office"/>
    <s v="East"/>
    <x v="2"/>
    <x v="1"/>
    <n v="12"/>
    <n v="120"/>
    <n v="1440"/>
    <n v="144"/>
    <s v="Large Order"/>
    <s v="Weekday"/>
  </r>
  <r>
    <s v="ORD-1867"/>
    <d v="2024-05-09T00:00:00"/>
    <n v="2024"/>
    <s v="May"/>
    <s v="Thu"/>
    <s v="CUST-139"/>
    <s v="PROD-025"/>
    <s v="Home Office"/>
    <s v="South"/>
    <x v="3"/>
    <x v="0"/>
    <n v="13"/>
    <n v="120"/>
    <n v="1560"/>
    <n v="156"/>
    <s v="Large Order"/>
    <s v="Weekday"/>
  </r>
  <r>
    <s v="ORD-1868"/>
    <d v="2024-04-27T00:00:00"/>
    <n v="2024"/>
    <s v="Apr"/>
    <s v="Sat"/>
    <s v="CUST-157"/>
    <s v="PROD-004"/>
    <s v="Home Office"/>
    <s v="North"/>
    <x v="4"/>
    <x v="3"/>
    <n v="7"/>
    <n v="120"/>
    <n v="840"/>
    <n v="84"/>
    <s v="Large Order"/>
    <s v="Weekend"/>
  </r>
  <r>
    <s v="ORD-1869"/>
    <d v="2024-10-08T00:00:00"/>
    <n v="2024"/>
    <s v="Oct"/>
    <s v="Tue"/>
    <s v="CUST-178"/>
    <s v="PROD-006"/>
    <s v="Home Office"/>
    <s v="Central"/>
    <x v="0"/>
    <x v="0"/>
    <n v="13"/>
    <n v="120"/>
    <n v="1560"/>
    <n v="156"/>
    <s v="Large Order"/>
    <s v="Weekday"/>
  </r>
  <r>
    <s v="ORD-1870"/>
    <d v="2024-02-16T00:00:00"/>
    <n v="2024"/>
    <s v="Feb"/>
    <s v="Fri"/>
    <s v="CUST-118"/>
    <s v="PROD-014"/>
    <s v="Corporate"/>
    <s v="North"/>
    <x v="5"/>
    <x v="2"/>
    <n v="3"/>
    <n v="120"/>
    <n v="360"/>
    <n v="36"/>
    <s v="Standard Order"/>
    <s v="Weekday"/>
  </r>
  <r>
    <s v="ORD-1871"/>
    <d v="2024-07-08T00:00:00"/>
    <n v="2024"/>
    <s v="Jul"/>
    <s v="Mon"/>
    <s v="CUST-110"/>
    <s v="PROD-024"/>
    <s v="Home Office"/>
    <s v="East"/>
    <x v="0"/>
    <x v="1"/>
    <n v="13"/>
    <n v="120"/>
    <n v="1560"/>
    <n v="156"/>
    <s v="Large Order"/>
    <s v="Weekday"/>
  </r>
  <r>
    <s v="ORD-1872"/>
    <d v="2024-11-10T00:00:00"/>
    <n v="2024"/>
    <s v="Nov"/>
    <s v="Sun"/>
    <s v="CUST-183"/>
    <s v="PROD-023"/>
    <s v="Home Office"/>
    <s v="North"/>
    <x v="3"/>
    <x v="2"/>
    <n v="20"/>
    <n v="120"/>
    <n v="2400"/>
    <n v="240"/>
    <s v="Large Order"/>
    <s v="Weekend"/>
  </r>
  <r>
    <s v="ORD-1873"/>
    <d v="2024-11-23T00:00:00"/>
    <n v="2024"/>
    <s v="Nov"/>
    <s v="Sat"/>
    <s v="CUST-163"/>
    <s v="PROD-007"/>
    <s v="Corporate"/>
    <s v="South"/>
    <x v="0"/>
    <x v="0"/>
    <n v="17"/>
    <n v="120"/>
    <n v="2040"/>
    <n v="204"/>
    <s v="Large Order"/>
    <s v="Weekend"/>
  </r>
  <r>
    <s v="ORD-1874"/>
    <d v="2024-11-02T00:00:00"/>
    <n v="2024"/>
    <s v="Nov"/>
    <s v="Sat"/>
    <s v="CUST-165"/>
    <s v="PROD-020"/>
    <s v="Home Office"/>
    <s v="South"/>
    <x v="4"/>
    <x v="3"/>
    <n v="6"/>
    <n v="120"/>
    <n v="720"/>
    <n v="72"/>
    <s v="Large Order"/>
    <s v="Weekend"/>
  </r>
  <r>
    <s v="ORD-1875"/>
    <d v="2024-05-02T00:00:00"/>
    <n v="2024"/>
    <s v="May"/>
    <s v="Thu"/>
    <s v="CUST-183"/>
    <s v="PROD-003"/>
    <s v="Consumer"/>
    <s v="Central"/>
    <x v="4"/>
    <x v="3"/>
    <n v="9"/>
    <n v="120"/>
    <n v="1080"/>
    <n v="108"/>
    <s v="Large Order"/>
    <s v="Weekday"/>
  </r>
  <r>
    <s v="ORD-1876"/>
    <d v="2024-12-08T00:00:00"/>
    <n v="2024"/>
    <s v="Dec"/>
    <s v="Sun"/>
    <s v="CUST-150"/>
    <s v="PROD-007"/>
    <s v="Corporate"/>
    <s v="Central"/>
    <x v="5"/>
    <x v="0"/>
    <n v="17"/>
    <n v="120"/>
    <n v="2040"/>
    <n v="204"/>
    <s v="Large Order"/>
    <s v="Weekend"/>
  </r>
  <r>
    <s v="ORD-1877"/>
    <d v="2024-02-16T00:00:00"/>
    <n v="2024"/>
    <s v="Feb"/>
    <s v="Fri"/>
    <s v="CUST-170"/>
    <s v="PROD-019"/>
    <s v="Corporate"/>
    <s v="West"/>
    <x v="5"/>
    <x v="3"/>
    <n v="12"/>
    <n v="120"/>
    <n v="1440"/>
    <n v="144"/>
    <s v="Large Order"/>
    <s v="Weekday"/>
  </r>
  <r>
    <s v="ORD-1878"/>
    <d v="2024-04-25T00:00:00"/>
    <n v="2024"/>
    <s v="Apr"/>
    <s v="Thu"/>
    <s v="CUST-177"/>
    <s v="PROD-013"/>
    <s v="Consumer"/>
    <s v="Central"/>
    <x v="2"/>
    <x v="2"/>
    <n v="19"/>
    <n v="120"/>
    <n v="2280"/>
    <n v="228"/>
    <s v="Large Order"/>
    <s v="Weekday"/>
  </r>
  <r>
    <s v="ORD-1879"/>
    <d v="2024-07-27T00:00:00"/>
    <n v="2024"/>
    <s v="Jul"/>
    <s v="Sat"/>
    <s v="CUST-164"/>
    <s v="PROD-003"/>
    <s v="Consumer"/>
    <s v="Central"/>
    <x v="5"/>
    <x v="0"/>
    <n v="17"/>
    <n v="120"/>
    <n v="2040"/>
    <n v="204"/>
    <s v="Large Order"/>
    <s v="Weekend"/>
  </r>
  <r>
    <s v="ORD-1880"/>
    <d v="2024-09-19T00:00:00"/>
    <n v="2024"/>
    <s v="Sep"/>
    <s v="Thu"/>
    <s v="CUST-132"/>
    <s v="PROD-009"/>
    <s v="Home Office"/>
    <s v="East"/>
    <x v="5"/>
    <x v="4"/>
    <n v="15"/>
    <n v="120"/>
    <n v="1800"/>
    <n v="180"/>
    <s v="Large Order"/>
    <s v="Weekday"/>
  </r>
  <r>
    <s v="ORD-1881"/>
    <d v="2024-09-04T00:00:00"/>
    <n v="2024"/>
    <s v="Sep"/>
    <s v="Wed"/>
    <s v="CUST-198"/>
    <s v="PROD-025"/>
    <s v="Consumer"/>
    <s v="East"/>
    <x v="3"/>
    <x v="4"/>
    <n v="15"/>
    <n v="120"/>
    <n v="1800"/>
    <n v="180"/>
    <s v="Large Order"/>
    <s v="Weekday"/>
  </r>
  <r>
    <s v="ORD-1882"/>
    <d v="2024-01-15T00:00:00"/>
    <n v="2024"/>
    <s v="Jan"/>
    <s v="Mon"/>
    <s v="CUST-161"/>
    <s v="PROD-003"/>
    <s v="Consumer"/>
    <s v="East"/>
    <x v="3"/>
    <x v="2"/>
    <n v="13"/>
    <n v="120"/>
    <n v="1560"/>
    <n v="156"/>
    <s v="Large Order"/>
    <s v="Weekday"/>
  </r>
  <r>
    <s v="ORD-1883"/>
    <d v="2024-12-12T00:00:00"/>
    <n v="2024"/>
    <s v="Dec"/>
    <s v="Thu"/>
    <s v="CUST-189"/>
    <s v="PROD-014"/>
    <s v="Consumer"/>
    <s v="East"/>
    <x v="3"/>
    <x v="0"/>
    <n v="12"/>
    <n v="120"/>
    <n v="1440"/>
    <n v="144"/>
    <s v="Large Order"/>
    <s v="Weekday"/>
  </r>
  <r>
    <s v="ORD-1884"/>
    <d v="2024-12-24T00:00:00"/>
    <n v="2024"/>
    <s v="Dec"/>
    <s v="Tue"/>
    <s v="CUST-133"/>
    <s v="PROD-003"/>
    <s v="Consumer"/>
    <s v="West"/>
    <x v="3"/>
    <x v="3"/>
    <n v="13"/>
    <n v="120"/>
    <n v="1560"/>
    <n v="156"/>
    <s v="Large Order"/>
    <s v="Weekday"/>
  </r>
  <r>
    <s v="ORD-1885"/>
    <d v="2024-02-08T00:00:00"/>
    <n v="2024"/>
    <s v="Feb"/>
    <s v="Thu"/>
    <s v="CUST-170"/>
    <s v="PROD-011"/>
    <s v="Consumer"/>
    <s v="South"/>
    <x v="2"/>
    <x v="4"/>
    <n v="12"/>
    <n v="120"/>
    <n v="1440"/>
    <n v="144"/>
    <s v="Large Order"/>
    <s v="Weekday"/>
  </r>
  <r>
    <s v="ORD-1886"/>
    <d v="2024-05-17T00:00:00"/>
    <n v="2024"/>
    <s v="May"/>
    <s v="Fri"/>
    <s v="CUST-123"/>
    <s v="PROD-016"/>
    <s v="Home Office"/>
    <s v="South"/>
    <x v="4"/>
    <x v="2"/>
    <n v="7"/>
    <n v="120"/>
    <n v="840"/>
    <n v="84"/>
    <s v="Large Order"/>
    <s v="Weekday"/>
  </r>
  <r>
    <s v="ORD-1887"/>
    <d v="2024-05-15T00:00:00"/>
    <n v="2024"/>
    <s v="May"/>
    <s v="Wed"/>
    <s v="CUST-126"/>
    <s v="PROD-008"/>
    <s v="Consumer"/>
    <s v="West"/>
    <x v="4"/>
    <x v="0"/>
    <n v="20"/>
    <n v="120"/>
    <n v="2400"/>
    <n v="240"/>
    <s v="Large Order"/>
    <s v="Weekday"/>
  </r>
  <r>
    <s v="ORD-1888"/>
    <d v="2024-03-02T00:00:00"/>
    <n v="2024"/>
    <s v="Mar"/>
    <s v="Sat"/>
    <s v="CUST-110"/>
    <s v="PROD-020"/>
    <s v="Home Office"/>
    <s v="Central"/>
    <x v="2"/>
    <x v="4"/>
    <n v="1"/>
    <n v="120"/>
    <n v="120"/>
    <n v="12"/>
    <s v="Standard Order"/>
    <s v="Weekend"/>
  </r>
  <r>
    <s v="ORD-1889"/>
    <d v="2024-01-22T00:00:00"/>
    <n v="2024"/>
    <s v="Jan"/>
    <s v="Mon"/>
    <s v="CUST-161"/>
    <s v="PROD-011"/>
    <s v="Corporate"/>
    <s v="Central"/>
    <x v="5"/>
    <x v="4"/>
    <n v="16"/>
    <n v="120"/>
    <n v="1920"/>
    <n v="192"/>
    <s v="Large Order"/>
    <s v="Weekday"/>
  </r>
  <r>
    <s v="ORD-1890"/>
    <d v="2024-05-20T00:00:00"/>
    <n v="2024"/>
    <s v="May"/>
    <s v="Mon"/>
    <s v="CUST-162"/>
    <s v="PROD-009"/>
    <s v="Consumer"/>
    <s v="West"/>
    <x v="5"/>
    <x v="4"/>
    <n v="13"/>
    <n v="120"/>
    <n v="1560"/>
    <n v="156"/>
    <s v="Large Order"/>
    <s v="Weekday"/>
  </r>
  <r>
    <s v="ORD-1891"/>
    <d v="2024-03-06T00:00:00"/>
    <n v="2024"/>
    <s v="Mar"/>
    <s v="Wed"/>
    <s v="CUST-106"/>
    <s v="PROD-016"/>
    <s v="Home Office"/>
    <s v="West"/>
    <x v="2"/>
    <x v="3"/>
    <n v="18"/>
    <n v="120"/>
    <n v="2160"/>
    <n v="216"/>
    <s v="Large Order"/>
    <s v="Weekday"/>
  </r>
  <r>
    <s v="ORD-1892"/>
    <d v="2024-07-20T00:00:00"/>
    <n v="2024"/>
    <s v="Jul"/>
    <s v="Sat"/>
    <s v="CUST-187"/>
    <s v="PROD-004"/>
    <s v="Consumer"/>
    <s v="West"/>
    <x v="2"/>
    <x v="0"/>
    <n v="17"/>
    <n v="120"/>
    <n v="2040"/>
    <n v="204"/>
    <s v="Large Order"/>
    <s v="Weekend"/>
  </r>
  <r>
    <s v="ORD-1893"/>
    <d v="2024-01-07T00:00:00"/>
    <n v="2024"/>
    <s v="Jan"/>
    <s v="Sun"/>
    <s v="CUST-186"/>
    <s v="PROD-019"/>
    <s v="Consumer"/>
    <s v="East"/>
    <x v="2"/>
    <x v="4"/>
    <n v="4"/>
    <n v="120"/>
    <n v="480"/>
    <n v="48"/>
    <s v="Standard Order"/>
    <s v="Weekend"/>
  </r>
  <r>
    <s v="ORD-1894"/>
    <d v="2024-05-12T00:00:00"/>
    <n v="2024"/>
    <s v="May"/>
    <s v="Sun"/>
    <s v="CUST-123"/>
    <s v="PROD-008"/>
    <s v="Home Office"/>
    <s v="West"/>
    <x v="3"/>
    <x v="4"/>
    <n v="9"/>
    <n v="120"/>
    <n v="1080"/>
    <n v="108"/>
    <s v="Large Order"/>
    <s v="Weekend"/>
  </r>
  <r>
    <s v="ORD-1895"/>
    <d v="2024-06-24T00:00:00"/>
    <n v="2024"/>
    <s v="Jun"/>
    <s v="Mon"/>
    <s v="CUST-146"/>
    <s v="PROD-014"/>
    <s v="Consumer"/>
    <s v="West"/>
    <x v="2"/>
    <x v="3"/>
    <n v="7"/>
    <n v="120"/>
    <n v="840"/>
    <n v="84"/>
    <s v="Large Order"/>
    <s v="Weekday"/>
  </r>
  <r>
    <s v="ORD-1896"/>
    <d v="2024-07-05T00:00:00"/>
    <n v="2024"/>
    <s v="Jul"/>
    <s v="Fri"/>
    <s v="CUST-151"/>
    <s v="PROD-006"/>
    <s v="Corporate"/>
    <s v="East"/>
    <x v="2"/>
    <x v="4"/>
    <n v="19"/>
    <n v="120"/>
    <n v="2280"/>
    <n v="228"/>
    <s v="Large Order"/>
    <s v="Weekday"/>
  </r>
  <r>
    <s v="ORD-1897"/>
    <d v="2024-12-17T00:00:00"/>
    <n v="2024"/>
    <s v="Dec"/>
    <s v="Tue"/>
    <s v="CUST-129"/>
    <s v="PROD-008"/>
    <s v="Consumer"/>
    <s v="South"/>
    <x v="3"/>
    <x v="1"/>
    <n v="18"/>
    <n v="120"/>
    <n v="2160"/>
    <n v="216"/>
    <s v="Large Order"/>
    <s v="Weekday"/>
  </r>
  <r>
    <s v="ORD-1898"/>
    <d v="2024-04-10T00:00:00"/>
    <n v="2024"/>
    <s v="Apr"/>
    <s v="Wed"/>
    <s v="CUST-118"/>
    <s v="PROD-016"/>
    <s v="Home Office"/>
    <s v="Central"/>
    <x v="4"/>
    <x v="1"/>
    <n v="1"/>
    <n v="120"/>
    <n v="120"/>
    <n v="12"/>
    <s v="Standard Order"/>
    <s v="Weekday"/>
  </r>
  <r>
    <s v="ORD-1899"/>
    <d v="2024-03-09T00:00:00"/>
    <n v="2024"/>
    <s v="Mar"/>
    <s v="Sat"/>
    <s v="CUST-180"/>
    <s v="PROD-024"/>
    <s v="Home Office"/>
    <s v="North"/>
    <x v="5"/>
    <x v="3"/>
    <n v="11"/>
    <n v="120"/>
    <n v="1320"/>
    <n v="132"/>
    <s v="Large Order"/>
    <s v="Weekend"/>
  </r>
  <r>
    <s v="ORD-1900"/>
    <d v="2024-05-08T00:00:00"/>
    <n v="2024"/>
    <s v="May"/>
    <s v="Wed"/>
    <s v="CUST-171"/>
    <s v="PROD-013"/>
    <s v="Home Office"/>
    <s v="North"/>
    <x v="0"/>
    <x v="0"/>
    <n v="4"/>
    <n v="120"/>
    <n v="480"/>
    <n v="48"/>
    <s v="Standard Order"/>
    <s v="Weekday"/>
  </r>
  <r>
    <s v="ORD-1901"/>
    <d v="2024-04-20T00:00:00"/>
    <n v="2024"/>
    <s v="Apr"/>
    <s v="Sat"/>
    <s v="CUST-132"/>
    <s v="PROD-015"/>
    <s v="Corporate"/>
    <s v="East"/>
    <x v="0"/>
    <x v="3"/>
    <n v="11"/>
    <n v="120"/>
    <n v="1320"/>
    <n v="132"/>
    <s v="Large Order"/>
    <s v="Weekend"/>
  </r>
  <r>
    <s v="ORD-1902"/>
    <d v="2024-10-13T00:00:00"/>
    <n v="2024"/>
    <s v="Oct"/>
    <s v="Sun"/>
    <s v="CUST-171"/>
    <s v="PROD-001"/>
    <s v="Corporate"/>
    <s v="Central"/>
    <x v="3"/>
    <x v="4"/>
    <n v="14"/>
    <n v="120"/>
    <n v="1680"/>
    <n v="168"/>
    <s v="Large Order"/>
    <s v="Weekend"/>
  </r>
  <r>
    <s v="ORD-1903"/>
    <d v="2024-04-11T00:00:00"/>
    <n v="2024"/>
    <s v="Apr"/>
    <s v="Thu"/>
    <s v="CUST-173"/>
    <s v="PROD-006"/>
    <s v="Home Office"/>
    <s v="West"/>
    <x v="5"/>
    <x v="4"/>
    <n v="10"/>
    <n v="120"/>
    <n v="1200"/>
    <n v="120"/>
    <s v="Large Order"/>
    <s v="Weekday"/>
  </r>
  <r>
    <s v="ORD-1904"/>
    <d v="2024-09-06T00:00:00"/>
    <n v="2024"/>
    <s v="Sep"/>
    <s v="Fri"/>
    <s v="CUST-199"/>
    <s v="PROD-003"/>
    <s v="Home Office"/>
    <s v="East"/>
    <x v="2"/>
    <x v="1"/>
    <n v="13"/>
    <n v="120"/>
    <n v="1560"/>
    <n v="156"/>
    <s v="Large Order"/>
    <s v="Weekday"/>
  </r>
  <r>
    <s v="ORD-1905"/>
    <d v="2024-11-19T00:00:00"/>
    <n v="2024"/>
    <s v="Nov"/>
    <s v="Tue"/>
    <s v="CUST-118"/>
    <s v="PROD-014"/>
    <s v="Consumer"/>
    <s v="South"/>
    <x v="3"/>
    <x v="0"/>
    <n v="20"/>
    <n v="120"/>
    <n v="2400"/>
    <n v="240"/>
    <s v="Large Order"/>
    <s v="Weekday"/>
  </r>
  <r>
    <s v="ORD-1906"/>
    <d v="2024-02-10T00:00:00"/>
    <n v="2024"/>
    <s v="Feb"/>
    <s v="Sat"/>
    <s v="CUST-120"/>
    <s v="PROD-011"/>
    <s v="Corporate"/>
    <s v="East"/>
    <x v="4"/>
    <x v="3"/>
    <n v="11"/>
    <n v="120"/>
    <n v="1320"/>
    <n v="132"/>
    <s v="Large Order"/>
    <s v="Weekend"/>
  </r>
  <r>
    <s v="ORD-1907"/>
    <d v="2024-11-05T00:00:00"/>
    <n v="2024"/>
    <s v="Nov"/>
    <s v="Tue"/>
    <s v="CUST-182"/>
    <s v="PROD-015"/>
    <s v="Corporate"/>
    <s v="South"/>
    <x v="3"/>
    <x v="4"/>
    <n v="12"/>
    <n v="120"/>
    <n v="1440"/>
    <n v="144"/>
    <s v="Large Order"/>
    <s v="Weekday"/>
  </r>
  <r>
    <s v="ORD-1908"/>
    <d v="2024-08-18T00:00:00"/>
    <n v="2024"/>
    <s v="Aug"/>
    <s v="Sun"/>
    <s v="CUST-152"/>
    <s v="PROD-001"/>
    <s v="Consumer"/>
    <s v="South"/>
    <x v="4"/>
    <x v="3"/>
    <n v="5"/>
    <n v="120"/>
    <n v="600"/>
    <n v="60"/>
    <s v="Large Order"/>
    <s v="Weekend"/>
  </r>
  <r>
    <s v="ORD-1909"/>
    <d v="2024-12-24T00:00:00"/>
    <n v="2024"/>
    <s v="Dec"/>
    <s v="Tue"/>
    <s v="CUST-195"/>
    <s v="PROD-006"/>
    <s v="Consumer"/>
    <s v="North"/>
    <x v="4"/>
    <x v="0"/>
    <n v="13"/>
    <n v="120"/>
    <n v="1560"/>
    <n v="156"/>
    <s v="Large Order"/>
    <s v="Weekday"/>
  </r>
  <r>
    <s v="ORD-1910"/>
    <d v="2024-08-30T00:00:00"/>
    <n v="2024"/>
    <s v="Aug"/>
    <s v="Fri"/>
    <s v="CUST-170"/>
    <s v="PROD-025"/>
    <s v="Consumer"/>
    <s v="South"/>
    <x v="0"/>
    <x v="0"/>
    <n v="13"/>
    <n v="120"/>
    <n v="1560"/>
    <n v="156"/>
    <s v="Large Order"/>
    <s v="Weekday"/>
  </r>
  <r>
    <s v="ORD-1911"/>
    <d v="2024-02-23T00:00:00"/>
    <n v="2024"/>
    <s v="Feb"/>
    <s v="Fri"/>
    <s v="CUST-133"/>
    <s v="PROD-003"/>
    <s v="Home Office"/>
    <s v="South"/>
    <x v="4"/>
    <x v="2"/>
    <n v="13"/>
    <n v="120"/>
    <n v="1560"/>
    <n v="156"/>
    <s v="Large Order"/>
    <s v="Weekday"/>
  </r>
  <r>
    <s v="ORD-1912"/>
    <d v="2024-05-25T00:00:00"/>
    <n v="2024"/>
    <s v="May"/>
    <s v="Sat"/>
    <s v="CUST-156"/>
    <s v="PROD-005"/>
    <s v="Home Office"/>
    <s v="East"/>
    <x v="4"/>
    <x v="0"/>
    <n v="17"/>
    <n v="120"/>
    <n v="2040"/>
    <n v="204"/>
    <s v="Large Order"/>
    <s v="Weekend"/>
  </r>
  <r>
    <s v="ORD-1913"/>
    <d v="2024-01-18T00:00:00"/>
    <n v="2024"/>
    <s v="Jan"/>
    <s v="Thu"/>
    <s v="CUST-184"/>
    <s v="PROD-016"/>
    <s v="Corporate"/>
    <s v="South"/>
    <x v="3"/>
    <x v="4"/>
    <n v="15"/>
    <n v="120"/>
    <n v="1800"/>
    <n v="180"/>
    <s v="Large Order"/>
    <s v="Weekday"/>
  </r>
  <r>
    <s v="ORD-1914"/>
    <d v="2024-05-19T00:00:00"/>
    <n v="2024"/>
    <s v="May"/>
    <s v="Sun"/>
    <s v="CUST-170"/>
    <s v="PROD-023"/>
    <s v="Corporate"/>
    <s v="Central"/>
    <x v="4"/>
    <x v="4"/>
    <n v="18"/>
    <n v="120"/>
    <n v="2160"/>
    <n v="216"/>
    <s v="Large Order"/>
    <s v="Weekend"/>
  </r>
  <r>
    <s v="ORD-1915"/>
    <d v="2024-08-21T00:00:00"/>
    <n v="2024"/>
    <s v="Aug"/>
    <s v="Wed"/>
    <s v="CUST-180"/>
    <s v="PROD-014"/>
    <s v="Home Office"/>
    <s v="Central"/>
    <x v="5"/>
    <x v="4"/>
    <n v="17"/>
    <n v="120"/>
    <n v="2040"/>
    <n v="204"/>
    <s v="Large Order"/>
    <s v="Weekday"/>
  </r>
  <r>
    <s v="ORD-1916"/>
    <d v="2024-06-07T00:00:00"/>
    <n v="2024"/>
    <s v="Jun"/>
    <s v="Fri"/>
    <s v="CUST-144"/>
    <s v="PROD-008"/>
    <s v="Corporate"/>
    <s v="East"/>
    <x v="5"/>
    <x v="3"/>
    <n v="3"/>
    <n v="120"/>
    <n v="360"/>
    <n v="36"/>
    <s v="Standard Order"/>
    <s v="Weekday"/>
  </r>
  <r>
    <s v="ORD-1917"/>
    <d v="2024-07-30T00:00:00"/>
    <n v="2024"/>
    <s v="Jul"/>
    <s v="Tue"/>
    <s v="CUST-133"/>
    <s v="PROD-001"/>
    <s v="Consumer"/>
    <s v="Central"/>
    <x v="3"/>
    <x v="2"/>
    <n v="1"/>
    <n v="120"/>
    <n v="120"/>
    <n v="12"/>
    <s v="Standard Order"/>
    <s v="Weekday"/>
  </r>
  <r>
    <s v="ORD-1918"/>
    <d v="2024-06-25T00:00:00"/>
    <n v="2024"/>
    <s v="Jun"/>
    <s v="Tue"/>
    <s v="CUST-136"/>
    <s v="PROD-001"/>
    <s v="Corporate"/>
    <s v="East"/>
    <x v="5"/>
    <x v="1"/>
    <n v="16"/>
    <n v="120"/>
    <n v="1920"/>
    <n v="192"/>
    <s v="Large Order"/>
    <s v="Weekday"/>
  </r>
  <r>
    <s v="ORD-1919"/>
    <d v="2024-06-02T00:00:00"/>
    <n v="2024"/>
    <s v="Jun"/>
    <s v="Sun"/>
    <s v="CUST-101"/>
    <s v="PROD-020"/>
    <s v="Corporate"/>
    <s v="Central"/>
    <x v="3"/>
    <x v="4"/>
    <n v="8"/>
    <n v="120"/>
    <n v="960"/>
    <n v="96"/>
    <s v="Large Order"/>
    <s v="Weekend"/>
  </r>
  <r>
    <s v="ORD-1920"/>
    <d v="2024-07-10T00:00:00"/>
    <n v="2024"/>
    <s v="Jul"/>
    <s v="Wed"/>
    <s v="CUST-124"/>
    <s v="PROD-014"/>
    <s v="Corporate"/>
    <s v="North"/>
    <x v="5"/>
    <x v="1"/>
    <n v="13"/>
    <n v="120"/>
    <n v="1560"/>
    <n v="156"/>
    <s v="Large Order"/>
    <s v="Weekday"/>
  </r>
  <r>
    <s v="ORD-1921"/>
    <d v="2024-07-12T00:00:00"/>
    <n v="2024"/>
    <s v="Jul"/>
    <s v="Fri"/>
    <s v="CUST-128"/>
    <s v="PROD-014"/>
    <s v="Corporate"/>
    <s v="East"/>
    <x v="0"/>
    <x v="4"/>
    <n v="8"/>
    <n v="120"/>
    <n v="960"/>
    <n v="96"/>
    <s v="Large Order"/>
    <s v="Weekday"/>
  </r>
  <r>
    <s v="ORD-1922"/>
    <d v="2024-12-21T00:00:00"/>
    <n v="2024"/>
    <s v="Dec"/>
    <s v="Sat"/>
    <s v="CUST-187"/>
    <s v="PROD-021"/>
    <s v="Corporate"/>
    <s v="South"/>
    <x v="3"/>
    <x v="1"/>
    <n v="18"/>
    <n v="120"/>
    <n v="2160"/>
    <n v="216"/>
    <s v="Large Order"/>
    <s v="Weekend"/>
  </r>
  <r>
    <s v="ORD-1923"/>
    <d v="2024-04-06T00:00:00"/>
    <n v="2024"/>
    <s v="Apr"/>
    <s v="Sat"/>
    <s v="CUST-108"/>
    <s v="PROD-010"/>
    <s v="Consumer"/>
    <s v="Central"/>
    <x v="4"/>
    <x v="4"/>
    <n v="4"/>
    <n v="120"/>
    <n v="480"/>
    <n v="48"/>
    <s v="Standard Order"/>
    <s v="Weekend"/>
  </r>
  <r>
    <s v="ORD-1924"/>
    <d v="2024-08-19T00:00:00"/>
    <n v="2024"/>
    <s v="Aug"/>
    <s v="Mon"/>
    <s v="CUST-134"/>
    <s v="PROD-016"/>
    <s v="Home Office"/>
    <s v="South"/>
    <x v="5"/>
    <x v="2"/>
    <n v="7"/>
    <n v="120"/>
    <n v="840"/>
    <n v="84"/>
    <s v="Large Order"/>
    <s v="Weekday"/>
  </r>
  <r>
    <s v="ORD-1925"/>
    <d v="2024-01-26T00:00:00"/>
    <n v="2024"/>
    <s v="Jan"/>
    <s v="Fri"/>
    <s v="CUST-168"/>
    <s v="PROD-004"/>
    <s v="Consumer"/>
    <s v="South"/>
    <x v="4"/>
    <x v="1"/>
    <n v="10"/>
    <n v="120"/>
    <n v="1200"/>
    <n v="120"/>
    <s v="Large Order"/>
    <s v="Weekday"/>
  </r>
  <r>
    <s v="ORD-1926"/>
    <d v="2024-01-05T00:00:00"/>
    <n v="2024"/>
    <s v="Jan"/>
    <s v="Fri"/>
    <s v="CUST-129"/>
    <s v="PROD-001"/>
    <s v="Consumer"/>
    <s v="East"/>
    <x v="4"/>
    <x v="1"/>
    <n v="16"/>
    <n v="120"/>
    <n v="1920"/>
    <n v="192"/>
    <s v="Large Order"/>
    <s v="Weekday"/>
  </r>
  <r>
    <s v="ORD-1927"/>
    <d v="2024-06-08T00:00:00"/>
    <n v="2024"/>
    <s v="Jun"/>
    <s v="Sat"/>
    <s v="CUST-200"/>
    <s v="PROD-015"/>
    <s v="Corporate"/>
    <s v="North"/>
    <x v="3"/>
    <x v="2"/>
    <n v="2"/>
    <n v="120"/>
    <n v="240"/>
    <n v="24"/>
    <s v="Standard Order"/>
    <s v="Weekend"/>
  </r>
  <r>
    <s v="ORD-1928"/>
    <d v="2024-01-29T00:00:00"/>
    <n v="2024"/>
    <s v="Jan"/>
    <s v="Mon"/>
    <s v="CUST-134"/>
    <s v="PROD-018"/>
    <s v="Corporate"/>
    <s v="South"/>
    <x v="0"/>
    <x v="3"/>
    <n v="16"/>
    <n v="120"/>
    <n v="1920"/>
    <n v="192"/>
    <s v="Large Order"/>
    <s v="Weekday"/>
  </r>
  <r>
    <s v="ORD-1929"/>
    <d v="2024-07-14T00:00:00"/>
    <n v="2024"/>
    <s v="Jul"/>
    <s v="Sun"/>
    <s v="CUST-101"/>
    <s v="PROD-013"/>
    <s v="Consumer"/>
    <s v="North"/>
    <x v="4"/>
    <x v="0"/>
    <n v="15"/>
    <n v="120"/>
    <n v="1800"/>
    <n v="180"/>
    <s v="Large Order"/>
    <s v="Weekend"/>
  </r>
  <r>
    <s v="ORD-1930"/>
    <d v="2024-04-11T00:00:00"/>
    <n v="2024"/>
    <s v="Apr"/>
    <s v="Thu"/>
    <s v="CUST-158"/>
    <s v="PROD-017"/>
    <s v="Home Office"/>
    <s v="North"/>
    <x v="0"/>
    <x v="3"/>
    <n v="7"/>
    <n v="120"/>
    <n v="840"/>
    <n v="84"/>
    <s v="Large Order"/>
    <s v="Weekday"/>
  </r>
  <r>
    <s v="ORD-1931"/>
    <d v="2024-06-14T00:00:00"/>
    <n v="2024"/>
    <s v="Jun"/>
    <s v="Fri"/>
    <s v="CUST-120"/>
    <s v="PROD-024"/>
    <s v="Home Office"/>
    <s v="South"/>
    <x v="0"/>
    <x v="3"/>
    <n v="18"/>
    <n v="120"/>
    <n v="2160"/>
    <n v="216"/>
    <s v="Large Order"/>
    <s v="Weekday"/>
  </r>
  <r>
    <s v="ORD-1932"/>
    <d v="2024-09-03T00:00:00"/>
    <n v="2024"/>
    <s v="Sep"/>
    <s v="Tue"/>
    <s v="CUST-181"/>
    <s v="PROD-012"/>
    <s v="Corporate"/>
    <s v="West"/>
    <x v="4"/>
    <x v="2"/>
    <n v="2"/>
    <n v="120"/>
    <n v="240"/>
    <n v="24"/>
    <s v="Standard Order"/>
    <s v="Weekday"/>
  </r>
  <r>
    <s v="ORD-1933"/>
    <d v="2024-02-27T00:00:00"/>
    <n v="2024"/>
    <s v="Feb"/>
    <s v="Tue"/>
    <s v="CUST-130"/>
    <s v="PROD-011"/>
    <s v="Home Office"/>
    <s v="South"/>
    <x v="2"/>
    <x v="3"/>
    <n v="1"/>
    <n v="120"/>
    <n v="120"/>
    <n v="12"/>
    <s v="Standard Order"/>
    <s v="Weekday"/>
  </r>
  <r>
    <s v="ORD-1934"/>
    <d v="2024-10-26T00:00:00"/>
    <n v="2024"/>
    <s v="Oct"/>
    <s v="Sat"/>
    <s v="CUST-115"/>
    <s v="PROD-001"/>
    <s v="Corporate"/>
    <s v="East"/>
    <x v="4"/>
    <x v="1"/>
    <n v="2"/>
    <n v="120"/>
    <n v="240"/>
    <n v="24"/>
    <s v="Standard Order"/>
    <s v="Weekend"/>
  </r>
  <r>
    <s v="ORD-1935"/>
    <d v="2024-12-18T00:00:00"/>
    <n v="2024"/>
    <s v="Dec"/>
    <s v="Wed"/>
    <s v="CUST-176"/>
    <s v="PROD-025"/>
    <s v="Consumer"/>
    <s v="East"/>
    <x v="3"/>
    <x v="1"/>
    <n v="3"/>
    <n v="120"/>
    <n v="360"/>
    <n v="36"/>
    <s v="Standard Order"/>
    <s v="Weekday"/>
  </r>
  <r>
    <s v="ORD-1936"/>
    <d v="2024-02-16T00:00:00"/>
    <n v="2024"/>
    <s v="Feb"/>
    <s v="Fri"/>
    <s v="CUST-187"/>
    <s v="PROD-025"/>
    <s v="Home Office"/>
    <s v="South"/>
    <x v="3"/>
    <x v="2"/>
    <n v="2"/>
    <n v="120"/>
    <n v="240"/>
    <n v="24"/>
    <s v="Standard Order"/>
    <s v="Weekday"/>
  </r>
  <r>
    <s v="ORD-1937"/>
    <d v="2024-12-25T00:00:00"/>
    <n v="2024"/>
    <s v="Dec"/>
    <s v="Wed"/>
    <s v="CUST-168"/>
    <s v="PROD-016"/>
    <s v="Consumer"/>
    <s v="West"/>
    <x v="4"/>
    <x v="4"/>
    <n v="8"/>
    <n v="120"/>
    <n v="960"/>
    <n v="96"/>
    <s v="Large Order"/>
    <s v="Weekday"/>
  </r>
  <r>
    <s v="ORD-1938"/>
    <d v="2024-11-26T00:00:00"/>
    <n v="2024"/>
    <s v="Nov"/>
    <s v="Tue"/>
    <s v="CUST-196"/>
    <s v="PROD-024"/>
    <s v="Corporate"/>
    <s v="East"/>
    <x v="2"/>
    <x v="1"/>
    <n v="7"/>
    <n v="120"/>
    <n v="840"/>
    <n v="84"/>
    <s v="Large Order"/>
    <s v="Weekday"/>
  </r>
  <r>
    <s v="ORD-1939"/>
    <d v="2024-07-02T00:00:00"/>
    <n v="2024"/>
    <s v="Jul"/>
    <s v="Tue"/>
    <s v="CUST-192"/>
    <s v="PROD-002"/>
    <s v="Consumer"/>
    <s v="West"/>
    <x v="3"/>
    <x v="4"/>
    <n v="16"/>
    <n v="120"/>
    <n v="1920"/>
    <n v="192"/>
    <s v="Large Order"/>
    <s v="Weekday"/>
  </r>
  <r>
    <s v="ORD-1940"/>
    <d v="2024-05-30T00:00:00"/>
    <n v="2024"/>
    <s v="May"/>
    <s v="Thu"/>
    <s v="CUST-169"/>
    <s v="PROD-007"/>
    <s v="Home Office"/>
    <s v="East"/>
    <x v="2"/>
    <x v="3"/>
    <n v="19"/>
    <n v="120"/>
    <n v="2280"/>
    <n v="228"/>
    <s v="Large Order"/>
    <s v="Weekday"/>
  </r>
  <r>
    <s v="ORD-1941"/>
    <d v="2024-06-14T00:00:00"/>
    <n v="2024"/>
    <s v="Jun"/>
    <s v="Fri"/>
    <s v="CUST-193"/>
    <s v="PROD-020"/>
    <s v="Corporate"/>
    <s v="East"/>
    <x v="3"/>
    <x v="4"/>
    <n v="18"/>
    <n v="120"/>
    <n v="2160"/>
    <n v="216"/>
    <s v="Large Order"/>
    <s v="Weekday"/>
  </r>
  <r>
    <s v="ORD-1942"/>
    <d v="2024-03-20T00:00:00"/>
    <n v="2024"/>
    <s v="Mar"/>
    <s v="Wed"/>
    <s v="CUST-157"/>
    <s v="PROD-018"/>
    <s v="Corporate"/>
    <s v="North"/>
    <x v="3"/>
    <x v="4"/>
    <n v="12"/>
    <n v="120"/>
    <n v="1440"/>
    <n v="144"/>
    <s v="Large Order"/>
    <s v="Weekday"/>
  </r>
  <r>
    <s v="ORD-1943"/>
    <d v="2024-07-13T00:00:00"/>
    <n v="2024"/>
    <s v="Jul"/>
    <s v="Sat"/>
    <s v="CUST-193"/>
    <s v="PROD-020"/>
    <s v="Consumer"/>
    <s v="Central"/>
    <x v="0"/>
    <x v="2"/>
    <n v="12"/>
    <n v="120"/>
    <n v="1440"/>
    <n v="144"/>
    <s v="Large Order"/>
    <s v="Weekend"/>
  </r>
  <r>
    <s v="ORD-1944"/>
    <d v="2024-06-13T00:00:00"/>
    <n v="2024"/>
    <s v="Jun"/>
    <s v="Thu"/>
    <s v="CUST-192"/>
    <s v="PROD-013"/>
    <s v="Consumer"/>
    <s v="East"/>
    <x v="5"/>
    <x v="1"/>
    <n v="7"/>
    <n v="120"/>
    <n v="840"/>
    <n v="84"/>
    <s v="Large Order"/>
    <s v="Weekday"/>
  </r>
  <r>
    <s v="ORD-1945"/>
    <d v="2024-10-09T00:00:00"/>
    <n v="2024"/>
    <s v="Oct"/>
    <s v="Wed"/>
    <s v="CUST-119"/>
    <s v="PROD-011"/>
    <s v="Home Office"/>
    <s v="North"/>
    <x v="3"/>
    <x v="0"/>
    <n v="14"/>
    <n v="120"/>
    <n v="1680"/>
    <n v="168"/>
    <s v="Large Order"/>
    <s v="Weekday"/>
  </r>
  <r>
    <s v="ORD-1946"/>
    <d v="2024-02-19T00:00:00"/>
    <n v="2024"/>
    <s v="Feb"/>
    <s v="Mon"/>
    <s v="CUST-166"/>
    <s v="PROD-002"/>
    <s v="Home Office"/>
    <s v="South"/>
    <x v="0"/>
    <x v="0"/>
    <n v="5"/>
    <n v="120"/>
    <n v="600"/>
    <n v="60"/>
    <s v="Large Order"/>
    <s v="Weekday"/>
  </r>
  <r>
    <s v="ORD-1947"/>
    <d v="2024-04-13T00:00:00"/>
    <n v="2024"/>
    <s v="Apr"/>
    <s v="Sat"/>
    <s v="CUST-113"/>
    <s v="PROD-004"/>
    <s v="Corporate"/>
    <s v="Central"/>
    <x v="4"/>
    <x v="1"/>
    <n v="2"/>
    <n v="120"/>
    <n v="240"/>
    <n v="24"/>
    <s v="Standard Order"/>
    <s v="Weekend"/>
  </r>
  <r>
    <s v="ORD-1948"/>
    <d v="2024-12-02T00:00:00"/>
    <n v="2024"/>
    <s v="Dec"/>
    <s v="Mon"/>
    <s v="CUST-162"/>
    <s v="PROD-023"/>
    <s v="Home Office"/>
    <s v="North"/>
    <x v="5"/>
    <x v="3"/>
    <n v="19"/>
    <n v="120"/>
    <n v="2280"/>
    <n v="228"/>
    <s v="Large Order"/>
    <s v="Weekday"/>
  </r>
  <r>
    <s v="ORD-1949"/>
    <d v="2024-04-23T00:00:00"/>
    <n v="2024"/>
    <s v="Apr"/>
    <s v="Tue"/>
    <s v="CUST-177"/>
    <s v="PROD-001"/>
    <s v="Home Office"/>
    <s v="East"/>
    <x v="0"/>
    <x v="0"/>
    <n v="7"/>
    <n v="120"/>
    <n v="840"/>
    <n v="84"/>
    <s v="Large Order"/>
    <s v="Weekday"/>
  </r>
  <r>
    <s v="ORD-1950"/>
    <d v="2024-08-27T00:00:00"/>
    <n v="2024"/>
    <s v="Aug"/>
    <s v="Tue"/>
    <s v="CUST-181"/>
    <s v="PROD-018"/>
    <s v="Consumer"/>
    <s v="North"/>
    <x v="3"/>
    <x v="0"/>
    <n v="14"/>
    <n v="120"/>
    <n v="1680"/>
    <n v="168"/>
    <s v="Large Order"/>
    <s v="Weekday"/>
  </r>
  <r>
    <s v="ORD-1951"/>
    <d v="2024-11-11T00:00:00"/>
    <n v="2024"/>
    <s v="Nov"/>
    <s v="Mon"/>
    <s v="CUST-134"/>
    <s v="PROD-024"/>
    <s v="Home Office"/>
    <s v="North"/>
    <x v="0"/>
    <x v="0"/>
    <n v="3"/>
    <n v="120"/>
    <n v="360"/>
    <n v="36"/>
    <s v="Standard Order"/>
    <s v="Weekday"/>
  </r>
  <r>
    <s v="ORD-1952"/>
    <d v="2024-04-20T00:00:00"/>
    <n v="2024"/>
    <s v="Apr"/>
    <s v="Sat"/>
    <s v="CUST-166"/>
    <s v="PROD-024"/>
    <s v="Consumer"/>
    <s v="South"/>
    <x v="0"/>
    <x v="2"/>
    <n v="8"/>
    <n v="120"/>
    <n v="960"/>
    <n v="96"/>
    <s v="Large Order"/>
    <s v="Weekend"/>
  </r>
  <r>
    <s v="ORD-1953"/>
    <d v="2024-04-08T00:00:00"/>
    <n v="2024"/>
    <s v="Apr"/>
    <s v="Mon"/>
    <s v="CUST-167"/>
    <s v="PROD-019"/>
    <s v="Home Office"/>
    <s v="Central"/>
    <x v="4"/>
    <x v="4"/>
    <n v="6"/>
    <n v="120"/>
    <n v="720"/>
    <n v="72"/>
    <s v="Large Order"/>
    <s v="Weekday"/>
  </r>
  <r>
    <s v="ORD-1954"/>
    <d v="2024-07-31T00:00:00"/>
    <n v="2024"/>
    <s v="Jul"/>
    <s v="Wed"/>
    <s v="CUST-195"/>
    <s v="PROD-012"/>
    <s v="Consumer"/>
    <s v="Central"/>
    <x v="5"/>
    <x v="1"/>
    <n v="15"/>
    <n v="120"/>
    <n v="1800"/>
    <n v="180"/>
    <s v="Large Order"/>
    <s v="Weekday"/>
  </r>
  <r>
    <s v="ORD-1955"/>
    <d v="2024-02-23T00:00:00"/>
    <n v="2024"/>
    <s v="Feb"/>
    <s v="Fri"/>
    <s v="CUST-121"/>
    <s v="PROD-013"/>
    <s v="Consumer"/>
    <s v="East"/>
    <x v="5"/>
    <x v="2"/>
    <n v="17"/>
    <n v="120"/>
    <n v="2040"/>
    <n v="204"/>
    <s v="Large Order"/>
    <s v="Weekday"/>
  </r>
  <r>
    <s v="ORD-1956"/>
    <d v="2024-09-30T00:00:00"/>
    <n v="2024"/>
    <s v="Sep"/>
    <s v="Mon"/>
    <s v="CUST-176"/>
    <s v="PROD-011"/>
    <s v="Corporate"/>
    <s v="West"/>
    <x v="3"/>
    <x v="3"/>
    <n v="18"/>
    <n v="120"/>
    <n v="2160"/>
    <n v="216"/>
    <s v="Large Order"/>
    <s v="Weekday"/>
  </r>
  <r>
    <s v="ORD-1957"/>
    <d v="2024-07-09T00:00:00"/>
    <n v="2024"/>
    <s v="Jul"/>
    <s v="Tue"/>
    <s v="CUST-152"/>
    <s v="PROD-024"/>
    <s v="Home Office"/>
    <s v="Central"/>
    <x v="2"/>
    <x v="4"/>
    <n v="11"/>
    <n v="120"/>
    <n v="1320"/>
    <n v="132"/>
    <s v="Large Order"/>
    <s v="Weekday"/>
  </r>
  <r>
    <s v="ORD-1958"/>
    <d v="2024-10-06T00:00:00"/>
    <n v="2024"/>
    <s v="Oct"/>
    <s v="Sun"/>
    <s v="CUST-127"/>
    <s v="PROD-024"/>
    <s v="Corporate"/>
    <s v="North"/>
    <x v="5"/>
    <x v="1"/>
    <n v="9"/>
    <n v="120"/>
    <n v="1080"/>
    <n v="108"/>
    <s v="Large Order"/>
    <s v="Weekend"/>
  </r>
  <r>
    <s v="ORD-1959"/>
    <d v="2024-08-17T00:00:00"/>
    <n v="2024"/>
    <s v="Aug"/>
    <s v="Sat"/>
    <s v="CUST-150"/>
    <s v="PROD-010"/>
    <s v="Consumer"/>
    <s v="South"/>
    <x v="0"/>
    <x v="2"/>
    <n v="20"/>
    <n v="120"/>
    <n v="2400"/>
    <n v="240"/>
    <s v="Large Order"/>
    <s v="Weekend"/>
  </r>
  <r>
    <s v="ORD-1960"/>
    <d v="2024-06-03T00:00:00"/>
    <n v="2024"/>
    <s v="Jun"/>
    <s v="Mon"/>
    <s v="CUST-100"/>
    <s v="PROD-007"/>
    <s v="Corporate"/>
    <s v="Central"/>
    <x v="4"/>
    <x v="3"/>
    <n v="11"/>
    <n v="120"/>
    <n v="1320"/>
    <n v="132"/>
    <s v="Large Order"/>
    <s v="Weekday"/>
  </r>
  <r>
    <s v="ORD-1961"/>
    <d v="2024-10-10T00:00:00"/>
    <n v="2024"/>
    <s v="Oct"/>
    <s v="Thu"/>
    <s v="CUST-165"/>
    <s v="PROD-019"/>
    <s v="Home Office"/>
    <s v="East"/>
    <x v="5"/>
    <x v="1"/>
    <n v="5"/>
    <n v="120"/>
    <n v="600"/>
    <n v="60"/>
    <s v="Large Order"/>
    <s v="Weekday"/>
  </r>
  <r>
    <s v="ORD-1962"/>
    <d v="2024-07-01T00:00:00"/>
    <n v="2024"/>
    <s v="Jul"/>
    <s v="Mon"/>
    <s v="CUST-119"/>
    <s v="PROD-012"/>
    <s v="Consumer"/>
    <s v="West"/>
    <x v="3"/>
    <x v="3"/>
    <n v="19"/>
    <n v="120"/>
    <n v="2280"/>
    <n v="228"/>
    <s v="Large Order"/>
    <s v="Weekday"/>
  </r>
  <r>
    <s v="ORD-1963"/>
    <d v="2024-06-02T00:00:00"/>
    <n v="2024"/>
    <s v="Jun"/>
    <s v="Sun"/>
    <s v="CUST-111"/>
    <s v="PROD-019"/>
    <s v="Home Office"/>
    <s v="Central"/>
    <x v="2"/>
    <x v="3"/>
    <n v="7"/>
    <n v="120"/>
    <n v="840"/>
    <n v="84"/>
    <s v="Large Order"/>
    <s v="Weekend"/>
  </r>
  <r>
    <s v="ORD-1964"/>
    <d v="2024-09-04T00:00:00"/>
    <n v="2024"/>
    <s v="Sep"/>
    <s v="Wed"/>
    <s v="CUST-122"/>
    <s v="PROD-004"/>
    <s v="Corporate"/>
    <s v="North"/>
    <x v="5"/>
    <x v="0"/>
    <n v="20"/>
    <n v="120"/>
    <n v="2400"/>
    <n v="240"/>
    <s v="Large Order"/>
    <s v="Weekday"/>
  </r>
  <r>
    <s v="ORD-1965"/>
    <d v="2024-10-22T00:00:00"/>
    <n v="2024"/>
    <s v="Oct"/>
    <s v="Tue"/>
    <s v="CUST-148"/>
    <s v="PROD-025"/>
    <s v="Consumer"/>
    <s v="Central"/>
    <x v="0"/>
    <x v="1"/>
    <n v="11"/>
    <n v="120"/>
    <n v="1320"/>
    <n v="132"/>
    <s v="Large Order"/>
    <s v="Weekday"/>
  </r>
  <r>
    <s v="ORD-1966"/>
    <d v="2024-08-01T00:00:00"/>
    <n v="2024"/>
    <s v="Aug"/>
    <s v="Thu"/>
    <s v="CUST-115"/>
    <s v="PROD-001"/>
    <s v="Consumer"/>
    <s v="Central"/>
    <x v="5"/>
    <x v="4"/>
    <n v="13"/>
    <n v="120"/>
    <n v="1560"/>
    <n v="156"/>
    <s v="Large Order"/>
    <s v="Weekday"/>
  </r>
  <r>
    <s v="ORD-1967"/>
    <d v="2024-01-22T00:00:00"/>
    <n v="2024"/>
    <s v="Jan"/>
    <s v="Mon"/>
    <s v="CUST-140"/>
    <s v="PROD-005"/>
    <s v="Home Office"/>
    <s v="West"/>
    <x v="5"/>
    <x v="2"/>
    <n v="11"/>
    <n v="120"/>
    <n v="1320"/>
    <n v="132"/>
    <s v="Large Order"/>
    <s v="Weekday"/>
  </r>
  <r>
    <s v="ORD-1968"/>
    <d v="2024-03-19T00:00:00"/>
    <n v="2024"/>
    <s v="Mar"/>
    <s v="Tue"/>
    <s v="CUST-106"/>
    <s v="PROD-015"/>
    <s v="Home Office"/>
    <s v="West"/>
    <x v="2"/>
    <x v="0"/>
    <n v="20"/>
    <n v="120"/>
    <n v="2400"/>
    <n v="240"/>
    <s v="Large Order"/>
    <s v="Weekday"/>
  </r>
  <r>
    <s v="ORD-1969"/>
    <d v="2024-04-23T00:00:00"/>
    <n v="2024"/>
    <s v="Apr"/>
    <s v="Tue"/>
    <s v="CUST-155"/>
    <s v="PROD-005"/>
    <s v="Corporate"/>
    <s v="Central"/>
    <x v="2"/>
    <x v="1"/>
    <n v="5"/>
    <n v="120"/>
    <n v="600"/>
    <n v="60"/>
    <s v="Large Order"/>
    <s v="Weekday"/>
  </r>
  <r>
    <s v="ORD-1970"/>
    <d v="2024-10-19T00:00:00"/>
    <n v="2024"/>
    <s v="Oct"/>
    <s v="Sat"/>
    <s v="CUST-195"/>
    <s v="PROD-013"/>
    <s v="Consumer"/>
    <s v="South"/>
    <x v="5"/>
    <x v="4"/>
    <n v="9"/>
    <n v="120"/>
    <n v="1080"/>
    <n v="108"/>
    <s v="Large Order"/>
    <s v="Weekend"/>
  </r>
  <r>
    <s v="ORD-1971"/>
    <d v="2024-08-10T00:00:00"/>
    <n v="2024"/>
    <s v="Aug"/>
    <s v="Sat"/>
    <s v="CUST-199"/>
    <s v="PROD-025"/>
    <s v="Home Office"/>
    <s v="Central"/>
    <x v="4"/>
    <x v="2"/>
    <n v="5"/>
    <n v="120"/>
    <n v="600"/>
    <n v="60"/>
    <s v="Large Order"/>
    <s v="Weekend"/>
  </r>
  <r>
    <s v="ORD-1972"/>
    <d v="2024-09-06T00:00:00"/>
    <n v="2024"/>
    <s v="Sep"/>
    <s v="Fri"/>
    <s v="CUST-150"/>
    <s v="PROD-007"/>
    <s v="Home Office"/>
    <s v="East"/>
    <x v="5"/>
    <x v="4"/>
    <n v="18"/>
    <n v="120"/>
    <n v="2160"/>
    <n v="216"/>
    <s v="Large Order"/>
    <s v="Weekday"/>
  </r>
  <r>
    <s v="ORD-1973"/>
    <d v="2024-05-06T00:00:00"/>
    <n v="2024"/>
    <s v="May"/>
    <s v="Mon"/>
    <s v="CUST-131"/>
    <s v="PROD-025"/>
    <s v="Consumer"/>
    <s v="West"/>
    <x v="3"/>
    <x v="4"/>
    <n v="14"/>
    <n v="120"/>
    <n v="1680"/>
    <n v="168"/>
    <s v="Large Order"/>
    <s v="Weekday"/>
  </r>
  <r>
    <s v="ORD-1974"/>
    <d v="2024-02-15T00:00:00"/>
    <n v="2024"/>
    <s v="Feb"/>
    <s v="Thu"/>
    <s v="CUST-114"/>
    <s v="PROD-014"/>
    <s v="Home Office"/>
    <s v="North"/>
    <x v="2"/>
    <x v="3"/>
    <n v="12"/>
    <n v="120"/>
    <n v="1440"/>
    <n v="144"/>
    <s v="Large Order"/>
    <s v="Weekday"/>
  </r>
  <r>
    <s v="ORD-1975"/>
    <d v="2024-06-25T00:00:00"/>
    <n v="2024"/>
    <s v="Jun"/>
    <s v="Tue"/>
    <s v="CUST-176"/>
    <s v="PROD-025"/>
    <s v="Home Office"/>
    <s v="South"/>
    <x v="0"/>
    <x v="3"/>
    <n v="10"/>
    <n v="120"/>
    <n v="1200"/>
    <n v="120"/>
    <s v="Large Order"/>
    <s v="Weekday"/>
  </r>
  <r>
    <s v="ORD-1976"/>
    <d v="2024-11-11T00:00:00"/>
    <n v="2024"/>
    <s v="Nov"/>
    <s v="Mon"/>
    <s v="CUST-156"/>
    <s v="PROD-015"/>
    <s v="Home Office"/>
    <s v="South"/>
    <x v="4"/>
    <x v="2"/>
    <n v="2"/>
    <n v="120"/>
    <n v="240"/>
    <n v="24"/>
    <s v="Standard Order"/>
    <s v="Weekday"/>
  </r>
  <r>
    <s v="ORD-1977"/>
    <d v="2024-04-12T00:00:00"/>
    <n v="2024"/>
    <s v="Apr"/>
    <s v="Fri"/>
    <s v="CUST-187"/>
    <s v="PROD-025"/>
    <s v="Corporate"/>
    <s v="East"/>
    <x v="4"/>
    <x v="0"/>
    <n v="3"/>
    <n v="120"/>
    <n v="360"/>
    <n v="36"/>
    <s v="Standard Order"/>
    <s v="Weekday"/>
  </r>
  <r>
    <s v="ORD-1978"/>
    <d v="2024-05-04T00:00:00"/>
    <n v="2024"/>
    <s v="May"/>
    <s v="Sat"/>
    <s v="CUST-179"/>
    <s v="PROD-001"/>
    <s v="Consumer"/>
    <s v="North"/>
    <x v="3"/>
    <x v="0"/>
    <n v="11"/>
    <n v="120"/>
    <n v="1320"/>
    <n v="132"/>
    <s v="Large Order"/>
    <s v="Weekend"/>
  </r>
  <r>
    <s v="ORD-1979"/>
    <d v="2024-06-05T00:00:00"/>
    <n v="2024"/>
    <s v="Jun"/>
    <s v="Wed"/>
    <s v="CUST-157"/>
    <s v="PROD-011"/>
    <s v="Corporate"/>
    <s v="East"/>
    <x v="0"/>
    <x v="2"/>
    <n v="7"/>
    <n v="120"/>
    <n v="840"/>
    <n v="84"/>
    <s v="Large Order"/>
    <s v="Weekday"/>
  </r>
  <r>
    <s v="ORD-1980"/>
    <d v="2024-04-14T00:00:00"/>
    <n v="2024"/>
    <s v="Apr"/>
    <s v="Sun"/>
    <s v="CUST-169"/>
    <s v="PROD-018"/>
    <s v="Home Office"/>
    <s v="North"/>
    <x v="3"/>
    <x v="2"/>
    <n v="16"/>
    <n v="120"/>
    <n v="1920"/>
    <n v="192"/>
    <s v="Large Order"/>
    <s v="Weekend"/>
  </r>
  <r>
    <s v="ORD-1981"/>
    <d v="2024-12-21T00:00:00"/>
    <n v="2024"/>
    <s v="Dec"/>
    <s v="Sat"/>
    <s v="CUST-189"/>
    <s v="PROD-013"/>
    <s v="Home Office"/>
    <s v="North"/>
    <x v="0"/>
    <x v="4"/>
    <n v="19"/>
    <n v="120"/>
    <n v="2280"/>
    <n v="228"/>
    <s v="Large Order"/>
    <s v="Weekend"/>
  </r>
  <r>
    <s v="ORD-1982"/>
    <d v="2024-01-23T00:00:00"/>
    <n v="2024"/>
    <s v="Jan"/>
    <s v="Tue"/>
    <s v="CUST-132"/>
    <s v="PROD-010"/>
    <s v="Consumer"/>
    <s v="North"/>
    <x v="0"/>
    <x v="4"/>
    <n v="7"/>
    <n v="120"/>
    <n v="840"/>
    <n v="84"/>
    <s v="Large Order"/>
    <s v="Weekday"/>
  </r>
  <r>
    <s v="ORD-1983"/>
    <d v="2024-05-18T00:00:00"/>
    <n v="2024"/>
    <s v="May"/>
    <s v="Sat"/>
    <s v="CUST-106"/>
    <s v="PROD-003"/>
    <s v="Corporate"/>
    <s v="West"/>
    <x v="0"/>
    <x v="3"/>
    <n v="13"/>
    <n v="120"/>
    <n v="1560"/>
    <n v="156"/>
    <s v="Large Order"/>
    <s v="Weekend"/>
  </r>
  <r>
    <s v="ORD-1984"/>
    <d v="2024-02-25T00:00:00"/>
    <n v="2024"/>
    <s v="Feb"/>
    <s v="Sun"/>
    <s v="CUST-102"/>
    <s v="PROD-008"/>
    <s v="Corporate"/>
    <s v="Central"/>
    <x v="2"/>
    <x v="0"/>
    <n v="13"/>
    <n v="120"/>
    <n v="1560"/>
    <n v="156"/>
    <s v="Large Order"/>
    <s v="Weekend"/>
  </r>
  <r>
    <s v="ORD-1985"/>
    <d v="2024-06-10T00:00:00"/>
    <n v="2024"/>
    <s v="Jun"/>
    <s v="Mon"/>
    <s v="CUST-162"/>
    <s v="PROD-003"/>
    <s v="Home Office"/>
    <s v="North"/>
    <x v="5"/>
    <x v="1"/>
    <n v="6"/>
    <n v="120"/>
    <n v="720"/>
    <n v="72"/>
    <s v="Large Order"/>
    <s v="Weekday"/>
  </r>
  <r>
    <s v="ORD-1986"/>
    <d v="2024-10-14T00:00:00"/>
    <n v="2024"/>
    <s v="Oct"/>
    <s v="Mon"/>
    <s v="CUST-191"/>
    <s v="PROD-008"/>
    <s v="Consumer"/>
    <s v="North"/>
    <x v="0"/>
    <x v="1"/>
    <n v="17"/>
    <n v="120"/>
    <n v="2040"/>
    <n v="204"/>
    <s v="Large Order"/>
    <s v="Weekday"/>
  </r>
  <r>
    <s v="ORD-1987"/>
    <d v="2024-07-20T00:00:00"/>
    <n v="2024"/>
    <s v="Jul"/>
    <s v="Sat"/>
    <s v="CUST-195"/>
    <s v="PROD-012"/>
    <s v="Consumer"/>
    <s v="North"/>
    <x v="0"/>
    <x v="3"/>
    <n v="12"/>
    <n v="120"/>
    <n v="1440"/>
    <n v="144"/>
    <s v="Large Order"/>
    <s v="Weekend"/>
  </r>
  <r>
    <s v="ORD-1988"/>
    <d v="2024-04-30T00:00:00"/>
    <n v="2024"/>
    <s v="Apr"/>
    <s v="Tue"/>
    <s v="CUST-164"/>
    <s v="PROD-021"/>
    <s v="Corporate"/>
    <s v="South"/>
    <x v="0"/>
    <x v="0"/>
    <n v="9"/>
    <n v="120"/>
    <n v="1080"/>
    <n v="108"/>
    <s v="Large Order"/>
    <s v="Weekday"/>
  </r>
  <r>
    <s v="ORD-1989"/>
    <d v="2024-10-11T00:00:00"/>
    <n v="2024"/>
    <s v="Oct"/>
    <s v="Fri"/>
    <s v="CUST-135"/>
    <s v="PROD-011"/>
    <s v="Consumer"/>
    <s v="Central"/>
    <x v="4"/>
    <x v="0"/>
    <n v="13"/>
    <n v="120"/>
    <n v="1560"/>
    <n v="156"/>
    <s v="Large Order"/>
    <s v="Weekday"/>
  </r>
  <r>
    <s v="ORD-1990"/>
    <d v="2024-07-14T00:00:00"/>
    <n v="2024"/>
    <s v="Jul"/>
    <s v="Sun"/>
    <s v="CUST-166"/>
    <s v="PROD-021"/>
    <s v="Home Office"/>
    <s v="Central"/>
    <x v="5"/>
    <x v="4"/>
    <n v="8"/>
    <n v="120"/>
    <n v="960"/>
    <n v="96"/>
    <s v="Large Order"/>
    <s v="Weekend"/>
  </r>
  <r>
    <s v="ORD-1991"/>
    <d v="2024-03-19T00:00:00"/>
    <n v="2024"/>
    <s v="Mar"/>
    <s v="Tue"/>
    <s v="CUST-154"/>
    <s v="PROD-011"/>
    <s v="Corporate"/>
    <s v="Central"/>
    <x v="5"/>
    <x v="2"/>
    <n v="15"/>
    <n v="120"/>
    <n v="1800"/>
    <n v="180"/>
    <s v="Large Order"/>
    <s v="Weekday"/>
  </r>
  <r>
    <s v="ORD-1992"/>
    <d v="2024-11-30T00:00:00"/>
    <n v="2024"/>
    <s v="Nov"/>
    <s v="Sat"/>
    <s v="CUST-117"/>
    <s v="PROD-022"/>
    <s v="Home Office"/>
    <s v="South"/>
    <x v="5"/>
    <x v="3"/>
    <n v="7"/>
    <n v="120"/>
    <n v="840"/>
    <n v="84"/>
    <s v="Large Order"/>
    <s v="Weekend"/>
  </r>
  <r>
    <s v="ORD-1993"/>
    <d v="2024-12-18T00:00:00"/>
    <n v="2024"/>
    <s v="Dec"/>
    <s v="Wed"/>
    <s v="CUST-190"/>
    <s v="PROD-014"/>
    <s v="Home Office"/>
    <s v="Central"/>
    <x v="4"/>
    <x v="4"/>
    <n v="5"/>
    <n v="120"/>
    <n v="600"/>
    <n v="60"/>
    <s v="Large Order"/>
    <s v="Weekday"/>
  </r>
  <r>
    <s v="ORD-1994"/>
    <d v="2024-03-21T00:00:00"/>
    <n v="2024"/>
    <s v="Mar"/>
    <s v="Thu"/>
    <s v="CUST-140"/>
    <s v="PROD-018"/>
    <s v="Consumer"/>
    <s v="West"/>
    <x v="5"/>
    <x v="2"/>
    <n v="4"/>
    <n v="120"/>
    <n v="480"/>
    <n v="48"/>
    <s v="Standard Order"/>
    <s v="Weekday"/>
  </r>
  <r>
    <s v="ORD-1995"/>
    <d v="2024-01-16T00:00:00"/>
    <n v="2024"/>
    <s v="Jan"/>
    <s v="Tue"/>
    <s v="CUST-197"/>
    <s v="PROD-014"/>
    <s v="Corporate"/>
    <s v="North"/>
    <x v="2"/>
    <x v="3"/>
    <n v="10"/>
    <n v="120"/>
    <n v="1200"/>
    <n v="120"/>
    <s v="Large Order"/>
    <s v="Weekday"/>
  </r>
  <r>
    <s v="ORD-1996"/>
    <d v="2024-03-18T00:00:00"/>
    <n v="2024"/>
    <s v="Mar"/>
    <s v="Mon"/>
    <s v="CUST-199"/>
    <s v="PROD-005"/>
    <s v="Consumer"/>
    <s v="Central"/>
    <x v="0"/>
    <x v="4"/>
    <n v="6"/>
    <n v="120"/>
    <n v="720"/>
    <n v="72"/>
    <s v="Large Order"/>
    <s v="Weekday"/>
  </r>
  <r>
    <s v="ORD-1997"/>
    <d v="2024-11-11T00:00:00"/>
    <n v="2024"/>
    <s v="Nov"/>
    <s v="Mon"/>
    <s v="CUST-134"/>
    <s v="PROD-020"/>
    <s v="Home Office"/>
    <s v="North"/>
    <x v="5"/>
    <x v="2"/>
    <n v="8"/>
    <n v="120"/>
    <n v="960"/>
    <n v="96"/>
    <s v="Large Order"/>
    <s v="Weekday"/>
  </r>
  <r>
    <s v="ORD-1998"/>
    <d v="2024-12-17T00:00:00"/>
    <n v="2024"/>
    <s v="Dec"/>
    <s v="Tue"/>
    <s v="CUST-103"/>
    <s v="PROD-023"/>
    <s v="Corporate"/>
    <s v="East"/>
    <x v="0"/>
    <x v="4"/>
    <n v="16"/>
    <n v="120"/>
    <n v="1920"/>
    <n v="192"/>
    <s v="Large Order"/>
    <s v="Weekday"/>
  </r>
  <r>
    <s v="ORD-1999"/>
    <d v="2024-08-28T00:00:00"/>
    <n v="2024"/>
    <s v="Aug"/>
    <s v="Wed"/>
    <s v="CUST-191"/>
    <s v="PROD-006"/>
    <s v="Home Office"/>
    <s v="North"/>
    <x v="3"/>
    <x v="2"/>
    <n v="13"/>
    <n v="120"/>
    <n v="1560"/>
    <n v="156"/>
    <s v="Large Order"/>
    <s v="Weekday"/>
  </r>
  <r>
    <s v="ORD-2000"/>
    <d v="2024-03-24T00:00:00"/>
    <n v="2024"/>
    <s v="Mar"/>
    <s v="Sun"/>
    <s v="CUST-124"/>
    <s v="PROD-014"/>
    <s v="Consumer"/>
    <s v="South"/>
    <x v="0"/>
    <x v="1"/>
    <n v="1"/>
    <n v="120"/>
    <n v="120"/>
    <n v="12"/>
    <s v="Standard Order"/>
    <s v="Weekend"/>
  </r>
  <r>
    <s v="ORD-2001"/>
    <d v="2024-04-23T00:00:00"/>
    <n v="2024"/>
    <s v="Apr"/>
    <s v="Tue"/>
    <s v="CUST-195"/>
    <s v="PROD-025"/>
    <s v="Home Office"/>
    <s v="East"/>
    <x v="4"/>
    <x v="1"/>
    <n v="7"/>
    <n v="120"/>
    <n v="840"/>
    <n v="84"/>
    <s v="Large Order"/>
    <s v="Weekday"/>
  </r>
  <r>
    <s v="ORD-2002"/>
    <d v="2024-11-11T00:00:00"/>
    <n v="2024"/>
    <s v="Nov"/>
    <s v="Mon"/>
    <s v="CUST-162"/>
    <s v="PROD-015"/>
    <s v="Home Office"/>
    <s v="East"/>
    <x v="3"/>
    <x v="0"/>
    <n v="8"/>
    <n v="120"/>
    <n v="960"/>
    <n v="96"/>
    <s v="Large Order"/>
    <s v="Weekday"/>
  </r>
  <r>
    <s v="ORD-2003"/>
    <d v="2024-11-07T00:00:00"/>
    <n v="2024"/>
    <s v="Nov"/>
    <s v="Thu"/>
    <s v="CUST-194"/>
    <s v="PROD-013"/>
    <s v="Corporate"/>
    <s v="North"/>
    <x v="3"/>
    <x v="4"/>
    <n v="20"/>
    <n v="120"/>
    <n v="2400"/>
    <n v="240"/>
    <s v="Large Order"/>
    <s v="Weekday"/>
  </r>
  <r>
    <s v="ORD-2004"/>
    <d v="2024-10-31T00:00:00"/>
    <n v="2024"/>
    <s v="Oct"/>
    <s v="Thu"/>
    <s v="CUST-168"/>
    <s v="PROD-017"/>
    <s v="Home Office"/>
    <s v="West"/>
    <x v="0"/>
    <x v="0"/>
    <n v="4"/>
    <n v="120"/>
    <n v="480"/>
    <n v="48"/>
    <s v="Standard Order"/>
    <s v="Weekday"/>
  </r>
  <r>
    <s v="ORD-2005"/>
    <d v="2024-05-05T00:00:00"/>
    <n v="2024"/>
    <s v="May"/>
    <s v="Sun"/>
    <s v="CUST-166"/>
    <s v="PROD-024"/>
    <s v="Home Office"/>
    <s v="East"/>
    <x v="2"/>
    <x v="4"/>
    <n v="2"/>
    <n v="120"/>
    <n v="240"/>
    <n v="24"/>
    <s v="Standard Order"/>
    <s v="Weekend"/>
  </r>
  <r>
    <s v="ORD-2006"/>
    <d v="2024-11-18T00:00:00"/>
    <n v="2024"/>
    <s v="Nov"/>
    <s v="Mon"/>
    <s v="CUST-106"/>
    <s v="PROD-015"/>
    <s v="Consumer"/>
    <s v="East"/>
    <x v="3"/>
    <x v="3"/>
    <n v="13"/>
    <n v="120"/>
    <n v="1560"/>
    <n v="156"/>
    <s v="Large Order"/>
    <s v="Weekday"/>
  </r>
  <r>
    <s v="ORD-2007"/>
    <d v="2024-08-24T00:00:00"/>
    <n v="2024"/>
    <s v="Aug"/>
    <s v="Sat"/>
    <s v="CUST-121"/>
    <s v="PROD-020"/>
    <s v="Corporate"/>
    <s v="North"/>
    <x v="3"/>
    <x v="2"/>
    <n v="2"/>
    <n v="120"/>
    <n v="240"/>
    <n v="24"/>
    <s v="Standard Order"/>
    <s v="Weekend"/>
  </r>
  <r>
    <s v="ORD-2008"/>
    <d v="2024-08-25T00:00:00"/>
    <n v="2024"/>
    <s v="Aug"/>
    <s v="Sun"/>
    <s v="CUST-182"/>
    <s v="PROD-024"/>
    <s v="Corporate"/>
    <s v="West"/>
    <x v="0"/>
    <x v="4"/>
    <n v="17"/>
    <n v="120"/>
    <n v="2040"/>
    <n v="204"/>
    <s v="Large Order"/>
    <s v="Weekend"/>
  </r>
  <r>
    <s v="ORD-2009"/>
    <d v="2024-12-22T00:00:00"/>
    <n v="2024"/>
    <s v="Dec"/>
    <s v="Sun"/>
    <s v="CUST-169"/>
    <s v="PROD-014"/>
    <s v="Consumer"/>
    <s v="South"/>
    <x v="2"/>
    <x v="2"/>
    <n v="11"/>
    <n v="120"/>
    <n v="1320"/>
    <n v="132"/>
    <s v="Large Order"/>
    <s v="Weekend"/>
  </r>
  <r>
    <s v="ORD-2010"/>
    <d v="2024-08-20T00:00:00"/>
    <n v="2024"/>
    <s v="Aug"/>
    <s v="Tue"/>
    <s v="CUST-175"/>
    <s v="PROD-015"/>
    <s v="Home Office"/>
    <s v="West"/>
    <x v="4"/>
    <x v="2"/>
    <n v="3"/>
    <n v="120"/>
    <n v="360"/>
    <n v="36"/>
    <s v="Standard Order"/>
    <s v="Weekday"/>
  </r>
  <r>
    <s v="ORD-2011"/>
    <d v="2024-03-04T00:00:00"/>
    <n v="2024"/>
    <s v="Mar"/>
    <s v="Mon"/>
    <s v="CUST-111"/>
    <s v="PROD-021"/>
    <s v="Consumer"/>
    <s v="West"/>
    <x v="2"/>
    <x v="1"/>
    <n v="12"/>
    <n v="120"/>
    <n v="1440"/>
    <n v="144"/>
    <s v="Large Order"/>
    <s v="Weekday"/>
  </r>
  <r>
    <s v="ORD-2012"/>
    <d v="2024-09-18T00:00:00"/>
    <n v="2024"/>
    <s v="Sep"/>
    <s v="Wed"/>
    <s v="CUST-178"/>
    <s v="PROD-018"/>
    <s v="Consumer"/>
    <s v="South"/>
    <x v="2"/>
    <x v="2"/>
    <n v="13"/>
    <n v="120"/>
    <n v="1560"/>
    <n v="156"/>
    <s v="Large Order"/>
    <s v="Weekday"/>
  </r>
  <r>
    <s v="ORD-2013"/>
    <d v="2024-06-20T00:00:00"/>
    <n v="2024"/>
    <s v="Jun"/>
    <s v="Thu"/>
    <s v="CUST-172"/>
    <s v="PROD-006"/>
    <s v="Home Office"/>
    <s v="West"/>
    <x v="4"/>
    <x v="0"/>
    <n v="5"/>
    <n v="120"/>
    <n v="600"/>
    <n v="60"/>
    <s v="Large Order"/>
    <s v="Weekday"/>
  </r>
  <r>
    <s v="ORD-2014"/>
    <d v="2024-08-02T00:00:00"/>
    <n v="2024"/>
    <s v="Aug"/>
    <s v="Fri"/>
    <s v="CUST-139"/>
    <s v="PROD-010"/>
    <s v="Corporate"/>
    <s v="East"/>
    <x v="2"/>
    <x v="2"/>
    <n v="6"/>
    <n v="120"/>
    <n v="720"/>
    <n v="72"/>
    <s v="Large Order"/>
    <s v="Weekday"/>
  </r>
  <r>
    <s v="ORD-2015"/>
    <d v="2024-04-13T00:00:00"/>
    <n v="2024"/>
    <s v="Apr"/>
    <s v="Sat"/>
    <s v="CUST-100"/>
    <s v="PROD-001"/>
    <s v="Home Office"/>
    <s v="West"/>
    <x v="3"/>
    <x v="1"/>
    <n v="15"/>
    <n v="120"/>
    <n v="1800"/>
    <n v="180"/>
    <s v="Large Order"/>
    <s v="Weekend"/>
  </r>
  <r>
    <s v="ORD-2016"/>
    <d v="2024-10-05T00:00:00"/>
    <n v="2024"/>
    <s v="Oct"/>
    <s v="Sat"/>
    <s v="CUST-100"/>
    <s v="PROD-008"/>
    <s v="Home Office"/>
    <s v="North"/>
    <x v="2"/>
    <x v="1"/>
    <n v="7"/>
    <n v="120"/>
    <n v="840"/>
    <n v="84"/>
    <s v="Large Order"/>
    <s v="Weekend"/>
  </r>
  <r>
    <s v="ORD-2017"/>
    <d v="2024-08-20T00:00:00"/>
    <n v="2024"/>
    <s v="Aug"/>
    <s v="Tue"/>
    <s v="CUST-152"/>
    <s v="PROD-020"/>
    <s v="Corporate"/>
    <s v="Central"/>
    <x v="0"/>
    <x v="4"/>
    <n v="20"/>
    <n v="120"/>
    <n v="2400"/>
    <n v="240"/>
    <s v="Large Order"/>
    <s v="Weekday"/>
  </r>
  <r>
    <s v="ORD-2018"/>
    <d v="2024-05-22T00:00:00"/>
    <n v="2024"/>
    <s v="May"/>
    <s v="Wed"/>
    <s v="CUST-179"/>
    <s v="PROD-007"/>
    <s v="Home Office"/>
    <s v="South"/>
    <x v="5"/>
    <x v="0"/>
    <n v="2"/>
    <n v="120"/>
    <n v="240"/>
    <n v="24"/>
    <s v="Standard Order"/>
    <s v="Weekday"/>
  </r>
  <r>
    <s v="ORD-2019"/>
    <d v="2024-11-30T00:00:00"/>
    <n v="2024"/>
    <s v="Nov"/>
    <s v="Sat"/>
    <s v="CUST-144"/>
    <s v="PROD-002"/>
    <s v="Consumer"/>
    <s v="North"/>
    <x v="4"/>
    <x v="3"/>
    <n v="19"/>
    <n v="120"/>
    <n v="2280"/>
    <n v="228"/>
    <s v="Large Order"/>
    <s v="Weekend"/>
  </r>
  <r>
    <s v="ORD-2020"/>
    <d v="2024-06-18T00:00:00"/>
    <n v="2024"/>
    <s v="Jun"/>
    <s v="Tue"/>
    <s v="CUST-111"/>
    <s v="PROD-014"/>
    <s v="Consumer"/>
    <s v="Central"/>
    <x v="0"/>
    <x v="3"/>
    <n v="6"/>
    <n v="120"/>
    <n v="720"/>
    <n v="72"/>
    <s v="Large Order"/>
    <s v="Weekday"/>
  </r>
  <r>
    <s v="ORD-2021"/>
    <d v="2024-11-08T00:00:00"/>
    <n v="2024"/>
    <s v="Nov"/>
    <s v="Fri"/>
    <s v="CUST-184"/>
    <s v="PROD-019"/>
    <s v="Home Office"/>
    <s v="North"/>
    <x v="5"/>
    <x v="1"/>
    <n v="18"/>
    <n v="120"/>
    <n v="2160"/>
    <n v="216"/>
    <s v="Large Order"/>
    <s v="Weekday"/>
  </r>
  <r>
    <s v="ORD-2022"/>
    <d v="2024-10-23T00:00:00"/>
    <n v="2024"/>
    <s v="Oct"/>
    <s v="Wed"/>
    <s v="CUST-146"/>
    <s v="PROD-025"/>
    <s v="Consumer"/>
    <s v="Central"/>
    <x v="0"/>
    <x v="1"/>
    <n v="10"/>
    <n v="120"/>
    <n v="1200"/>
    <n v="120"/>
    <s v="Large Order"/>
    <s v="Weekday"/>
  </r>
  <r>
    <s v="ORD-2023"/>
    <d v="2024-02-04T00:00:00"/>
    <n v="2024"/>
    <s v="Feb"/>
    <s v="Sun"/>
    <s v="CUST-197"/>
    <s v="PROD-003"/>
    <s v="Corporate"/>
    <s v="Central"/>
    <x v="5"/>
    <x v="0"/>
    <n v="10"/>
    <n v="120"/>
    <n v="1200"/>
    <n v="120"/>
    <s v="Large Order"/>
    <s v="Weekend"/>
  </r>
  <r>
    <s v="ORD-2024"/>
    <d v="2024-12-21T00:00:00"/>
    <n v="2024"/>
    <s v="Dec"/>
    <s v="Sat"/>
    <s v="CUST-135"/>
    <s v="PROD-014"/>
    <s v="Corporate"/>
    <s v="Central"/>
    <x v="5"/>
    <x v="2"/>
    <n v="17"/>
    <n v="120"/>
    <n v="2040"/>
    <n v="204"/>
    <s v="Large Order"/>
    <s v="Weekend"/>
  </r>
  <r>
    <s v="ORD-2025"/>
    <d v="2024-11-09T00:00:00"/>
    <n v="2024"/>
    <s v="Nov"/>
    <s v="Sat"/>
    <s v="CUST-107"/>
    <s v="PROD-024"/>
    <s v="Consumer"/>
    <s v="East"/>
    <x v="5"/>
    <x v="1"/>
    <n v="17"/>
    <n v="120"/>
    <n v="2040"/>
    <n v="204"/>
    <s v="Large Order"/>
    <s v="Weekend"/>
  </r>
  <r>
    <s v="ORD-2026"/>
    <d v="2024-12-18T00:00:00"/>
    <n v="2024"/>
    <s v="Dec"/>
    <s v="Wed"/>
    <s v="CUST-177"/>
    <s v="PROD-014"/>
    <s v="Home Office"/>
    <s v="East"/>
    <x v="3"/>
    <x v="3"/>
    <n v="20"/>
    <n v="120"/>
    <n v="2400"/>
    <n v="240"/>
    <s v="Large Order"/>
    <s v="Weekday"/>
  </r>
  <r>
    <s v="ORD-2027"/>
    <d v="2024-09-26T00:00:00"/>
    <n v="2024"/>
    <s v="Sep"/>
    <s v="Thu"/>
    <s v="CUST-173"/>
    <s v="PROD-005"/>
    <s v="Home Office"/>
    <s v="South"/>
    <x v="3"/>
    <x v="4"/>
    <n v="20"/>
    <n v="120"/>
    <n v="2400"/>
    <n v="240"/>
    <s v="Large Order"/>
    <s v="Weekday"/>
  </r>
  <r>
    <s v="ORD-2028"/>
    <d v="2024-11-19T00:00:00"/>
    <n v="2024"/>
    <s v="Nov"/>
    <s v="Tue"/>
    <s v="CUST-163"/>
    <s v="PROD-020"/>
    <s v="Corporate"/>
    <s v="West"/>
    <x v="4"/>
    <x v="2"/>
    <n v="8"/>
    <n v="120"/>
    <n v="960"/>
    <n v="96"/>
    <s v="Large Order"/>
    <s v="Weekday"/>
  </r>
  <r>
    <s v="ORD-2029"/>
    <d v="2024-01-01T00:00:00"/>
    <n v="2024"/>
    <s v="Jan"/>
    <s v="Mon"/>
    <s v="CUST-115"/>
    <s v="PROD-021"/>
    <s v="Consumer"/>
    <s v="North"/>
    <x v="2"/>
    <x v="2"/>
    <n v="4"/>
    <n v="120"/>
    <n v="480"/>
    <n v="48"/>
    <s v="Standard Order"/>
    <s v="Weekday"/>
  </r>
  <r>
    <s v="ORD-2030"/>
    <d v="2024-11-11T00:00:00"/>
    <n v="2024"/>
    <s v="Nov"/>
    <s v="Mon"/>
    <s v="CUST-153"/>
    <s v="PROD-011"/>
    <s v="Corporate"/>
    <s v="East"/>
    <x v="0"/>
    <x v="2"/>
    <n v="12"/>
    <n v="120"/>
    <n v="1440"/>
    <n v="144"/>
    <s v="Large Order"/>
    <s v="Weekday"/>
  </r>
  <r>
    <s v="ORD-2031"/>
    <d v="2024-01-06T00:00:00"/>
    <n v="2024"/>
    <s v="Jan"/>
    <s v="Sat"/>
    <s v="CUST-181"/>
    <s v="PROD-009"/>
    <s v="Consumer"/>
    <s v="North"/>
    <x v="3"/>
    <x v="4"/>
    <n v="3"/>
    <n v="120"/>
    <n v="360"/>
    <n v="36"/>
    <s v="Standard Order"/>
    <s v="Weekend"/>
  </r>
  <r>
    <s v="ORD-2032"/>
    <d v="2024-10-08T00:00:00"/>
    <n v="2024"/>
    <s v="Oct"/>
    <s v="Tue"/>
    <s v="CUST-141"/>
    <s v="PROD-022"/>
    <s v="Consumer"/>
    <s v="South"/>
    <x v="0"/>
    <x v="4"/>
    <n v="11"/>
    <n v="120"/>
    <n v="1320"/>
    <n v="132"/>
    <s v="Large Order"/>
    <s v="Weekday"/>
  </r>
  <r>
    <s v="ORD-2033"/>
    <d v="2024-11-11T00:00:00"/>
    <n v="2024"/>
    <s v="Nov"/>
    <s v="Mon"/>
    <s v="CUST-103"/>
    <s v="PROD-011"/>
    <s v="Consumer"/>
    <s v="South"/>
    <x v="4"/>
    <x v="1"/>
    <n v="11"/>
    <n v="120"/>
    <n v="1320"/>
    <n v="132"/>
    <s v="Large Order"/>
    <s v="Weekday"/>
  </r>
  <r>
    <s v="ORD-2034"/>
    <d v="2024-08-30T00:00:00"/>
    <n v="2024"/>
    <s v="Aug"/>
    <s v="Fri"/>
    <s v="CUST-104"/>
    <s v="PROD-016"/>
    <s v="Home Office"/>
    <s v="North"/>
    <x v="4"/>
    <x v="4"/>
    <n v="5"/>
    <n v="120"/>
    <n v="600"/>
    <n v="60"/>
    <s v="Large Order"/>
    <s v="Weekday"/>
  </r>
  <r>
    <s v="ORD-2035"/>
    <d v="2024-06-20T00:00:00"/>
    <n v="2024"/>
    <s v="Jun"/>
    <s v="Thu"/>
    <s v="CUST-159"/>
    <s v="PROD-017"/>
    <s v="Corporate"/>
    <s v="South"/>
    <x v="0"/>
    <x v="3"/>
    <n v="10"/>
    <n v="120"/>
    <n v="1200"/>
    <n v="120"/>
    <s v="Large Order"/>
    <s v="Weekday"/>
  </r>
  <r>
    <s v="ORD-2036"/>
    <d v="2024-10-11T00:00:00"/>
    <n v="2024"/>
    <s v="Oct"/>
    <s v="Fri"/>
    <s v="CUST-168"/>
    <s v="PROD-019"/>
    <s v="Consumer"/>
    <s v="North"/>
    <x v="4"/>
    <x v="3"/>
    <n v="11"/>
    <n v="120"/>
    <n v="1320"/>
    <n v="132"/>
    <s v="Large Order"/>
    <s v="Weekday"/>
  </r>
  <r>
    <s v="ORD-2037"/>
    <d v="2024-02-03T00:00:00"/>
    <n v="2024"/>
    <s v="Feb"/>
    <s v="Sat"/>
    <s v="CUST-119"/>
    <s v="PROD-011"/>
    <s v="Corporate"/>
    <s v="South"/>
    <x v="0"/>
    <x v="2"/>
    <n v="13"/>
    <n v="120"/>
    <n v="1560"/>
    <n v="156"/>
    <s v="Large Order"/>
    <s v="Weekend"/>
  </r>
  <r>
    <s v="ORD-2038"/>
    <d v="2024-10-19T00:00:00"/>
    <n v="2024"/>
    <s v="Oct"/>
    <s v="Sat"/>
    <s v="CUST-177"/>
    <s v="PROD-020"/>
    <s v="Corporate"/>
    <s v="North"/>
    <x v="4"/>
    <x v="3"/>
    <n v="4"/>
    <n v="120"/>
    <n v="480"/>
    <n v="48"/>
    <s v="Standard Order"/>
    <s v="Weekend"/>
  </r>
  <r>
    <s v="ORD-2039"/>
    <d v="2024-12-27T00:00:00"/>
    <n v="2024"/>
    <s v="Dec"/>
    <s v="Fri"/>
    <s v="CUST-140"/>
    <s v="PROD-009"/>
    <s v="Home Office"/>
    <s v="South"/>
    <x v="0"/>
    <x v="2"/>
    <n v="14"/>
    <n v="120"/>
    <n v="1680"/>
    <n v="168"/>
    <s v="Large Order"/>
    <s v="Weekday"/>
  </r>
  <r>
    <s v="ORD-2040"/>
    <d v="2024-07-09T00:00:00"/>
    <n v="2024"/>
    <s v="Jul"/>
    <s v="Tue"/>
    <s v="CUST-157"/>
    <s v="PROD-017"/>
    <s v="Corporate"/>
    <s v="North"/>
    <x v="4"/>
    <x v="3"/>
    <n v="10"/>
    <n v="120"/>
    <n v="1200"/>
    <n v="120"/>
    <s v="Large Order"/>
    <s v="Weekday"/>
  </r>
  <r>
    <s v="ORD-2041"/>
    <d v="2024-01-20T00:00:00"/>
    <n v="2024"/>
    <s v="Jan"/>
    <s v="Sat"/>
    <s v="CUST-199"/>
    <s v="PROD-015"/>
    <s v="Consumer"/>
    <s v="East"/>
    <x v="0"/>
    <x v="1"/>
    <n v="17"/>
    <n v="120"/>
    <n v="2040"/>
    <n v="204"/>
    <s v="Large Order"/>
    <s v="Weekend"/>
  </r>
  <r>
    <s v="ORD-2042"/>
    <d v="2024-09-13T00:00:00"/>
    <n v="2024"/>
    <s v="Sep"/>
    <s v="Fri"/>
    <s v="CUST-119"/>
    <s v="PROD-016"/>
    <s v="Consumer"/>
    <s v="Central"/>
    <x v="3"/>
    <x v="3"/>
    <n v="17"/>
    <n v="120"/>
    <n v="2040"/>
    <n v="204"/>
    <s v="Large Order"/>
    <s v="Weekday"/>
  </r>
  <r>
    <s v="ORD-2043"/>
    <d v="2024-03-14T00:00:00"/>
    <n v="2024"/>
    <s v="Mar"/>
    <s v="Thu"/>
    <s v="CUST-198"/>
    <s v="PROD-022"/>
    <s v="Consumer"/>
    <s v="Central"/>
    <x v="5"/>
    <x v="0"/>
    <n v="5"/>
    <n v="120"/>
    <n v="600"/>
    <n v="60"/>
    <s v="Large Order"/>
    <s v="Weekday"/>
  </r>
  <r>
    <s v="ORD-2044"/>
    <d v="2024-08-23T00:00:00"/>
    <n v="2024"/>
    <s v="Aug"/>
    <s v="Fri"/>
    <s v="CUST-149"/>
    <s v="PROD-004"/>
    <s v="Home Office"/>
    <s v="East"/>
    <x v="5"/>
    <x v="0"/>
    <n v="1"/>
    <n v="120"/>
    <n v="120"/>
    <n v="12"/>
    <s v="Standard Order"/>
    <s v="Weekday"/>
  </r>
  <r>
    <s v="ORD-2045"/>
    <d v="2024-12-17T00:00:00"/>
    <n v="2024"/>
    <s v="Dec"/>
    <s v="Tue"/>
    <s v="CUST-176"/>
    <s v="PROD-015"/>
    <s v="Consumer"/>
    <s v="South"/>
    <x v="3"/>
    <x v="3"/>
    <n v="2"/>
    <n v="120"/>
    <n v="240"/>
    <n v="24"/>
    <s v="Standard Order"/>
    <s v="Weekday"/>
  </r>
  <r>
    <s v="ORD-2046"/>
    <d v="2024-01-12T00:00:00"/>
    <n v="2024"/>
    <s v="Jan"/>
    <s v="Fri"/>
    <s v="CUST-173"/>
    <s v="PROD-011"/>
    <s v="Corporate"/>
    <s v="North"/>
    <x v="4"/>
    <x v="3"/>
    <n v="7"/>
    <n v="120"/>
    <n v="840"/>
    <n v="84"/>
    <s v="Large Order"/>
    <s v="Weekday"/>
  </r>
  <r>
    <s v="ORD-2047"/>
    <d v="2024-09-29T00:00:00"/>
    <n v="2024"/>
    <s v="Sep"/>
    <s v="Sun"/>
    <s v="CUST-140"/>
    <s v="PROD-009"/>
    <s v="Corporate"/>
    <s v="Central"/>
    <x v="0"/>
    <x v="0"/>
    <n v="5"/>
    <n v="120"/>
    <n v="600"/>
    <n v="60"/>
    <s v="Large Order"/>
    <s v="Weekend"/>
  </r>
  <r>
    <s v="ORD-2048"/>
    <d v="2024-01-08T00:00:00"/>
    <n v="2024"/>
    <s v="Jan"/>
    <s v="Mon"/>
    <s v="CUST-179"/>
    <s v="PROD-004"/>
    <s v="Home Office"/>
    <s v="East"/>
    <x v="5"/>
    <x v="4"/>
    <n v="7"/>
    <n v="120"/>
    <n v="840"/>
    <n v="84"/>
    <s v="Large Order"/>
    <s v="Weekday"/>
  </r>
  <r>
    <s v="ORD-2049"/>
    <d v="2024-06-12T00:00:00"/>
    <n v="2024"/>
    <s v="Jun"/>
    <s v="Wed"/>
    <s v="CUST-134"/>
    <s v="PROD-019"/>
    <s v="Consumer"/>
    <s v="West"/>
    <x v="3"/>
    <x v="3"/>
    <n v="8"/>
    <n v="120"/>
    <n v="960"/>
    <n v="96"/>
    <s v="Large Order"/>
    <s v="Weekday"/>
  </r>
  <r>
    <s v="ORD-2050"/>
    <d v="2024-11-09T00:00:00"/>
    <n v="2024"/>
    <s v="Nov"/>
    <s v="Sat"/>
    <s v="CUST-143"/>
    <s v="PROD-002"/>
    <s v="Home Office"/>
    <s v="North"/>
    <x v="2"/>
    <x v="0"/>
    <n v="5"/>
    <n v="120"/>
    <n v="600"/>
    <n v="60"/>
    <s v="Large Order"/>
    <s v="Weekend"/>
  </r>
  <r>
    <s v="ORD-2051"/>
    <d v="2024-02-24T00:00:00"/>
    <n v="2024"/>
    <s v="Feb"/>
    <s v="Sat"/>
    <s v="CUST-149"/>
    <s v="PROD-014"/>
    <s v="Consumer"/>
    <s v="West"/>
    <x v="0"/>
    <x v="4"/>
    <n v="13"/>
    <n v="120"/>
    <n v="1560"/>
    <n v="156"/>
    <s v="Large Order"/>
    <s v="Weekend"/>
  </r>
  <r>
    <s v="ORD-2052"/>
    <d v="2024-10-30T00:00:00"/>
    <n v="2024"/>
    <s v="Oct"/>
    <s v="Wed"/>
    <s v="CUST-180"/>
    <s v="PROD-020"/>
    <s v="Home Office"/>
    <s v="West"/>
    <x v="2"/>
    <x v="2"/>
    <n v="12"/>
    <n v="120"/>
    <n v="1440"/>
    <n v="144"/>
    <s v="Large Order"/>
    <s v="Weekday"/>
  </r>
  <r>
    <s v="ORD-2053"/>
    <d v="2024-12-09T00:00:00"/>
    <n v="2024"/>
    <s v="Dec"/>
    <s v="Mon"/>
    <s v="CUST-168"/>
    <s v="PROD-019"/>
    <s v="Consumer"/>
    <s v="West"/>
    <x v="2"/>
    <x v="1"/>
    <n v="5"/>
    <n v="120"/>
    <n v="600"/>
    <n v="60"/>
    <s v="Large Order"/>
    <s v="Weekday"/>
  </r>
  <r>
    <s v="ORD-2054"/>
    <d v="2024-02-19T00:00:00"/>
    <n v="2024"/>
    <s v="Feb"/>
    <s v="Mon"/>
    <s v="CUST-158"/>
    <s v="PROD-016"/>
    <s v="Corporate"/>
    <s v="West"/>
    <x v="2"/>
    <x v="2"/>
    <n v="8"/>
    <n v="120"/>
    <n v="960"/>
    <n v="96"/>
    <s v="Large Order"/>
    <s v="Weekday"/>
  </r>
  <r>
    <s v="ORD-2055"/>
    <d v="2024-11-11T00:00:00"/>
    <n v="2024"/>
    <s v="Nov"/>
    <s v="Mon"/>
    <s v="CUST-133"/>
    <s v="PROD-006"/>
    <s v="Corporate"/>
    <s v="North"/>
    <x v="2"/>
    <x v="3"/>
    <n v="11"/>
    <n v="120"/>
    <n v="1320"/>
    <n v="132"/>
    <s v="Large Order"/>
    <s v="Weekday"/>
  </r>
  <r>
    <s v="ORD-2056"/>
    <d v="2024-08-20T00:00:00"/>
    <n v="2024"/>
    <s v="Aug"/>
    <s v="Tue"/>
    <s v="CUST-162"/>
    <s v="PROD-016"/>
    <s v="Consumer"/>
    <s v="Central"/>
    <x v="0"/>
    <x v="1"/>
    <n v="4"/>
    <n v="120"/>
    <n v="480"/>
    <n v="48"/>
    <s v="Standard Order"/>
    <s v="Weekday"/>
  </r>
  <r>
    <s v="ORD-2057"/>
    <d v="2024-03-28T00:00:00"/>
    <n v="2024"/>
    <s v="Mar"/>
    <s v="Thu"/>
    <s v="CUST-136"/>
    <s v="PROD-019"/>
    <s v="Corporate"/>
    <s v="North"/>
    <x v="5"/>
    <x v="1"/>
    <n v="5"/>
    <n v="120"/>
    <n v="600"/>
    <n v="60"/>
    <s v="Large Order"/>
    <s v="Weekday"/>
  </r>
  <r>
    <s v="ORD-2058"/>
    <d v="2024-02-24T00:00:00"/>
    <n v="2024"/>
    <s v="Feb"/>
    <s v="Sat"/>
    <s v="CUST-141"/>
    <s v="PROD-010"/>
    <s v="Home Office"/>
    <s v="South"/>
    <x v="0"/>
    <x v="4"/>
    <n v="18"/>
    <n v="120"/>
    <n v="2160"/>
    <n v="216"/>
    <s v="Large Order"/>
    <s v="Weekend"/>
  </r>
  <r>
    <s v="ORD-2059"/>
    <d v="2024-07-30T00:00:00"/>
    <n v="2024"/>
    <s v="Jul"/>
    <s v="Tue"/>
    <s v="CUST-130"/>
    <s v="PROD-018"/>
    <s v="Home Office"/>
    <s v="Central"/>
    <x v="4"/>
    <x v="1"/>
    <n v="6"/>
    <n v="120"/>
    <n v="720"/>
    <n v="72"/>
    <s v="Large Order"/>
    <s v="Weekday"/>
  </r>
  <r>
    <s v="ORD-2060"/>
    <d v="2024-02-03T00:00:00"/>
    <n v="2024"/>
    <s v="Feb"/>
    <s v="Sat"/>
    <s v="CUST-143"/>
    <s v="PROD-014"/>
    <s v="Consumer"/>
    <s v="South"/>
    <x v="5"/>
    <x v="3"/>
    <n v="14"/>
    <n v="120"/>
    <n v="1680"/>
    <n v="168"/>
    <s v="Large Order"/>
    <s v="Weekend"/>
  </r>
  <r>
    <s v="ORD-2061"/>
    <d v="2024-10-05T00:00:00"/>
    <n v="2024"/>
    <s v="Oct"/>
    <s v="Sat"/>
    <s v="CUST-188"/>
    <s v="PROD-022"/>
    <s v="Consumer"/>
    <s v="Central"/>
    <x v="4"/>
    <x v="4"/>
    <n v="3"/>
    <n v="120"/>
    <n v="360"/>
    <n v="36"/>
    <s v="Standard Order"/>
    <s v="Weekend"/>
  </r>
  <r>
    <s v="ORD-2062"/>
    <d v="2024-09-06T00:00:00"/>
    <n v="2024"/>
    <s v="Sep"/>
    <s v="Fri"/>
    <s v="CUST-114"/>
    <s v="PROD-015"/>
    <s v="Home Office"/>
    <s v="North"/>
    <x v="5"/>
    <x v="1"/>
    <n v="11"/>
    <n v="120"/>
    <n v="1320"/>
    <n v="132"/>
    <s v="Large Order"/>
    <s v="Weekday"/>
  </r>
  <r>
    <s v="ORD-2063"/>
    <d v="2024-03-31T00:00:00"/>
    <n v="2024"/>
    <s v="Mar"/>
    <s v="Sun"/>
    <s v="CUST-139"/>
    <s v="PROD-020"/>
    <s v="Corporate"/>
    <s v="North"/>
    <x v="0"/>
    <x v="4"/>
    <n v="4"/>
    <n v="120"/>
    <n v="480"/>
    <n v="48"/>
    <s v="Standard Order"/>
    <s v="Weekend"/>
  </r>
  <r>
    <s v="ORD-2064"/>
    <d v="2024-07-13T00:00:00"/>
    <n v="2024"/>
    <s v="Jul"/>
    <s v="Sat"/>
    <s v="CUST-141"/>
    <s v="PROD-003"/>
    <s v="Corporate"/>
    <s v="South"/>
    <x v="0"/>
    <x v="4"/>
    <n v="7"/>
    <n v="120"/>
    <n v="840"/>
    <n v="84"/>
    <s v="Large Order"/>
    <s v="Weekend"/>
  </r>
  <r>
    <s v="ORD-2065"/>
    <d v="2024-11-21T00:00:00"/>
    <n v="2024"/>
    <s v="Nov"/>
    <s v="Thu"/>
    <s v="CUST-100"/>
    <s v="PROD-015"/>
    <s v="Consumer"/>
    <s v="South"/>
    <x v="4"/>
    <x v="4"/>
    <n v="18"/>
    <n v="120"/>
    <n v="2160"/>
    <n v="216"/>
    <s v="Large Order"/>
    <s v="Weekday"/>
  </r>
  <r>
    <s v="ORD-2066"/>
    <d v="2024-10-22T00:00:00"/>
    <n v="2024"/>
    <s v="Oct"/>
    <s v="Tue"/>
    <s v="CUST-157"/>
    <s v="PROD-022"/>
    <s v="Consumer"/>
    <s v="North"/>
    <x v="4"/>
    <x v="3"/>
    <n v="11"/>
    <n v="120"/>
    <n v="1320"/>
    <n v="132"/>
    <s v="Large Order"/>
    <s v="Weekday"/>
  </r>
  <r>
    <s v="ORD-2067"/>
    <d v="2024-08-10T00:00:00"/>
    <n v="2024"/>
    <s v="Aug"/>
    <s v="Sat"/>
    <s v="CUST-191"/>
    <s v="PROD-019"/>
    <s v="Corporate"/>
    <s v="North"/>
    <x v="0"/>
    <x v="4"/>
    <n v="1"/>
    <n v="120"/>
    <n v="120"/>
    <n v="12"/>
    <s v="Standard Order"/>
    <s v="Weekend"/>
  </r>
  <r>
    <s v="ORD-2068"/>
    <d v="2024-07-25T00:00:00"/>
    <n v="2024"/>
    <s v="Jul"/>
    <s v="Thu"/>
    <s v="CUST-116"/>
    <s v="PROD-012"/>
    <s v="Corporate"/>
    <s v="North"/>
    <x v="0"/>
    <x v="0"/>
    <n v="18"/>
    <n v="120"/>
    <n v="2160"/>
    <n v="216"/>
    <s v="Large Order"/>
    <s v="Weekday"/>
  </r>
  <r>
    <s v="ORD-2069"/>
    <d v="2024-12-26T00:00:00"/>
    <n v="2024"/>
    <s v="Dec"/>
    <s v="Thu"/>
    <s v="CUST-171"/>
    <s v="PROD-010"/>
    <s v="Corporate"/>
    <s v="West"/>
    <x v="0"/>
    <x v="4"/>
    <n v="1"/>
    <n v="120"/>
    <n v="120"/>
    <n v="12"/>
    <s v="Standard Order"/>
    <s v="Weekday"/>
  </r>
  <r>
    <s v="ORD-2070"/>
    <d v="2024-07-20T00:00:00"/>
    <n v="2024"/>
    <s v="Jul"/>
    <s v="Sat"/>
    <s v="CUST-180"/>
    <s v="PROD-013"/>
    <s v="Corporate"/>
    <s v="South"/>
    <x v="2"/>
    <x v="2"/>
    <n v="13"/>
    <n v="120"/>
    <n v="1560"/>
    <n v="156"/>
    <s v="Large Order"/>
    <s v="Weekend"/>
  </r>
  <r>
    <s v="ORD-2071"/>
    <d v="2024-12-05T00:00:00"/>
    <n v="2024"/>
    <s v="Dec"/>
    <s v="Thu"/>
    <s v="CUST-122"/>
    <s v="PROD-007"/>
    <s v="Corporate"/>
    <s v="South"/>
    <x v="4"/>
    <x v="3"/>
    <n v="18"/>
    <n v="120"/>
    <n v="2160"/>
    <n v="216"/>
    <s v="Large Order"/>
    <s v="Weekday"/>
  </r>
  <r>
    <s v="ORD-2072"/>
    <d v="2024-08-01T00:00:00"/>
    <n v="2024"/>
    <s v="Aug"/>
    <s v="Thu"/>
    <s v="CUST-119"/>
    <s v="PROD-005"/>
    <s v="Corporate"/>
    <s v="West"/>
    <x v="4"/>
    <x v="0"/>
    <n v="1"/>
    <n v="120"/>
    <n v="120"/>
    <n v="12"/>
    <s v="Standard Order"/>
    <s v="Weekday"/>
  </r>
  <r>
    <s v="ORD-2073"/>
    <d v="2024-03-14T00:00:00"/>
    <n v="2024"/>
    <s v="Mar"/>
    <s v="Thu"/>
    <s v="CUST-192"/>
    <s v="PROD-005"/>
    <s v="Corporate"/>
    <s v="Central"/>
    <x v="2"/>
    <x v="1"/>
    <n v="3"/>
    <n v="120"/>
    <n v="360"/>
    <n v="36"/>
    <s v="Standard Order"/>
    <s v="Weekday"/>
  </r>
  <r>
    <s v="ORD-2074"/>
    <d v="2024-08-21T00:00:00"/>
    <n v="2024"/>
    <s v="Aug"/>
    <s v="Wed"/>
    <s v="CUST-200"/>
    <s v="PROD-014"/>
    <s v="Home Office"/>
    <s v="West"/>
    <x v="5"/>
    <x v="4"/>
    <n v="20"/>
    <n v="120"/>
    <n v="2400"/>
    <n v="240"/>
    <s v="Large Order"/>
    <s v="Weekday"/>
  </r>
  <r>
    <s v="ORD-2075"/>
    <d v="2024-08-05T00:00:00"/>
    <n v="2024"/>
    <s v="Aug"/>
    <s v="Mon"/>
    <s v="CUST-170"/>
    <s v="PROD-012"/>
    <s v="Corporate"/>
    <s v="South"/>
    <x v="2"/>
    <x v="4"/>
    <n v="8"/>
    <n v="120"/>
    <n v="960"/>
    <n v="96"/>
    <s v="Large Order"/>
    <s v="Weekday"/>
  </r>
  <r>
    <s v="ORD-2076"/>
    <d v="2024-01-04T00:00:00"/>
    <n v="2024"/>
    <s v="Jan"/>
    <s v="Thu"/>
    <s v="CUST-173"/>
    <s v="PROD-023"/>
    <s v="Corporate"/>
    <s v="North"/>
    <x v="4"/>
    <x v="4"/>
    <n v="17"/>
    <n v="120"/>
    <n v="2040"/>
    <n v="204"/>
    <s v="Large Order"/>
    <s v="Weekday"/>
  </r>
  <r>
    <s v="ORD-2077"/>
    <d v="2024-10-22T00:00:00"/>
    <n v="2024"/>
    <s v="Oct"/>
    <s v="Tue"/>
    <s v="CUST-146"/>
    <s v="PROD-019"/>
    <s v="Consumer"/>
    <s v="North"/>
    <x v="0"/>
    <x v="0"/>
    <n v="16"/>
    <n v="120"/>
    <n v="1920"/>
    <n v="192"/>
    <s v="Large Order"/>
    <s v="Weekday"/>
  </r>
  <r>
    <s v="ORD-2078"/>
    <d v="2024-10-24T00:00:00"/>
    <n v="2024"/>
    <s v="Oct"/>
    <s v="Thu"/>
    <s v="CUST-161"/>
    <s v="PROD-005"/>
    <s v="Home Office"/>
    <s v="Central"/>
    <x v="0"/>
    <x v="3"/>
    <n v="17"/>
    <n v="120"/>
    <n v="2040"/>
    <n v="204"/>
    <s v="Large Order"/>
    <s v="Weekday"/>
  </r>
  <r>
    <s v="ORD-2079"/>
    <d v="2024-08-26T00:00:00"/>
    <n v="2024"/>
    <s v="Aug"/>
    <s v="Mon"/>
    <s v="CUST-166"/>
    <s v="PROD-020"/>
    <s v="Consumer"/>
    <s v="Central"/>
    <x v="5"/>
    <x v="0"/>
    <n v="3"/>
    <n v="120"/>
    <n v="360"/>
    <n v="36"/>
    <s v="Standard Order"/>
    <s v="Weekday"/>
  </r>
  <r>
    <s v="ORD-2080"/>
    <d v="2024-12-16T00:00:00"/>
    <n v="2024"/>
    <s v="Dec"/>
    <s v="Mon"/>
    <s v="CUST-181"/>
    <s v="PROD-010"/>
    <s v="Home Office"/>
    <s v="West"/>
    <x v="5"/>
    <x v="3"/>
    <n v="20"/>
    <n v="120"/>
    <n v="2400"/>
    <n v="240"/>
    <s v="Large Order"/>
    <s v="Weekday"/>
  </r>
  <r>
    <s v="ORD-2081"/>
    <d v="2024-09-30T00:00:00"/>
    <n v="2024"/>
    <s v="Sep"/>
    <s v="Mon"/>
    <s v="CUST-199"/>
    <s v="PROD-015"/>
    <s v="Consumer"/>
    <s v="East"/>
    <x v="2"/>
    <x v="4"/>
    <n v="17"/>
    <n v="120"/>
    <n v="2040"/>
    <n v="204"/>
    <s v="Large Order"/>
    <s v="Weekday"/>
  </r>
  <r>
    <s v="ORD-2082"/>
    <d v="2024-06-18T00:00:00"/>
    <n v="2024"/>
    <s v="Jun"/>
    <s v="Tue"/>
    <s v="CUST-153"/>
    <s v="PROD-010"/>
    <s v="Corporate"/>
    <s v="East"/>
    <x v="3"/>
    <x v="4"/>
    <n v="6"/>
    <n v="120"/>
    <n v="720"/>
    <n v="72"/>
    <s v="Large Order"/>
    <s v="Weekday"/>
  </r>
  <r>
    <s v="ORD-2083"/>
    <d v="2024-06-04T00:00:00"/>
    <n v="2024"/>
    <s v="Jun"/>
    <s v="Tue"/>
    <s v="CUST-193"/>
    <s v="PROD-002"/>
    <s v="Home Office"/>
    <s v="Central"/>
    <x v="3"/>
    <x v="4"/>
    <n v="16"/>
    <n v="120"/>
    <n v="1920"/>
    <n v="192"/>
    <s v="Large Order"/>
    <s v="Weekday"/>
  </r>
  <r>
    <s v="ORD-2084"/>
    <d v="2024-01-27T00:00:00"/>
    <n v="2024"/>
    <s v="Jan"/>
    <s v="Sat"/>
    <s v="CUST-184"/>
    <s v="PROD-001"/>
    <s v="Corporate"/>
    <s v="East"/>
    <x v="5"/>
    <x v="2"/>
    <n v="10"/>
    <n v="120"/>
    <n v="1200"/>
    <n v="120"/>
    <s v="Large Order"/>
    <s v="Weekend"/>
  </r>
  <r>
    <s v="ORD-2085"/>
    <d v="2024-09-15T00:00:00"/>
    <n v="2024"/>
    <s v="Sep"/>
    <s v="Sun"/>
    <s v="CUST-109"/>
    <s v="PROD-005"/>
    <s v="Corporate"/>
    <s v="Central"/>
    <x v="3"/>
    <x v="3"/>
    <n v="20"/>
    <n v="120"/>
    <n v="2400"/>
    <n v="240"/>
    <s v="Large Order"/>
    <s v="Weekend"/>
  </r>
  <r>
    <s v="ORD-2086"/>
    <d v="2024-01-08T00:00:00"/>
    <n v="2024"/>
    <s v="Jan"/>
    <s v="Mon"/>
    <s v="CUST-194"/>
    <s v="PROD-006"/>
    <s v="Consumer"/>
    <s v="South"/>
    <x v="5"/>
    <x v="1"/>
    <n v="19"/>
    <n v="120"/>
    <n v="2280"/>
    <n v="228"/>
    <s v="Large Order"/>
    <s v="Weekday"/>
  </r>
  <r>
    <s v="ORD-2087"/>
    <d v="2024-07-08T00:00:00"/>
    <n v="2024"/>
    <s v="Jul"/>
    <s v="Mon"/>
    <s v="CUST-122"/>
    <s v="PROD-016"/>
    <s v="Corporate"/>
    <s v="Central"/>
    <x v="4"/>
    <x v="0"/>
    <n v="6"/>
    <n v="120"/>
    <n v="720"/>
    <n v="72"/>
    <s v="Large Order"/>
    <s v="Weekday"/>
  </r>
  <r>
    <s v="ORD-2088"/>
    <d v="2024-06-24T00:00:00"/>
    <n v="2024"/>
    <s v="Jun"/>
    <s v="Mon"/>
    <s v="CUST-110"/>
    <s v="PROD-005"/>
    <s v="Consumer"/>
    <s v="West"/>
    <x v="5"/>
    <x v="1"/>
    <n v="16"/>
    <n v="120"/>
    <n v="1920"/>
    <n v="192"/>
    <s v="Large Order"/>
    <s v="Weekday"/>
  </r>
  <r>
    <s v="ORD-2089"/>
    <d v="2024-07-15T00:00:00"/>
    <n v="2024"/>
    <s v="Jul"/>
    <s v="Mon"/>
    <s v="CUST-130"/>
    <s v="PROD-024"/>
    <s v="Home Office"/>
    <s v="North"/>
    <x v="2"/>
    <x v="3"/>
    <n v="6"/>
    <n v="120"/>
    <n v="720"/>
    <n v="72"/>
    <s v="Large Order"/>
    <s v="Weekday"/>
  </r>
  <r>
    <s v="ORD-2090"/>
    <d v="2024-01-28T00:00:00"/>
    <n v="2024"/>
    <s v="Jan"/>
    <s v="Sun"/>
    <s v="CUST-182"/>
    <s v="PROD-002"/>
    <s v="Corporate"/>
    <s v="Central"/>
    <x v="0"/>
    <x v="1"/>
    <n v="6"/>
    <n v="120"/>
    <n v="720"/>
    <n v="72"/>
    <s v="Large Order"/>
    <s v="Weekend"/>
  </r>
  <r>
    <s v="ORD-2091"/>
    <d v="2024-06-03T00:00:00"/>
    <n v="2024"/>
    <s v="Jun"/>
    <s v="Mon"/>
    <s v="CUST-160"/>
    <s v="PROD-008"/>
    <s v="Home Office"/>
    <s v="Central"/>
    <x v="5"/>
    <x v="1"/>
    <n v="13"/>
    <n v="120"/>
    <n v="1560"/>
    <n v="156"/>
    <s v="Large Order"/>
    <s v="Weekday"/>
  </r>
  <r>
    <s v="ORD-2092"/>
    <d v="2024-08-30T00:00:00"/>
    <n v="2024"/>
    <s v="Aug"/>
    <s v="Fri"/>
    <s v="CUST-133"/>
    <s v="PROD-014"/>
    <s v="Consumer"/>
    <s v="Central"/>
    <x v="5"/>
    <x v="1"/>
    <n v="1"/>
    <n v="120"/>
    <n v="120"/>
    <n v="12"/>
    <s v="Standard Order"/>
    <s v="Weekday"/>
  </r>
  <r>
    <s v="ORD-2093"/>
    <d v="2024-07-14T00:00:00"/>
    <n v="2024"/>
    <s v="Jul"/>
    <s v="Sun"/>
    <s v="CUST-186"/>
    <s v="PROD-022"/>
    <s v="Corporate"/>
    <s v="Central"/>
    <x v="5"/>
    <x v="4"/>
    <n v="2"/>
    <n v="120"/>
    <n v="240"/>
    <n v="24"/>
    <s v="Standard Order"/>
    <s v="Weekend"/>
  </r>
  <r>
    <s v="ORD-2094"/>
    <d v="2024-11-22T00:00:00"/>
    <n v="2024"/>
    <s v="Nov"/>
    <s v="Fri"/>
    <s v="CUST-145"/>
    <s v="PROD-021"/>
    <s v="Corporate"/>
    <s v="Central"/>
    <x v="5"/>
    <x v="3"/>
    <n v="9"/>
    <n v="120"/>
    <n v="1080"/>
    <n v="108"/>
    <s v="Large Order"/>
    <s v="Weekday"/>
  </r>
  <r>
    <s v="ORD-2095"/>
    <d v="2024-02-20T00:00:00"/>
    <n v="2024"/>
    <s v="Feb"/>
    <s v="Tue"/>
    <s v="CUST-132"/>
    <s v="PROD-013"/>
    <s v="Home Office"/>
    <s v="Central"/>
    <x v="5"/>
    <x v="2"/>
    <n v="15"/>
    <n v="120"/>
    <n v="1800"/>
    <n v="180"/>
    <s v="Large Order"/>
    <s v="Weekday"/>
  </r>
  <r>
    <s v="ORD-2096"/>
    <d v="2024-12-10T00:00:00"/>
    <n v="2024"/>
    <s v="Dec"/>
    <s v="Tue"/>
    <s v="CUST-175"/>
    <s v="PROD-011"/>
    <s v="Consumer"/>
    <s v="North"/>
    <x v="5"/>
    <x v="0"/>
    <n v="6"/>
    <n v="120"/>
    <n v="720"/>
    <n v="72"/>
    <s v="Large Order"/>
    <s v="Weekday"/>
  </r>
  <r>
    <s v="ORD-2097"/>
    <d v="2024-12-10T00:00:00"/>
    <n v="2024"/>
    <s v="Dec"/>
    <s v="Tue"/>
    <s v="CUST-101"/>
    <s v="PROD-014"/>
    <s v="Consumer"/>
    <s v="East"/>
    <x v="0"/>
    <x v="1"/>
    <n v="4"/>
    <n v="120"/>
    <n v="480"/>
    <n v="48"/>
    <s v="Standard Order"/>
    <s v="Weekday"/>
  </r>
  <r>
    <s v="ORD-2098"/>
    <d v="2024-06-28T00:00:00"/>
    <n v="2024"/>
    <s v="Jun"/>
    <s v="Fri"/>
    <s v="CUST-128"/>
    <s v="PROD-009"/>
    <s v="Home Office"/>
    <s v="South"/>
    <x v="3"/>
    <x v="4"/>
    <n v="7"/>
    <n v="120"/>
    <n v="840"/>
    <n v="84"/>
    <s v="Large Order"/>
    <s v="Weekday"/>
  </r>
  <r>
    <s v="ORD-2099"/>
    <d v="2024-02-17T00:00:00"/>
    <n v="2024"/>
    <s v="Feb"/>
    <s v="Sat"/>
    <s v="CUST-107"/>
    <s v="PROD-020"/>
    <s v="Home Office"/>
    <s v="West"/>
    <x v="4"/>
    <x v="0"/>
    <n v="4"/>
    <n v="120"/>
    <n v="480"/>
    <n v="48"/>
    <s v="Standard Order"/>
    <s v="Weekend"/>
  </r>
  <r>
    <s v="ORD-2100"/>
    <d v="2024-02-14T00:00:00"/>
    <n v="2024"/>
    <s v="Feb"/>
    <s v="Wed"/>
    <s v="CUST-177"/>
    <s v="PROD-022"/>
    <s v="Consumer"/>
    <s v="East"/>
    <x v="2"/>
    <x v="2"/>
    <n v="19"/>
    <n v="120"/>
    <n v="2280"/>
    <n v="228"/>
    <s v="Large Order"/>
    <s v="Weekday"/>
  </r>
  <r>
    <s v="ORD-2101"/>
    <d v="2024-02-26T00:00:00"/>
    <n v="2024"/>
    <s v="Feb"/>
    <s v="Mon"/>
    <s v="CUST-189"/>
    <s v="PROD-010"/>
    <s v="Consumer"/>
    <s v="West"/>
    <x v="3"/>
    <x v="0"/>
    <n v="15"/>
    <n v="120"/>
    <n v="1800"/>
    <n v="180"/>
    <s v="Large Order"/>
    <s v="Weekday"/>
  </r>
  <r>
    <s v="ORD-2102"/>
    <d v="2024-11-23T00:00:00"/>
    <n v="2024"/>
    <s v="Nov"/>
    <s v="Sat"/>
    <s v="CUST-158"/>
    <s v="PROD-023"/>
    <s v="Corporate"/>
    <s v="West"/>
    <x v="2"/>
    <x v="0"/>
    <n v="11"/>
    <n v="120"/>
    <n v="1320"/>
    <n v="132"/>
    <s v="Large Order"/>
    <s v="Weekend"/>
  </r>
  <r>
    <s v="ORD-2103"/>
    <d v="2024-05-21T00:00:00"/>
    <n v="2024"/>
    <s v="May"/>
    <s v="Tue"/>
    <s v="CUST-199"/>
    <s v="PROD-013"/>
    <s v="Consumer"/>
    <s v="North"/>
    <x v="2"/>
    <x v="3"/>
    <n v="11"/>
    <n v="120"/>
    <n v="1320"/>
    <n v="132"/>
    <s v="Large Order"/>
    <s v="Weekday"/>
  </r>
  <r>
    <s v="ORD-2104"/>
    <d v="2024-05-15T00:00:00"/>
    <n v="2024"/>
    <s v="May"/>
    <s v="Wed"/>
    <s v="CUST-122"/>
    <s v="PROD-016"/>
    <s v="Corporate"/>
    <s v="South"/>
    <x v="0"/>
    <x v="2"/>
    <n v="7"/>
    <n v="120"/>
    <n v="840"/>
    <n v="84"/>
    <s v="Large Order"/>
    <s v="Weekday"/>
  </r>
  <r>
    <s v="ORD-2105"/>
    <d v="2024-11-26T00:00:00"/>
    <n v="2024"/>
    <s v="Nov"/>
    <s v="Tue"/>
    <s v="CUST-162"/>
    <s v="PROD-018"/>
    <s v="Consumer"/>
    <s v="North"/>
    <x v="4"/>
    <x v="0"/>
    <n v="14"/>
    <n v="120"/>
    <n v="1680"/>
    <n v="168"/>
    <s v="Large Order"/>
    <s v="Weekday"/>
  </r>
  <r>
    <s v="ORD-2106"/>
    <d v="2024-08-14T00:00:00"/>
    <n v="2024"/>
    <s v="Aug"/>
    <s v="Wed"/>
    <s v="CUST-191"/>
    <s v="PROD-002"/>
    <s v="Corporate"/>
    <s v="South"/>
    <x v="0"/>
    <x v="3"/>
    <n v="3"/>
    <n v="120"/>
    <n v="360"/>
    <n v="36"/>
    <s v="Standard Order"/>
    <s v="Weekday"/>
  </r>
  <r>
    <s v="ORD-2107"/>
    <d v="2024-08-16T00:00:00"/>
    <n v="2024"/>
    <s v="Aug"/>
    <s v="Fri"/>
    <s v="CUST-102"/>
    <s v="PROD-021"/>
    <s v="Corporate"/>
    <s v="East"/>
    <x v="4"/>
    <x v="1"/>
    <n v="1"/>
    <n v="120"/>
    <n v="120"/>
    <n v="12"/>
    <s v="Standard Order"/>
    <s v="Weekday"/>
  </r>
  <r>
    <s v="ORD-2108"/>
    <d v="2024-05-16T00:00:00"/>
    <n v="2024"/>
    <s v="May"/>
    <s v="Thu"/>
    <s v="CUST-119"/>
    <s v="PROD-013"/>
    <s v="Home Office"/>
    <s v="North"/>
    <x v="3"/>
    <x v="1"/>
    <n v="19"/>
    <n v="120"/>
    <n v="2280"/>
    <n v="228"/>
    <s v="Large Order"/>
    <s v="Weekday"/>
  </r>
  <r>
    <s v="ORD-2109"/>
    <d v="2024-09-01T00:00:00"/>
    <n v="2024"/>
    <s v="Sep"/>
    <s v="Sun"/>
    <s v="CUST-155"/>
    <s v="PROD-018"/>
    <s v="Corporate"/>
    <s v="East"/>
    <x v="0"/>
    <x v="1"/>
    <n v="8"/>
    <n v="120"/>
    <n v="960"/>
    <n v="96"/>
    <s v="Large Order"/>
    <s v="Weekend"/>
  </r>
  <r>
    <s v="ORD-2110"/>
    <d v="2024-03-03T00:00:00"/>
    <n v="2024"/>
    <s v="Mar"/>
    <s v="Sun"/>
    <s v="CUST-172"/>
    <s v="PROD-011"/>
    <s v="Home Office"/>
    <s v="North"/>
    <x v="3"/>
    <x v="0"/>
    <n v="10"/>
    <n v="120"/>
    <n v="1200"/>
    <n v="120"/>
    <s v="Large Order"/>
    <s v="Weekend"/>
  </r>
  <r>
    <s v="ORD-2111"/>
    <d v="2024-07-06T00:00:00"/>
    <n v="2024"/>
    <s v="Jul"/>
    <s v="Sat"/>
    <s v="CUST-168"/>
    <s v="PROD-015"/>
    <s v="Corporate"/>
    <s v="South"/>
    <x v="0"/>
    <x v="2"/>
    <n v="10"/>
    <n v="120"/>
    <n v="1200"/>
    <n v="120"/>
    <s v="Large Order"/>
    <s v="Weekend"/>
  </r>
  <r>
    <s v="ORD-2112"/>
    <d v="2024-10-10T00:00:00"/>
    <n v="2024"/>
    <s v="Oct"/>
    <s v="Thu"/>
    <s v="CUST-105"/>
    <s v="PROD-010"/>
    <s v="Corporate"/>
    <s v="West"/>
    <x v="4"/>
    <x v="3"/>
    <n v="13"/>
    <n v="120"/>
    <n v="1560"/>
    <n v="156"/>
    <s v="Large Order"/>
    <s v="Weekday"/>
  </r>
  <r>
    <s v="ORD-2113"/>
    <d v="2024-09-06T00:00:00"/>
    <n v="2024"/>
    <s v="Sep"/>
    <s v="Fri"/>
    <s v="CUST-110"/>
    <s v="PROD-024"/>
    <s v="Home Office"/>
    <s v="South"/>
    <x v="2"/>
    <x v="2"/>
    <n v="7"/>
    <n v="120"/>
    <n v="840"/>
    <n v="84"/>
    <s v="Large Order"/>
    <s v="Weekday"/>
  </r>
  <r>
    <s v="ORD-2114"/>
    <d v="2024-01-13T00:00:00"/>
    <n v="2024"/>
    <s v="Jan"/>
    <s v="Sat"/>
    <s v="CUST-192"/>
    <s v="PROD-016"/>
    <s v="Home Office"/>
    <s v="Central"/>
    <x v="4"/>
    <x v="4"/>
    <n v="13"/>
    <n v="120"/>
    <n v="1560"/>
    <n v="156"/>
    <s v="Large Order"/>
    <s v="Weekend"/>
  </r>
  <r>
    <s v="ORD-2115"/>
    <d v="2024-11-25T00:00:00"/>
    <n v="2024"/>
    <s v="Nov"/>
    <s v="Mon"/>
    <s v="CUST-139"/>
    <s v="PROD-015"/>
    <s v="Corporate"/>
    <s v="North"/>
    <x v="5"/>
    <x v="0"/>
    <n v="1"/>
    <n v="120"/>
    <n v="120"/>
    <n v="12"/>
    <s v="Standard Order"/>
    <s v="Weekday"/>
  </r>
  <r>
    <s v="ORD-2116"/>
    <d v="2024-06-21T00:00:00"/>
    <n v="2024"/>
    <s v="Jun"/>
    <s v="Fri"/>
    <s v="CUST-200"/>
    <s v="PROD-013"/>
    <s v="Home Office"/>
    <s v="South"/>
    <x v="0"/>
    <x v="4"/>
    <n v="4"/>
    <n v="120"/>
    <n v="480"/>
    <n v="48"/>
    <s v="Standard Order"/>
    <s v="Weekday"/>
  </r>
  <r>
    <s v="ORD-2117"/>
    <d v="2024-08-22T00:00:00"/>
    <n v="2024"/>
    <s v="Aug"/>
    <s v="Thu"/>
    <s v="CUST-186"/>
    <s v="PROD-024"/>
    <s v="Home Office"/>
    <s v="West"/>
    <x v="4"/>
    <x v="0"/>
    <n v="19"/>
    <n v="120"/>
    <n v="2280"/>
    <n v="228"/>
    <s v="Large Order"/>
    <s v="Weekday"/>
  </r>
  <r>
    <s v="ORD-2118"/>
    <d v="2024-01-19T00:00:00"/>
    <n v="2024"/>
    <s v="Jan"/>
    <s v="Fri"/>
    <s v="CUST-194"/>
    <s v="PROD-021"/>
    <s v="Consumer"/>
    <s v="South"/>
    <x v="2"/>
    <x v="4"/>
    <n v="1"/>
    <n v="120"/>
    <n v="120"/>
    <n v="12"/>
    <s v="Standard Order"/>
    <s v="Weekday"/>
  </r>
  <r>
    <s v="ORD-2119"/>
    <d v="2024-01-24T00:00:00"/>
    <n v="2024"/>
    <s v="Jan"/>
    <s v="Wed"/>
    <s v="CUST-131"/>
    <s v="PROD-001"/>
    <s v="Home Office"/>
    <s v="South"/>
    <x v="4"/>
    <x v="3"/>
    <n v="6"/>
    <n v="120"/>
    <n v="720"/>
    <n v="72"/>
    <s v="Large Order"/>
    <s v="Weekday"/>
  </r>
  <r>
    <s v="ORD-2120"/>
    <d v="2024-02-19T00:00:00"/>
    <n v="2024"/>
    <s v="Feb"/>
    <s v="Mon"/>
    <s v="CUST-158"/>
    <s v="PROD-019"/>
    <s v="Home Office"/>
    <s v="Central"/>
    <x v="4"/>
    <x v="0"/>
    <n v="3"/>
    <n v="120"/>
    <n v="360"/>
    <n v="36"/>
    <s v="Standard Order"/>
    <s v="Weekday"/>
  </r>
  <r>
    <s v="ORD-2121"/>
    <d v="2024-02-28T00:00:00"/>
    <n v="2024"/>
    <s v="Feb"/>
    <s v="Wed"/>
    <s v="CUST-163"/>
    <s v="PROD-008"/>
    <s v="Home Office"/>
    <s v="West"/>
    <x v="5"/>
    <x v="1"/>
    <n v="3"/>
    <n v="120"/>
    <n v="360"/>
    <n v="36"/>
    <s v="Standard Order"/>
    <s v="Weekday"/>
  </r>
  <r>
    <s v="ORD-2122"/>
    <d v="2024-06-21T00:00:00"/>
    <n v="2024"/>
    <s v="Jun"/>
    <s v="Fri"/>
    <s v="CUST-194"/>
    <s v="PROD-011"/>
    <s v="Home Office"/>
    <s v="South"/>
    <x v="2"/>
    <x v="4"/>
    <n v="4"/>
    <n v="120"/>
    <n v="480"/>
    <n v="48"/>
    <s v="Standard Order"/>
    <s v="Weekday"/>
  </r>
  <r>
    <s v="ORD-2123"/>
    <d v="2024-10-06T00:00:00"/>
    <n v="2024"/>
    <s v="Oct"/>
    <s v="Sun"/>
    <s v="CUST-117"/>
    <s v="PROD-025"/>
    <s v="Corporate"/>
    <s v="South"/>
    <x v="4"/>
    <x v="3"/>
    <n v="2"/>
    <n v="120"/>
    <n v="240"/>
    <n v="24"/>
    <s v="Standard Order"/>
    <s v="Weekend"/>
  </r>
  <r>
    <s v="ORD-2124"/>
    <d v="2024-02-02T00:00:00"/>
    <n v="2024"/>
    <s v="Feb"/>
    <s v="Fri"/>
    <s v="CUST-115"/>
    <s v="PROD-025"/>
    <s v="Corporate"/>
    <s v="South"/>
    <x v="4"/>
    <x v="3"/>
    <n v="14"/>
    <n v="120"/>
    <n v="1680"/>
    <n v="168"/>
    <s v="Large Order"/>
    <s v="Weekday"/>
  </r>
  <r>
    <s v="ORD-2125"/>
    <d v="2024-10-10T00:00:00"/>
    <n v="2024"/>
    <s v="Oct"/>
    <s v="Thu"/>
    <s v="CUST-121"/>
    <s v="PROD-019"/>
    <s v="Corporate"/>
    <s v="North"/>
    <x v="4"/>
    <x v="4"/>
    <n v="2"/>
    <n v="120"/>
    <n v="240"/>
    <n v="24"/>
    <s v="Standard Order"/>
    <s v="Weekday"/>
  </r>
  <r>
    <s v="ORD-2126"/>
    <d v="2024-07-11T00:00:00"/>
    <n v="2024"/>
    <s v="Jul"/>
    <s v="Thu"/>
    <s v="CUST-199"/>
    <s v="PROD-016"/>
    <s v="Consumer"/>
    <s v="Central"/>
    <x v="0"/>
    <x v="2"/>
    <n v="3"/>
    <n v="120"/>
    <n v="360"/>
    <n v="36"/>
    <s v="Standard Order"/>
    <s v="Weekday"/>
  </r>
  <r>
    <s v="ORD-2127"/>
    <d v="2024-02-15T00:00:00"/>
    <n v="2024"/>
    <s v="Feb"/>
    <s v="Thu"/>
    <s v="CUST-190"/>
    <s v="PROD-010"/>
    <s v="Home Office"/>
    <s v="South"/>
    <x v="5"/>
    <x v="1"/>
    <n v="14"/>
    <n v="120"/>
    <n v="1680"/>
    <n v="168"/>
    <s v="Large Order"/>
    <s v="Weekday"/>
  </r>
  <r>
    <s v="ORD-2128"/>
    <d v="2024-12-20T00:00:00"/>
    <n v="2024"/>
    <s v="Dec"/>
    <s v="Fri"/>
    <s v="CUST-116"/>
    <s v="PROD-021"/>
    <s v="Consumer"/>
    <s v="North"/>
    <x v="4"/>
    <x v="1"/>
    <n v="9"/>
    <n v="120"/>
    <n v="1080"/>
    <n v="108"/>
    <s v="Large Order"/>
    <s v="Weekday"/>
  </r>
  <r>
    <s v="ORD-2129"/>
    <d v="2024-05-02T00:00:00"/>
    <n v="2024"/>
    <s v="May"/>
    <s v="Thu"/>
    <s v="CUST-122"/>
    <s v="PROD-020"/>
    <s v="Home Office"/>
    <s v="East"/>
    <x v="0"/>
    <x v="4"/>
    <n v="6"/>
    <n v="120"/>
    <n v="720"/>
    <n v="72"/>
    <s v="Large Order"/>
    <s v="Weekday"/>
  </r>
  <r>
    <s v="ORD-2130"/>
    <d v="2024-02-15T00:00:00"/>
    <n v="2024"/>
    <s v="Feb"/>
    <s v="Thu"/>
    <s v="CUST-180"/>
    <s v="PROD-014"/>
    <s v="Corporate"/>
    <s v="Central"/>
    <x v="3"/>
    <x v="2"/>
    <n v="1"/>
    <n v="120"/>
    <n v="120"/>
    <n v="12"/>
    <s v="Standard Order"/>
    <s v="Weekday"/>
  </r>
  <r>
    <s v="ORD-2131"/>
    <d v="2024-03-01T00:00:00"/>
    <n v="2024"/>
    <s v="Mar"/>
    <s v="Fri"/>
    <s v="CUST-167"/>
    <s v="PROD-012"/>
    <s v="Consumer"/>
    <s v="East"/>
    <x v="5"/>
    <x v="1"/>
    <n v="18"/>
    <n v="120"/>
    <n v="2160"/>
    <n v="216"/>
    <s v="Large Order"/>
    <s v="Weekday"/>
  </r>
  <r>
    <s v="ORD-2132"/>
    <d v="2024-11-16T00:00:00"/>
    <n v="2024"/>
    <s v="Nov"/>
    <s v="Sat"/>
    <s v="CUST-184"/>
    <s v="PROD-002"/>
    <s v="Consumer"/>
    <s v="South"/>
    <x v="3"/>
    <x v="2"/>
    <n v="7"/>
    <n v="120"/>
    <n v="840"/>
    <n v="84"/>
    <s v="Large Order"/>
    <s v="Weekend"/>
  </r>
  <r>
    <s v="ORD-2133"/>
    <d v="2024-12-16T00:00:00"/>
    <n v="2024"/>
    <s v="Dec"/>
    <s v="Mon"/>
    <s v="CUST-160"/>
    <s v="PROD-006"/>
    <s v="Corporate"/>
    <s v="East"/>
    <x v="4"/>
    <x v="3"/>
    <n v="2"/>
    <n v="120"/>
    <n v="240"/>
    <n v="24"/>
    <s v="Standard Order"/>
    <s v="Weekday"/>
  </r>
  <r>
    <s v="ORD-2134"/>
    <d v="2024-05-25T00:00:00"/>
    <n v="2024"/>
    <s v="May"/>
    <s v="Sat"/>
    <s v="CUST-126"/>
    <s v="PROD-011"/>
    <s v="Corporate"/>
    <s v="North"/>
    <x v="3"/>
    <x v="1"/>
    <n v="20"/>
    <n v="120"/>
    <n v="2400"/>
    <n v="240"/>
    <s v="Large Order"/>
    <s v="Weekend"/>
  </r>
  <r>
    <s v="ORD-2135"/>
    <d v="2024-01-23T00:00:00"/>
    <n v="2024"/>
    <s v="Jan"/>
    <s v="Tue"/>
    <s v="CUST-113"/>
    <s v="PROD-018"/>
    <s v="Home Office"/>
    <s v="North"/>
    <x v="0"/>
    <x v="0"/>
    <n v="6"/>
    <n v="120"/>
    <n v="720"/>
    <n v="72"/>
    <s v="Large Order"/>
    <s v="Weekday"/>
  </r>
  <r>
    <s v="ORD-2136"/>
    <d v="2024-09-05T00:00:00"/>
    <n v="2024"/>
    <s v="Sep"/>
    <s v="Thu"/>
    <s v="CUST-165"/>
    <s v="PROD-008"/>
    <s v="Consumer"/>
    <s v="East"/>
    <x v="0"/>
    <x v="3"/>
    <n v="15"/>
    <n v="120"/>
    <n v="1800"/>
    <n v="180"/>
    <s v="Large Order"/>
    <s v="Weekday"/>
  </r>
  <r>
    <s v="ORD-2137"/>
    <d v="2024-08-02T00:00:00"/>
    <n v="2024"/>
    <s v="Aug"/>
    <s v="Fri"/>
    <s v="CUST-125"/>
    <s v="PROD-008"/>
    <s v="Home Office"/>
    <s v="South"/>
    <x v="3"/>
    <x v="0"/>
    <n v="4"/>
    <n v="120"/>
    <n v="480"/>
    <n v="48"/>
    <s v="Standard Order"/>
    <s v="Weekday"/>
  </r>
  <r>
    <s v="ORD-2138"/>
    <d v="2024-05-01T00:00:00"/>
    <n v="2024"/>
    <s v="May"/>
    <s v="Wed"/>
    <s v="CUST-194"/>
    <s v="PROD-013"/>
    <s v="Corporate"/>
    <s v="South"/>
    <x v="4"/>
    <x v="4"/>
    <n v="8"/>
    <n v="120"/>
    <n v="960"/>
    <n v="96"/>
    <s v="Large Order"/>
    <s v="Weekday"/>
  </r>
  <r>
    <s v="ORD-2139"/>
    <d v="2024-09-05T00:00:00"/>
    <n v="2024"/>
    <s v="Sep"/>
    <s v="Thu"/>
    <s v="CUST-106"/>
    <s v="PROD-007"/>
    <s v="Corporate"/>
    <s v="South"/>
    <x v="4"/>
    <x v="1"/>
    <n v="20"/>
    <n v="120"/>
    <n v="2400"/>
    <n v="240"/>
    <s v="Large Order"/>
    <s v="Weekday"/>
  </r>
  <r>
    <s v="ORD-2140"/>
    <d v="2024-07-10T00:00:00"/>
    <n v="2024"/>
    <s v="Jul"/>
    <s v="Wed"/>
    <s v="CUST-117"/>
    <s v="PROD-021"/>
    <s v="Corporate"/>
    <s v="Central"/>
    <x v="4"/>
    <x v="2"/>
    <n v="12"/>
    <n v="120"/>
    <n v="1440"/>
    <n v="144"/>
    <s v="Large Order"/>
    <s v="Weekday"/>
  </r>
  <r>
    <s v="ORD-2141"/>
    <d v="2024-06-20T00:00:00"/>
    <n v="2024"/>
    <s v="Jun"/>
    <s v="Thu"/>
    <s v="CUST-116"/>
    <s v="PROD-002"/>
    <s v="Consumer"/>
    <s v="East"/>
    <x v="5"/>
    <x v="1"/>
    <n v="9"/>
    <n v="120"/>
    <n v="1080"/>
    <n v="108"/>
    <s v="Large Order"/>
    <s v="Weekday"/>
  </r>
  <r>
    <s v="ORD-2142"/>
    <d v="2024-08-22T00:00:00"/>
    <n v="2024"/>
    <s v="Aug"/>
    <s v="Thu"/>
    <s v="CUST-153"/>
    <s v="PROD-008"/>
    <s v="Consumer"/>
    <s v="South"/>
    <x v="3"/>
    <x v="4"/>
    <n v="10"/>
    <n v="120"/>
    <n v="1200"/>
    <n v="120"/>
    <s v="Large Order"/>
    <s v="Weekday"/>
  </r>
  <r>
    <s v="ORD-2143"/>
    <d v="2024-03-28T00:00:00"/>
    <n v="2024"/>
    <s v="Mar"/>
    <s v="Thu"/>
    <s v="CUST-173"/>
    <s v="PROD-003"/>
    <s v="Home Office"/>
    <s v="West"/>
    <x v="4"/>
    <x v="1"/>
    <n v="14"/>
    <n v="120"/>
    <n v="1680"/>
    <n v="168"/>
    <s v="Large Order"/>
    <s v="Weekday"/>
  </r>
  <r>
    <s v="ORD-2144"/>
    <d v="2024-04-20T00:00:00"/>
    <n v="2024"/>
    <s v="Apr"/>
    <s v="Sat"/>
    <s v="CUST-175"/>
    <s v="PROD-009"/>
    <s v="Corporate"/>
    <s v="Central"/>
    <x v="2"/>
    <x v="2"/>
    <n v="1"/>
    <n v="120"/>
    <n v="120"/>
    <n v="12"/>
    <s v="Standard Order"/>
    <s v="Weekend"/>
  </r>
  <r>
    <s v="ORD-2145"/>
    <d v="2024-05-06T00:00:00"/>
    <n v="2024"/>
    <s v="May"/>
    <s v="Mon"/>
    <s v="CUST-141"/>
    <s v="PROD-008"/>
    <s v="Corporate"/>
    <s v="North"/>
    <x v="5"/>
    <x v="4"/>
    <n v="19"/>
    <n v="120"/>
    <n v="2280"/>
    <n v="228"/>
    <s v="Large Order"/>
    <s v="Weekday"/>
  </r>
  <r>
    <s v="ORD-2146"/>
    <d v="2024-01-03T00:00:00"/>
    <n v="2024"/>
    <s v="Jan"/>
    <s v="Wed"/>
    <s v="CUST-153"/>
    <s v="PROD-016"/>
    <s v="Consumer"/>
    <s v="North"/>
    <x v="0"/>
    <x v="4"/>
    <n v="17"/>
    <n v="120"/>
    <n v="2040"/>
    <n v="204"/>
    <s v="Large Order"/>
    <s v="Weekday"/>
  </r>
  <r>
    <s v="ORD-2147"/>
    <d v="2024-07-20T00:00:00"/>
    <n v="2024"/>
    <s v="Jul"/>
    <s v="Sat"/>
    <s v="CUST-161"/>
    <s v="PROD-015"/>
    <s v="Home Office"/>
    <s v="West"/>
    <x v="0"/>
    <x v="4"/>
    <n v="16"/>
    <n v="120"/>
    <n v="1920"/>
    <n v="192"/>
    <s v="Large Order"/>
    <s v="Weekend"/>
  </r>
  <r>
    <s v="ORD-2148"/>
    <d v="2024-01-07T00:00:00"/>
    <n v="2024"/>
    <s v="Jan"/>
    <s v="Sun"/>
    <s v="CUST-188"/>
    <s v="PROD-007"/>
    <s v="Home Office"/>
    <s v="West"/>
    <x v="2"/>
    <x v="2"/>
    <n v="5"/>
    <n v="120"/>
    <n v="600"/>
    <n v="60"/>
    <s v="Large Order"/>
    <s v="Weekend"/>
  </r>
  <r>
    <s v="ORD-2149"/>
    <d v="2024-11-27T00:00:00"/>
    <n v="2024"/>
    <s v="Nov"/>
    <s v="Wed"/>
    <s v="CUST-111"/>
    <s v="PROD-022"/>
    <s v="Consumer"/>
    <s v="North"/>
    <x v="2"/>
    <x v="1"/>
    <n v="10"/>
    <n v="120"/>
    <n v="1200"/>
    <n v="120"/>
    <s v="Large Order"/>
    <s v="Weekday"/>
  </r>
  <r>
    <s v="ORD-2150"/>
    <d v="2024-10-19T00:00:00"/>
    <n v="2024"/>
    <s v="Oct"/>
    <s v="Sat"/>
    <s v="CUST-195"/>
    <s v="PROD-015"/>
    <s v="Home Office"/>
    <s v="West"/>
    <x v="0"/>
    <x v="1"/>
    <n v="15"/>
    <n v="120"/>
    <n v="1800"/>
    <n v="180"/>
    <s v="Large Order"/>
    <s v="Weekend"/>
  </r>
  <r>
    <s v="ORD-2151"/>
    <d v="2024-04-04T00:00:00"/>
    <n v="2024"/>
    <s v="Apr"/>
    <s v="Thu"/>
    <s v="CUST-147"/>
    <s v="PROD-023"/>
    <s v="Home Office"/>
    <s v="Central"/>
    <x v="2"/>
    <x v="0"/>
    <n v="1"/>
    <n v="120"/>
    <n v="120"/>
    <n v="12"/>
    <s v="Standard Order"/>
    <s v="Weekday"/>
  </r>
  <r>
    <s v="ORD-2152"/>
    <d v="2024-07-16T00:00:00"/>
    <n v="2024"/>
    <s v="Jul"/>
    <s v="Tue"/>
    <s v="CUST-188"/>
    <s v="PROD-002"/>
    <s v="Corporate"/>
    <s v="Central"/>
    <x v="5"/>
    <x v="3"/>
    <n v="10"/>
    <n v="120"/>
    <n v="1200"/>
    <n v="120"/>
    <s v="Large Order"/>
    <s v="Weekday"/>
  </r>
  <r>
    <s v="ORD-2153"/>
    <d v="2024-12-23T00:00:00"/>
    <n v="2024"/>
    <s v="Dec"/>
    <s v="Mon"/>
    <s v="CUST-178"/>
    <s v="PROD-007"/>
    <s v="Home Office"/>
    <s v="East"/>
    <x v="5"/>
    <x v="3"/>
    <n v="3"/>
    <n v="120"/>
    <n v="360"/>
    <n v="36"/>
    <s v="Standard Order"/>
    <s v="Weekday"/>
  </r>
  <r>
    <s v="ORD-2154"/>
    <d v="2024-01-29T00:00:00"/>
    <n v="2024"/>
    <s v="Jan"/>
    <s v="Mon"/>
    <s v="CUST-165"/>
    <s v="PROD-002"/>
    <s v="Home Office"/>
    <s v="East"/>
    <x v="3"/>
    <x v="1"/>
    <n v="4"/>
    <n v="120"/>
    <n v="480"/>
    <n v="48"/>
    <s v="Standard Order"/>
    <s v="Weekday"/>
  </r>
  <r>
    <s v="ORD-2155"/>
    <d v="2024-11-12T00:00:00"/>
    <n v="2024"/>
    <s v="Nov"/>
    <s v="Tue"/>
    <s v="CUST-105"/>
    <s v="PROD-006"/>
    <s v="Corporate"/>
    <s v="South"/>
    <x v="3"/>
    <x v="4"/>
    <n v="18"/>
    <n v="120"/>
    <n v="2160"/>
    <n v="216"/>
    <s v="Large Order"/>
    <s v="Weekday"/>
  </r>
  <r>
    <s v="ORD-2156"/>
    <d v="2024-12-29T00:00:00"/>
    <n v="2024"/>
    <s v="Dec"/>
    <s v="Sun"/>
    <s v="CUST-199"/>
    <s v="PROD-011"/>
    <s v="Consumer"/>
    <s v="South"/>
    <x v="4"/>
    <x v="1"/>
    <n v="8"/>
    <n v="120"/>
    <n v="960"/>
    <n v="96"/>
    <s v="Large Order"/>
    <s v="Weekend"/>
  </r>
  <r>
    <s v="ORD-2157"/>
    <d v="2024-10-24T00:00:00"/>
    <n v="2024"/>
    <s v="Oct"/>
    <s v="Thu"/>
    <s v="CUST-189"/>
    <s v="PROD-011"/>
    <s v="Consumer"/>
    <s v="North"/>
    <x v="4"/>
    <x v="4"/>
    <n v="12"/>
    <n v="120"/>
    <n v="1440"/>
    <n v="144"/>
    <s v="Large Order"/>
    <s v="Weekday"/>
  </r>
  <r>
    <s v="ORD-2158"/>
    <d v="2024-12-14T00:00:00"/>
    <n v="2024"/>
    <s v="Dec"/>
    <s v="Sat"/>
    <s v="CUST-154"/>
    <s v="PROD-003"/>
    <s v="Corporate"/>
    <s v="West"/>
    <x v="0"/>
    <x v="1"/>
    <n v="12"/>
    <n v="120"/>
    <n v="1440"/>
    <n v="144"/>
    <s v="Large Order"/>
    <s v="Weekend"/>
  </r>
  <r>
    <s v="ORD-2159"/>
    <d v="2024-09-13T00:00:00"/>
    <n v="2024"/>
    <s v="Sep"/>
    <s v="Fri"/>
    <s v="CUST-167"/>
    <s v="PROD-023"/>
    <s v="Consumer"/>
    <s v="East"/>
    <x v="2"/>
    <x v="4"/>
    <n v="18"/>
    <n v="120"/>
    <n v="2160"/>
    <n v="216"/>
    <s v="Large Order"/>
    <s v="Weekday"/>
  </r>
  <r>
    <s v="ORD-2160"/>
    <d v="2024-05-29T00:00:00"/>
    <n v="2024"/>
    <s v="May"/>
    <s v="Wed"/>
    <s v="CUST-157"/>
    <s v="PROD-022"/>
    <s v="Home Office"/>
    <s v="South"/>
    <x v="3"/>
    <x v="1"/>
    <n v="3"/>
    <n v="120"/>
    <n v="360"/>
    <n v="36"/>
    <s v="Standard Order"/>
    <s v="Weekday"/>
  </r>
  <r>
    <s v="ORD-2161"/>
    <d v="2024-02-14T00:00:00"/>
    <n v="2024"/>
    <s v="Feb"/>
    <s v="Wed"/>
    <s v="CUST-110"/>
    <s v="PROD-010"/>
    <s v="Corporate"/>
    <s v="West"/>
    <x v="4"/>
    <x v="3"/>
    <n v="3"/>
    <n v="120"/>
    <n v="360"/>
    <n v="36"/>
    <s v="Standard Order"/>
    <s v="Weekday"/>
  </r>
  <r>
    <s v="ORD-2162"/>
    <d v="2024-02-27T00:00:00"/>
    <n v="2024"/>
    <s v="Feb"/>
    <s v="Tue"/>
    <s v="CUST-189"/>
    <s v="PROD-005"/>
    <s v="Consumer"/>
    <s v="Central"/>
    <x v="2"/>
    <x v="0"/>
    <n v="7"/>
    <n v="120"/>
    <n v="840"/>
    <n v="84"/>
    <s v="Large Order"/>
    <s v="Weekday"/>
  </r>
  <r>
    <s v="ORD-2163"/>
    <d v="2024-05-30T00:00:00"/>
    <n v="2024"/>
    <s v="May"/>
    <s v="Thu"/>
    <s v="CUST-153"/>
    <s v="PROD-005"/>
    <s v="Home Office"/>
    <s v="South"/>
    <x v="5"/>
    <x v="1"/>
    <n v="16"/>
    <n v="120"/>
    <n v="1920"/>
    <n v="192"/>
    <s v="Large Order"/>
    <s v="Weekday"/>
  </r>
  <r>
    <s v="ORD-2164"/>
    <d v="2024-11-26T00:00:00"/>
    <n v="2024"/>
    <s v="Nov"/>
    <s v="Tue"/>
    <s v="CUST-102"/>
    <s v="PROD-003"/>
    <s v="Corporate"/>
    <s v="West"/>
    <x v="4"/>
    <x v="2"/>
    <n v="1"/>
    <n v="120"/>
    <n v="120"/>
    <n v="12"/>
    <s v="Standard Order"/>
    <s v="Weekday"/>
  </r>
  <r>
    <s v="ORD-2165"/>
    <d v="2024-09-23T00:00:00"/>
    <n v="2024"/>
    <s v="Sep"/>
    <s v="Mon"/>
    <s v="CUST-182"/>
    <s v="PROD-019"/>
    <s v="Corporate"/>
    <s v="Central"/>
    <x v="2"/>
    <x v="3"/>
    <n v="11"/>
    <n v="120"/>
    <n v="1320"/>
    <n v="132"/>
    <s v="Large Order"/>
    <s v="Weekday"/>
  </r>
  <r>
    <s v="ORD-2166"/>
    <d v="2024-09-05T00:00:00"/>
    <n v="2024"/>
    <s v="Sep"/>
    <s v="Thu"/>
    <s v="CUST-175"/>
    <s v="PROD-018"/>
    <s v="Home Office"/>
    <s v="East"/>
    <x v="5"/>
    <x v="4"/>
    <n v="15"/>
    <n v="120"/>
    <n v="1800"/>
    <n v="180"/>
    <s v="Large Order"/>
    <s v="Weekday"/>
  </r>
  <r>
    <s v="ORD-2167"/>
    <d v="2024-03-08T00:00:00"/>
    <n v="2024"/>
    <s v="Mar"/>
    <s v="Fri"/>
    <s v="CUST-139"/>
    <s v="PROD-008"/>
    <s v="Consumer"/>
    <s v="East"/>
    <x v="3"/>
    <x v="3"/>
    <n v="16"/>
    <n v="120"/>
    <n v="1920"/>
    <n v="192"/>
    <s v="Large Order"/>
    <s v="Weekday"/>
  </r>
  <r>
    <s v="ORD-2168"/>
    <d v="2024-01-25T00:00:00"/>
    <n v="2024"/>
    <s v="Jan"/>
    <s v="Thu"/>
    <s v="CUST-118"/>
    <s v="PROD-015"/>
    <s v="Corporate"/>
    <s v="South"/>
    <x v="3"/>
    <x v="2"/>
    <n v="6"/>
    <n v="120"/>
    <n v="720"/>
    <n v="72"/>
    <s v="Large Order"/>
    <s v="Weekday"/>
  </r>
  <r>
    <s v="ORD-2169"/>
    <d v="2024-12-30T00:00:00"/>
    <n v="2024"/>
    <s v="Dec"/>
    <s v="Mon"/>
    <s v="CUST-168"/>
    <s v="PROD-006"/>
    <s v="Corporate"/>
    <s v="South"/>
    <x v="4"/>
    <x v="0"/>
    <n v="5"/>
    <n v="120"/>
    <n v="600"/>
    <n v="60"/>
    <s v="Large Order"/>
    <s v="Weekday"/>
  </r>
  <r>
    <s v="ORD-2170"/>
    <d v="2024-01-22T00:00:00"/>
    <n v="2024"/>
    <s v="Jan"/>
    <s v="Mon"/>
    <s v="CUST-140"/>
    <s v="PROD-015"/>
    <s v="Home Office"/>
    <s v="East"/>
    <x v="4"/>
    <x v="2"/>
    <n v="9"/>
    <n v="120"/>
    <n v="1080"/>
    <n v="108"/>
    <s v="Large Order"/>
    <s v="Weekday"/>
  </r>
  <r>
    <s v="ORD-2171"/>
    <d v="2024-10-14T00:00:00"/>
    <n v="2024"/>
    <s v="Oct"/>
    <s v="Mon"/>
    <s v="CUST-190"/>
    <s v="PROD-012"/>
    <s v="Consumer"/>
    <s v="North"/>
    <x v="3"/>
    <x v="4"/>
    <n v="5"/>
    <n v="120"/>
    <n v="600"/>
    <n v="60"/>
    <s v="Large Order"/>
    <s v="Weekday"/>
  </r>
  <r>
    <s v="ORD-2172"/>
    <d v="2024-03-24T00:00:00"/>
    <n v="2024"/>
    <s v="Mar"/>
    <s v="Sun"/>
    <s v="CUST-168"/>
    <s v="PROD-001"/>
    <s v="Corporate"/>
    <s v="North"/>
    <x v="0"/>
    <x v="2"/>
    <n v="13"/>
    <n v="120"/>
    <n v="1560"/>
    <n v="156"/>
    <s v="Large Order"/>
    <s v="Weekend"/>
  </r>
  <r>
    <s v="ORD-2173"/>
    <d v="2024-08-22T00:00:00"/>
    <n v="2024"/>
    <s v="Aug"/>
    <s v="Thu"/>
    <s v="CUST-140"/>
    <s v="PROD-024"/>
    <s v="Consumer"/>
    <s v="West"/>
    <x v="0"/>
    <x v="3"/>
    <n v="18"/>
    <n v="120"/>
    <n v="2160"/>
    <n v="216"/>
    <s v="Large Order"/>
    <s v="Weekday"/>
  </r>
  <r>
    <s v="ORD-2174"/>
    <d v="2024-11-27T00:00:00"/>
    <n v="2024"/>
    <s v="Nov"/>
    <s v="Wed"/>
    <s v="CUST-190"/>
    <s v="PROD-010"/>
    <s v="Corporate"/>
    <s v="North"/>
    <x v="2"/>
    <x v="4"/>
    <n v="19"/>
    <n v="120"/>
    <n v="2280"/>
    <n v="228"/>
    <s v="Large Order"/>
    <s v="Weekday"/>
  </r>
  <r>
    <s v="ORD-2175"/>
    <d v="2024-08-14T00:00:00"/>
    <n v="2024"/>
    <s v="Aug"/>
    <s v="Wed"/>
    <s v="CUST-143"/>
    <s v="PROD-024"/>
    <s v="Home Office"/>
    <s v="East"/>
    <x v="0"/>
    <x v="2"/>
    <n v="16"/>
    <n v="120"/>
    <n v="1920"/>
    <n v="192"/>
    <s v="Large Order"/>
    <s v="Weekday"/>
  </r>
  <r>
    <s v="ORD-2176"/>
    <d v="2024-12-13T00:00:00"/>
    <n v="2024"/>
    <s v="Dec"/>
    <s v="Fri"/>
    <s v="CUST-170"/>
    <s v="PROD-001"/>
    <s v="Consumer"/>
    <s v="East"/>
    <x v="3"/>
    <x v="2"/>
    <n v="13"/>
    <n v="120"/>
    <n v="1560"/>
    <n v="156"/>
    <s v="Large Order"/>
    <s v="Weekday"/>
  </r>
  <r>
    <s v="ORD-2177"/>
    <d v="2024-08-16T00:00:00"/>
    <n v="2024"/>
    <s v="Aug"/>
    <s v="Fri"/>
    <s v="CUST-145"/>
    <s v="PROD-002"/>
    <s v="Consumer"/>
    <s v="South"/>
    <x v="3"/>
    <x v="4"/>
    <n v="20"/>
    <n v="120"/>
    <n v="2400"/>
    <n v="240"/>
    <s v="Large Order"/>
    <s v="Weekday"/>
  </r>
  <r>
    <s v="ORD-2178"/>
    <d v="2024-09-26T00:00:00"/>
    <n v="2024"/>
    <s v="Sep"/>
    <s v="Thu"/>
    <s v="CUST-128"/>
    <s v="PROD-001"/>
    <s v="Corporate"/>
    <s v="Central"/>
    <x v="4"/>
    <x v="1"/>
    <n v="3"/>
    <n v="120"/>
    <n v="360"/>
    <n v="36"/>
    <s v="Standard Order"/>
    <s v="Weekday"/>
  </r>
  <r>
    <s v="ORD-2179"/>
    <d v="2024-12-12T00:00:00"/>
    <n v="2024"/>
    <s v="Dec"/>
    <s v="Thu"/>
    <s v="CUST-185"/>
    <s v="PROD-013"/>
    <s v="Consumer"/>
    <s v="East"/>
    <x v="5"/>
    <x v="4"/>
    <n v="7"/>
    <n v="120"/>
    <n v="840"/>
    <n v="84"/>
    <s v="Large Order"/>
    <s v="Weekday"/>
  </r>
  <r>
    <s v="ORD-2180"/>
    <d v="2024-11-05T00:00:00"/>
    <n v="2024"/>
    <s v="Nov"/>
    <s v="Tue"/>
    <s v="CUST-165"/>
    <s v="PROD-013"/>
    <s v="Consumer"/>
    <s v="North"/>
    <x v="3"/>
    <x v="1"/>
    <n v="5"/>
    <n v="120"/>
    <n v="600"/>
    <n v="60"/>
    <s v="Large Order"/>
    <s v="Weekday"/>
  </r>
  <r>
    <s v="ORD-2181"/>
    <d v="2024-07-08T00:00:00"/>
    <n v="2024"/>
    <s v="Jul"/>
    <s v="Mon"/>
    <s v="CUST-149"/>
    <s v="PROD-010"/>
    <s v="Corporate"/>
    <s v="West"/>
    <x v="0"/>
    <x v="1"/>
    <n v="12"/>
    <n v="120"/>
    <n v="1440"/>
    <n v="144"/>
    <s v="Large Order"/>
    <s v="Weekday"/>
  </r>
  <r>
    <s v="ORD-2182"/>
    <d v="2024-10-14T00:00:00"/>
    <n v="2024"/>
    <s v="Oct"/>
    <s v="Mon"/>
    <s v="CUST-111"/>
    <s v="PROD-024"/>
    <s v="Consumer"/>
    <s v="West"/>
    <x v="2"/>
    <x v="3"/>
    <n v="14"/>
    <n v="120"/>
    <n v="1680"/>
    <n v="168"/>
    <s v="Large Order"/>
    <s v="Weekday"/>
  </r>
  <r>
    <s v="ORD-2183"/>
    <d v="2024-03-24T00:00:00"/>
    <n v="2024"/>
    <s v="Mar"/>
    <s v="Sun"/>
    <s v="CUST-193"/>
    <s v="PROD-005"/>
    <s v="Corporate"/>
    <s v="Central"/>
    <x v="2"/>
    <x v="2"/>
    <n v="19"/>
    <n v="120"/>
    <n v="2280"/>
    <n v="228"/>
    <s v="Large Order"/>
    <s v="Weekend"/>
  </r>
  <r>
    <s v="ORD-2184"/>
    <d v="2024-04-16T00:00:00"/>
    <n v="2024"/>
    <s v="Apr"/>
    <s v="Tue"/>
    <s v="CUST-138"/>
    <s v="PROD-011"/>
    <s v="Corporate"/>
    <s v="West"/>
    <x v="5"/>
    <x v="4"/>
    <n v="3"/>
    <n v="120"/>
    <n v="360"/>
    <n v="36"/>
    <s v="Standard Order"/>
    <s v="Weekday"/>
  </r>
  <r>
    <s v="ORD-2185"/>
    <d v="2024-07-11T00:00:00"/>
    <n v="2024"/>
    <s v="Jul"/>
    <s v="Thu"/>
    <s v="CUST-111"/>
    <s v="PROD-021"/>
    <s v="Consumer"/>
    <s v="South"/>
    <x v="2"/>
    <x v="4"/>
    <n v="9"/>
    <n v="120"/>
    <n v="1080"/>
    <n v="108"/>
    <s v="Large Order"/>
    <s v="Weekday"/>
  </r>
  <r>
    <s v="ORD-2186"/>
    <d v="2024-08-24T00:00:00"/>
    <n v="2024"/>
    <s v="Aug"/>
    <s v="Sat"/>
    <s v="CUST-190"/>
    <s v="PROD-007"/>
    <s v="Home Office"/>
    <s v="East"/>
    <x v="4"/>
    <x v="3"/>
    <n v="6"/>
    <n v="120"/>
    <n v="720"/>
    <n v="72"/>
    <s v="Large Order"/>
    <s v="Weekend"/>
  </r>
  <r>
    <s v="ORD-2187"/>
    <d v="2024-10-10T00:00:00"/>
    <n v="2024"/>
    <s v="Oct"/>
    <s v="Thu"/>
    <s v="CUST-162"/>
    <s v="PROD-019"/>
    <s v="Consumer"/>
    <s v="South"/>
    <x v="3"/>
    <x v="1"/>
    <n v="10"/>
    <n v="120"/>
    <n v="1200"/>
    <n v="120"/>
    <s v="Large Order"/>
    <s v="Weekday"/>
  </r>
  <r>
    <s v="ORD-2188"/>
    <d v="2024-04-24T00:00:00"/>
    <n v="2024"/>
    <s v="Apr"/>
    <s v="Wed"/>
    <s v="CUST-103"/>
    <s v="PROD-009"/>
    <s v="Consumer"/>
    <s v="East"/>
    <x v="4"/>
    <x v="1"/>
    <n v="10"/>
    <n v="120"/>
    <n v="1200"/>
    <n v="120"/>
    <s v="Large Order"/>
    <s v="Weekday"/>
  </r>
  <r>
    <s v="ORD-2189"/>
    <d v="2024-03-04T00:00:00"/>
    <n v="2024"/>
    <s v="Mar"/>
    <s v="Mon"/>
    <s v="CUST-183"/>
    <s v="PROD-014"/>
    <s v="Home Office"/>
    <s v="West"/>
    <x v="3"/>
    <x v="2"/>
    <n v="6"/>
    <n v="120"/>
    <n v="720"/>
    <n v="72"/>
    <s v="Large Order"/>
    <s v="Weekday"/>
  </r>
  <r>
    <s v="ORD-2190"/>
    <d v="2024-01-15T00:00:00"/>
    <n v="2024"/>
    <s v="Jan"/>
    <s v="Mon"/>
    <s v="CUST-115"/>
    <s v="PROD-003"/>
    <s v="Corporate"/>
    <s v="East"/>
    <x v="2"/>
    <x v="4"/>
    <n v="20"/>
    <n v="120"/>
    <n v="2400"/>
    <n v="240"/>
    <s v="Large Order"/>
    <s v="Weekday"/>
  </r>
  <r>
    <s v="ORD-2191"/>
    <d v="2024-09-03T00:00:00"/>
    <n v="2024"/>
    <s v="Sep"/>
    <s v="Tue"/>
    <s v="CUST-172"/>
    <s v="PROD-021"/>
    <s v="Corporate"/>
    <s v="Central"/>
    <x v="3"/>
    <x v="0"/>
    <n v="16"/>
    <n v="120"/>
    <n v="1920"/>
    <n v="192"/>
    <s v="Large Order"/>
    <s v="Weekday"/>
  </r>
  <r>
    <s v="ORD-2192"/>
    <d v="2024-07-10T00:00:00"/>
    <n v="2024"/>
    <s v="Jul"/>
    <s v="Wed"/>
    <s v="CUST-165"/>
    <s v="PROD-001"/>
    <s v="Home Office"/>
    <s v="South"/>
    <x v="5"/>
    <x v="0"/>
    <n v="9"/>
    <n v="120"/>
    <n v="1080"/>
    <n v="108"/>
    <s v="Large Order"/>
    <s v="Weekday"/>
  </r>
  <r>
    <s v="ORD-2193"/>
    <d v="2024-03-15T00:00:00"/>
    <n v="2024"/>
    <s v="Mar"/>
    <s v="Fri"/>
    <s v="CUST-140"/>
    <s v="PROD-012"/>
    <s v="Corporate"/>
    <s v="North"/>
    <x v="4"/>
    <x v="3"/>
    <n v="6"/>
    <n v="120"/>
    <n v="720"/>
    <n v="72"/>
    <s v="Large Order"/>
    <s v="Weekday"/>
  </r>
  <r>
    <s v="ORD-2194"/>
    <d v="2024-08-02T00:00:00"/>
    <n v="2024"/>
    <s v="Aug"/>
    <s v="Fri"/>
    <s v="CUST-181"/>
    <s v="PROD-010"/>
    <s v="Corporate"/>
    <s v="South"/>
    <x v="0"/>
    <x v="0"/>
    <n v="10"/>
    <n v="120"/>
    <n v="1200"/>
    <n v="120"/>
    <s v="Large Order"/>
    <s v="Weekday"/>
  </r>
  <r>
    <s v="ORD-2195"/>
    <d v="2024-09-20T00:00:00"/>
    <n v="2024"/>
    <s v="Sep"/>
    <s v="Fri"/>
    <s v="CUST-124"/>
    <s v="PROD-025"/>
    <s v="Home Office"/>
    <s v="East"/>
    <x v="4"/>
    <x v="2"/>
    <n v="4"/>
    <n v="120"/>
    <n v="480"/>
    <n v="48"/>
    <s v="Standard Order"/>
    <s v="Weekday"/>
  </r>
  <r>
    <s v="ORD-2196"/>
    <d v="2024-10-05T00:00:00"/>
    <n v="2024"/>
    <s v="Oct"/>
    <s v="Sat"/>
    <s v="CUST-141"/>
    <s v="PROD-009"/>
    <s v="Corporate"/>
    <s v="South"/>
    <x v="3"/>
    <x v="4"/>
    <n v="12"/>
    <n v="120"/>
    <n v="1440"/>
    <n v="144"/>
    <s v="Large Order"/>
    <s v="Weekend"/>
  </r>
  <r>
    <s v="ORD-2197"/>
    <d v="2024-06-29T00:00:00"/>
    <n v="2024"/>
    <s v="Jun"/>
    <s v="Sat"/>
    <s v="CUST-118"/>
    <s v="PROD-017"/>
    <s v="Consumer"/>
    <s v="North"/>
    <x v="4"/>
    <x v="1"/>
    <n v="10"/>
    <n v="120"/>
    <n v="1200"/>
    <n v="120"/>
    <s v="Large Order"/>
    <s v="Weekend"/>
  </r>
  <r>
    <s v="ORD-2198"/>
    <d v="2024-07-29T00:00:00"/>
    <n v="2024"/>
    <s v="Jul"/>
    <s v="Mon"/>
    <s v="CUST-143"/>
    <s v="PROD-007"/>
    <s v="Consumer"/>
    <s v="Central"/>
    <x v="0"/>
    <x v="2"/>
    <n v="5"/>
    <n v="120"/>
    <n v="600"/>
    <n v="60"/>
    <s v="Large Order"/>
    <s v="Weekday"/>
  </r>
  <r>
    <s v="ORD-2199"/>
    <d v="2024-10-13T00:00:00"/>
    <n v="2024"/>
    <s v="Oct"/>
    <s v="Sun"/>
    <s v="CUST-178"/>
    <s v="PROD-018"/>
    <s v="Home Office"/>
    <s v="North"/>
    <x v="5"/>
    <x v="0"/>
    <n v="18"/>
    <n v="120"/>
    <n v="2160"/>
    <n v="216"/>
    <s v="Large Order"/>
    <s v="Weekend"/>
  </r>
  <r>
    <s v="ORD-2200"/>
    <d v="2024-08-01T00:00:00"/>
    <n v="2024"/>
    <s v="Aug"/>
    <s v="Thu"/>
    <s v="CUST-158"/>
    <s v="PROD-005"/>
    <s v="Consumer"/>
    <s v="West"/>
    <x v="0"/>
    <x v="3"/>
    <n v="1"/>
    <n v="120"/>
    <n v="120"/>
    <n v="12"/>
    <s v="Standard Order"/>
    <s v="Weekday"/>
  </r>
  <r>
    <s v="ORD-2201"/>
    <d v="2024-12-19T00:00:00"/>
    <n v="2024"/>
    <s v="Dec"/>
    <s v="Thu"/>
    <s v="CUST-146"/>
    <s v="PROD-020"/>
    <s v="Consumer"/>
    <s v="North"/>
    <x v="2"/>
    <x v="3"/>
    <n v="17"/>
    <n v="120"/>
    <n v="2040"/>
    <n v="204"/>
    <s v="Large Order"/>
    <s v="Weekday"/>
  </r>
  <r>
    <s v="ORD-2202"/>
    <d v="2024-03-29T00:00:00"/>
    <n v="2024"/>
    <s v="Mar"/>
    <s v="Fri"/>
    <s v="CUST-190"/>
    <s v="PROD-024"/>
    <s v="Corporate"/>
    <s v="South"/>
    <x v="0"/>
    <x v="2"/>
    <n v="4"/>
    <n v="120"/>
    <n v="480"/>
    <n v="48"/>
    <s v="Standard Order"/>
    <s v="Weekday"/>
  </r>
  <r>
    <s v="ORD-2203"/>
    <d v="2024-12-18T00:00:00"/>
    <n v="2024"/>
    <s v="Dec"/>
    <s v="Wed"/>
    <s v="CUST-129"/>
    <s v="PROD-007"/>
    <s v="Corporate"/>
    <s v="North"/>
    <x v="4"/>
    <x v="1"/>
    <n v="5"/>
    <n v="120"/>
    <n v="600"/>
    <n v="60"/>
    <s v="Large Order"/>
    <s v="Weekday"/>
  </r>
  <r>
    <s v="ORD-2204"/>
    <d v="2024-12-19T00:00:00"/>
    <n v="2024"/>
    <s v="Dec"/>
    <s v="Thu"/>
    <s v="CUST-197"/>
    <s v="PROD-001"/>
    <s v="Consumer"/>
    <s v="Central"/>
    <x v="0"/>
    <x v="0"/>
    <n v="16"/>
    <n v="120"/>
    <n v="1920"/>
    <n v="192"/>
    <s v="Large Order"/>
    <s v="Weekday"/>
  </r>
  <r>
    <s v="ORD-2205"/>
    <d v="2024-04-10T00:00:00"/>
    <n v="2024"/>
    <s v="Apr"/>
    <s v="Wed"/>
    <s v="CUST-113"/>
    <s v="PROD-019"/>
    <s v="Consumer"/>
    <s v="North"/>
    <x v="5"/>
    <x v="3"/>
    <n v="2"/>
    <n v="120"/>
    <n v="240"/>
    <n v="24"/>
    <s v="Standard Order"/>
    <s v="Weekday"/>
  </r>
  <r>
    <s v="ORD-2206"/>
    <d v="2024-01-23T00:00:00"/>
    <n v="2024"/>
    <s v="Jan"/>
    <s v="Tue"/>
    <s v="CUST-108"/>
    <s v="PROD-025"/>
    <s v="Corporate"/>
    <s v="South"/>
    <x v="0"/>
    <x v="4"/>
    <n v="4"/>
    <n v="120"/>
    <n v="480"/>
    <n v="48"/>
    <s v="Standard Order"/>
    <s v="Weekday"/>
  </r>
  <r>
    <s v="ORD-2207"/>
    <d v="2024-04-15T00:00:00"/>
    <n v="2024"/>
    <s v="Apr"/>
    <s v="Mon"/>
    <s v="CUST-175"/>
    <s v="PROD-022"/>
    <s v="Consumer"/>
    <s v="East"/>
    <x v="4"/>
    <x v="2"/>
    <n v="12"/>
    <n v="120"/>
    <n v="1440"/>
    <n v="144"/>
    <s v="Large Order"/>
    <s v="Weekday"/>
  </r>
  <r>
    <s v="ORD-2208"/>
    <d v="2024-05-22T00:00:00"/>
    <n v="2024"/>
    <s v="May"/>
    <s v="Wed"/>
    <s v="CUST-174"/>
    <s v="PROD-006"/>
    <s v="Corporate"/>
    <s v="North"/>
    <x v="3"/>
    <x v="4"/>
    <n v="17"/>
    <n v="120"/>
    <n v="2040"/>
    <n v="204"/>
    <s v="Large Order"/>
    <s v="Weekday"/>
  </r>
  <r>
    <s v="ORD-2209"/>
    <d v="2024-05-03T00:00:00"/>
    <n v="2024"/>
    <s v="May"/>
    <s v="Fri"/>
    <s v="CUST-164"/>
    <s v="PROD-004"/>
    <s v="Home Office"/>
    <s v="East"/>
    <x v="0"/>
    <x v="4"/>
    <n v="19"/>
    <n v="120"/>
    <n v="2280"/>
    <n v="228"/>
    <s v="Large Order"/>
    <s v="Weekday"/>
  </r>
  <r>
    <s v="ORD-2210"/>
    <d v="2024-04-21T00:00:00"/>
    <n v="2024"/>
    <s v="Apr"/>
    <s v="Sun"/>
    <s v="CUST-191"/>
    <s v="PROD-006"/>
    <s v="Consumer"/>
    <s v="West"/>
    <x v="3"/>
    <x v="0"/>
    <n v="18"/>
    <n v="120"/>
    <n v="2160"/>
    <n v="216"/>
    <s v="Large Order"/>
    <s v="Weekend"/>
  </r>
  <r>
    <s v="ORD-2211"/>
    <d v="2024-04-19T00:00:00"/>
    <n v="2024"/>
    <s v="Apr"/>
    <s v="Fri"/>
    <s v="CUST-164"/>
    <s v="PROD-012"/>
    <s v="Home Office"/>
    <s v="West"/>
    <x v="2"/>
    <x v="0"/>
    <n v="19"/>
    <n v="120"/>
    <n v="2280"/>
    <n v="228"/>
    <s v="Large Order"/>
    <s v="Weekday"/>
  </r>
  <r>
    <s v="ORD-2212"/>
    <d v="2024-04-02T00:00:00"/>
    <n v="2024"/>
    <s v="Apr"/>
    <s v="Tue"/>
    <s v="CUST-145"/>
    <s v="PROD-007"/>
    <s v="Corporate"/>
    <s v="North"/>
    <x v="2"/>
    <x v="0"/>
    <n v="17"/>
    <n v="120"/>
    <n v="2040"/>
    <n v="204"/>
    <s v="Large Order"/>
    <s v="Weekday"/>
  </r>
  <r>
    <s v="ORD-2213"/>
    <d v="2024-06-09T00:00:00"/>
    <n v="2024"/>
    <s v="Jun"/>
    <s v="Sun"/>
    <s v="CUST-115"/>
    <s v="PROD-017"/>
    <s v="Corporate"/>
    <s v="North"/>
    <x v="0"/>
    <x v="3"/>
    <n v="5"/>
    <n v="120"/>
    <n v="600"/>
    <n v="60"/>
    <s v="Large Order"/>
    <s v="Weekend"/>
  </r>
  <r>
    <s v="ORD-2214"/>
    <d v="2024-12-26T00:00:00"/>
    <n v="2024"/>
    <s v="Dec"/>
    <s v="Thu"/>
    <s v="CUST-136"/>
    <s v="PROD-003"/>
    <s v="Home Office"/>
    <s v="East"/>
    <x v="0"/>
    <x v="1"/>
    <n v="11"/>
    <n v="120"/>
    <n v="1320"/>
    <n v="132"/>
    <s v="Large Order"/>
    <s v="Weekday"/>
  </r>
  <r>
    <s v="ORD-2215"/>
    <d v="2024-05-25T00:00:00"/>
    <n v="2024"/>
    <s v="May"/>
    <s v="Sat"/>
    <s v="CUST-158"/>
    <s v="PROD-022"/>
    <s v="Home Office"/>
    <s v="North"/>
    <x v="3"/>
    <x v="1"/>
    <n v="15"/>
    <n v="120"/>
    <n v="1800"/>
    <n v="180"/>
    <s v="Large Order"/>
    <s v="Weekend"/>
  </r>
  <r>
    <s v="ORD-2216"/>
    <d v="2024-05-28T00:00:00"/>
    <n v="2024"/>
    <s v="May"/>
    <s v="Tue"/>
    <s v="CUST-154"/>
    <s v="PROD-016"/>
    <s v="Consumer"/>
    <s v="West"/>
    <x v="0"/>
    <x v="1"/>
    <n v="12"/>
    <n v="120"/>
    <n v="1440"/>
    <n v="144"/>
    <s v="Large Order"/>
    <s v="Weekday"/>
  </r>
  <r>
    <s v="ORD-2217"/>
    <d v="2024-12-10T00:00:00"/>
    <n v="2024"/>
    <s v="Dec"/>
    <s v="Tue"/>
    <s v="CUST-113"/>
    <s v="PROD-017"/>
    <s v="Corporate"/>
    <s v="North"/>
    <x v="2"/>
    <x v="1"/>
    <n v="3"/>
    <n v="120"/>
    <n v="360"/>
    <n v="36"/>
    <s v="Standard Order"/>
    <s v="Weekday"/>
  </r>
  <r>
    <s v="ORD-2218"/>
    <d v="2024-07-24T00:00:00"/>
    <n v="2024"/>
    <s v="Jul"/>
    <s v="Wed"/>
    <s v="CUST-188"/>
    <s v="PROD-024"/>
    <s v="Home Office"/>
    <s v="West"/>
    <x v="0"/>
    <x v="2"/>
    <n v="6"/>
    <n v="120"/>
    <n v="720"/>
    <n v="72"/>
    <s v="Large Order"/>
    <s v="Weekday"/>
  </r>
  <r>
    <s v="ORD-2219"/>
    <d v="2024-06-22T00:00:00"/>
    <n v="2024"/>
    <s v="Jun"/>
    <s v="Sat"/>
    <s v="CUST-125"/>
    <s v="PROD-004"/>
    <s v="Home Office"/>
    <s v="Central"/>
    <x v="2"/>
    <x v="1"/>
    <n v="8"/>
    <n v="120"/>
    <n v="960"/>
    <n v="96"/>
    <s v="Large Order"/>
    <s v="Weekend"/>
  </r>
  <r>
    <s v="ORD-2220"/>
    <d v="2024-05-22T00:00:00"/>
    <n v="2024"/>
    <s v="May"/>
    <s v="Wed"/>
    <s v="CUST-197"/>
    <s v="PROD-019"/>
    <s v="Home Office"/>
    <s v="Central"/>
    <x v="5"/>
    <x v="1"/>
    <n v="9"/>
    <n v="120"/>
    <n v="1080"/>
    <n v="108"/>
    <s v="Large Order"/>
    <s v="Weekday"/>
  </r>
  <r>
    <s v="ORD-2221"/>
    <d v="2024-07-01T00:00:00"/>
    <n v="2024"/>
    <s v="Jul"/>
    <s v="Mon"/>
    <s v="CUST-160"/>
    <s v="PROD-013"/>
    <s v="Home Office"/>
    <s v="East"/>
    <x v="5"/>
    <x v="2"/>
    <n v="16"/>
    <n v="120"/>
    <n v="1920"/>
    <n v="192"/>
    <s v="Large Order"/>
    <s v="Weekday"/>
  </r>
  <r>
    <s v="ORD-2222"/>
    <d v="2024-08-20T00:00:00"/>
    <n v="2024"/>
    <s v="Aug"/>
    <s v="Tue"/>
    <s v="CUST-113"/>
    <s v="PROD-016"/>
    <s v="Consumer"/>
    <s v="North"/>
    <x v="3"/>
    <x v="2"/>
    <n v="16"/>
    <n v="120"/>
    <n v="1920"/>
    <n v="192"/>
    <s v="Large Order"/>
    <s v="Weekday"/>
  </r>
  <r>
    <s v="ORD-2223"/>
    <d v="2024-01-16T00:00:00"/>
    <n v="2024"/>
    <s v="Jan"/>
    <s v="Tue"/>
    <s v="CUST-112"/>
    <s v="PROD-003"/>
    <s v="Home Office"/>
    <s v="East"/>
    <x v="0"/>
    <x v="2"/>
    <n v="16"/>
    <n v="120"/>
    <n v="1920"/>
    <n v="192"/>
    <s v="Large Order"/>
    <s v="Weekday"/>
  </r>
  <r>
    <s v="ORD-2224"/>
    <d v="2024-07-14T00:00:00"/>
    <n v="2024"/>
    <s v="Jul"/>
    <s v="Sun"/>
    <s v="CUST-177"/>
    <s v="PROD-005"/>
    <s v="Home Office"/>
    <s v="West"/>
    <x v="3"/>
    <x v="0"/>
    <n v="10"/>
    <n v="120"/>
    <n v="1200"/>
    <n v="120"/>
    <s v="Large Order"/>
    <s v="Weekend"/>
  </r>
  <r>
    <s v="ORD-2225"/>
    <d v="2024-02-09T00:00:00"/>
    <n v="2024"/>
    <s v="Feb"/>
    <s v="Fri"/>
    <s v="CUST-184"/>
    <s v="PROD-015"/>
    <s v="Home Office"/>
    <s v="Central"/>
    <x v="2"/>
    <x v="1"/>
    <n v="7"/>
    <n v="120"/>
    <n v="840"/>
    <n v="84"/>
    <s v="Large Order"/>
    <s v="Weekday"/>
  </r>
  <r>
    <s v="ORD-2226"/>
    <d v="2024-09-08T00:00:00"/>
    <n v="2024"/>
    <s v="Sep"/>
    <s v="Sun"/>
    <s v="CUST-164"/>
    <s v="PROD-011"/>
    <s v="Corporate"/>
    <s v="West"/>
    <x v="5"/>
    <x v="0"/>
    <n v="18"/>
    <n v="120"/>
    <n v="2160"/>
    <n v="216"/>
    <s v="Large Order"/>
    <s v="Weekend"/>
  </r>
  <r>
    <s v="ORD-2227"/>
    <d v="2024-08-08T00:00:00"/>
    <n v="2024"/>
    <s v="Aug"/>
    <s v="Thu"/>
    <s v="CUST-115"/>
    <s v="PROD-011"/>
    <s v="Corporate"/>
    <s v="East"/>
    <x v="2"/>
    <x v="0"/>
    <n v="13"/>
    <n v="120"/>
    <n v="1560"/>
    <n v="156"/>
    <s v="Large Order"/>
    <s v="Weekday"/>
  </r>
  <r>
    <s v="ORD-2228"/>
    <d v="2024-01-17T00:00:00"/>
    <n v="2024"/>
    <s v="Jan"/>
    <s v="Wed"/>
    <s v="CUST-122"/>
    <s v="PROD-023"/>
    <s v="Home Office"/>
    <s v="West"/>
    <x v="3"/>
    <x v="2"/>
    <n v="6"/>
    <n v="120"/>
    <n v="720"/>
    <n v="72"/>
    <s v="Large Order"/>
    <s v="Weekday"/>
  </r>
  <r>
    <s v="ORD-2229"/>
    <d v="2024-06-08T00:00:00"/>
    <n v="2024"/>
    <s v="Jun"/>
    <s v="Sat"/>
    <s v="CUST-191"/>
    <s v="PROD-025"/>
    <s v="Corporate"/>
    <s v="Central"/>
    <x v="2"/>
    <x v="1"/>
    <n v="4"/>
    <n v="120"/>
    <n v="480"/>
    <n v="48"/>
    <s v="Standard Order"/>
    <s v="Weekend"/>
  </r>
  <r>
    <s v="ORD-2230"/>
    <d v="2024-12-03T00:00:00"/>
    <n v="2024"/>
    <s v="Dec"/>
    <s v="Tue"/>
    <s v="CUST-170"/>
    <s v="PROD-019"/>
    <s v="Home Office"/>
    <s v="East"/>
    <x v="5"/>
    <x v="2"/>
    <n v="16"/>
    <n v="120"/>
    <n v="1920"/>
    <n v="192"/>
    <s v="Large Order"/>
    <s v="Weekday"/>
  </r>
  <r>
    <s v="ORD-2231"/>
    <d v="2024-09-16T00:00:00"/>
    <n v="2024"/>
    <s v="Sep"/>
    <s v="Mon"/>
    <s v="CUST-107"/>
    <s v="PROD-016"/>
    <s v="Corporate"/>
    <s v="East"/>
    <x v="3"/>
    <x v="4"/>
    <n v="19"/>
    <n v="120"/>
    <n v="2280"/>
    <n v="228"/>
    <s v="Large Order"/>
    <s v="Weekday"/>
  </r>
  <r>
    <s v="ORD-2232"/>
    <d v="2024-12-12T00:00:00"/>
    <n v="2024"/>
    <s v="Dec"/>
    <s v="Thu"/>
    <s v="CUST-145"/>
    <s v="PROD-002"/>
    <s v="Corporate"/>
    <s v="Central"/>
    <x v="3"/>
    <x v="2"/>
    <n v="1"/>
    <n v="120"/>
    <n v="120"/>
    <n v="12"/>
    <s v="Standard Order"/>
    <s v="Weekday"/>
  </r>
  <r>
    <s v="ORD-2233"/>
    <d v="2024-07-06T00:00:00"/>
    <n v="2024"/>
    <s v="Jul"/>
    <s v="Sat"/>
    <s v="CUST-144"/>
    <s v="PROD-001"/>
    <s v="Home Office"/>
    <s v="East"/>
    <x v="5"/>
    <x v="1"/>
    <n v="11"/>
    <n v="120"/>
    <n v="1320"/>
    <n v="132"/>
    <s v="Large Order"/>
    <s v="Weekend"/>
  </r>
  <r>
    <s v="ORD-2234"/>
    <d v="2024-06-25T00:00:00"/>
    <n v="2024"/>
    <s v="Jun"/>
    <s v="Tue"/>
    <s v="CUST-145"/>
    <s v="PROD-002"/>
    <s v="Corporate"/>
    <s v="North"/>
    <x v="3"/>
    <x v="3"/>
    <n v="8"/>
    <n v="120"/>
    <n v="960"/>
    <n v="96"/>
    <s v="Large Order"/>
    <s v="Weekday"/>
  </r>
  <r>
    <s v="ORD-2235"/>
    <d v="2024-10-30T00:00:00"/>
    <n v="2024"/>
    <s v="Oct"/>
    <s v="Wed"/>
    <s v="CUST-110"/>
    <s v="PROD-010"/>
    <s v="Home Office"/>
    <s v="West"/>
    <x v="0"/>
    <x v="0"/>
    <n v="4"/>
    <n v="120"/>
    <n v="480"/>
    <n v="48"/>
    <s v="Standard Order"/>
    <s v="Weekday"/>
  </r>
  <r>
    <s v="ORD-2236"/>
    <d v="2024-10-02T00:00:00"/>
    <n v="2024"/>
    <s v="Oct"/>
    <s v="Wed"/>
    <s v="CUST-141"/>
    <s v="PROD-022"/>
    <s v="Consumer"/>
    <s v="West"/>
    <x v="2"/>
    <x v="1"/>
    <n v="14"/>
    <n v="120"/>
    <n v="1680"/>
    <n v="168"/>
    <s v="Large Order"/>
    <s v="Weekday"/>
  </r>
  <r>
    <s v="ORD-2237"/>
    <d v="2024-05-16T00:00:00"/>
    <n v="2024"/>
    <s v="May"/>
    <s v="Thu"/>
    <s v="CUST-102"/>
    <s v="PROD-019"/>
    <s v="Home Office"/>
    <s v="Central"/>
    <x v="2"/>
    <x v="1"/>
    <n v="1"/>
    <n v="120"/>
    <n v="120"/>
    <n v="12"/>
    <s v="Standard Order"/>
    <s v="Weekday"/>
  </r>
  <r>
    <s v="ORD-2238"/>
    <d v="2024-10-19T00:00:00"/>
    <n v="2024"/>
    <s v="Oct"/>
    <s v="Sat"/>
    <s v="CUST-149"/>
    <s v="PROD-004"/>
    <s v="Corporate"/>
    <s v="East"/>
    <x v="5"/>
    <x v="2"/>
    <n v="16"/>
    <n v="120"/>
    <n v="1920"/>
    <n v="192"/>
    <s v="Large Order"/>
    <s v="Weekend"/>
  </r>
  <r>
    <s v="ORD-2239"/>
    <d v="2024-06-21T00:00:00"/>
    <n v="2024"/>
    <s v="Jun"/>
    <s v="Fri"/>
    <s v="CUST-163"/>
    <s v="PROD-006"/>
    <s v="Home Office"/>
    <s v="North"/>
    <x v="3"/>
    <x v="1"/>
    <n v="20"/>
    <n v="120"/>
    <n v="2400"/>
    <n v="240"/>
    <s v="Large Order"/>
    <s v="Weekday"/>
  </r>
  <r>
    <s v="ORD-2240"/>
    <d v="2024-04-13T00:00:00"/>
    <n v="2024"/>
    <s v="Apr"/>
    <s v="Sat"/>
    <s v="CUST-163"/>
    <s v="PROD-018"/>
    <s v="Home Office"/>
    <s v="South"/>
    <x v="0"/>
    <x v="0"/>
    <n v="7"/>
    <n v="120"/>
    <n v="840"/>
    <n v="84"/>
    <s v="Large Order"/>
    <s v="Weekend"/>
  </r>
  <r>
    <s v="ORD-2241"/>
    <d v="2024-06-01T00:00:00"/>
    <n v="2024"/>
    <s v="Jun"/>
    <s v="Sat"/>
    <s v="CUST-173"/>
    <s v="PROD-020"/>
    <s v="Corporate"/>
    <s v="East"/>
    <x v="4"/>
    <x v="4"/>
    <n v="3"/>
    <n v="120"/>
    <n v="360"/>
    <n v="36"/>
    <s v="Standard Order"/>
    <s v="Weekend"/>
  </r>
  <r>
    <s v="ORD-2242"/>
    <d v="2024-02-18T00:00:00"/>
    <n v="2024"/>
    <s v="Feb"/>
    <s v="Sun"/>
    <s v="CUST-175"/>
    <s v="PROD-003"/>
    <s v="Corporate"/>
    <s v="North"/>
    <x v="3"/>
    <x v="1"/>
    <n v="19"/>
    <n v="120"/>
    <n v="2280"/>
    <n v="228"/>
    <s v="Large Order"/>
    <s v="Weekend"/>
  </r>
  <r>
    <s v="ORD-2243"/>
    <d v="2024-08-06T00:00:00"/>
    <n v="2024"/>
    <s v="Aug"/>
    <s v="Tue"/>
    <s v="CUST-126"/>
    <s v="PROD-021"/>
    <s v="Corporate"/>
    <s v="East"/>
    <x v="0"/>
    <x v="3"/>
    <n v="10"/>
    <n v="120"/>
    <n v="1200"/>
    <n v="120"/>
    <s v="Large Order"/>
    <s v="Weekday"/>
  </r>
  <r>
    <s v="ORD-2244"/>
    <d v="2024-08-09T00:00:00"/>
    <n v="2024"/>
    <s v="Aug"/>
    <s v="Fri"/>
    <s v="CUST-184"/>
    <s v="PROD-007"/>
    <s v="Home Office"/>
    <s v="Central"/>
    <x v="3"/>
    <x v="4"/>
    <n v="14"/>
    <n v="120"/>
    <n v="1680"/>
    <n v="168"/>
    <s v="Large Order"/>
    <s v="Weekday"/>
  </r>
  <r>
    <s v="ORD-2245"/>
    <d v="2024-09-20T00:00:00"/>
    <n v="2024"/>
    <s v="Sep"/>
    <s v="Fri"/>
    <s v="CUST-158"/>
    <s v="PROD-006"/>
    <s v="Home Office"/>
    <s v="South"/>
    <x v="5"/>
    <x v="4"/>
    <n v="1"/>
    <n v="120"/>
    <n v="120"/>
    <n v="12"/>
    <s v="Standard Order"/>
    <s v="Weekday"/>
  </r>
  <r>
    <s v="ORD-2246"/>
    <d v="2024-04-05T00:00:00"/>
    <n v="2024"/>
    <s v="Apr"/>
    <s v="Fri"/>
    <s v="CUST-173"/>
    <s v="PROD-022"/>
    <s v="Corporate"/>
    <s v="Central"/>
    <x v="4"/>
    <x v="4"/>
    <n v="15"/>
    <n v="120"/>
    <n v="1800"/>
    <n v="180"/>
    <s v="Large Order"/>
    <s v="Weekday"/>
  </r>
  <r>
    <s v="ORD-2247"/>
    <d v="2024-11-10T00:00:00"/>
    <n v="2024"/>
    <s v="Nov"/>
    <s v="Sun"/>
    <s v="CUST-198"/>
    <s v="PROD-024"/>
    <s v="Corporate"/>
    <s v="South"/>
    <x v="5"/>
    <x v="3"/>
    <n v="2"/>
    <n v="120"/>
    <n v="240"/>
    <n v="24"/>
    <s v="Standard Order"/>
    <s v="Weekend"/>
  </r>
  <r>
    <s v="ORD-2248"/>
    <d v="2024-08-24T00:00:00"/>
    <n v="2024"/>
    <s v="Aug"/>
    <s v="Sat"/>
    <s v="CUST-118"/>
    <s v="PROD-024"/>
    <s v="Consumer"/>
    <s v="South"/>
    <x v="4"/>
    <x v="1"/>
    <n v="10"/>
    <n v="120"/>
    <n v="1200"/>
    <n v="120"/>
    <s v="Large Order"/>
    <s v="Weekend"/>
  </r>
  <r>
    <s v="ORD-2249"/>
    <d v="2024-06-12T00:00:00"/>
    <n v="2024"/>
    <s v="Jun"/>
    <s v="Wed"/>
    <s v="CUST-108"/>
    <s v="PROD-014"/>
    <s v="Home Office"/>
    <s v="South"/>
    <x v="4"/>
    <x v="2"/>
    <n v="9"/>
    <n v="120"/>
    <n v="1080"/>
    <n v="108"/>
    <s v="Large Order"/>
    <s v="Weekday"/>
  </r>
  <r>
    <s v="ORD-2250"/>
    <d v="2024-05-11T00:00:00"/>
    <n v="2024"/>
    <s v="May"/>
    <s v="Sat"/>
    <s v="CUST-187"/>
    <s v="PROD-013"/>
    <s v="Home Office"/>
    <s v="West"/>
    <x v="4"/>
    <x v="2"/>
    <n v="8"/>
    <n v="120"/>
    <n v="960"/>
    <n v="96"/>
    <s v="Large Order"/>
    <s v="Weekend"/>
  </r>
  <r>
    <s v="ORD-2251"/>
    <d v="2024-01-15T00:00:00"/>
    <n v="2024"/>
    <s v="Jan"/>
    <s v="Mon"/>
    <s v="CUST-131"/>
    <s v="PROD-016"/>
    <s v="Corporate"/>
    <s v="South"/>
    <x v="2"/>
    <x v="1"/>
    <n v="18"/>
    <n v="120"/>
    <n v="2160"/>
    <n v="216"/>
    <s v="Large Order"/>
    <s v="Weekday"/>
  </r>
  <r>
    <s v="ORD-2252"/>
    <d v="2024-11-27T00:00:00"/>
    <n v="2024"/>
    <s v="Nov"/>
    <s v="Wed"/>
    <s v="CUST-104"/>
    <s v="PROD-009"/>
    <s v="Consumer"/>
    <s v="North"/>
    <x v="4"/>
    <x v="3"/>
    <n v="5"/>
    <n v="120"/>
    <n v="600"/>
    <n v="60"/>
    <s v="Large Order"/>
    <s v="Weekday"/>
  </r>
  <r>
    <s v="ORD-2253"/>
    <d v="2024-12-03T00:00:00"/>
    <n v="2024"/>
    <s v="Dec"/>
    <s v="Tue"/>
    <s v="CUST-170"/>
    <s v="PROD-024"/>
    <s v="Consumer"/>
    <s v="East"/>
    <x v="0"/>
    <x v="0"/>
    <n v="16"/>
    <n v="120"/>
    <n v="1920"/>
    <n v="192"/>
    <s v="Large Order"/>
    <s v="Weekday"/>
  </r>
  <r>
    <s v="ORD-2254"/>
    <d v="2024-02-12T00:00:00"/>
    <n v="2024"/>
    <s v="Feb"/>
    <s v="Mon"/>
    <s v="CUST-140"/>
    <s v="PROD-003"/>
    <s v="Home Office"/>
    <s v="South"/>
    <x v="3"/>
    <x v="0"/>
    <n v="14"/>
    <n v="120"/>
    <n v="1680"/>
    <n v="168"/>
    <s v="Large Order"/>
    <s v="Weekday"/>
  </r>
  <r>
    <s v="ORD-2255"/>
    <d v="2024-07-22T00:00:00"/>
    <n v="2024"/>
    <s v="Jul"/>
    <s v="Mon"/>
    <s v="CUST-192"/>
    <s v="PROD-004"/>
    <s v="Consumer"/>
    <s v="Central"/>
    <x v="4"/>
    <x v="0"/>
    <n v="19"/>
    <n v="120"/>
    <n v="2280"/>
    <n v="228"/>
    <s v="Large Order"/>
    <s v="Weekday"/>
  </r>
  <r>
    <s v="ORD-2256"/>
    <d v="2024-09-24T00:00:00"/>
    <n v="2024"/>
    <s v="Sep"/>
    <s v="Tue"/>
    <s v="CUST-185"/>
    <s v="PROD-009"/>
    <s v="Home Office"/>
    <s v="East"/>
    <x v="5"/>
    <x v="2"/>
    <n v="16"/>
    <n v="120"/>
    <n v="1920"/>
    <n v="192"/>
    <s v="Large Order"/>
    <s v="Weekday"/>
  </r>
  <r>
    <s v="ORD-2257"/>
    <d v="2024-11-03T00:00:00"/>
    <n v="2024"/>
    <s v="Nov"/>
    <s v="Sun"/>
    <s v="CUST-115"/>
    <s v="PROD-019"/>
    <s v="Corporate"/>
    <s v="North"/>
    <x v="3"/>
    <x v="2"/>
    <n v="13"/>
    <n v="120"/>
    <n v="1560"/>
    <n v="156"/>
    <s v="Large Order"/>
    <s v="Weekend"/>
  </r>
  <r>
    <s v="ORD-2258"/>
    <d v="2024-08-04T00:00:00"/>
    <n v="2024"/>
    <s v="Aug"/>
    <s v="Sun"/>
    <s v="CUST-127"/>
    <s v="PROD-006"/>
    <s v="Consumer"/>
    <s v="North"/>
    <x v="0"/>
    <x v="1"/>
    <n v="7"/>
    <n v="120"/>
    <n v="840"/>
    <n v="84"/>
    <s v="Large Order"/>
    <s v="Weekend"/>
  </r>
  <r>
    <s v="ORD-2259"/>
    <d v="2024-07-28T00:00:00"/>
    <n v="2024"/>
    <s v="Jul"/>
    <s v="Sun"/>
    <s v="CUST-132"/>
    <s v="PROD-016"/>
    <s v="Home Office"/>
    <s v="West"/>
    <x v="0"/>
    <x v="0"/>
    <n v="18"/>
    <n v="120"/>
    <n v="2160"/>
    <n v="216"/>
    <s v="Large Order"/>
    <s v="Weekend"/>
  </r>
  <r>
    <s v="ORD-2260"/>
    <d v="2024-06-11T00:00:00"/>
    <n v="2024"/>
    <s v="Jun"/>
    <s v="Tue"/>
    <s v="CUST-169"/>
    <s v="PROD-022"/>
    <s v="Corporate"/>
    <s v="East"/>
    <x v="2"/>
    <x v="2"/>
    <n v="8"/>
    <n v="120"/>
    <n v="960"/>
    <n v="96"/>
    <s v="Large Order"/>
    <s v="Weekday"/>
  </r>
  <r>
    <s v="ORD-2261"/>
    <d v="2024-07-04T00:00:00"/>
    <n v="2024"/>
    <s v="Jul"/>
    <s v="Thu"/>
    <s v="CUST-160"/>
    <s v="PROD-010"/>
    <s v="Home Office"/>
    <s v="North"/>
    <x v="3"/>
    <x v="4"/>
    <n v="1"/>
    <n v="120"/>
    <n v="120"/>
    <n v="12"/>
    <s v="Standard Order"/>
    <s v="Weekday"/>
  </r>
  <r>
    <s v="ORD-2262"/>
    <d v="2024-01-18T00:00:00"/>
    <n v="2024"/>
    <s v="Jan"/>
    <s v="Thu"/>
    <s v="CUST-194"/>
    <s v="PROD-023"/>
    <s v="Home Office"/>
    <s v="East"/>
    <x v="0"/>
    <x v="1"/>
    <n v="8"/>
    <n v="120"/>
    <n v="960"/>
    <n v="96"/>
    <s v="Large Order"/>
    <s v="Weekday"/>
  </r>
  <r>
    <s v="ORD-2263"/>
    <d v="2024-06-07T00:00:00"/>
    <n v="2024"/>
    <s v="Jun"/>
    <s v="Fri"/>
    <s v="CUST-181"/>
    <s v="PROD-022"/>
    <s v="Home Office"/>
    <s v="West"/>
    <x v="3"/>
    <x v="2"/>
    <n v="4"/>
    <n v="120"/>
    <n v="480"/>
    <n v="48"/>
    <s v="Standard Order"/>
    <s v="Weekday"/>
  </r>
  <r>
    <s v="ORD-2264"/>
    <d v="2024-08-14T00:00:00"/>
    <n v="2024"/>
    <s v="Aug"/>
    <s v="Wed"/>
    <s v="CUST-149"/>
    <s v="PROD-009"/>
    <s v="Consumer"/>
    <s v="West"/>
    <x v="2"/>
    <x v="2"/>
    <n v="10"/>
    <n v="120"/>
    <n v="1200"/>
    <n v="120"/>
    <s v="Large Order"/>
    <s v="Weekday"/>
  </r>
  <r>
    <s v="ORD-2265"/>
    <d v="2024-06-01T00:00:00"/>
    <n v="2024"/>
    <s v="Jun"/>
    <s v="Sat"/>
    <s v="CUST-126"/>
    <s v="PROD-021"/>
    <s v="Consumer"/>
    <s v="West"/>
    <x v="2"/>
    <x v="1"/>
    <n v="11"/>
    <n v="120"/>
    <n v="1320"/>
    <n v="132"/>
    <s v="Large Order"/>
    <s v="Weekend"/>
  </r>
  <r>
    <s v="ORD-2266"/>
    <d v="2024-01-18T00:00:00"/>
    <n v="2024"/>
    <s v="Jan"/>
    <s v="Thu"/>
    <s v="CUST-135"/>
    <s v="PROD-016"/>
    <s v="Consumer"/>
    <s v="East"/>
    <x v="2"/>
    <x v="3"/>
    <n v="14"/>
    <n v="120"/>
    <n v="1680"/>
    <n v="168"/>
    <s v="Large Order"/>
    <s v="Weekday"/>
  </r>
  <r>
    <s v="ORD-2267"/>
    <d v="2024-08-04T00:00:00"/>
    <n v="2024"/>
    <s v="Aug"/>
    <s v="Sun"/>
    <s v="CUST-112"/>
    <s v="PROD-017"/>
    <s v="Consumer"/>
    <s v="West"/>
    <x v="3"/>
    <x v="4"/>
    <n v="3"/>
    <n v="120"/>
    <n v="360"/>
    <n v="36"/>
    <s v="Standard Order"/>
    <s v="Weekend"/>
  </r>
  <r>
    <s v="ORD-2268"/>
    <d v="2024-10-07T00:00:00"/>
    <n v="2024"/>
    <s v="Oct"/>
    <s v="Mon"/>
    <s v="CUST-194"/>
    <s v="PROD-023"/>
    <s v="Corporate"/>
    <s v="South"/>
    <x v="2"/>
    <x v="2"/>
    <n v="1"/>
    <n v="120"/>
    <n v="120"/>
    <n v="12"/>
    <s v="Standard Order"/>
    <s v="Weekday"/>
  </r>
  <r>
    <s v="ORD-2269"/>
    <d v="2024-11-18T00:00:00"/>
    <n v="2024"/>
    <s v="Nov"/>
    <s v="Mon"/>
    <s v="CUST-156"/>
    <s v="PROD-001"/>
    <s v="Home Office"/>
    <s v="North"/>
    <x v="4"/>
    <x v="3"/>
    <n v="13"/>
    <n v="120"/>
    <n v="1560"/>
    <n v="156"/>
    <s v="Large Order"/>
    <s v="Weekday"/>
  </r>
  <r>
    <s v="ORD-2270"/>
    <d v="2024-06-09T00:00:00"/>
    <n v="2024"/>
    <s v="Jun"/>
    <s v="Sun"/>
    <s v="CUST-173"/>
    <s v="PROD-006"/>
    <s v="Consumer"/>
    <s v="East"/>
    <x v="0"/>
    <x v="2"/>
    <n v="8"/>
    <n v="120"/>
    <n v="960"/>
    <n v="96"/>
    <s v="Large Order"/>
    <s v="Weekend"/>
  </r>
  <r>
    <s v="ORD-2271"/>
    <d v="2024-10-31T00:00:00"/>
    <n v="2024"/>
    <s v="Oct"/>
    <s v="Thu"/>
    <s v="CUST-187"/>
    <s v="PROD-015"/>
    <s v="Corporate"/>
    <s v="Central"/>
    <x v="3"/>
    <x v="2"/>
    <n v="16"/>
    <n v="120"/>
    <n v="1920"/>
    <n v="192"/>
    <s v="Large Order"/>
    <s v="Weekday"/>
  </r>
  <r>
    <s v="ORD-2272"/>
    <d v="2024-05-13T00:00:00"/>
    <n v="2024"/>
    <s v="May"/>
    <s v="Mon"/>
    <s v="CUST-122"/>
    <s v="PROD-011"/>
    <s v="Home Office"/>
    <s v="West"/>
    <x v="5"/>
    <x v="1"/>
    <n v="10"/>
    <n v="120"/>
    <n v="1200"/>
    <n v="120"/>
    <s v="Large Order"/>
    <s v="Weekday"/>
  </r>
  <r>
    <s v="ORD-2273"/>
    <d v="2024-07-07T00:00:00"/>
    <n v="2024"/>
    <s v="Jul"/>
    <s v="Sun"/>
    <s v="CUST-123"/>
    <s v="PROD-019"/>
    <s v="Corporate"/>
    <s v="South"/>
    <x v="2"/>
    <x v="0"/>
    <n v="8"/>
    <n v="120"/>
    <n v="960"/>
    <n v="96"/>
    <s v="Large Order"/>
    <s v="Weekend"/>
  </r>
  <r>
    <s v="ORD-2274"/>
    <d v="2024-10-12T00:00:00"/>
    <n v="2024"/>
    <s v="Oct"/>
    <s v="Sat"/>
    <s v="CUST-182"/>
    <s v="PROD-003"/>
    <s v="Home Office"/>
    <s v="West"/>
    <x v="4"/>
    <x v="2"/>
    <n v="15"/>
    <n v="120"/>
    <n v="1800"/>
    <n v="180"/>
    <s v="Large Order"/>
    <s v="Weekend"/>
  </r>
  <r>
    <s v="ORD-2275"/>
    <d v="2024-01-26T00:00:00"/>
    <n v="2024"/>
    <s v="Jan"/>
    <s v="Fri"/>
    <s v="CUST-151"/>
    <s v="PROD-020"/>
    <s v="Home Office"/>
    <s v="North"/>
    <x v="2"/>
    <x v="3"/>
    <n v="9"/>
    <n v="120"/>
    <n v="1080"/>
    <n v="108"/>
    <s v="Large Order"/>
    <s v="Weekday"/>
  </r>
  <r>
    <s v="ORD-2276"/>
    <d v="2024-03-28T00:00:00"/>
    <n v="2024"/>
    <s v="Mar"/>
    <s v="Thu"/>
    <s v="CUST-172"/>
    <s v="PROD-023"/>
    <s v="Consumer"/>
    <s v="South"/>
    <x v="0"/>
    <x v="1"/>
    <n v="17"/>
    <n v="120"/>
    <n v="2040"/>
    <n v="204"/>
    <s v="Large Order"/>
    <s v="Weekday"/>
  </r>
  <r>
    <s v="ORD-2277"/>
    <d v="2024-12-10T00:00:00"/>
    <n v="2024"/>
    <s v="Dec"/>
    <s v="Tue"/>
    <s v="CUST-163"/>
    <s v="PROD-023"/>
    <s v="Consumer"/>
    <s v="West"/>
    <x v="4"/>
    <x v="3"/>
    <n v="7"/>
    <n v="120"/>
    <n v="840"/>
    <n v="84"/>
    <s v="Large Order"/>
    <s v="Weekday"/>
  </r>
  <r>
    <s v="ORD-2278"/>
    <d v="2024-05-27T00:00:00"/>
    <n v="2024"/>
    <s v="May"/>
    <s v="Mon"/>
    <s v="CUST-195"/>
    <s v="PROD-005"/>
    <s v="Corporate"/>
    <s v="South"/>
    <x v="2"/>
    <x v="4"/>
    <n v="14"/>
    <n v="120"/>
    <n v="1680"/>
    <n v="168"/>
    <s v="Large Order"/>
    <s v="Weekday"/>
  </r>
  <r>
    <s v="ORD-2279"/>
    <d v="2024-04-20T00:00:00"/>
    <n v="2024"/>
    <s v="Apr"/>
    <s v="Sat"/>
    <s v="CUST-136"/>
    <s v="PROD-014"/>
    <s v="Home Office"/>
    <s v="South"/>
    <x v="4"/>
    <x v="2"/>
    <n v="6"/>
    <n v="120"/>
    <n v="720"/>
    <n v="72"/>
    <s v="Large Order"/>
    <s v="Weekend"/>
  </r>
  <r>
    <s v="ORD-2280"/>
    <d v="2024-01-15T00:00:00"/>
    <n v="2024"/>
    <s v="Jan"/>
    <s v="Mon"/>
    <s v="CUST-137"/>
    <s v="PROD-020"/>
    <s v="Corporate"/>
    <s v="West"/>
    <x v="4"/>
    <x v="3"/>
    <n v="15"/>
    <n v="120"/>
    <n v="1800"/>
    <n v="180"/>
    <s v="Large Order"/>
    <s v="Weekday"/>
  </r>
  <r>
    <s v="ORD-2281"/>
    <d v="2024-10-25T00:00:00"/>
    <n v="2024"/>
    <s v="Oct"/>
    <s v="Fri"/>
    <s v="CUST-187"/>
    <s v="PROD-003"/>
    <s v="Home Office"/>
    <s v="South"/>
    <x v="2"/>
    <x v="3"/>
    <n v="1"/>
    <n v="120"/>
    <n v="120"/>
    <n v="12"/>
    <s v="Standard Order"/>
    <s v="Weekday"/>
  </r>
  <r>
    <s v="ORD-2282"/>
    <d v="2024-12-20T00:00:00"/>
    <n v="2024"/>
    <s v="Dec"/>
    <s v="Fri"/>
    <s v="CUST-150"/>
    <s v="PROD-023"/>
    <s v="Home Office"/>
    <s v="Central"/>
    <x v="4"/>
    <x v="4"/>
    <n v="13"/>
    <n v="120"/>
    <n v="1560"/>
    <n v="156"/>
    <s v="Large Order"/>
    <s v="Weekday"/>
  </r>
  <r>
    <s v="ORD-2283"/>
    <d v="2024-05-11T00:00:00"/>
    <n v="2024"/>
    <s v="May"/>
    <s v="Sat"/>
    <s v="CUST-109"/>
    <s v="PROD-002"/>
    <s v="Consumer"/>
    <s v="Central"/>
    <x v="5"/>
    <x v="2"/>
    <n v="2"/>
    <n v="120"/>
    <n v="240"/>
    <n v="24"/>
    <s v="Standard Order"/>
    <s v="Weekend"/>
  </r>
  <r>
    <s v="ORD-2284"/>
    <d v="2024-08-29T00:00:00"/>
    <n v="2024"/>
    <s v="Aug"/>
    <s v="Thu"/>
    <s v="CUST-145"/>
    <s v="PROD-023"/>
    <s v="Home Office"/>
    <s v="West"/>
    <x v="5"/>
    <x v="4"/>
    <n v="2"/>
    <n v="120"/>
    <n v="240"/>
    <n v="24"/>
    <s v="Standard Order"/>
    <s v="Weekday"/>
  </r>
  <r>
    <s v="ORD-2285"/>
    <d v="2024-11-13T00:00:00"/>
    <n v="2024"/>
    <s v="Nov"/>
    <s v="Wed"/>
    <s v="CUST-148"/>
    <s v="PROD-022"/>
    <s v="Corporate"/>
    <s v="East"/>
    <x v="2"/>
    <x v="4"/>
    <n v="12"/>
    <n v="120"/>
    <n v="1440"/>
    <n v="144"/>
    <s v="Large Order"/>
    <s v="Weekday"/>
  </r>
  <r>
    <s v="ORD-2286"/>
    <d v="2024-01-22T00:00:00"/>
    <n v="2024"/>
    <s v="Jan"/>
    <s v="Mon"/>
    <s v="CUST-174"/>
    <s v="PROD-006"/>
    <s v="Consumer"/>
    <s v="East"/>
    <x v="3"/>
    <x v="3"/>
    <n v="17"/>
    <n v="120"/>
    <n v="2040"/>
    <n v="204"/>
    <s v="Large Order"/>
    <s v="Weekday"/>
  </r>
  <r>
    <s v="ORD-2287"/>
    <d v="2024-08-27T00:00:00"/>
    <n v="2024"/>
    <s v="Aug"/>
    <s v="Tue"/>
    <s v="CUST-116"/>
    <s v="PROD-023"/>
    <s v="Consumer"/>
    <s v="South"/>
    <x v="3"/>
    <x v="3"/>
    <n v="17"/>
    <n v="120"/>
    <n v="2040"/>
    <n v="204"/>
    <s v="Large Order"/>
    <s v="Weekday"/>
  </r>
  <r>
    <s v="ORD-2288"/>
    <d v="2024-02-29T00:00:00"/>
    <n v="2024"/>
    <s v="Feb"/>
    <s v="Thu"/>
    <s v="CUST-140"/>
    <s v="PROD-016"/>
    <s v="Consumer"/>
    <s v="East"/>
    <x v="4"/>
    <x v="1"/>
    <n v="9"/>
    <n v="120"/>
    <n v="1080"/>
    <n v="108"/>
    <s v="Large Order"/>
    <s v="Weekday"/>
  </r>
  <r>
    <s v="ORD-2289"/>
    <d v="2024-05-24T00:00:00"/>
    <n v="2024"/>
    <s v="May"/>
    <s v="Fri"/>
    <s v="CUST-133"/>
    <s v="PROD-017"/>
    <s v="Home Office"/>
    <s v="South"/>
    <x v="3"/>
    <x v="2"/>
    <n v="11"/>
    <n v="120"/>
    <n v="1320"/>
    <n v="132"/>
    <s v="Large Order"/>
    <s v="Weekday"/>
  </r>
  <r>
    <s v="ORD-2290"/>
    <d v="2024-06-10T00:00:00"/>
    <n v="2024"/>
    <s v="Jun"/>
    <s v="Mon"/>
    <s v="CUST-194"/>
    <s v="PROD-018"/>
    <s v="Corporate"/>
    <s v="North"/>
    <x v="4"/>
    <x v="2"/>
    <n v="15"/>
    <n v="120"/>
    <n v="1800"/>
    <n v="180"/>
    <s v="Large Order"/>
    <s v="Weekday"/>
  </r>
  <r>
    <s v="ORD-2291"/>
    <d v="2024-01-28T00:00:00"/>
    <n v="2024"/>
    <s v="Jan"/>
    <s v="Sun"/>
    <s v="CUST-129"/>
    <s v="PROD-016"/>
    <s v="Consumer"/>
    <s v="North"/>
    <x v="0"/>
    <x v="1"/>
    <n v="9"/>
    <n v="120"/>
    <n v="1080"/>
    <n v="108"/>
    <s v="Large Order"/>
    <s v="Weekend"/>
  </r>
  <r>
    <s v="ORD-2292"/>
    <d v="2024-08-11T00:00:00"/>
    <n v="2024"/>
    <s v="Aug"/>
    <s v="Sun"/>
    <s v="CUST-114"/>
    <s v="PROD-015"/>
    <s v="Corporate"/>
    <s v="North"/>
    <x v="0"/>
    <x v="4"/>
    <n v="12"/>
    <n v="120"/>
    <n v="1440"/>
    <n v="144"/>
    <s v="Large Order"/>
    <s v="Weekend"/>
  </r>
  <r>
    <s v="ORD-2293"/>
    <d v="2024-09-05T00:00:00"/>
    <n v="2024"/>
    <s v="Sep"/>
    <s v="Thu"/>
    <s v="CUST-158"/>
    <s v="PROD-024"/>
    <s v="Corporate"/>
    <s v="South"/>
    <x v="0"/>
    <x v="0"/>
    <n v="5"/>
    <n v="120"/>
    <n v="600"/>
    <n v="60"/>
    <s v="Large Order"/>
    <s v="Weekday"/>
  </r>
  <r>
    <s v="ORD-2294"/>
    <d v="2024-04-14T00:00:00"/>
    <n v="2024"/>
    <s v="Apr"/>
    <s v="Sun"/>
    <s v="CUST-136"/>
    <s v="PROD-024"/>
    <s v="Consumer"/>
    <s v="Central"/>
    <x v="4"/>
    <x v="4"/>
    <n v="17"/>
    <n v="120"/>
    <n v="2040"/>
    <n v="204"/>
    <s v="Large Order"/>
    <s v="Weekend"/>
  </r>
  <r>
    <s v="ORD-2295"/>
    <d v="2024-12-05T00:00:00"/>
    <n v="2024"/>
    <s v="Dec"/>
    <s v="Thu"/>
    <s v="CUST-174"/>
    <s v="PROD-001"/>
    <s v="Consumer"/>
    <s v="West"/>
    <x v="5"/>
    <x v="2"/>
    <n v="17"/>
    <n v="120"/>
    <n v="2040"/>
    <n v="204"/>
    <s v="Large Order"/>
    <s v="Weekday"/>
  </r>
  <r>
    <s v="ORD-2296"/>
    <d v="2024-08-01T00:00:00"/>
    <n v="2024"/>
    <s v="Aug"/>
    <s v="Thu"/>
    <s v="CUST-109"/>
    <s v="PROD-022"/>
    <s v="Consumer"/>
    <s v="North"/>
    <x v="2"/>
    <x v="0"/>
    <n v="4"/>
    <n v="120"/>
    <n v="480"/>
    <n v="48"/>
    <s v="Standard Order"/>
    <s v="Weekday"/>
  </r>
  <r>
    <s v="ORD-2297"/>
    <d v="2024-05-25T00:00:00"/>
    <n v="2024"/>
    <s v="May"/>
    <s v="Sat"/>
    <s v="CUST-187"/>
    <s v="PROD-013"/>
    <s v="Home Office"/>
    <s v="North"/>
    <x v="0"/>
    <x v="0"/>
    <n v="12"/>
    <n v="120"/>
    <n v="1440"/>
    <n v="144"/>
    <s v="Large Order"/>
    <s v="Weekend"/>
  </r>
  <r>
    <s v="ORD-2298"/>
    <d v="2024-06-14T00:00:00"/>
    <n v="2024"/>
    <s v="Jun"/>
    <s v="Fri"/>
    <s v="CUST-119"/>
    <s v="PROD-015"/>
    <s v="Consumer"/>
    <s v="East"/>
    <x v="0"/>
    <x v="3"/>
    <n v="16"/>
    <n v="120"/>
    <n v="1920"/>
    <n v="192"/>
    <s v="Large Order"/>
    <s v="Weekday"/>
  </r>
  <r>
    <s v="ORD-2299"/>
    <d v="2024-10-31T00:00:00"/>
    <n v="2024"/>
    <s v="Oct"/>
    <s v="Thu"/>
    <s v="CUST-184"/>
    <s v="PROD-002"/>
    <s v="Consumer"/>
    <s v="East"/>
    <x v="3"/>
    <x v="3"/>
    <n v="20"/>
    <n v="120"/>
    <n v="2400"/>
    <n v="240"/>
    <s v="Large Order"/>
    <s v="Weekday"/>
  </r>
  <r>
    <s v="ORD-2300"/>
    <d v="2024-11-23T00:00:00"/>
    <n v="2024"/>
    <s v="Nov"/>
    <s v="Sat"/>
    <s v="CUST-114"/>
    <s v="PROD-001"/>
    <s v="Home Office"/>
    <s v="North"/>
    <x v="3"/>
    <x v="2"/>
    <n v="8"/>
    <n v="120"/>
    <n v="960"/>
    <n v="96"/>
    <s v="Large Order"/>
    <s v="Weekend"/>
  </r>
  <r>
    <s v="ORD-2301"/>
    <d v="2024-02-22T00:00:00"/>
    <n v="2024"/>
    <s v="Feb"/>
    <s v="Thu"/>
    <s v="CUST-186"/>
    <s v="PROD-024"/>
    <s v="Home Office"/>
    <s v="Central"/>
    <x v="0"/>
    <x v="4"/>
    <n v="14"/>
    <n v="120"/>
    <n v="1680"/>
    <n v="168"/>
    <s v="Large Order"/>
    <s v="Weekday"/>
  </r>
  <r>
    <s v="ORD-2302"/>
    <d v="2024-02-17T00:00:00"/>
    <n v="2024"/>
    <s v="Feb"/>
    <s v="Sat"/>
    <s v="CUST-127"/>
    <s v="PROD-008"/>
    <s v="Home Office"/>
    <s v="South"/>
    <x v="5"/>
    <x v="0"/>
    <n v="18"/>
    <n v="120"/>
    <n v="2160"/>
    <n v="216"/>
    <s v="Large Order"/>
    <s v="Weekend"/>
  </r>
  <r>
    <s v="ORD-2303"/>
    <d v="2024-11-28T00:00:00"/>
    <n v="2024"/>
    <s v="Nov"/>
    <s v="Thu"/>
    <s v="CUST-189"/>
    <s v="PROD-018"/>
    <s v="Corporate"/>
    <s v="West"/>
    <x v="4"/>
    <x v="1"/>
    <n v="19"/>
    <n v="120"/>
    <n v="2280"/>
    <n v="228"/>
    <s v="Large Order"/>
    <s v="Weekday"/>
  </r>
  <r>
    <s v="ORD-2304"/>
    <d v="2024-01-04T00:00:00"/>
    <n v="2024"/>
    <s v="Jan"/>
    <s v="Thu"/>
    <s v="CUST-197"/>
    <s v="PROD-006"/>
    <s v="Home Office"/>
    <s v="North"/>
    <x v="2"/>
    <x v="3"/>
    <n v="9"/>
    <n v="120"/>
    <n v="1080"/>
    <n v="108"/>
    <s v="Large Order"/>
    <s v="Weekday"/>
  </r>
  <r>
    <s v="ORD-2305"/>
    <d v="2024-06-21T00:00:00"/>
    <n v="2024"/>
    <s v="Jun"/>
    <s v="Fri"/>
    <s v="CUST-113"/>
    <s v="PROD-003"/>
    <s v="Corporate"/>
    <s v="North"/>
    <x v="0"/>
    <x v="3"/>
    <n v="12"/>
    <n v="120"/>
    <n v="1440"/>
    <n v="144"/>
    <s v="Large Order"/>
    <s v="Weekday"/>
  </r>
  <r>
    <s v="ORD-2306"/>
    <d v="2024-01-23T00:00:00"/>
    <n v="2024"/>
    <s v="Jan"/>
    <s v="Tue"/>
    <s v="CUST-193"/>
    <s v="PROD-015"/>
    <s v="Home Office"/>
    <s v="South"/>
    <x v="0"/>
    <x v="1"/>
    <n v="3"/>
    <n v="120"/>
    <n v="360"/>
    <n v="36"/>
    <s v="Standard Order"/>
    <s v="Weekday"/>
  </r>
  <r>
    <s v="ORD-2307"/>
    <d v="2024-11-17T00:00:00"/>
    <n v="2024"/>
    <s v="Nov"/>
    <s v="Sun"/>
    <s v="CUST-179"/>
    <s v="PROD-012"/>
    <s v="Home Office"/>
    <s v="West"/>
    <x v="4"/>
    <x v="0"/>
    <n v="2"/>
    <n v="120"/>
    <n v="240"/>
    <n v="24"/>
    <s v="Standard Order"/>
    <s v="Weekend"/>
  </r>
  <r>
    <s v="ORD-2308"/>
    <d v="2024-05-28T00:00:00"/>
    <n v="2024"/>
    <s v="May"/>
    <s v="Tue"/>
    <s v="CUST-110"/>
    <s v="PROD-008"/>
    <s v="Consumer"/>
    <s v="South"/>
    <x v="2"/>
    <x v="3"/>
    <n v="15"/>
    <n v="120"/>
    <n v="1800"/>
    <n v="180"/>
    <s v="Large Order"/>
    <s v="Weekday"/>
  </r>
  <r>
    <s v="ORD-2309"/>
    <d v="2024-07-05T00:00:00"/>
    <n v="2024"/>
    <s v="Jul"/>
    <s v="Fri"/>
    <s v="CUST-120"/>
    <s v="PROD-012"/>
    <s v="Corporate"/>
    <s v="South"/>
    <x v="4"/>
    <x v="3"/>
    <n v="3"/>
    <n v="120"/>
    <n v="360"/>
    <n v="36"/>
    <s v="Standard Order"/>
    <s v="Weekday"/>
  </r>
  <r>
    <s v="ORD-2310"/>
    <d v="2024-03-28T00:00:00"/>
    <n v="2024"/>
    <s v="Mar"/>
    <s v="Thu"/>
    <s v="CUST-168"/>
    <s v="PROD-024"/>
    <s v="Consumer"/>
    <s v="East"/>
    <x v="4"/>
    <x v="1"/>
    <n v="13"/>
    <n v="120"/>
    <n v="1560"/>
    <n v="156"/>
    <s v="Large Order"/>
    <s v="Weekday"/>
  </r>
  <r>
    <s v="ORD-2311"/>
    <d v="2024-11-23T00:00:00"/>
    <n v="2024"/>
    <s v="Nov"/>
    <s v="Sat"/>
    <s v="CUST-188"/>
    <s v="PROD-018"/>
    <s v="Consumer"/>
    <s v="South"/>
    <x v="3"/>
    <x v="0"/>
    <n v="8"/>
    <n v="120"/>
    <n v="960"/>
    <n v="96"/>
    <s v="Large Order"/>
    <s v="Weekend"/>
  </r>
  <r>
    <s v="ORD-2312"/>
    <d v="2024-06-10T00:00:00"/>
    <n v="2024"/>
    <s v="Jun"/>
    <s v="Mon"/>
    <s v="CUST-151"/>
    <s v="PROD-009"/>
    <s v="Consumer"/>
    <s v="South"/>
    <x v="4"/>
    <x v="4"/>
    <n v="11"/>
    <n v="120"/>
    <n v="1320"/>
    <n v="132"/>
    <s v="Large Order"/>
    <s v="Weekday"/>
  </r>
  <r>
    <s v="ORD-2313"/>
    <d v="2024-09-12T00:00:00"/>
    <n v="2024"/>
    <s v="Sep"/>
    <s v="Thu"/>
    <s v="CUST-150"/>
    <s v="PROD-021"/>
    <s v="Corporate"/>
    <s v="Central"/>
    <x v="4"/>
    <x v="3"/>
    <n v="5"/>
    <n v="120"/>
    <n v="600"/>
    <n v="60"/>
    <s v="Large Order"/>
    <s v="Weekday"/>
  </r>
  <r>
    <s v="ORD-2314"/>
    <d v="2024-10-14T00:00:00"/>
    <n v="2024"/>
    <s v="Oct"/>
    <s v="Mon"/>
    <s v="CUST-168"/>
    <s v="PROD-009"/>
    <s v="Home Office"/>
    <s v="North"/>
    <x v="5"/>
    <x v="1"/>
    <n v="19"/>
    <n v="120"/>
    <n v="2280"/>
    <n v="228"/>
    <s v="Large Order"/>
    <s v="Weekday"/>
  </r>
  <r>
    <s v="ORD-2315"/>
    <d v="2024-04-22T00:00:00"/>
    <n v="2024"/>
    <s v="Apr"/>
    <s v="Mon"/>
    <s v="CUST-117"/>
    <s v="PROD-017"/>
    <s v="Corporate"/>
    <s v="North"/>
    <x v="0"/>
    <x v="0"/>
    <n v="4"/>
    <n v="120"/>
    <n v="480"/>
    <n v="48"/>
    <s v="Standard Order"/>
    <s v="Weekday"/>
  </r>
  <r>
    <s v="ORD-2316"/>
    <d v="2024-03-22T00:00:00"/>
    <n v="2024"/>
    <s v="Mar"/>
    <s v="Fri"/>
    <s v="CUST-187"/>
    <s v="PROD-014"/>
    <s v="Home Office"/>
    <s v="North"/>
    <x v="0"/>
    <x v="1"/>
    <n v="13"/>
    <n v="120"/>
    <n v="1560"/>
    <n v="156"/>
    <s v="Large Order"/>
    <s v="Weekday"/>
  </r>
  <r>
    <s v="ORD-2317"/>
    <d v="2024-08-27T00:00:00"/>
    <n v="2024"/>
    <s v="Aug"/>
    <s v="Tue"/>
    <s v="CUST-167"/>
    <s v="PROD-009"/>
    <s v="Home Office"/>
    <s v="West"/>
    <x v="0"/>
    <x v="0"/>
    <n v="18"/>
    <n v="120"/>
    <n v="2160"/>
    <n v="216"/>
    <s v="Large Order"/>
    <s v="Weekday"/>
  </r>
  <r>
    <s v="ORD-2318"/>
    <d v="2024-11-24T00:00:00"/>
    <n v="2024"/>
    <s v="Nov"/>
    <s v="Sun"/>
    <s v="CUST-143"/>
    <s v="PROD-004"/>
    <s v="Corporate"/>
    <s v="Central"/>
    <x v="2"/>
    <x v="2"/>
    <n v="15"/>
    <n v="120"/>
    <n v="1800"/>
    <n v="180"/>
    <s v="Large Order"/>
    <s v="Weekend"/>
  </r>
  <r>
    <s v="ORD-2319"/>
    <d v="2024-05-14T00:00:00"/>
    <n v="2024"/>
    <s v="May"/>
    <s v="Tue"/>
    <s v="CUST-164"/>
    <s v="PROD-025"/>
    <s v="Consumer"/>
    <s v="East"/>
    <x v="5"/>
    <x v="0"/>
    <n v="10"/>
    <n v="120"/>
    <n v="1200"/>
    <n v="120"/>
    <s v="Large Order"/>
    <s v="Weekday"/>
  </r>
  <r>
    <s v="ORD-2320"/>
    <d v="2024-09-16T00:00:00"/>
    <n v="2024"/>
    <s v="Sep"/>
    <s v="Mon"/>
    <s v="CUST-177"/>
    <s v="PROD-007"/>
    <s v="Consumer"/>
    <s v="West"/>
    <x v="3"/>
    <x v="2"/>
    <n v="18"/>
    <n v="120"/>
    <n v="2160"/>
    <n v="216"/>
    <s v="Large Order"/>
    <s v="Weekday"/>
  </r>
  <r>
    <s v="ORD-2321"/>
    <d v="2024-09-28T00:00:00"/>
    <n v="2024"/>
    <s v="Sep"/>
    <s v="Sat"/>
    <s v="CUST-100"/>
    <s v="PROD-020"/>
    <s v="Corporate"/>
    <s v="Central"/>
    <x v="2"/>
    <x v="0"/>
    <n v="4"/>
    <n v="120"/>
    <n v="480"/>
    <n v="48"/>
    <s v="Standard Order"/>
    <s v="Weekend"/>
  </r>
  <r>
    <s v="ORD-2322"/>
    <d v="2024-06-06T00:00:00"/>
    <n v="2024"/>
    <s v="Jun"/>
    <s v="Thu"/>
    <s v="CUST-130"/>
    <s v="PROD-002"/>
    <s v="Consumer"/>
    <s v="South"/>
    <x v="5"/>
    <x v="0"/>
    <n v="3"/>
    <n v="120"/>
    <n v="360"/>
    <n v="36"/>
    <s v="Standard Order"/>
    <s v="Weekday"/>
  </r>
  <r>
    <s v="ORD-2323"/>
    <d v="2024-02-05T00:00:00"/>
    <n v="2024"/>
    <s v="Feb"/>
    <s v="Mon"/>
    <s v="CUST-197"/>
    <s v="PROD-018"/>
    <s v="Consumer"/>
    <s v="Central"/>
    <x v="4"/>
    <x v="1"/>
    <n v="18"/>
    <n v="120"/>
    <n v="2160"/>
    <n v="216"/>
    <s v="Large Order"/>
    <s v="Weekday"/>
  </r>
  <r>
    <s v="ORD-2324"/>
    <d v="2024-09-27T00:00:00"/>
    <n v="2024"/>
    <s v="Sep"/>
    <s v="Fri"/>
    <s v="CUST-177"/>
    <s v="PROD-014"/>
    <s v="Consumer"/>
    <s v="Central"/>
    <x v="5"/>
    <x v="2"/>
    <n v="10"/>
    <n v="120"/>
    <n v="1200"/>
    <n v="120"/>
    <s v="Large Order"/>
    <s v="Weekday"/>
  </r>
  <r>
    <s v="ORD-2325"/>
    <d v="2024-12-09T00:00:00"/>
    <n v="2024"/>
    <s v="Dec"/>
    <s v="Mon"/>
    <s v="CUST-183"/>
    <s v="PROD-012"/>
    <s v="Corporate"/>
    <s v="Central"/>
    <x v="5"/>
    <x v="1"/>
    <n v="4"/>
    <n v="120"/>
    <n v="480"/>
    <n v="48"/>
    <s v="Standard Order"/>
    <s v="Weekday"/>
  </r>
  <r>
    <s v="ORD-2326"/>
    <d v="2024-02-02T00:00:00"/>
    <n v="2024"/>
    <s v="Feb"/>
    <s v="Fri"/>
    <s v="CUST-143"/>
    <s v="PROD-001"/>
    <s v="Home Office"/>
    <s v="South"/>
    <x v="5"/>
    <x v="2"/>
    <n v="19"/>
    <n v="120"/>
    <n v="2280"/>
    <n v="228"/>
    <s v="Large Order"/>
    <s v="Weekday"/>
  </r>
  <r>
    <s v="ORD-2327"/>
    <d v="2024-02-06T00:00:00"/>
    <n v="2024"/>
    <s v="Feb"/>
    <s v="Tue"/>
    <s v="CUST-190"/>
    <s v="PROD-021"/>
    <s v="Consumer"/>
    <s v="West"/>
    <x v="4"/>
    <x v="0"/>
    <n v="2"/>
    <n v="120"/>
    <n v="240"/>
    <n v="24"/>
    <s v="Standard Order"/>
    <s v="Weekday"/>
  </r>
  <r>
    <s v="ORD-2328"/>
    <d v="2024-02-06T00:00:00"/>
    <n v="2024"/>
    <s v="Feb"/>
    <s v="Tue"/>
    <s v="CUST-165"/>
    <s v="PROD-008"/>
    <s v="Corporate"/>
    <s v="West"/>
    <x v="2"/>
    <x v="2"/>
    <n v="18"/>
    <n v="120"/>
    <n v="2160"/>
    <n v="216"/>
    <s v="Large Order"/>
    <s v="Weekday"/>
  </r>
  <r>
    <s v="ORD-2329"/>
    <d v="2024-10-19T00:00:00"/>
    <n v="2024"/>
    <s v="Oct"/>
    <s v="Sat"/>
    <s v="CUST-173"/>
    <s v="PROD-016"/>
    <s v="Consumer"/>
    <s v="West"/>
    <x v="2"/>
    <x v="1"/>
    <n v="7"/>
    <n v="120"/>
    <n v="840"/>
    <n v="84"/>
    <s v="Large Order"/>
    <s v="Weekend"/>
  </r>
  <r>
    <s v="ORD-2330"/>
    <d v="2024-12-03T00:00:00"/>
    <n v="2024"/>
    <s v="Dec"/>
    <s v="Tue"/>
    <s v="CUST-155"/>
    <s v="PROD-012"/>
    <s v="Corporate"/>
    <s v="East"/>
    <x v="2"/>
    <x v="1"/>
    <n v="2"/>
    <n v="120"/>
    <n v="240"/>
    <n v="24"/>
    <s v="Standard Order"/>
    <s v="Weekday"/>
  </r>
  <r>
    <s v="ORD-2331"/>
    <d v="2024-11-26T00:00:00"/>
    <n v="2024"/>
    <s v="Nov"/>
    <s v="Tue"/>
    <s v="CUST-112"/>
    <s v="PROD-002"/>
    <s v="Corporate"/>
    <s v="South"/>
    <x v="3"/>
    <x v="0"/>
    <n v="8"/>
    <n v="120"/>
    <n v="960"/>
    <n v="96"/>
    <s v="Large Order"/>
    <s v="Weekday"/>
  </r>
  <r>
    <s v="ORD-2332"/>
    <d v="2024-10-01T00:00:00"/>
    <n v="2024"/>
    <s v="Oct"/>
    <s v="Tue"/>
    <s v="CUST-157"/>
    <s v="PROD-005"/>
    <s v="Corporate"/>
    <s v="North"/>
    <x v="4"/>
    <x v="3"/>
    <n v="15"/>
    <n v="120"/>
    <n v="1800"/>
    <n v="180"/>
    <s v="Large Order"/>
    <s v="Weekday"/>
  </r>
  <r>
    <s v="ORD-2333"/>
    <d v="2024-02-08T00:00:00"/>
    <n v="2024"/>
    <s v="Feb"/>
    <s v="Thu"/>
    <s v="CUST-156"/>
    <s v="PROD-018"/>
    <s v="Consumer"/>
    <s v="West"/>
    <x v="0"/>
    <x v="4"/>
    <n v="1"/>
    <n v="120"/>
    <n v="120"/>
    <n v="12"/>
    <s v="Standard Order"/>
    <s v="Weekday"/>
  </r>
  <r>
    <s v="ORD-2334"/>
    <d v="2024-05-01T00:00:00"/>
    <n v="2024"/>
    <s v="May"/>
    <s v="Wed"/>
    <s v="CUST-121"/>
    <s v="PROD-014"/>
    <s v="Corporate"/>
    <s v="East"/>
    <x v="2"/>
    <x v="2"/>
    <n v="13"/>
    <n v="120"/>
    <n v="1560"/>
    <n v="156"/>
    <s v="Large Order"/>
    <s v="Weekday"/>
  </r>
  <r>
    <s v="ORD-2335"/>
    <d v="2024-03-25T00:00:00"/>
    <n v="2024"/>
    <s v="Mar"/>
    <s v="Mon"/>
    <s v="CUST-148"/>
    <s v="PROD-001"/>
    <s v="Corporate"/>
    <s v="South"/>
    <x v="3"/>
    <x v="1"/>
    <n v="10"/>
    <n v="120"/>
    <n v="1200"/>
    <n v="120"/>
    <s v="Large Order"/>
    <s v="Weekday"/>
  </r>
  <r>
    <s v="ORD-2336"/>
    <d v="2024-10-11T00:00:00"/>
    <n v="2024"/>
    <s v="Oct"/>
    <s v="Fri"/>
    <s v="CUST-184"/>
    <s v="PROD-023"/>
    <s v="Corporate"/>
    <s v="North"/>
    <x v="4"/>
    <x v="2"/>
    <n v="10"/>
    <n v="120"/>
    <n v="1200"/>
    <n v="120"/>
    <s v="Large Order"/>
    <s v="Weekday"/>
  </r>
  <r>
    <s v="ORD-2337"/>
    <d v="2024-01-30T00:00:00"/>
    <n v="2024"/>
    <s v="Jan"/>
    <s v="Tue"/>
    <s v="CUST-174"/>
    <s v="PROD-024"/>
    <s v="Home Office"/>
    <s v="North"/>
    <x v="0"/>
    <x v="3"/>
    <n v="2"/>
    <n v="120"/>
    <n v="240"/>
    <n v="24"/>
    <s v="Standard Order"/>
    <s v="Weekday"/>
  </r>
  <r>
    <s v="ORD-2338"/>
    <d v="2024-09-01T00:00:00"/>
    <n v="2024"/>
    <s v="Sep"/>
    <s v="Sun"/>
    <s v="CUST-164"/>
    <s v="PROD-017"/>
    <s v="Consumer"/>
    <s v="South"/>
    <x v="0"/>
    <x v="4"/>
    <n v="3"/>
    <n v="120"/>
    <n v="360"/>
    <n v="36"/>
    <s v="Standard Order"/>
    <s v="Weekend"/>
  </r>
  <r>
    <s v="ORD-2339"/>
    <d v="2024-02-05T00:00:00"/>
    <n v="2024"/>
    <s v="Feb"/>
    <s v="Mon"/>
    <s v="CUST-176"/>
    <s v="PROD-003"/>
    <s v="Home Office"/>
    <s v="North"/>
    <x v="4"/>
    <x v="1"/>
    <n v="4"/>
    <n v="120"/>
    <n v="480"/>
    <n v="48"/>
    <s v="Standard Order"/>
    <s v="Weekday"/>
  </r>
  <r>
    <s v="ORD-2340"/>
    <d v="2024-10-18T00:00:00"/>
    <n v="2024"/>
    <s v="Oct"/>
    <s v="Fri"/>
    <s v="CUST-131"/>
    <s v="PROD-019"/>
    <s v="Home Office"/>
    <s v="East"/>
    <x v="0"/>
    <x v="4"/>
    <n v="3"/>
    <n v="120"/>
    <n v="360"/>
    <n v="36"/>
    <s v="Standard Order"/>
    <s v="Weekday"/>
  </r>
  <r>
    <s v="ORD-2341"/>
    <d v="2024-10-25T00:00:00"/>
    <n v="2024"/>
    <s v="Oct"/>
    <s v="Fri"/>
    <s v="CUST-172"/>
    <s v="PROD-017"/>
    <s v="Corporate"/>
    <s v="East"/>
    <x v="3"/>
    <x v="2"/>
    <n v="11"/>
    <n v="120"/>
    <n v="1320"/>
    <n v="132"/>
    <s v="Large Order"/>
    <s v="Weekday"/>
  </r>
  <r>
    <s v="ORD-2342"/>
    <d v="2024-07-21T00:00:00"/>
    <n v="2024"/>
    <s v="Jul"/>
    <s v="Sun"/>
    <s v="CUST-116"/>
    <s v="PROD-022"/>
    <s v="Home Office"/>
    <s v="Central"/>
    <x v="3"/>
    <x v="1"/>
    <n v="11"/>
    <n v="120"/>
    <n v="1320"/>
    <n v="132"/>
    <s v="Large Order"/>
    <s v="Weekend"/>
  </r>
  <r>
    <s v="ORD-2343"/>
    <d v="2024-02-07T00:00:00"/>
    <n v="2024"/>
    <s v="Feb"/>
    <s v="Wed"/>
    <s v="CUST-101"/>
    <s v="PROD-015"/>
    <s v="Home Office"/>
    <s v="North"/>
    <x v="5"/>
    <x v="0"/>
    <n v="3"/>
    <n v="120"/>
    <n v="360"/>
    <n v="36"/>
    <s v="Standard Order"/>
    <s v="Weekday"/>
  </r>
  <r>
    <s v="ORD-2344"/>
    <d v="2024-09-16T00:00:00"/>
    <n v="2024"/>
    <s v="Sep"/>
    <s v="Mon"/>
    <s v="CUST-133"/>
    <s v="PROD-005"/>
    <s v="Corporate"/>
    <s v="Central"/>
    <x v="0"/>
    <x v="2"/>
    <n v="12"/>
    <n v="120"/>
    <n v="1440"/>
    <n v="144"/>
    <s v="Large Order"/>
    <s v="Weekday"/>
  </r>
  <r>
    <s v="ORD-2345"/>
    <d v="2024-08-12T00:00:00"/>
    <n v="2024"/>
    <s v="Aug"/>
    <s v="Mon"/>
    <s v="CUST-169"/>
    <s v="PROD-023"/>
    <s v="Corporate"/>
    <s v="South"/>
    <x v="5"/>
    <x v="4"/>
    <n v="1"/>
    <n v="120"/>
    <n v="120"/>
    <n v="12"/>
    <s v="Standard Order"/>
    <s v="Weekday"/>
  </r>
  <r>
    <s v="ORD-2346"/>
    <d v="2024-10-10T00:00:00"/>
    <n v="2024"/>
    <s v="Oct"/>
    <s v="Thu"/>
    <s v="CUST-138"/>
    <s v="PROD-022"/>
    <s v="Consumer"/>
    <s v="Central"/>
    <x v="4"/>
    <x v="3"/>
    <n v="4"/>
    <n v="120"/>
    <n v="480"/>
    <n v="48"/>
    <s v="Standard Order"/>
    <s v="Weekday"/>
  </r>
  <r>
    <s v="ORD-2347"/>
    <d v="2024-10-10T00:00:00"/>
    <n v="2024"/>
    <s v="Oct"/>
    <s v="Thu"/>
    <s v="CUST-119"/>
    <s v="PROD-009"/>
    <s v="Corporate"/>
    <s v="East"/>
    <x v="5"/>
    <x v="2"/>
    <n v="11"/>
    <n v="120"/>
    <n v="1320"/>
    <n v="132"/>
    <s v="Large Order"/>
    <s v="Weekday"/>
  </r>
  <r>
    <s v="ORD-2348"/>
    <d v="2024-11-20T00:00:00"/>
    <n v="2024"/>
    <s v="Nov"/>
    <s v="Wed"/>
    <s v="CUST-133"/>
    <s v="PROD-017"/>
    <s v="Corporate"/>
    <s v="South"/>
    <x v="3"/>
    <x v="0"/>
    <n v="3"/>
    <n v="120"/>
    <n v="360"/>
    <n v="36"/>
    <s v="Standard Order"/>
    <s v="Weekday"/>
  </r>
  <r>
    <s v="ORD-2349"/>
    <d v="2024-05-21T00:00:00"/>
    <n v="2024"/>
    <s v="May"/>
    <s v="Tue"/>
    <s v="CUST-105"/>
    <s v="PROD-001"/>
    <s v="Corporate"/>
    <s v="North"/>
    <x v="4"/>
    <x v="3"/>
    <n v="6"/>
    <n v="120"/>
    <n v="720"/>
    <n v="72"/>
    <s v="Large Order"/>
    <s v="Weekday"/>
  </r>
  <r>
    <s v="ORD-2350"/>
    <d v="2024-10-09T00:00:00"/>
    <n v="2024"/>
    <s v="Oct"/>
    <s v="Wed"/>
    <s v="CUST-190"/>
    <s v="PROD-014"/>
    <s v="Home Office"/>
    <s v="East"/>
    <x v="0"/>
    <x v="0"/>
    <n v="3"/>
    <n v="120"/>
    <n v="360"/>
    <n v="36"/>
    <s v="Standard Order"/>
    <s v="Weekday"/>
  </r>
  <r>
    <s v="ORD-2351"/>
    <d v="2024-12-19T00:00:00"/>
    <n v="2024"/>
    <s v="Dec"/>
    <s v="Thu"/>
    <s v="CUST-119"/>
    <s v="PROD-018"/>
    <s v="Consumer"/>
    <s v="North"/>
    <x v="3"/>
    <x v="4"/>
    <n v="18"/>
    <n v="120"/>
    <n v="2160"/>
    <n v="216"/>
    <s v="Large Order"/>
    <s v="Weekday"/>
  </r>
  <r>
    <s v="ORD-2352"/>
    <d v="2024-03-06T00:00:00"/>
    <n v="2024"/>
    <s v="Mar"/>
    <s v="Wed"/>
    <s v="CUST-105"/>
    <s v="PROD-010"/>
    <s v="Corporate"/>
    <s v="West"/>
    <x v="0"/>
    <x v="3"/>
    <n v="7"/>
    <n v="120"/>
    <n v="840"/>
    <n v="84"/>
    <s v="Large Order"/>
    <s v="Weekday"/>
  </r>
  <r>
    <s v="ORD-2353"/>
    <d v="2024-12-07T00:00:00"/>
    <n v="2024"/>
    <s v="Dec"/>
    <s v="Sat"/>
    <s v="CUST-113"/>
    <s v="PROD-012"/>
    <s v="Home Office"/>
    <s v="North"/>
    <x v="2"/>
    <x v="4"/>
    <n v="5"/>
    <n v="120"/>
    <n v="600"/>
    <n v="60"/>
    <s v="Large Order"/>
    <s v="Weekend"/>
  </r>
  <r>
    <s v="ORD-2354"/>
    <d v="2024-05-01T00:00:00"/>
    <n v="2024"/>
    <s v="May"/>
    <s v="Wed"/>
    <s v="CUST-120"/>
    <s v="PROD-006"/>
    <s v="Corporate"/>
    <s v="East"/>
    <x v="0"/>
    <x v="2"/>
    <n v="11"/>
    <n v="120"/>
    <n v="1320"/>
    <n v="132"/>
    <s v="Large Order"/>
    <s v="Weekday"/>
  </r>
  <r>
    <s v="ORD-2355"/>
    <d v="2024-07-29T00:00:00"/>
    <n v="2024"/>
    <s v="Jul"/>
    <s v="Mon"/>
    <s v="CUST-185"/>
    <s v="PROD-024"/>
    <s v="Consumer"/>
    <s v="West"/>
    <x v="3"/>
    <x v="2"/>
    <n v="4"/>
    <n v="120"/>
    <n v="480"/>
    <n v="48"/>
    <s v="Standard Order"/>
    <s v="Weekday"/>
  </r>
  <r>
    <s v="ORD-2356"/>
    <d v="2024-01-20T00:00:00"/>
    <n v="2024"/>
    <s v="Jan"/>
    <s v="Sat"/>
    <s v="CUST-160"/>
    <s v="PROD-008"/>
    <s v="Consumer"/>
    <s v="South"/>
    <x v="2"/>
    <x v="3"/>
    <n v="10"/>
    <n v="120"/>
    <n v="1200"/>
    <n v="120"/>
    <s v="Large Order"/>
    <s v="Weekend"/>
  </r>
  <r>
    <s v="ORD-2357"/>
    <d v="2024-04-26T00:00:00"/>
    <n v="2024"/>
    <s v="Apr"/>
    <s v="Fri"/>
    <s v="CUST-128"/>
    <s v="PROD-001"/>
    <s v="Home Office"/>
    <s v="Central"/>
    <x v="4"/>
    <x v="1"/>
    <n v="11"/>
    <n v="120"/>
    <n v="1320"/>
    <n v="132"/>
    <s v="Large Order"/>
    <s v="Weekday"/>
  </r>
  <r>
    <s v="ORD-2358"/>
    <d v="2024-02-05T00:00:00"/>
    <n v="2024"/>
    <s v="Feb"/>
    <s v="Mon"/>
    <s v="CUST-198"/>
    <s v="PROD-009"/>
    <s v="Corporate"/>
    <s v="Central"/>
    <x v="5"/>
    <x v="1"/>
    <n v="18"/>
    <n v="120"/>
    <n v="2160"/>
    <n v="216"/>
    <s v="Large Order"/>
    <s v="Weekday"/>
  </r>
  <r>
    <s v="ORD-2359"/>
    <d v="2024-01-15T00:00:00"/>
    <n v="2024"/>
    <s v="Jan"/>
    <s v="Mon"/>
    <s v="CUST-114"/>
    <s v="PROD-009"/>
    <s v="Consumer"/>
    <s v="West"/>
    <x v="5"/>
    <x v="3"/>
    <n v="2"/>
    <n v="120"/>
    <n v="240"/>
    <n v="24"/>
    <s v="Standard Order"/>
    <s v="Weekday"/>
  </r>
  <r>
    <s v="ORD-2360"/>
    <d v="2024-08-10T00:00:00"/>
    <n v="2024"/>
    <s v="Aug"/>
    <s v="Sat"/>
    <s v="CUST-144"/>
    <s v="PROD-024"/>
    <s v="Corporate"/>
    <s v="West"/>
    <x v="2"/>
    <x v="4"/>
    <n v="17"/>
    <n v="120"/>
    <n v="2040"/>
    <n v="204"/>
    <s v="Large Order"/>
    <s v="Weekend"/>
  </r>
  <r>
    <s v="ORD-2361"/>
    <d v="2024-10-22T00:00:00"/>
    <n v="2024"/>
    <s v="Oct"/>
    <s v="Tue"/>
    <s v="CUST-124"/>
    <s v="PROD-009"/>
    <s v="Consumer"/>
    <s v="South"/>
    <x v="2"/>
    <x v="0"/>
    <n v="17"/>
    <n v="120"/>
    <n v="2040"/>
    <n v="204"/>
    <s v="Large Order"/>
    <s v="Weekday"/>
  </r>
  <r>
    <s v="ORD-2362"/>
    <d v="2024-10-02T00:00:00"/>
    <n v="2024"/>
    <s v="Oct"/>
    <s v="Wed"/>
    <s v="CUST-187"/>
    <s v="PROD-024"/>
    <s v="Home Office"/>
    <s v="North"/>
    <x v="4"/>
    <x v="3"/>
    <n v="14"/>
    <n v="120"/>
    <n v="1680"/>
    <n v="168"/>
    <s v="Large Order"/>
    <s v="Weekday"/>
  </r>
  <r>
    <s v="ORD-2363"/>
    <d v="2024-12-06T00:00:00"/>
    <n v="2024"/>
    <s v="Dec"/>
    <s v="Fri"/>
    <s v="CUST-142"/>
    <s v="PROD-020"/>
    <s v="Corporate"/>
    <s v="East"/>
    <x v="0"/>
    <x v="3"/>
    <n v="17"/>
    <n v="120"/>
    <n v="2040"/>
    <n v="204"/>
    <s v="Large Order"/>
    <s v="Weekday"/>
  </r>
  <r>
    <s v="ORD-2364"/>
    <d v="2024-07-28T00:00:00"/>
    <n v="2024"/>
    <s v="Jul"/>
    <s v="Sun"/>
    <s v="CUST-141"/>
    <s v="PROD-013"/>
    <s v="Home Office"/>
    <s v="South"/>
    <x v="3"/>
    <x v="4"/>
    <n v="5"/>
    <n v="120"/>
    <n v="600"/>
    <n v="60"/>
    <s v="Large Order"/>
    <s v="Weekend"/>
  </r>
  <r>
    <s v="ORD-2365"/>
    <d v="2024-12-06T00:00:00"/>
    <n v="2024"/>
    <s v="Dec"/>
    <s v="Fri"/>
    <s v="CUST-148"/>
    <s v="PROD-022"/>
    <s v="Home Office"/>
    <s v="South"/>
    <x v="4"/>
    <x v="4"/>
    <n v="19"/>
    <n v="120"/>
    <n v="2280"/>
    <n v="228"/>
    <s v="Large Order"/>
    <s v="Weekday"/>
  </r>
  <r>
    <s v="ORD-2366"/>
    <d v="2024-10-07T00:00:00"/>
    <n v="2024"/>
    <s v="Oct"/>
    <s v="Mon"/>
    <s v="CUST-100"/>
    <s v="PROD-010"/>
    <s v="Corporate"/>
    <s v="South"/>
    <x v="4"/>
    <x v="1"/>
    <n v="19"/>
    <n v="120"/>
    <n v="2280"/>
    <n v="228"/>
    <s v="Large Order"/>
    <s v="Weekday"/>
  </r>
  <r>
    <s v="ORD-2367"/>
    <d v="2024-06-13T00:00:00"/>
    <n v="2024"/>
    <s v="Jun"/>
    <s v="Thu"/>
    <s v="CUST-159"/>
    <s v="PROD-015"/>
    <s v="Corporate"/>
    <s v="Central"/>
    <x v="4"/>
    <x v="4"/>
    <n v="16"/>
    <n v="120"/>
    <n v="1920"/>
    <n v="192"/>
    <s v="Large Order"/>
    <s v="Weekday"/>
  </r>
  <r>
    <s v="ORD-2368"/>
    <d v="2024-03-27T00:00:00"/>
    <n v="2024"/>
    <s v="Mar"/>
    <s v="Wed"/>
    <s v="CUST-184"/>
    <s v="PROD-003"/>
    <s v="Corporate"/>
    <s v="South"/>
    <x v="5"/>
    <x v="4"/>
    <n v="11"/>
    <n v="120"/>
    <n v="1320"/>
    <n v="132"/>
    <s v="Large Order"/>
    <s v="Weekday"/>
  </r>
  <r>
    <s v="ORD-2369"/>
    <d v="2024-04-30T00:00:00"/>
    <n v="2024"/>
    <s v="Apr"/>
    <s v="Tue"/>
    <s v="CUST-186"/>
    <s v="PROD-010"/>
    <s v="Consumer"/>
    <s v="West"/>
    <x v="4"/>
    <x v="2"/>
    <n v="1"/>
    <n v="120"/>
    <n v="120"/>
    <n v="12"/>
    <s v="Standard Order"/>
    <s v="Weekday"/>
  </r>
  <r>
    <s v="ORD-2370"/>
    <d v="2024-08-31T00:00:00"/>
    <n v="2024"/>
    <s v="Aug"/>
    <s v="Sat"/>
    <s v="CUST-178"/>
    <s v="PROD-025"/>
    <s v="Consumer"/>
    <s v="South"/>
    <x v="2"/>
    <x v="1"/>
    <n v="19"/>
    <n v="120"/>
    <n v="2280"/>
    <n v="228"/>
    <s v="Large Order"/>
    <s v="Weekend"/>
  </r>
  <r>
    <s v="ORD-2371"/>
    <d v="2024-12-22T00:00:00"/>
    <n v="2024"/>
    <s v="Dec"/>
    <s v="Sun"/>
    <s v="CUST-149"/>
    <s v="PROD-016"/>
    <s v="Corporate"/>
    <s v="South"/>
    <x v="4"/>
    <x v="2"/>
    <n v="1"/>
    <n v="120"/>
    <n v="120"/>
    <n v="12"/>
    <s v="Standard Order"/>
    <s v="Weekend"/>
  </r>
  <r>
    <s v="ORD-2372"/>
    <d v="2024-02-24T00:00:00"/>
    <n v="2024"/>
    <s v="Feb"/>
    <s v="Sat"/>
    <s v="CUST-199"/>
    <s v="PROD-014"/>
    <s v="Consumer"/>
    <s v="West"/>
    <x v="4"/>
    <x v="4"/>
    <n v="15"/>
    <n v="120"/>
    <n v="1800"/>
    <n v="180"/>
    <s v="Large Order"/>
    <s v="Weekend"/>
  </r>
  <r>
    <s v="ORD-2373"/>
    <d v="2024-05-07T00:00:00"/>
    <n v="2024"/>
    <s v="May"/>
    <s v="Tue"/>
    <s v="CUST-115"/>
    <s v="PROD-015"/>
    <s v="Consumer"/>
    <s v="West"/>
    <x v="2"/>
    <x v="4"/>
    <n v="18"/>
    <n v="120"/>
    <n v="2160"/>
    <n v="216"/>
    <s v="Large Order"/>
    <s v="Weekday"/>
  </r>
  <r>
    <s v="ORD-2374"/>
    <d v="2024-08-14T00:00:00"/>
    <n v="2024"/>
    <s v="Aug"/>
    <s v="Wed"/>
    <s v="CUST-178"/>
    <s v="PROD-024"/>
    <s v="Home Office"/>
    <s v="East"/>
    <x v="2"/>
    <x v="4"/>
    <n v="15"/>
    <n v="120"/>
    <n v="1800"/>
    <n v="180"/>
    <s v="Large Order"/>
    <s v="Weekday"/>
  </r>
  <r>
    <s v="ORD-2375"/>
    <d v="2024-08-31T00:00:00"/>
    <n v="2024"/>
    <s v="Aug"/>
    <s v="Sat"/>
    <s v="CUST-157"/>
    <s v="PROD-009"/>
    <s v="Consumer"/>
    <s v="East"/>
    <x v="3"/>
    <x v="4"/>
    <n v="16"/>
    <n v="120"/>
    <n v="1920"/>
    <n v="192"/>
    <s v="Large Order"/>
    <s v="Weekend"/>
  </r>
  <r>
    <s v="ORD-2376"/>
    <d v="2024-05-20T00:00:00"/>
    <n v="2024"/>
    <s v="May"/>
    <s v="Mon"/>
    <s v="CUST-156"/>
    <s v="PROD-003"/>
    <s v="Home Office"/>
    <s v="South"/>
    <x v="3"/>
    <x v="2"/>
    <n v="9"/>
    <n v="120"/>
    <n v="1080"/>
    <n v="108"/>
    <s v="Large Order"/>
    <s v="Weekday"/>
  </r>
  <r>
    <s v="ORD-2377"/>
    <d v="2024-10-03T00:00:00"/>
    <n v="2024"/>
    <s v="Oct"/>
    <s v="Thu"/>
    <s v="CUST-110"/>
    <s v="PROD-005"/>
    <s v="Consumer"/>
    <s v="Central"/>
    <x v="4"/>
    <x v="1"/>
    <n v="5"/>
    <n v="120"/>
    <n v="600"/>
    <n v="60"/>
    <s v="Large Order"/>
    <s v="Weekday"/>
  </r>
  <r>
    <s v="ORD-2378"/>
    <d v="2024-02-02T00:00:00"/>
    <n v="2024"/>
    <s v="Feb"/>
    <s v="Fri"/>
    <s v="CUST-153"/>
    <s v="PROD-014"/>
    <s v="Corporate"/>
    <s v="North"/>
    <x v="5"/>
    <x v="1"/>
    <n v="14"/>
    <n v="120"/>
    <n v="1680"/>
    <n v="168"/>
    <s v="Large Order"/>
    <s v="Weekday"/>
  </r>
  <r>
    <s v="ORD-2379"/>
    <d v="2024-08-03T00:00:00"/>
    <n v="2024"/>
    <s v="Aug"/>
    <s v="Sat"/>
    <s v="CUST-149"/>
    <s v="PROD-025"/>
    <s v="Home Office"/>
    <s v="West"/>
    <x v="0"/>
    <x v="4"/>
    <n v="13"/>
    <n v="120"/>
    <n v="1560"/>
    <n v="156"/>
    <s v="Large Order"/>
    <s v="Weekend"/>
  </r>
  <r>
    <s v="ORD-2380"/>
    <d v="2024-06-29T00:00:00"/>
    <n v="2024"/>
    <s v="Jun"/>
    <s v="Sat"/>
    <s v="CUST-138"/>
    <s v="PROD-025"/>
    <s v="Corporate"/>
    <s v="West"/>
    <x v="2"/>
    <x v="4"/>
    <n v="18"/>
    <n v="120"/>
    <n v="2160"/>
    <n v="216"/>
    <s v="Large Order"/>
    <s v="Weekend"/>
  </r>
  <r>
    <s v="ORD-2381"/>
    <d v="2024-04-22T00:00:00"/>
    <n v="2024"/>
    <s v="Apr"/>
    <s v="Mon"/>
    <s v="CUST-162"/>
    <s v="PROD-008"/>
    <s v="Corporate"/>
    <s v="South"/>
    <x v="2"/>
    <x v="1"/>
    <n v="1"/>
    <n v="120"/>
    <n v="120"/>
    <n v="12"/>
    <s v="Standard Order"/>
    <s v="Weekday"/>
  </r>
  <r>
    <s v="ORD-2382"/>
    <d v="2024-12-08T00:00:00"/>
    <n v="2024"/>
    <s v="Dec"/>
    <s v="Sun"/>
    <s v="CUST-186"/>
    <s v="PROD-013"/>
    <s v="Home Office"/>
    <s v="Central"/>
    <x v="4"/>
    <x v="1"/>
    <n v="5"/>
    <n v="120"/>
    <n v="600"/>
    <n v="60"/>
    <s v="Large Order"/>
    <s v="Weekend"/>
  </r>
  <r>
    <s v="ORD-2383"/>
    <d v="2024-09-30T00:00:00"/>
    <n v="2024"/>
    <s v="Sep"/>
    <s v="Mon"/>
    <s v="CUST-103"/>
    <s v="PROD-013"/>
    <s v="Home Office"/>
    <s v="East"/>
    <x v="5"/>
    <x v="0"/>
    <n v="3"/>
    <n v="120"/>
    <n v="360"/>
    <n v="36"/>
    <s v="Standard Order"/>
    <s v="Weekday"/>
  </r>
  <r>
    <s v="ORD-2384"/>
    <d v="2024-03-10T00:00:00"/>
    <n v="2024"/>
    <s v="Mar"/>
    <s v="Sun"/>
    <s v="CUST-159"/>
    <s v="PROD-006"/>
    <s v="Consumer"/>
    <s v="East"/>
    <x v="3"/>
    <x v="1"/>
    <n v="11"/>
    <n v="120"/>
    <n v="1320"/>
    <n v="132"/>
    <s v="Large Order"/>
    <s v="Weekend"/>
  </r>
  <r>
    <s v="ORD-2385"/>
    <d v="2024-06-16T00:00:00"/>
    <n v="2024"/>
    <s v="Jun"/>
    <s v="Sun"/>
    <s v="CUST-143"/>
    <s v="PROD-025"/>
    <s v="Corporate"/>
    <s v="North"/>
    <x v="3"/>
    <x v="1"/>
    <n v="9"/>
    <n v="120"/>
    <n v="1080"/>
    <n v="108"/>
    <s v="Large Order"/>
    <s v="Weekend"/>
  </r>
  <r>
    <s v="ORD-2386"/>
    <d v="2024-08-28T00:00:00"/>
    <n v="2024"/>
    <s v="Aug"/>
    <s v="Wed"/>
    <s v="CUST-102"/>
    <s v="PROD-024"/>
    <s v="Home Office"/>
    <s v="South"/>
    <x v="0"/>
    <x v="3"/>
    <n v="8"/>
    <n v="120"/>
    <n v="960"/>
    <n v="96"/>
    <s v="Large Order"/>
    <s v="Weekday"/>
  </r>
  <r>
    <s v="ORD-2387"/>
    <d v="2024-11-29T00:00:00"/>
    <n v="2024"/>
    <s v="Nov"/>
    <s v="Fri"/>
    <s v="CUST-105"/>
    <s v="PROD-025"/>
    <s v="Consumer"/>
    <s v="North"/>
    <x v="4"/>
    <x v="2"/>
    <n v="1"/>
    <n v="120"/>
    <n v="120"/>
    <n v="12"/>
    <s v="Standard Order"/>
    <s v="Weekday"/>
  </r>
  <r>
    <s v="ORD-2388"/>
    <d v="2024-05-02T00:00:00"/>
    <n v="2024"/>
    <s v="May"/>
    <s v="Thu"/>
    <s v="CUST-116"/>
    <s v="PROD-016"/>
    <s v="Home Office"/>
    <s v="Central"/>
    <x v="0"/>
    <x v="4"/>
    <n v="7"/>
    <n v="120"/>
    <n v="840"/>
    <n v="84"/>
    <s v="Large Order"/>
    <s v="Weekday"/>
  </r>
  <r>
    <s v="ORD-2389"/>
    <d v="2024-05-11T00:00:00"/>
    <n v="2024"/>
    <s v="May"/>
    <s v="Sat"/>
    <s v="CUST-198"/>
    <s v="PROD-012"/>
    <s v="Consumer"/>
    <s v="North"/>
    <x v="5"/>
    <x v="4"/>
    <n v="4"/>
    <n v="120"/>
    <n v="480"/>
    <n v="48"/>
    <s v="Standard Order"/>
    <s v="Weekend"/>
  </r>
  <r>
    <s v="ORD-2390"/>
    <d v="2024-03-24T00:00:00"/>
    <n v="2024"/>
    <s v="Mar"/>
    <s v="Sun"/>
    <s v="CUST-139"/>
    <s v="PROD-004"/>
    <s v="Home Office"/>
    <s v="North"/>
    <x v="0"/>
    <x v="3"/>
    <n v="19"/>
    <n v="120"/>
    <n v="2280"/>
    <n v="228"/>
    <s v="Large Order"/>
    <s v="Weekend"/>
  </r>
  <r>
    <s v="ORD-2391"/>
    <d v="2024-07-11T00:00:00"/>
    <n v="2024"/>
    <s v="Jul"/>
    <s v="Thu"/>
    <s v="CUST-150"/>
    <s v="PROD-023"/>
    <s v="Consumer"/>
    <s v="Central"/>
    <x v="0"/>
    <x v="4"/>
    <n v="8"/>
    <n v="120"/>
    <n v="960"/>
    <n v="96"/>
    <s v="Large Order"/>
    <s v="Weekday"/>
  </r>
  <r>
    <s v="ORD-2392"/>
    <d v="2024-06-03T00:00:00"/>
    <n v="2024"/>
    <s v="Jun"/>
    <s v="Mon"/>
    <s v="CUST-187"/>
    <s v="PROD-020"/>
    <s v="Consumer"/>
    <s v="East"/>
    <x v="5"/>
    <x v="0"/>
    <n v="12"/>
    <n v="120"/>
    <n v="1440"/>
    <n v="144"/>
    <s v="Large Order"/>
    <s v="Weekday"/>
  </r>
  <r>
    <s v="ORD-2393"/>
    <d v="2024-12-04T00:00:00"/>
    <n v="2024"/>
    <s v="Dec"/>
    <s v="Wed"/>
    <s v="CUST-147"/>
    <s v="PROD-003"/>
    <s v="Home Office"/>
    <s v="West"/>
    <x v="3"/>
    <x v="0"/>
    <n v="14"/>
    <n v="120"/>
    <n v="1680"/>
    <n v="168"/>
    <s v="Large Order"/>
    <s v="Weekday"/>
  </r>
  <r>
    <s v="ORD-2394"/>
    <d v="2024-02-24T00:00:00"/>
    <n v="2024"/>
    <s v="Feb"/>
    <s v="Sat"/>
    <s v="CUST-155"/>
    <s v="PROD-012"/>
    <s v="Home Office"/>
    <s v="Central"/>
    <x v="2"/>
    <x v="2"/>
    <n v="14"/>
    <n v="120"/>
    <n v="1680"/>
    <n v="168"/>
    <s v="Large Order"/>
    <s v="Weekend"/>
  </r>
  <r>
    <s v="ORD-2395"/>
    <d v="2024-09-24T00:00:00"/>
    <n v="2024"/>
    <s v="Sep"/>
    <s v="Tue"/>
    <s v="CUST-183"/>
    <s v="PROD-009"/>
    <s v="Home Office"/>
    <s v="North"/>
    <x v="5"/>
    <x v="1"/>
    <n v="15"/>
    <n v="120"/>
    <n v="1800"/>
    <n v="180"/>
    <s v="Large Order"/>
    <s v="Weekday"/>
  </r>
  <r>
    <s v="ORD-2396"/>
    <d v="2024-10-30T00:00:00"/>
    <n v="2024"/>
    <s v="Oct"/>
    <s v="Wed"/>
    <s v="CUST-134"/>
    <s v="PROD-011"/>
    <s v="Consumer"/>
    <s v="West"/>
    <x v="0"/>
    <x v="3"/>
    <n v="15"/>
    <n v="120"/>
    <n v="1800"/>
    <n v="180"/>
    <s v="Large Order"/>
    <s v="Weekday"/>
  </r>
  <r>
    <s v="ORD-2397"/>
    <d v="2024-08-25T00:00:00"/>
    <n v="2024"/>
    <s v="Aug"/>
    <s v="Sun"/>
    <s v="CUST-172"/>
    <s v="PROD-020"/>
    <s v="Home Office"/>
    <s v="East"/>
    <x v="2"/>
    <x v="3"/>
    <n v="1"/>
    <n v="120"/>
    <n v="120"/>
    <n v="12"/>
    <s v="Standard Order"/>
    <s v="Weekend"/>
  </r>
  <r>
    <s v="ORD-2398"/>
    <d v="2024-06-15T00:00:00"/>
    <n v="2024"/>
    <s v="Jun"/>
    <s v="Sat"/>
    <s v="CUST-123"/>
    <s v="PROD-016"/>
    <s v="Consumer"/>
    <s v="North"/>
    <x v="3"/>
    <x v="3"/>
    <n v="11"/>
    <n v="120"/>
    <n v="1320"/>
    <n v="132"/>
    <s v="Large Order"/>
    <s v="Weekend"/>
  </r>
  <r>
    <s v="ORD-2399"/>
    <d v="2024-11-01T00:00:00"/>
    <n v="2024"/>
    <s v="Nov"/>
    <s v="Fri"/>
    <s v="CUST-189"/>
    <s v="PROD-009"/>
    <s v="Home Office"/>
    <s v="West"/>
    <x v="0"/>
    <x v="4"/>
    <n v="7"/>
    <n v="120"/>
    <n v="840"/>
    <n v="84"/>
    <s v="Large Order"/>
    <s v="Weekday"/>
  </r>
  <r>
    <s v="ORD-2400"/>
    <d v="2024-07-27T00:00:00"/>
    <n v="2024"/>
    <s v="Jul"/>
    <s v="Sat"/>
    <s v="CUST-162"/>
    <s v="PROD-018"/>
    <s v="Consumer"/>
    <s v="South"/>
    <x v="2"/>
    <x v="1"/>
    <n v="15"/>
    <n v="120"/>
    <n v="1800"/>
    <n v="180"/>
    <s v="Large Order"/>
    <s v="Weekend"/>
  </r>
  <r>
    <s v="ORD-2401"/>
    <d v="2024-02-17T00:00:00"/>
    <n v="2024"/>
    <s v="Feb"/>
    <s v="Sat"/>
    <s v="CUST-137"/>
    <s v="PROD-008"/>
    <s v="Corporate"/>
    <s v="Central"/>
    <x v="4"/>
    <x v="3"/>
    <n v="19"/>
    <n v="120"/>
    <n v="2280"/>
    <n v="228"/>
    <s v="Large Order"/>
    <s v="Weekend"/>
  </r>
  <r>
    <s v="ORD-2402"/>
    <d v="2024-10-10T00:00:00"/>
    <n v="2024"/>
    <s v="Oct"/>
    <s v="Thu"/>
    <s v="CUST-167"/>
    <s v="PROD-012"/>
    <s v="Corporate"/>
    <s v="North"/>
    <x v="5"/>
    <x v="3"/>
    <n v="12"/>
    <n v="120"/>
    <n v="1440"/>
    <n v="144"/>
    <s v="Large Order"/>
    <s v="Weekday"/>
  </r>
  <r>
    <s v="ORD-2403"/>
    <d v="2024-05-18T00:00:00"/>
    <n v="2024"/>
    <s v="May"/>
    <s v="Sat"/>
    <s v="CUST-139"/>
    <s v="PROD-009"/>
    <s v="Consumer"/>
    <s v="South"/>
    <x v="0"/>
    <x v="2"/>
    <n v="11"/>
    <n v="120"/>
    <n v="1320"/>
    <n v="132"/>
    <s v="Large Order"/>
    <s v="Weekend"/>
  </r>
  <r>
    <s v="ORD-2404"/>
    <d v="2024-10-01T00:00:00"/>
    <n v="2024"/>
    <s v="Oct"/>
    <s v="Tue"/>
    <s v="CUST-197"/>
    <s v="PROD-023"/>
    <s v="Consumer"/>
    <s v="East"/>
    <x v="4"/>
    <x v="2"/>
    <n v="16"/>
    <n v="120"/>
    <n v="1920"/>
    <n v="192"/>
    <s v="Large Order"/>
    <s v="Weekday"/>
  </r>
  <r>
    <s v="ORD-2405"/>
    <d v="2024-10-28T00:00:00"/>
    <n v="2024"/>
    <s v="Oct"/>
    <s v="Mon"/>
    <s v="CUST-197"/>
    <s v="PROD-017"/>
    <s v="Home Office"/>
    <s v="Central"/>
    <x v="3"/>
    <x v="0"/>
    <n v="7"/>
    <n v="120"/>
    <n v="840"/>
    <n v="84"/>
    <s v="Large Order"/>
    <s v="Weekday"/>
  </r>
  <r>
    <s v="ORD-2406"/>
    <d v="2024-07-03T00:00:00"/>
    <n v="2024"/>
    <s v="Jul"/>
    <s v="Wed"/>
    <s v="CUST-122"/>
    <s v="PROD-010"/>
    <s v="Consumer"/>
    <s v="South"/>
    <x v="5"/>
    <x v="2"/>
    <n v="9"/>
    <n v="120"/>
    <n v="1080"/>
    <n v="108"/>
    <s v="Large Order"/>
    <s v="Weekday"/>
  </r>
  <r>
    <s v="ORD-2407"/>
    <d v="2024-01-28T00:00:00"/>
    <n v="2024"/>
    <s v="Jan"/>
    <s v="Sun"/>
    <s v="CUST-170"/>
    <s v="PROD-010"/>
    <s v="Home Office"/>
    <s v="West"/>
    <x v="4"/>
    <x v="1"/>
    <n v="4"/>
    <n v="120"/>
    <n v="480"/>
    <n v="48"/>
    <s v="Standard Order"/>
    <s v="Weekend"/>
  </r>
  <r>
    <s v="ORD-2408"/>
    <d v="2024-10-20T00:00:00"/>
    <n v="2024"/>
    <s v="Oct"/>
    <s v="Sun"/>
    <s v="CUST-136"/>
    <s v="PROD-016"/>
    <s v="Corporate"/>
    <s v="West"/>
    <x v="2"/>
    <x v="3"/>
    <n v="6"/>
    <n v="120"/>
    <n v="720"/>
    <n v="72"/>
    <s v="Large Order"/>
    <s v="Weekend"/>
  </r>
  <r>
    <s v="ORD-2409"/>
    <d v="2024-05-09T00:00:00"/>
    <n v="2024"/>
    <s v="May"/>
    <s v="Thu"/>
    <s v="CUST-161"/>
    <s v="PROD-004"/>
    <s v="Consumer"/>
    <s v="Central"/>
    <x v="2"/>
    <x v="1"/>
    <n v="3"/>
    <n v="120"/>
    <n v="360"/>
    <n v="36"/>
    <s v="Standard Order"/>
    <s v="Weekday"/>
  </r>
  <r>
    <s v="ORD-2410"/>
    <d v="2024-12-17T00:00:00"/>
    <n v="2024"/>
    <s v="Dec"/>
    <s v="Tue"/>
    <s v="CUST-106"/>
    <s v="PROD-005"/>
    <s v="Consumer"/>
    <s v="Central"/>
    <x v="5"/>
    <x v="3"/>
    <n v="3"/>
    <n v="120"/>
    <n v="360"/>
    <n v="36"/>
    <s v="Standard Order"/>
    <s v="Weekday"/>
  </r>
  <r>
    <s v="ORD-2411"/>
    <d v="2024-03-01T00:00:00"/>
    <n v="2024"/>
    <s v="Mar"/>
    <s v="Fri"/>
    <s v="CUST-171"/>
    <s v="PROD-025"/>
    <s v="Corporate"/>
    <s v="East"/>
    <x v="5"/>
    <x v="4"/>
    <n v="20"/>
    <n v="120"/>
    <n v="2400"/>
    <n v="240"/>
    <s v="Large Order"/>
    <s v="Weekday"/>
  </r>
  <r>
    <s v="ORD-2412"/>
    <d v="2024-09-24T00:00:00"/>
    <n v="2024"/>
    <s v="Sep"/>
    <s v="Tue"/>
    <s v="CUST-148"/>
    <s v="PROD-015"/>
    <s v="Corporate"/>
    <s v="North"/>
    <x v="3"/>
    <x v="4"/>
    <n v="14"/>
    <n v="120"/>
    <n v="1680"/>
    <n v="168"/>
    <s v="Large Order"/>
    <s v="Weekday"/>
  </r>
  <r>
    <s v="ORD-2413"/>
    <d v="2024-11-13T00:00:00"/>
    <n v="2024"/>
    <s v="Nov"/>
    <s v="Wed"/>
    <s v="CUST-107"/>
    <s v="PROD-020"/>
    <s v="Home Office"/>
    <s v="Central"/>
    <x v="0"/>
    <x v="2"/>
    <n v="7"/>
    <n v="120"/>
    <n v="840"/>
    <n v="84"/>
    <s v="Large Order"/>
    <s v="Weekday"/>
  </r>
  <r>
    <s v="ORD-2414"/>
    <d v="2024-02-11T00:00:00"/>
    <n v="2024"/>
    <s v="Feb"/>
    <s v="Sun"/>
    <s v="CUST-120"/>
    <s v="PROD-008"/>
    <s v="Consumer"/>
    <s v="East"/>
    <x v="5"/>
    <x v="0"/>
    <n v="6"/>
    <n v="120"/>
    <n v="720"/>
    <n v="72"/>
    <s v="Large Order"/>
    <s v="Weekend"/>
  </r>
  <r>
    <s v="ORD-2415"/>
    <d v="2024-08-18T00:00:00"/>
    <n v="2024"/>
    <s v="Aug"/>
    <s v="Sun"/>
    <s v="CUST-188"/>
    <s v="PROD-020"/>
    <s v="Corporate"/>
    <s v="South"/>
    <x v="3"/>
    <x v="0"/>
    <n v="8"/>
    <n v="120"/>
    <n v="960"/>
    <n v="96"/>
    <s v="Large Order"/>
    <s v="Weekend"/>
  </r>
  <r>
    <s v="ORD-2416"/>
    <d v="2024-05-24T00:00:00"/>
    <n v="2024"/>
    <s v="May"/>
    <s v="Fri"/>
    <s v="CUST-189"/>
    <s v="PROD-015"/>
    <s v="Consumer"/>
    <s v="South"/>
    <x v="4"/>
    <x v="3"/>
    <n v="19"/>
    <n v="120"/>
    <n v="2280"/>
    <n v="228"/>
    <s v="Large Order"/>
    <s v="Weekday"/>
  </r>
  <r>
    <s v="ORD-2417"/>
    <d v="2024-04-11T00:00:00"/>
    <n v="2024"/>
    <s v="Apr"/>
    <s v="Thu"/>
    <s v="CUST-154"/>
    <s v="PROD-004"/>
    <s v="Home Office"/>
    <s v="Central"/>
    <x v="4"/>
    <x v="2"/>
    <n v="9"/>
    <n v="120"/>
    <n v="1080"/>
    <n v="108"/>
    <s v="Large Order"/>
    <s v="Weekday"/>
  </r>
  <r>
    <s v="ORD-2418"/>
    <d v="2024-02-06T00:00:00"/>
    <n v="2024"/>
    <s v="Feb"/>
    <s v="Tue"/>
    <s v="CUST-107"/>
    <s v="PROD-006"/>
    <s v="Corporate"/>
    <s v="West"/>
    <x v="5"/>
    <x v="4"/>
    <n v="10"/>
    <n v="120"/>
    <n v="1200"/>
    <n v="120"/>
    <s v="Large Order"/>
    <s v="Weekday"/>
  </r>
  <r>
    <s v="ORD-2419"/>
    <d v="2024-08-27T00:00:00"/>
    <n v="2024"/>
    <s v="Aug"/>
    <s v="Tue"/>
    <s v="CUST-188"/>
    <s v="PROD-010"/>
    <s v="Home Office"/>
    <s v="West"/>
    <x v="2"/>
    <x v="3"/>
    <n v="17"/>
    <n v="120"/>
    <n v="2040"/>
    <n v="204"/>
    <s v="Large Order"/>
    <s v="Weekday"/>
  </r>
  <r>
    <s v="ORD-2420"/>
    <d v="2024-08-12T00:00:00"/>
    <n v="2024"/>
    <s v="Aug"/>
    <s v="Mon"/>
    <s v="CUST-110"/>
    <s v="PROD-020"/>
    <s v="Consumer"/>
    <s v="Central"/>
    <x v="2"/>
    <x v="3"/>
    <n v="20"/>
    <n v="120"/>
    <n v="2400"/>
    <n v="240"/>
    <s v="Large Order"/>
    <s v="Weekday"/>
  </r>
  <r>
    <s v="ORD-2421"/>
    <d v="2024-02-16T00:00:00"/>
    <n v="2024"/>
    <s v="Feb"/>
    <s v="Fri"/>
    <s v="CUST-129"/>
    <s v="PROD-022"/>
    <s v="Home Office"/>
    <s v="West"/>
    <x v="5"/>
    <x v="0"/>
    <n v="9"/>
    <n v="120"/>
    <n v="1080"/>
    <n v="108"/>
    <s v="Large Order"/>
    <s v="Weekday"/>
  </r>
  <r>
    <s v="ORD-2422"/>
    <d v="2024-03-30T00:00:00"/>
    <n v="2024"/>
    <s v="Mar"/>
    <s v="Sat"/>
    <s v="CUST-160"/>
    <s v="PROD-017"/>
    <s v="Home Office"/>
    <s v="West"/>
    <x v="2"/>
    <x v="3"/>
    <n v="6"/>
    <n v="120"/>
    <n v="720"/>
    <n v="72"/>
    <s v="Large Order"/>
    <s v="Weekend"/>
  </r>
  <r>
    <s v="ORD-2423"/>
    <d v="2024-08-11T00:00:00"/>
    <n v="2024"/>
    <s v="Aug"/>
    <s v="Sun"/>
    <s v="CUST-181"/>
    <s v="PROD-016"/>
    <s v="Consumer"/>
    <s v="West"/>
    <x v="2"/>
    <x v="3"/>
    <n v="14"/>
    <n v="120"/>
    <n v="1680"/>
    <n v="168"/>
    <s v="Large Order"/>
    <s v="Weekend"/>
  </r>
  <r>
    <s v="ORD-2424"/>
    <d v="2024-12-09T00:00:00"/>
    <n v="2024"/>
    <s v="Dec"/>
    <s v="Mon"/>
    <s v="CUST-113"/>
    <s v="PROD-006"/>
    <s v="Corporate"/>
    <s v="West"/>
    <x v="2"/>
    <x v="1"/>
    <n v="10"/>
    <n v="120"/>
    <n v="1200"/>
    <n v="120"/>
    <s v="Large Order"/>
    <s v="Weekday"/>
  </r>
  <r>
    <s v="ORD-2425"/>
    <d v="2024-07-24T00:00:00"/>
    <n v="2024"/>
    <s v="Jul"/>
    <s v="Wed"/>
    <s v="CUST-197"/>
    <s v="PROD-018"/>
    <s v="Consumer"/>
    <s v="North"/>
    <x v="2"/>
    <x v="0"/>
    <n v="11"/>
    <n v="120"/>
    <n v="1320"/>
    <n v="132"/>
    <s v="Large Order"/>
    <s v="Weekday"/>
  </r>
  <r>
    <s v="ORD-2426"/>
    <d v="2024-02-29T00:00:00"/>
    <n v="2024"/>
    <s v="Feb"/>
    <s v="Thu"/>
    <s v="CUST-198"/>
    <s v="PROD-013"/>
    <s v="Home Office"/>
    <s v="West"/>
    <x v="0"/>
    <x v="4"/>
    <n v="15"/>
    <n v="120"/>
    <n v="1800"/>
    <n v="180"/>
    <s v="Large Order"/>
    <s v="Weekday"/>
  </r>
  <r>
    <s v="ORD-2427"/>
    <d v="2024-04-06T00:00:00"/>
    <n v="2024"/>
    <s v="Apr"/>
    <s v="Sat"/>
    <s v="CUST-166"/>
    <s v="PROD-012"/>
    <s v="Home Office"/>
    <s v="West"/>
    <x v="2"/>
    <x v="1"/>
    <n v="2"/>
    <n v="120"/>
    <n v="240"/>
    <n v="24"/>
    <s v="Standard Order"/>
    <s v="Weekend"/>
  </r>
  <r>
    <s v="ORD-2428"/>
    <d v="2024-10-08T00:00:00"/>
    <n v="2024"/>
    <s v="Oct"/>
    <s v="Tue"/>
    <s v="CUST-116"/>
    <s v="PROD-010"/>
    <s v="Corporate"/>
    <s v="East"/>
    <x v="2"/>
    <x v="0"/>
    <n v="1"/>
    <n v="120"/>
    <n v="120"/>
    <n v="12"/>
    <s v="Standard Order"/>
    <s v="Weekday"/>
  </r>
  <r>
    <s v="ORD-2429"/>
    <d v="2024-11-07T00:00:00"/>
    <n v="2024"/>
    <s v="Nov"/>
    <s v="Thu"/>
    <s v="CUST-130"/>
    <s v="PROD-023"/>
    <s v="Consumer"/>
    <s v="North"/>
    <x v="3"/>
    <x v="4"/>
    <n v="1"/>
    <n v="120"/>
    <n v="120"/>
    <n v="12"/>
    <s v="Standard Order"/>
    <s v="Weekday"/>
  </r>
  <r>
    <s v="ORD-2430"/>
    <d v="2024-02-17T00:00:00"/>
    <n v="2024"/>
    <s v="Feb"/>
    <s v="Sat"/>
    <s v="CUST-128"/>
    <s v="PROD-004"/>
    <s v="Corporate"/>
    <s v="West"/>
    <x v="0"/>
    <x v="2"/>
    <n v="16"/>
    <n v="120"/>
    <n v="1920"/>
    <n v="192"/>
    <s v="Large Order"/>
    <s v="Weekend"/>
  </r>
  <r>
    <s v="ORD-2431"/>
    <d v="2024-05-29T00:00:00"/>
    <n v="2024"/>
    <s v="May"/>
    <s v="Wed"/>
    <s v="CUST-165"/>
    <s v="PROD-023"/>
    <s v="Corporate"/>
    <s v="Central"/>
    <x v="2"/>
    <x v="1"/>
    <n v="16"/>
    <n v="120"/>
    <n v="1920"/>
    <n v="192"/>
    <s v="Large Order"/>
    <s v="Weekday"/>
  </r>
  <r>
    <s v="ORD-2432"/>
    <d v="2024-10-09T00:00:00"/>
    <n v="2024"/>
    <s v="Oct"/>
    <s v="Wed"/>
    <s v="CUST-118"/>
    <s v="PROD-013"/>
    <s v="Consumer"/>
    <s v="Central"/>
    <x v="5"/>
    <x v="4"/>
    <n v="5"/>
    <n v="120"/>
    <n v="600"/>
    <n v="60"/>
    <s v="Large Order"/>
    <s v="Weekday"/>
  </r>
  <r>
    <s v="ORD-2433"/>
    <d v="2024-05-21T00:00:00"/>
    <n v="2024"/>
    <s v="May"/>
    <s v="Tue"/>
    <s v="CUST-198"/>
    <s v="PROD-014"/>
    <s v="Corporate"/>
    <s v="West"/>
    <x v="5"/>
    <x v="3"/>
    <n v="1"/>
    <n v="120"/>
    <n v="120"/>
    <n v="12"/>
    <s v="Standard Order"/>
    <s v="Weekday"/>
  </r>
  <r>
    <s v="ORD-2434"/>
    <d v="2024-06-01T00:00:00"/>
    <n v="2024"/>
    <s v="Jun"/>
    <s v="Sat"/>
    <s v="CUST-175"/>
    <s v="PROD-019"/>
    <s v="Home Office"/>
    <s v="West"/>
    <x v="2"/>
    <x v="2"/>
    <n v="15"/>
    <n v="120"/>
    <n v="1800"/>
    <n v="180"/>
    <s v="Large Order"/>
    <s v="Weekend"/>
  </r>
  <r>
    <s v="ORD-2435"/>
    <d v="2024-06-25T00:00:00"/>
    <n v="2024"/>
    <s v="Jun"/>
    <s v="Tue"/>
    <s v="CUST-142"/>
    <s v="PROD-018"/>
    <s v="Home Office"/>
    <s v="South"/>
    <x v="2"/>
    <x v="1"/>
    <n v="11"/>
    <n v="120"/>
    <n v="1320"/>
    <n v="132"/>
    <s v="Large Order"/>
    <s v="Weekday"/>
  </r>
  <r>
    <s v="ORD-2436"/>
    <d v="2024-12-23T00:00:00"/>
    <n v="2024"/>
    <s v="Dec"/>
    <s v="Mon"/>
    <s v="CUST-130"/>
    <s v="PROD-019"/>
    <s v="Corporate"/>
    <s v="South"/>
    <x v="4"/>
    <x v="1"/>
    <n v="2"/>
    <n v="120"/>
    <n v="240"/>
    <n v="24"/>
    <s v="Standard Order"/>
    <s v="Weekday"/>
  </r>
  <r>
    <s v="ORD-2437"/>
    <d v="2024-08-30T00:00:00"/>
    <n v="2024"/>
    <s v="Aug"/>
    <s v="Fri"/>
    <s v="CUST-190"/>
    <s v="PROD-013"/>
    <s v="Corporate"/>
    <s v="North"/>
    <x v="4"/>
    <x v="1"/>
    <n v="2"/>
    <n v="120"/>
    <n v="240"/>
    <n v="24"/>
    <s v="Standard Order"/>
    <s v="Weekday"/>
  </r>
  <r>
    <s v="ORD-2438"/>
    <d v="2024-10-29T00:00:00"/>
    <n v="2024"/>
    <s v="Oct"/>
    <s v="Tue"/>
    <s v="CUST-142"/>
    <s v="PROD-004"/>
    <s v="Corporate"/>
    <s v="North"/>
    <x v="0"/>
    <x v="4"/>
    <n v="15"/>
    <n v="120"/>
    <n v="1800"/>
    <n v="180"/>
    <s v="Large Order"/>
    <s v="Weekday"/>
  </r>
  <r>
    <s v="ORD-2439"/>
    <d v="2024-03-14T00:00:00"/>
    <n v="2024"/>
    <s v="Mar"/>
    <s v="Thu"/>
    <s v="CUST-152"/>
    <s v="PROD-021"/>
    <s v="Consumer"/>
    <s v="East"/>
    <x v="0"/>
    <x v="1"/>
    <n v="9"/>
    <n v="120"/>
    <n v="1080"/>
    <n v="108"/>
    <s v="Large Order"/>
    <s v="Weekday"/>
  </r>
  <r>
    <s v="ORD-2440"/>
    <d v="2024-12-20T00:00:00"/>
    <n v="2024"/>
    <s v="Dec"/>
    <s v="Fri"/>
    <s v="CUST-150"/>
    <s v="PROD-021"/>
    <s v="Consumer"/>
    <s v="Central"/>
    <x v="3"/>
    <x v="4"/>
    <n v="13"/>
    <n v="120"/>
    <n v="1560"/>
    <n v="156"/>
    <s v="Large Order"/>
    <s v="Weekday"/>
  </r>
  <r>
    <s v="ORD-2441"/>
    <d v="2024-11-16T00:00:00"/>
    <n v="2024"/>
    <s v="Nov"/>
    <s v="Sat"/>
    <s v="CUST-191"/>
    <s v="PROD-025"/>
    <s v="Corporate"/>
    <s v="North"/>
    <x v="5"/>
    <x v="0"/>
    <n v="20"/>
    <n v="120"/>
    <n v="2400"/>
    <n v="240"/>
    <s v="Large Order"/>
    <s v="Weekend"/>
  </r>
  <r>
    <s v="ORD-2442"/>
    <d v="2024-11-19T00:00:00"/>
    <n v="2024"/>
    <s v="Nov"/>
    <s v="Tue"/>
    <s v="CUST-187"/>
    <s v="PROD-010"/>
    <s v="Consumer"/>
    <s v="East"/>
    <x v="0"/>
    <x v="1"/>
    <n v="4"/>
    <n v="120"/>
    <n v="480"/>
    <n v="48"/>
    <s v="Standard Order"/>
    <s v="Weekday"/>
  </r>
  <r>
    <s v="ORD-2443"/>
    <d v="2024-12-26T00:00:00"/>
    <n v="2024"/>
    <s v="Dec"/>
    <s v="Thu"/>
    <s v="CUST-112"/>
    <s v="PROD-015"/>
    <s v="Consumer"/>
    <s v="West"/>
    <x v="3"/>
    <x v="0"/>
    <n v="2"/>
    <n v="120"/>
    <n v="240"/>
    <n v="24"/>
    <s v="Standard Order"/>
    <s v="Weekday"/>
  </r>
  <r>
    <s v="ORD-2444"/>
    <d v="2024-01-29T00:00:00"/>
    <n v="2024"/>
    <s v="Jan"/>
    <s v="Mon"/>
    <s v="CUST-137"/>
    <s v="PROD-012"/>
    <s v="Corporate"/>
    <s v="South"/>
    <x v="2"/>
    <x v="2"/>
    <n v="8"/>
    <n v="120"/>
    <n v="960"/>
    <n v="96"/>
    <s v="Large Order"/>
    <s v="Weekday"/>
  </r>
  <r>
    <s v="ORD-2445"/>
    <d v="2024-10-16T00:00:00"/>
    <n v="2024"/>
    <s v="Oct"/>
    <s v="Wed"/>
    <s v="CUST-187"/>
    <s v="PROD-006"/>
    <s v="Consumer"/>
    <s v="Central"/>
    <x v="4"/>
    <x v="0"/>
    <n v="20"/>
    <n v="120"/>
    <n v="2400"/>
    <n v="240"/>
    <s v="Large Order"/>
    <s v="Weekday"/>
  </r>
  <r>
    <s v="ORD-2446"/>
    <d v="2024-11-13T00:00:00"/>
    <n v="2024"/>
    <s v="Nov"/>
    <s v="Wed"/>
    <s v="CUST-187"/>
    <s v="PROD-008"/>
    <s v="Corporate"/>
    <s v="North"/>
    <x v="5"/>
    <x v="2"/>
    <n v="8"/>
    <n v="120"/>
    <n v="960"/>
    <n v="96"/>
    <s v="Large Order"/>
    <s v="Weekday"/>
  </r>
  <r>
    <s v="ORD-2447"/>
    <d v="2024-05-10T00:00:00"/>
    <n v="2024"/>
    <s v="May"/>
    <s v="Fri"/>
    <s v="CUST-158"/>
    <s v="PROD-009"/>
    <s v="Home Office"/>
    <s v="Central"/>
    <x v="0"/>
    <x v="1"/>
    <n v="10"/>
    <n v="120"/>
    <n v="1200"/>
    <n v="120"/>
    <s v="Large Order"/>
    <s v="Weekday"/>
  </r>
  <r>
    <s v="ORD-2448"/>
    <d v="2024-03-21T00:00:00"/>
    <n v="2024"/>
    <s v="Mar"/>
    <s v="Thu"/>
    <s v="CUST-109"/>
    <s v="PROD-015"/>
    <s v="Corporate"/>
    <s v="West"/>
    <x v="5"/>
    <x v="3"/>
    <n v="14"/>
    <n v="120"/>
    <n v="1680"/>
    <n v="168"/>
    <s v="Large Order"/>
    <s v="Weekday"/>
  </r>
  <r>
    <s v="ORD-2449"/>
    <d v="2024-08-21T00:00:00"/>
    <n v="2024"/>
    <s v="Aug"/>
    <s v="Wed"/>
    <s v="CUST-138"/>
    <s v="PROD-007"/>
    <s v="Corporate"/>
    <s v="East"/>
    <x v="2"/>
    <x v="0"/>
    <n v="8"/>
    <n v="120"/>
    <n v="960"/>
    <n v="96"/>
    <s v="Large Order"/>
    <s v="Weekday"/>
  </r>
  <r>
    <s v="ORD-2450"/>
    <d v="2024-07-02T00:00:00"/>
    <n v="2024"/>
    <s v="Jul"/>
    <s v="Tue"/>
    <s v="CUST-173"/>
    <s v="PROD-010"/>
    <s v="Home Office"/>
    <s v="North"/>
    <x v="3"/>
    <x v="0"/>
    <n v="13"/>
    <n v="120"/>
    <n v="1560"/>
    <n v="156"/>
    <s v="Large Order"/>
    <s v="Weekday"/>
  </r>
  <r>
    <s v="ORD-2451"/>
    <d v="2024-10-16T00:00:00"/>
    <n v="2024"/>
    <s v="Oct"/>
    <s v="Wed"/>
    <s v="CUST-187"/>
    <s v="PROD-025"/>
    <s v="Home Office"/>
    <s v="East"/>
    <x v="0"/>
    <x v="4"/>
    <n v="16"/>
    <n v="120"/>
    <n v="1920"/>
    <n v="192"/>
    <s v="Large Order"/>
    <s v="Weekday"/>
  </r>
  <r>
    <s v="ORD-2452"/>
    <d v="2024-05-26T00:00:00"/>
    <n v="2024"/>
    <s v="May"/>
    <s v="Sun"/>
    <s v="CUST-199"/>
    <s v="PROD-008"/>
    <s v="Home Office"/>
    <s v="South"/>
    <x v="3"/>
    <x v="2"/>
    <n v="7"/>
    <n v="120"/>
    <n v="840"/>
    <n v="84"/>
    <s v="Large Order"/>
    <s v="Weekend"/>
  </r>
  <r>
    <s v="ORD-2453"/>
    <d v="2024-12-13T00:00:00"/>
    <n v="2024"/>
    <s v="Dec"/>
    <s v="Fri"/>
    <s v="CUST-196"/>
    <s v="PROD-024"/>
    <s v="Home Office"/>
    <s v="South"/>
    <x v="4"/>
    <x v="0"/>
    <n v="2"/>
    <n v="120"/>
    <n v="240"/>
    <n v="24"/>
    <s v="Standard Order"/>
    <s v="Weekday"/>
  </r>
  <r>
    <s v="ORD-2454"/>
    <d v="2024-08-13T00:00:00"/>
    <n v="2024"/>
    <s v="Aug"/>
    <s v="Tue"/>
    <s v="CUST-104"/>
    <s v="PROD-019"/>
    <s v="Corporate"/>
    <s v="Central"/>
    <x v="4"/>
    <x v="0"/>
    <n v="10"/>
    <n v="120"/>
    <n v="1200"/>
    <n v="120"/>
    <s v="Large Order"/>
    <s v="Weekday"/>
  </r>
  <r>
    <s v="ORD-2455"/>
    <d v="2024-07-31T00:00:00"/>
    <n v="2024"/>
    <s v="Jul"/>
    <s v="Wed"/>
    <s v="CUST-122"/>
    <s v="PROD-007"/>
    <s v="Consumer"/>
    <s v="East"/>
    <x v="5"/>
    <x v="3"/>
    <n v="17"/>
    <n v="120"/>
    <n v="2040"/>
    <n v="204"/>
    <s v="Large Order"/>
    <s v="Weekday"/>
  </r>
  <r>
    <s v="ORD-2456"/>
    <d v="2024-05-19T00:00:00"/>
    <n v="2024"/>
    <s v="May"/>
    <s v="Sun"/>
    <s v="CUST-121"/>
    <s v="PROD-009"/>
    <s v="Corporate"/>
    <s v="West"/>
    <x v="3"/>
    <x v="3"/>
    <n v="4"/>
    <n v="120"/>
    <n v="480"/>
    <n v="48"/>
    <s v="Standard Order"/>
    <s v="Weekend"/>
  </r>
  <r>
    <s v="ORD-2457"/>
    <d v="2024-02-08T00:00:00"/>
    <n v="2024"/>
    <s v="Feb"/>
    <s v="Thu"/>
    <s v="CUST-118"/>
    <s v="PROD-025"/>
    <s v="Consumer"/>
    <s v="North"/>
    <x v="2"/>
    <x v="4"/>
    <n v="12"/>
    <n v="120"/>
    <n v="1440"/>
    <n v="144"/>
    <s v="Large Order"/>
    <s v="Weekday"/>
  </r>
  <r>
    <s v="ORD-2458"/>
    <d v="2024-07-21T00:00:00"/>
    <n v="2024"/>
    <s v="Jul"/>
    <s v="Sun"/>
    <s v="CUST-101"/>
    <s v="PROD-009"/>
    <s v="Home Office"/>
    <s v="East"/>
    <x v="0"/>
    <x v="1"/>
    <n v="12"/>
    <n v="120"/>
    <n v="1440"/>
    <n v="144"/>
    <s v="Large Order"/>
    <s v="Weekend"/>
  </r>
  <r>
    <s v="ORD-2459"/>
    <d v="2024-12-10T00:00:00"/>
    <n v="2024"/>
    <s v="Dec"/>
    <s v="Tue"/>
    <s v="CUST-133"/>
    <s v="PROD-019"/>
    <s v="Corporate"/>
    <s v="South"/>
    <x v="3"/>
    <x v="0"/>
    <n v="8"/>
    <n v="120"/>
    <n v="960"/>
    <n v="96"/>
    <s v="Large Order"/>
    <s v="Weekday"/>
  </r>
  <r>
    <s v="ORD-2460"/>
    <d v="2024-11-13T00:00:00"/>
    <n v="2024"/>
    <s v="Nov"/>
    <s v="Wed"/>
    <s v="CUST-171"/>
    <s v="PROD-011"/>
    <s v="Home Office"/>
    <s v="South"/>
    <x v="4"/>
    <x v="0"/>
    <n v="15"/>
    <n v="120"/>
    <n v="1800"/>
    <n v="180"/>
    <s v="Large Order"/>
    <s v="Weekday"/>
  </r>
  <r>
    <s v="ORD-2461"/>
    <d v="2024-06-03T00:00:00"/>
    <n v="2024"/>
    <s v="Jun"/>
    <s v="Mon"/>
    <s v="CUST-183"/>
    <s v="PROD-014"/>
    <s v="Consumer"/>
    <s v="Central"/>
    <x v="4"/>
    <x v="0"/>
    <n v="2"/>
    <n v="120"/>
    <n v="240"/>
    <n v="24"/>
    <s v="Standard Order"/>
    <s v="Weekday"/>
  </r>
  <r>
    <s v="ORD-2462"/>
    <d v="2024-09-09T00:00:00"/>
    <n v="2024"/>
    <s v="Sep"/>
    <s v="Mon"/>
    <s v="CUST-114"/>
    <s v="PROD-004"/>
    <s v="Consumer"/>
    <s v="West"/>
    <x v="5"/>
    <x v="2"/>
    <n v="13"/>
    <n v="120"/>
    <n v="1560"/>
    <n v="156"/>
    <s v="Large Order"/>
    <s v="Weekday"/>
  </r>
  <r>
    <s v="ORD-2463"/>
    <d v="2024-12-09T00:00:00"/>
    <n v="2024"/>
    <s v="Dec"/>
    <s v="Mon"/>
    <s v="CUST-195"/>
    <s v="PROD-023"/>
    <s v="Home Office"/>
    <s v="West"/>
    <x v="2"/>
    <x v="4"/>
    <n v="5"/>
    <n v="120"/>
    <n v="600"/>
    <n v="60"/>
    <s v="Large Order"/>
    <s v="Weekday"/>
  </r>
  <r>
    <s v="ORD-2464"/>
    <d v="2024-12-01T00:00:00"/>
    <n v="2024"/>
    <s v="Dec"/>
    <s v="Sun"/>
    <s v="CUST-112"/>
    <s v="PROD-016"/>
    <s v="Home Office"/>
    <s v="East"/>
    <x v="2"/>
    <x v="3"/>
    <n v="2"/>
    <n v="120"/>
    <n v="240"/>
    <n v="24"/>
    <s v="Standard Order"/>
    <s v="Weekend"/>
  </r>
  <r>
    <s v="ORD-2465"/>
    <d v="2024-04-21T00:00:00"/>
    <n v="2024"/>
    <s v="Apr"/>
    <s v="Sun"/>
    <s v="CUST-156"/>
    <s v="PROD-015"/>
    <s v="Consumer"/>
    <s v="East"/>
    <x v="3"/>
    <x v="0"/>
    <n v="12"/>
    <n v="120"/>
    <n v="1440"/>
    <n v="144"/>
    <s v="Large Order"/>
    <s v="Weekend"/>
  </r>
  <r>
    <s v="ORD-2466"/>
    <d v="2024-11-26T00:00:00"/>
    <n v="2024"/>
    <s v="Nov"/>
    <s v="Tue"/>
    <s v="CUST-145"/>
    <s v="PROD-002"/>
    <s v="Corporate"/>
    <s v="Central"/>
    <x v="3"/>
    <x v="2"/>
    <n v="4"/>
    <n v="120"/>
    <n v="480"/>
    <n v="48"/>
    <s v="Standard Order"/>
    <s v="Weekday"/>
  </r>
  <r>
    <s v="ORD-2467"/>
    <d v="2024-08-20T00:00:00"/>
    <n v="2024"/>
    <s v="Aug"/>
    <s v="Tue"/>
    <s v="CUST-111"/>
    <s v="PROD-022"/>
    <s v="Consumer"/>
    <s v="North"/>
    <x v="5"/>
    <x v="0"/>
    <n v="2"/>
    <n v="120"/>
    <n v="240"/>
    <n v="24"/>
    <s v="Standard Order"/>
    <s v="Weekday"/>
  </r>
  <r>
    <s v="ORD-2468"/>
    <d v="2024-05-04T00:00:00"/>
    <n v="2024"/>
    <s v="May"/>
    <s v="Sat"/>
    <s v="CUST-116"/>
    <s v="PROD-019"/>
    <s v="Consumer"/>
    <s v="Central"/>
    <x v="0"/>
    <x v="4"/>
    <n v="7"/>
    <n v="120"/>
    <n v="840"/>
    <n v="84"/>
    <s v="Large Order"/>
    <s v="Weekend"/>
  </r>
  <r>
    <s v="ORD-2469"/>
    <d v="2024-04-29T00:00:00"/>
    <n v="2024"/>
    <s v="Apr"/>
    <s v="Mon"/>
    <s v="CUST-142"/>
    <s v="PROD-025"/>
    <s v="Consumer"/>
    <s v="South"/>
    <x v="5"/>
    <x v="0"/>
    <n v="9"/>
    <n v="120"/>
    <n v="1080"/>
    <n v="108"/>
    <s v="Large Order"/>
    <s v="Weekday"/>
  </r>
  <r>
    <s v="ORD-2470"/>
    <d v="2024-03-15T00:00:00"/>
    <n v="2024"/>
    <s v="Mar"/>
    <s v="Fri"/>
    <s v="CUST-116"/>
    <s v="PROD-018"/>
    <s v="Corporate"/>
    <s v="East"/>
    <x v="4"/>
    <x v="0"/>
    <n v="1"/>
    <n v="120"/>
    <n v="120"/>
    <n v="12"/>
    <s v="Standard Order"/>
    <s v="Weekday"/>
  </r>
  <r>
    <s v="ORD-2471"/>
    <d v="2024-07-02T00:00:00"/>
    <n v="2024"/>
    <s v="Jul"/>
    <s v="Tue"/>
    <s v="CUST-200"/>
    <s v="PROD-008"/>
    <s v="Home Office"/>
    <s v="North"/>
    <x v="3"/>
    <x v="0"/>
    <n v="6"/>
    <n v="120"/>
    <n v="720"/>
    <n v="72"/>
    <s v="Large Order"/>
    <s v="Weekday"/>
  </r>
  <r>
    <s v="ORD-2472"/>
    <d v="2024-03-05T00:00:00"/>
    <n v="2024"/>
    <s v="Mar"/>
    <s v="Tue"/>
    <s v="CUST-194"/>
    <s v="PROD-014"/>
    <s v="Home Office"/>
    <s v="West"/>
    <x v="0"/>
    <x v="0"/>
    <n v="16"/>
    <n v="120"/>
    <n v="1920"/>
    <n v="192"/>
    <s v="Large Order"/>
    <s v="Weekday"/>
  </r>
  <r>
    <s v="ORD-2473"/>
    <d v="2024-07-04T00:00:00"/>
    <n v="2024"/>
    <s v="Jul"/>
    <s v="Thu"/>
    <s v="CUST-165"/>
    <s v="PROD-019"/>
    <s v="Consumer"/>
    <s v="East"/>
    <x v="2"/>
    <x v="4"/>
    <n v="8"/>
    <n v="120"/>
    <n v="960"/>
    <n v="96"/>
    <s v="Large Order"/>
    <s v="Weekday"/>
  </r>
  <r>
    <s v="ORD-2474"/>
    <d v="2024-01-23T00:00:00"/>
    <n v="2024"/>
    <s v="Jan"/>
    <s v="Tue"/>
    <s v="CUST-193"/>
    <s v="PROD-022"/>
    <s v="Home Office"/>
    <s v="North"/>
    <x v="3"/>
    <x v="1"/>
    <n v="1"/>
    <n v="120"/>
    <n v="120"/>
    <n v="12"/>
    <s v="Standard Order"/>
    <s v="Weekday"/>
  </r>
  <r>
    <s v="ORD-2475"/>
    <d v="2024-09-02T00:00:00"/>
    <n v="2024"/>
    <s v="Sep"/>
    <s v="Mon"/>
    <s v="CUST-151"/>
    <s v="PROD-014"/>
    <s v="Home Office"/>
    <s v="North"/>
    <x v="0"/>
    <x v="1"/>
    <n v="15"/>
    <n v="120"/>
    <n v="1800"/>
    <n v="180"/>
    <s v="Large Order"/>
    <s v="Weekday"/>
  </r>
  <r>
    <s v="ORD-2476"/>
    <d v="2024-02-11T00:00:00"/>
    <n v="2024"/>
    <s v="Feb"/>
    <s v="Sun"/>
    <s v="CUST-141"/>
    <s v="PROD-020"/>
    <s v="Consumer"/>
    <s v="West"/>
    <x v="0"/>
    <x v="2"/>
    <n v="9"/>
    <n v="120"/>
    <n v="1080"/>
    <n v="108"/>
    <s v="Large Order"/>
    <s v="Weekend"/>
  </r>
  <r>
    <s v="ORD-2477"/>
    <d v="2024-10-26T00:00:00"/>
    <n v="2024"/>
    <s v="Oct"/>
    <s v="Sat"/>
    <s v="CUST-170"/>
    <s v="PROD-023"/>
    <s v="Corporate"/>
    <s v="North"/>
    <x v="2"/>
    <x v="4"/>
    <n v="17"/>
    <n v="120"/>
    <n v="2040"/>
    <n v="204"/>
    <s v="Large Order"/>
    <s v="Weekend"/>
  </r>
  <r>
    <s v="ORD-2478"/>
    <d v="2024-09-15T00:00:00"/>
    <n v="2024"/>
    <s v="Sep"/>
    <s v="Sun"/>
    <s v="CUST-177"/>
    <s v="PROD-014"/>
    <s v="Consumer"/>
    <s v="West"/>
    <x v="0"/>
    <x v="4"/>
    <n v="7"/>
    <n v="120"/>
    <n v="840"/>
    <n v="84"/>
    <s v="Large Order"/>
    <s v="Weekend"/>
  </r>
  <r>
    <s v="ORD-2479"/>
    <d v="2024-04-26T00:00:00"/>
    <n v="2024"/>
    <s v="Apr"/>
    <s v="Fri"/>
    <s v="CUST-152"/>
    <s v="PROD-011"/>
    <s v="Corporate"/>
    <s v="South"/>
    <x v="2"/>
    <x v="1"/>
    <n v="4"/>
    <n v="120"/>
    <n v="480"/>
    <n v="48"/>
    <s v="Standard Order"/>
    <s v="Weekday"/>
  </r>
  <r>
    <s v="ORD-2480"/>
    <d v="2024-06-09T00:00:00"/>
    <n v="2024"/>
    <s v="Jun"/>
    <s v="Sun"/>
    <s v="CUST-185"/>
    <s v="PROD-009"/>
    <s v="Corporate"/>
    <s v="East"/>
    <x v="4"/>
    <x v="1"/>
    <n v="3"/>
    <n v="120"/>
    <n v="360"/>
    <n v="36"/>
    <s v="Standard Order"/>
    <s v="Weekend"/>
  </r>
  <r>
    <s v="ORD-2481"/>
    <d v="2024-02-13T00:00:00"/>
    <n v="2024"/>
    <s v="Feb"/>
    <s v="Tue"/>
    <s v="CUST-111"/>
    <s v="PROD-014"/>
    <s v="Consumer"/>
    <s v="North"/>
    <x v="3"/>
    <x v="2"/>
    <n v="18"/>
    <n v="120"/>
    <n v="2160"/>
    <n v="216"/>
    <s v="Large Order"/>
    <s v="Weekday"/>
  </r>
  <r>
    <s v="ORD-2482"/>
    <d v="2024-10-14T00:00:00"/>
    <n v="2024"/>
    <s v="Oct"/>
    <s v="Mon"/>
    <s v="CUST-171"/>
    <s v="PROD-011"/>
    <s v="Home Office"/>
    <s v="Central"/>
    <x v="0"/>
    <x v="1"/>
    <n v="12"/>
    <n v="120"/>
    <n v="1440"/>
    <n v="144"/>
    <s v="Large Order"/>
    <s v="Weekday"/>
  </r>
  <r>
    <s v="ORD-2483"/>
    <d v="2024-08-04T00:00:00"/>
    <n v="2024"/>
    <s v="Aug"/>
    <s v="Sun"/>
    <s v="CUST-192"/>
    <s v="PROD-002"/>
    <s v="Corporate"/>
    <s v="West"/>
    <x v="5"/>
    <x v="3"/>
    <n v="12"/>
    <n v="120"/>
    <n v="1440"/>
    <n v="144"/>
    <s v="Large Order"/>
    <s v="Weekend"/>
  </r>
  <r>
    <s v="ORD-2484"/>
    <d v="2024-09-16T00:00:00"/>
    <n v="2024"/>
    <s v="Sep"/>
    <s v="Mon"/>
    <s v="CUST-127"/>
    <s v="PROD-005"/>
    <s v="Home Office"/>
    <s v="Central"/>
    <x v="2"/>
    <x v="2"/>
    <n v="4"/>
    <n v="120"/>
    <n v="480"/>
    <n v="48"/>
    <s v="Standard Order"/>
    <s v="Weekday"/>
  </r>
  <r>
    <s v="ORD-2485"/>
    <d v="2024-10-11T00:00:00"/>
    <n v="2024"/>
    <s v="Oct"/>
    <s v="Fri"/>
    <s v="CUST-147"/>
    <s v="PROD-004"/>
    <s v="Corporate"/>
    <s v="Central"/>
    <x v="5"/>
    <x v="2"/>
    <n v="14"/>
    <n v="120"/>
    <n v="1680"/>
    <n v="168"/>
    <s v="Large Order"/>
    <s v="Weekday"/>
  </r>
  <r>
    <s v="ORD-2486"/>
    <d v="2024-11-14T00:00:00"/>
    <n v="2024"/>
    <s v="Nov"/>
    <s v="Thu"/>
    <s v="CUST-178"/>
    <s v="PROD-022"/>
    <s v="Home Office"/>
    <s v="East"/>
    <x v="5"/>
    <x v="0"/>
    <n v="20"/>
    <n v="120"/>
    <n v="2400"/>
    <n v="240"/>
    <s v="Large Order"/>
    <s v="Weekday"/>
  </r>
  <r>
    <s v="ORD-2487"/>
    <d v="2024-12-21T00:00:00"/>
    <n v="2024"/>
    <s v="Dec"/>
    <s v="Sat"/>
    <s v="CUST-134"/>
    <s v="PROD-001"/>
    <s v="Consumer"/>
    <s v="West"/>
    <x v="3"/>
    <x v="3"/>
    <n v="11"/>
    <n v="120"/>
    <n v="1320"/>
    <n v="132"/>
    <s v="Large Order"/>
    <s v="Weekend"/>
  </r>
  <r>
    <s v="ORD-2488"/>
    <d v="2024-04-02T00:00:00"/>
    <n v="2024"/>
    <s v="Apr"/>
    <s v="Tue"/>
    <s v="CUST-118"/>
    <s v="PROD-019"/>
    <s v="Home Office"/>
    <s v="South"/>
    <x v="2"/>
    <x v="0"/>
    <n v="5"/>
    <n v="120"/>
    <n v="600"/>
    <n v="60"/>
    <s v="Large Order"/>
    <s v="Weekday"/>
  </r>
  <r>
    <s v="ORD-2489"/>
    <d v="2024-01-16T00:00:00"/>
    <n v="2024"/>
    <s v="Jan"/>
    <s v="Tue"/>
    <s v="CUST-111"/>
    <s v="PROD-024"/>
    <s v="Home Office"/>
    <s v="East"/>
    <x v="4"/>
    <x v="1"/>
    <n v="14"/>
    <n v="120"/>
    <n v="1680"/>
    <n v="168"/>
    <s v="Large Order"/>
    <s v="Weekday"/>
  </r>
  <r>
    <s v="ORD-2490"/>
    <d v="2024-03-21T00:00:00"/>
    <n v="2024"/>
    <s v="Mar"/>
    <s v="Thu"/>
    <s v="CUST-147"/>
    <s v="PROD-010"/>
    <s v="Home Office"/>
    <s v="North"/>
    <x v="3"/>
    <x v="4"/>
    <n v="20"/>
    <n v="120"/>
    <n v="2400"/>
    <n v="240"/>
    <s v="Large Order"/>
    <s v="Weekday"/>
  </r>
  <r>
    <s v="ORD-2491"/>
    <d v="2024-01-27T00:00:00"/>
    <n v="2024"/>
    <s v="Jan"/>
    <s v="Sat"/>
    <s v="CUST-119"/>
    <s v="PROD-006"/>
    <s v="Home Office"/>
    <s v="West"/>
    <x v="0"/>
    <x v="0"/>
    <n v="9"/>
    <n v="120"/>
    <n v="1080"/>
    <n v="108"/>
    <s v="Large Order"/>
    <s v="Weekend"/>
  </r>
  <r>
    <s v="ORD-2492"/>
    <d v="2024-08-05T00:00:00"/>
    <n v="2024"/>
    <s v="Aug"/>
    <s v="Mon"/>
    <s v="CUST-162"/>
    <s v="PROD-020"/>
    <s v="Corporate"/>
    <s v="East"/>
    <x v="2"/>
    <x v="3"/>
    <n v="7"/>
    <n v="120"/>
    <n v="840"/>
    <n v="84"/>
    <s v="Large Order"/>
    <s v="Weekday"/>
  </r>
  <r>
    <s v="ORD-2493"/>
    <d v="2024-02-28T00:00:00"/>
    <n v="2024"/>
    <s v="Feb"/>
    <s v="Wed"/>
    <s v="CUST-144"/>
    <s v="PROD-014"/>
    <s v="Consumer"/>
    <s v="Central"/>
    <x v="3"/>
    <x v="4"/>
    <n v="16"/>
    <n v="120"/>
    <n v="1920"/>
    <n v="192"/>
    <s v="Large Order"/>
    <s v="Weekday"/>
  </r>
  <r>
    <s v="ORD-2494"/>
    <d v="2024-06-06T00:00:00"/>
    <n v="2024"/>
    <s v="Jun"/>
    <s v="Thu"/>
    <s v="CUST-105"/>
    <s v="PROD-008"/>
    <s v="Corporate"/>
    <s v="East"/>
    <x v="5"/>
    <x v="0"/>
    <n v="1"/>
    <n v="120"/>
    <n v="120"/>
    <n v="12"/>
    <s v="Standard Order"/>
    <s v="Weekday"/>
  </r>
  <r>
    <s v="ORD-2495"/>
    <d v="2024-04-18T00:00:00"/>
    <n v="2024"/>
    <s v="Apr"/>
    <s v="Thu"/>
    <s v="CUST-198"/>
    <s v="PROD-005"/>
    <s v="Corporate"/>
    <s v="Central"/>
    <x v="3"/>
    <x v="3"/>
    <n v="4"/>
    <n v="120"/>
    <n v="480"/>
    <n v="48"/>
    <s v="Standard Order"/>
    <s v="Weekday"/>
  </r>
  <r>
    <s v="ORD-2496"/>
    <d v="2024-08-08T00:00:00"/>
    <n v="2024"/>
    <s v="Aug"/>
    <s v="Thu"/>
    <s v="CUST-122"/>
    <s v="PROD-005"/>
    <s v="Corporate"/>
    <s v="North"/>
    <x v="5"/>
    <x v="2"/>
    <n v="17"/>
    <n v="120"/>
    <n v="2040"/>
    <n v="204"/>
    <s v="Large Order"/>
    <s v="Weekday"/>
  </r>
  <r>
    <s v="ORD-2497"/>
    <d v="2024-12-08T00:00:00"/>
    <n v="2024"/>
    <s v="Dec"/>
    <s v="Sun"/>
    <s v="CUST-145"/>
    <s v="PROD-003"/>
    <s v="Corporate"/>
    <s v="Central"/>
    <x v="0"/>
    <x v="1"/>
    <n v="1"/>
    <n v="120"/>
    <n v="120"/>
    <n v="12"/>
    <s v="Standard Order"/>
    <s v="Weekend"/>
  </r>
  <r>
    <s v="ORD-2498"/>
    <d v="2024-02-09T00:00:00"/>
    <n v="2024"/>
    <s v="Feb"/>
    <s v="Fri"/>
    <s v="CUST-140"/>
    <s v="PROD-019"/>
    <s v="Corporate"/>
    <s v="Central"/>
    <x v="5"/>
    <x v="1"/>
    <n v="14"/>
    <n v="120"/>
    <n v="1680"/>
    <n v="168"/>
    <s v="Large Order"/>
    <s v="Weekday"/>
  </r>
  <r>
    <s v="ORD-2499"/>
    <d v="2024-07-26T00:00:00"/>
    <n v="2024"/>
    <s v="Jul"/>
    <s v="Fri"/>
    <s v="CUST-102"/>
    <s v="PROD-011"/>
    <s v="Consumer"/>
    <s v="West"/>
    <x v="5"/>
    <x v="1"/>
    <n v="12"/>
    <n v="120"/>
    <n v="1440"/>
    <n v="144"/>
    <s v="Large Order"/>
    <s v="Weekday"/>
  </r>
  <r>
    <s v="ORD-2500"/>
    <d v="2024-02-24T00:00:00"/>
    <n v="2024"/>
    <s v="Feb"/>
    <s v="Sat"/>
    <s v="CUST-131"/>
    <s v="PROD-014"/>
    <s v="Home Office"/>
    <s v="East"/>
    <x v="2"/>
    <x v="4"/>
    <n v="3"/>
    <n v="120"/>
    <n v="360"/>
    <n v="36"/>
    <s v="Standard Order"/>
    <s v="Weekend"/>
  </r>
  <r>
    <s v="ORD-2501"/>
    <d v="2024-06-07T00:00:00"/>
    <n v="2024"/>
    <s v="Jun"/>
    <s v="Fri"/>
    <s v="CUST-195"/>
    <s v="PROD-011"/>
    <s v="Consumer"/>
    <s v="East"/>
    <x v="3"/>
    <x v="2"/>
    <n v="3"/>
    <n v="120"/>
    <n v="360"/>
    <n v="36"/>
    <s v="Standard Order"/>
    <s v="Weekday"/>
  </r>
  <r>
    <s v="ORD-2502"/>
    <d v="2024-02-28T00:00:00"/>
    <n v="2024"/>
    <s v="Feb"/>
    <s v="Wed"/>
    <s v="CUST-167"/>
    <s v="PROD-017"/>
    <s v="Consumer"/>
    <s v="Central"/>
    <x v="3"/>
    <x v="3"/>
    <n v="5"/>
    <n v="120"/>
    <n v="600"/>
    <n v="60"/>
    <s v="Large Order"/>
    <s v="Weekday"/>
  </r>
  <r>
    <s v="ORD-2503"/>
    <d v="2024-03-15T00:00:00"/>
    <n v="2024"/>
    <s v="Mar"/>
    <s v="Fri"/>
    <s v="CUST-132"/>
    <s v="PROD-007"/>
    <s v="Consumer"/>
    <s v="Central"/>
    <x v="5"/>
    <x v="2"/>
    <n v="3"/>
    <n v="120"/>
    <n v="360"/>
    <n v="36"/>
    <s v="Standard Order"/>
    <s v="Weekday"/>
  </r>
  <r>
    <s v="ORD-2504"/>
    <d v="2024-11-17T00:00:00"/>
    <n v="2024"/>
    <s v="Nov"/>
    <s v="Sun"/>
    <s v="CUST-163"/>
    <s v="PROD-015"/>
    <s v="Home Office"/>
    <s v="South"/>
    <x v="5"/>
    <x v="1"/>
    <n v="19"/>
    <n v="120"/>
    <n v="2280"/>
    <n v="228"/>
    <s v="Large Order"/>
    <s v="Weekend"/>
  </r>
  <r>
    <s v="ORD-2505"/>
    <d v="2024-11-15T00:00:00"/>
    <n v="2024"/>
    <s v="Nov"/>
    <s v="Fri"/>
    <s v="CUST-141"/>
    <s v="PROD-021"/>
    <s v="Corporate"/>
    <s v="North"/>
    <x v="4"/>
    <x v="1"/>
    <n v="3"/>
    <n v="120"/>
    <n v="360"/>
    <n v="36"/>
    <s v="Standard Order"/>
    <s v="Weekday"/>
  </r>
  <r>
    <s v="ORD-2506"/>
    <d v="2024-11-19T00:00:00"/>
    <n v="2024"/>
    <s v="Nov"/>
    <s v="Tue"/>
    <s v="CUST-138"/>
    <s v="PROD-009"/>
    <s v="Home Office"/>
    <s v="East"/>
    <x v="0"/>
    <x v="3"/>
    <n v="17"/>
    <n v="120"/>
    <n v="2040"/>
    <n v="204"/>
    <s v="Large Order"/>
    <s v="Weekday"/>
  </r>
  <r>
    <s v="ORD-2507"/>
    <d v="2024-08-24T00:00:00"/>
    <n v="2024"/>
    <s v="Aug"/>
    <s v="Sat"/>
    <s v="CUST-157"/>
    <s v="PROD-002"/>
    <s v="Consumer"/>
    <s v="West"/>
    <x v="3"/>
    <x v="3"/>
    <n v="3"/>
    <n v="120"/>
    <n v="360"/>
    <n v="36"/>
    <s v="Standard Order"/>
    <s v="Weekend"/>
  </r>
  <r>
    <s v="ORD-2508"/>
    <d v="2024-02-16T00:00:00"/>
    <n v="2024"/>
    <s v="Feb"/>
    <s v="Fri"/>
    <s v="CUST-178"/>
    <s v="PROD-020"/>
    <s v="Home Office"/>
    <s v="South"/>
    <x v="2"/>
    <x v="1"/>
    <n v="19"/>
    <n v="120"/>
    <n v="2280"/>
    <n v="228"/>
    <s v="Large Order"/>
    <s v="Weekday"/>
  </r>
  <r>
    <s v="ORD-2509"/>
    <d v="2024-01-22T00:00:00"/>
    <n v="2024"/>
    <s v="Jan"/>
    <s v="Mon"/>
    <s v="CUST-157"/>
    <s v="PROD-019"/>
    <s v="Home Office"/>
    <s v="East"/>
    <x v="4"/>
    <x v="3"/>
    <n v="20"/>
    <n v="120"/>
    <n v="2400"/>
    <n v="240"/>
    <s v="Large Order"/>
    <s v="Weekday"/>
  </r>
  <r>
    <s v="ORD-2510"/>
    <d v="2024-03-18T00:00:00"/>
    <n v="2024"/>
    <s v="Mar"/>
    <s v="Mon"/>
    <s v="CUST-107"/>
    <s v="PROD-015"/>
    <s v="Consumer"/>
    <s v="West"/>
    <x v="3"/>
    <x v="0"/>
    <n v="17"/>
    <n v="120"/>
    <n v="2040"/>
    <n v="204"/>
    <s v="Large Order"/>
    <s v="Weekday"/>
  </r>
  <r>
    <s v="ORD-2511"/>
    <d v="2024-01-21T00:00:00"/>
    <n v="2024"/>
    <s v="Jan"/>
    <s v="Sun"/>
    <s v="CUST-131"/>
    <s v="PROD-023"/>
    <s v="Corporate"/>
    <s v="West"/>
    <x v="2"/>
    <x v="4"/>
    <n v="17"/>
    <n v="120"/>
    <n v="2040"/>
    <n v="204"/>
    <s v="Large Order"/>
    <s v="Weekend"/>
  </r>
  <r>
    <s v="ORD-2512"/>
    <d v="2024-07-05T00:00:00"/>
    <n v="2024"/>
    <s v="Jul"/>
    <s v="Fri"/>
    <s v="CUST-147"/>
    <s v="PROD-010"/>
    <s v="Corporate"/>
    <s v="East"/>
    <x v="2"/>
    <x v="3"/>
    <n v="20"/>
    <n v="120"/>
    <n v="2400"/>
    <n v="240"/>
    <s v="Large Order"/>
    <s v="Weekday"/>
  </r>
  <r>
    <s v="ORD-2513"/>
    <d v="2024-11-19T00:00:00"/>
    <n v="2024"/>
    <s v="Nov"/>
    <s v="Tue"/>
    <s v="CUST-182"/>
    <s v="PROD-011"/>
    <s v="Consumer"/>
    <s v="Central"/>
    <x v="3"/>
    <x v="0"/>
    <n v="18"/>
    <n v="120"/>
    <n v="2160"/>
    <n v="216"/>
    <s v="Large Order"/>
    <s v="Weekday"/>
  </r>
  <r>
    <s v="ORD-2514"/>
    <d v="2024-05-25T00:00:00"/>
    <n v="2024"/>
    <s v="May"/>
    <s v="Sat"/>
    <s v="CUST-132"/>
    <s v="PROD-024"/>
    <s v="Home Office"/>
    <s v="West"/>
    <x v="5"/>
    <x v="2"/>
    <n v="11"/>
    <n v="120"/>
    <n v="1320"/>
    <n v="132"/>
    <s v="Large Order"/>
    <s v="Weekend"/>
  </r>
  <r>
    <s v="ORD-2515"/>
    <d v="2024-12-05T00:00:00"/>
    <n v="2024"/>
    <s v="Dec"/>
    <s v="Thu"/>
    <s v="CUST-118"/>
    <s v="PROD-012"/>
    <s v="Corporate"/>
    <s v="East"/>
    <x v="2"/>
    <x v="2"/>
    <n v="20"/>
    <n v="120"/>
    <n v="2400"/>
    <n v="240"/>
    <s v="Large Order"/>
    <s v="Weekday"/>
  </r>
  <r>
    <s v="ORD-2516"/>
    <d v="2024-02-13T00:00:00"/>
    <n v="2024"/>
    <s v="Feb"/>
    <s v="Tue"/>
    <s v="CUST-139"/>
    <s v="PROD-018"/>
    <s v="Corporate"/>
    <s v="North"/>
    <x v="3"/>
    <x v="2"/>
    <n v="17"/>
    <n v="120"/>
    <n v="2040"/>
    <n v="204"/>
    <s v="Large Order"/>
    <s v="Weekday"/>
  </r>
  <r>
    <s v="ORD-2517"/>
    <d v="2024-12-09T00:00:00"/>
    <n v="2024"/>
    <s v="Dec"/>
    <s v="Mon"/>
    <s v="CUST-154"/>
    <s v="PROD-017"/>
    <s v="Corporate"/>
    <s v="South"/>
    <x v="0"/>
    <x v="3"/>
    <n v="10"/>
    <n v="120"/>
    <n v="1200"/>
    <n v="120"/>
    <s v="Large Order"/>
    <s v="Weekday"/>
  </r>
  <r>
    <s v="ORD-2518"/>
    <d v="2024-04-19T00:00:00"/>
    <n v="2024"/>
    <s v="Apr"/>
    <s v="Fri"/>
    <s v="CUST-143"/>
    <s v="PROD-025"/>
    <s v="Corporate"/>
    <s v="Central"/>
    <x v="4"/>
    <x v="2"/>
    <n v="5"/>
    <n v="120"/>
    <n v="600"/>
    <n v="60"/>
    <s v="Large Order"/>
    <s v="Weekday"/>
  </r>
  <r>
    <s v="ORD-2519"/>
    <d v="2024-05-31T00:00:00"/>
    <n v="2024"/>
    <s v="May"/>
    <s v="Fri"/>
    <s v="CUST-200"/>
    <s v="PROD-004"/>
    <s v="Home Office"/>
    <s v="South"/>
    <x v="5"/>
    <x v="4"/>
    <n v="2"/>
    <n v="120"/>
    <n v="240"/>
    <n v="24"/>
    <s v="Standard Order"/>
    <s v="Weekday"/>
  </r>
  <r>
    <s v="ORD-2520"/>
    <d v="2024-11-12T00:00:00"/>
    <n v="2024"/>
    <s v="Nov"/>
    <s v="Tue"/>
    <s v="CUST-116"/>
    <s v="PROD-020"/>
    <s v="Corporate"/>
    <s v="North"/>
    <x v="4"/>
    <x v="2"/>
    <n v="6"/>
    <n v="120"/>
    <n v="720"/>
    <n v="72"/>
    <s v="Large Order"/>
    <s v="Weekday"/>
  </r>
  <r>
    <s v="ORD-2521"/>
    <d v="2024-11-15T00:00:00"/>
    <n v="2024"/>
    <s v="Nov"/>
    <s v="Fri"/>
    <s v="CUST-121"/>
    <s v="PROD-024"/>
    <s v="Corporate"/>
    <s v="West"/>
    <x v="0"/>
    <x v="1"/>
    <n v="12"/>
    <n v="120"/>
    <n v="1440"/>
    <n v="144"/>
    <s v="Large Order"/>
    <s v="Weekday"/>
  </r>
  <r>
    <s v="ORD-2522"/>
    <d v="2024-05-01T00:00:00"/>
    <n v="2024"/>
    <s v="May"/>
    <s v="Wed"/>
    <s v="CUST-156"/>
    <s v="PROD-020"/>
    <s v="Corporate"/>
    <s v="Central"/>
    <x v="2"/>
    <x v="2"/>
    <n v="18"/>
    <n v="120"/>
    <n v="2160"/>
    <n v="216"/>
    <s v="Large Order"/>
    <s v="Weekday"/>
  </r>
  <r>
    <s v="ORD-2523"/>
    <d v="2024-08-28T00:00:00"/>
    <n v="2024"/>
    <s v="Aug"/>
    <s v="Wed"/>
    <s v="CUST-124"/>
    <s v="PROD-012"/>
    <s v="Home Office"/>
    <s v="South"/>
    <x v="5"/>
    <x v="1"/>
    <n v="15"/>
    <n v="120"/>
    <n v="1800"/>
    <n v="180"/>
    <s v="Large Order"/>
    <s v="Weekday"/>
  </r>
  <r>
    <s v="ORD-2524"/>
    <d v="2024-07-14T00:00:00"/>
    <n v="2024"/>
    <s v="Jul"/>
    <s v="Sun"/>
    <s v="CUST-164"/>
    <s v="PROD-017"/>
    <s v="Corporate"/>
    <s v="East"/>
    <x v="4"/>
    <x v="2"/>
    <n v="20"/>
    <n v="120"/>
    <n v="2400"/>
    <n v="240"/>
    <s v="Large Order"/>
    <s v="Weekend"/>
  </r>
  <r>
    <s v="ORD-2525"/>
    <d v="2024-05-08T00:00:00"/>
    <n v="2024"/>
    <s v="May"/>
    <s v="Wed"/>
    <s v="CUST-106"/>
    <s v="PROD-021"/>
    <s v="Corporate"/>
    <s v="South"/>
    <x v="3"/>
    <x v="4"/>
    <n v="4"/>
    <n v="120"/>
    <n v="480"/>
    <n v="48"/>
    <s v="Standard Order"/>
    <s v="Weekday"/>
  </r>
  <r>
    <s v="ORD-2526"/>
    <d v="2024-09-21T00:00:00"/>
    <n v="2024"/>
    <s v="Sep"/>
    <s v="Sat"/>
    <s v="CUST-115"/>
    <s v="PROD-010"/>
    <s v="Consumer"/>
    <s v="West"/>
    <x v="4"/>
    <x v="3"/>
    <n v="15"/>
    <n v="120"/>
    <n v="1800"/>
    <n v="180"/>
    <s v="Large Order"/>
    <s v="Weekend"/>
  </r>
  <r>
    <s v="ORD-2527"/>
    <d v="2024-03-16T00:00:00"/>
    <n v="2024"/>
    <s v="Mar"/>
    <s v="Sat"/>
    <s v="CUST-155"/>
    <s v="PROD-003"/>
    <s v="Consumer"/>
    <s v="West"/>
    <x v="2"/>
    <x v="3"/>
    <n v="1"/>
    <n v="120"/>
    <n v="120"/>
    <n v="12"/>
    <s v="Standard Order"/>
    <s v="Weekend"/>
  </r>
  <r>
    <s v="ORD-2528"/>
    <d v="2024-07-21T00:00:00"/>
    <n v="2024"/>
    <s v="Jul"/>
    <s v="Sun"/>
    <s v="CUST-164"/>
    <s v="PROD-012"/>
    <s v="Consumer"/>
    <s v="East"/>
    <x v="2"/>
    <x v="0"/>
    <n v="12"/>
    <n v="120"/>
    <n v="1440"/>
    <n v="144"/>
    <s v="Large Order"/>
    <s v="Weekend"/>
  </r>
  <r>
    <s v="ORD-2529"/>
    <d v="2024-06-12T00:00:00"/>
    <n v="2024"/>
    <s v="Jun"/>
    <s v="Wed"/>
    <s v="CUST-112"/>
    <s v="PROD-023"/>
    <s v="Home Office"/>
    <s v="West"/>
    <x v="3"/>
    <x v="2"/>
    <n v="5"/>
    <n v="120"/>
    <n v="600"/>
    <n v="60"/>
    <s v="Large Order"/>
    <s v="Weekday"/>
  </r>
  <r>
    <s v="ORD-2530"/>
    <d v="2024-08-29T00:00:00"/>
    <n v="2024"/>
    <s v="Aug"/>
    <s v="Thu"/>
    <s v="CUST-189"/>
    <s v="PROD-005"/>
    <s v="Home Office"/>
    <s v="South"/>
    <x v="2"/>
    <x v="1"/>
    <n v="20"/>
    <n v="120"/>
    <n v="2400"/>
    <n v="240"/>
    <s v="Large Order"/>
    <s v="Weekday"/>
  </r>
  <r>
    <s v="ORD-2531"/>
    <d v="2024-02-10T00:00:00"/>
    <n v="2024"/>
    <s v="Feb"/>
    <s v="Sat"/>
    <s v="CUST-102"/>
    <s v="PROD-009"/>
    <s v="Consumer"/>
    <s v="East"/>
    <x v="4"/>
    <x v="4"/>
    <n v="20"/>
    <n v="120"/>
    <n v="2400"/>
    <n v="240"/>
    <s v="Large Order"/>
    <s v="Weekend"/>
  </r>
  <r>
    <s v="ORD-2532"/>
    <d v="2024-02-26T00:00:00"/>
    <n v="2024"/>
    <s v="Feb"/>
    <s v="Mon"/>
    <s v="CUST-199"/>
    <s v="PROD-010"/>
    <s v="Consumer"/>
    <s v="North"/>
    <x v="3"/>
    <x v="0"/>
    <n v="2"/>
    <n v="120"/>
    <n v="240"/>
    <n v="24"/>
    <s v="Standard Order"/>
    <s v="Weekday"/>
  </r>
  <r>
    <s v="ORD-2533"/>
    <d v="2024-11-23T00:00:00"/>
    <n v="2024"/>
    <s v="Nov"/>
    <s v="Sat"/>
    <s v="CUST-179"/>
    <s v="PROD-015"/>
    <s v="Consumer"/>
    <s v="South"/>
    <x v="0"/>
    <x v="1"/>
    <n v="20"/>
    <n v="120"/>
    <n v="2400"/>
    <n v="240"/>
    <s v="Large Order"/>
    <s v="Weekend"/>
  </r>
  <r>
    <s v="ORD-2534"/>
    <d v="2024-11-19T00:00:00"/>
    <n v="2024"/>
    <s v="Nov"/>
    <s v="Tue"/>
    <s v="CUST-165"/>
    <s v="PROD-019"/>
    <s v="Consumer"/>
    <s v="South"/>
    <x v="4"/>
    <x v="3"/>
    <n v="14"/>
    <n v="120"/>
    <n v="1680"/>
    <n v="168"/>
    <s v="Large Order"/>
    <s v="Weekday"/>
  </r>
  <r>
    <s v="ORD-2535"/>
    <d v="2024-06-29T00:00:00"/>
    <n v="2024"/>
    <s v="Jun"/>
    <s v="Sat"/>
    <s v="CUST-130"/>
    <s v="PROD-019"/>
    <s v="Corporate"/>
    <s v="Central"/>
    <x v="4"/>
    <x v="0"/>
    <n v="17"/>
    <n v="120"/>
    <n v="2040"/>
    <n v="204"/>
    <s v="Large Order"/>
    <s v="Weekend"/>
  </r>
  <r>
    <s v="ORD-2536"/>
    <d v="2024-02-04T00:00:00"/>
    <n v="2024"/>
    <s v="Feb"/>
    <s v="Sun"/>
    <s v="CUST-167"/>
    <s v="PROD-018"/>
    <s v="Home Office"/>
    <s v="East"/>
    <x v="5"/>
    <x v="4"/>
    <n v="1"/>
    <n v="120"/>
    <n v="120"/>
    <n v="12"/>
    <s v="Standard Order"/>
    <s v="Weekend"/>
  </r>
  <r>
    <s v="ORD-2537"/>
    <d v="2024-08-28T00:00:00"/>
    <n v="2024"/>
    <s v="Aug"/>
    <s v="Wed"/>
    <s v="CUST-105"/>
    <s v="PROD-021"/>
    <s v="Corporate"/>
    <s v="North"/>
    <x v="3"/>
    <x v="3"/>
    <n v="1"/>
    <n v="120"/>
    <n v="120"/>
    <n v="12"/>
    <s v="Standard Order"/>
    <s v="Weekday"/>
  </r>
  <r>
    <s v="ORD-2538"/>
    <d v="2024-02-04T00:00:00"/>
    <n v="2024"/>
    <s v="Feb"/>
    <s v="Sun"/>
    <s v="CUST-144"/>
    <s v="PROD-008"/>
    <s v="Home Office"/>
    <s v="South"/>
    <x v="0"/>
    <x v="4"/>
    <n v="11"/>
    <n v="120"/>
    <n v="1320"/>
    <n v="132"/>
    <s v="Large Order"/>
    <s v="Weekend"/>
  </r>
  <r>
    <s v="ORD-2539"/>
    <d v="2024-06-29T00:00:00"/>
    <n v="2024"/>
    <s v="Jun"/>
    <s v="Sat"/>
    <s v="CUST-169"/>
    <s v="PROD-011"/>
    <s v="Home Office"/>
    <s v="North"/>
    <x v="4"/>
    <x v="1"/>
    <n v="16"/>
    <n v="120"/>
    <n v="1920"/>
    <n v="192"/>
    <s v="Large Order"/>
    <s v="Weekend"/>
  </r>
  <r>
    <s v="ORD-2540"/>
    <d v="2024-03-10T00:00:00"/>
    <n v="2024"/>
    <s v="Mar"/>
    <s v="Sun"/>
    <s v="CUST-108"/>
    <s v="PROD-023"/>
    <s v="Corporate"/>
    <s v="Central"/>
    <x v="0"/>
    <x v="3"/>
    <n v="7"/>
    <n v="120"/>
    <n v="840"/>
    <n v="84"/>
    <s v="Large Order"/>
    <s v="Weekend"/>
  </r>
  <r>
    <s v="ORD-2541"/>
    <d v="2024-04-12T00:00:00"/>
    <n v="2024"/>
    <s v="Apr"/>
    <s v="Fri"/>
    <s v="CUST-105"/>
    <s v="PROD-011"/>
    <s v="Corporate"/>
    <s v="East"/>
    <x v="5"/>
    <x v="1"/>
    <n v="18"/>
    <n v="120"/>
    <n v="2160"/>
    <n v="216"/>
    <s v="Large Order"/>
    <s v="Weekday"/>
  </r>
  <r>
    <s v="ORD-2542"/>
    <d v="2024-01-19T00:00:00"/>
    <n v="2024"/>
    <s v="Jan"/>
    <s v="Fri"/>
    <s v="CUST-196"/>
    <s v="PROD-021"/>
    <s v="Consumer"/>
    <s v="West"/>
    <x v="3"/>
    <x v="3"/>
    <n v="2"/>
    <n v="120"/>
    <n v="240"/>
    <n v="24"/>
    <s v="Standard Order"/>
    <s v="Weekday"/>
  </r>
  <r>
    <s v="ORD-2543"/>
    <d v="2024-06-18T00:00:00"/>
    <n v="2024"/>
    <s v="Jun"/>
    <s v="Tue"/>
    <s v="CUST-134"/>
    <s v="PROD-004"/>
    <s v="Corporate"/>
    <s v="West"/>
    <x v="2"/>
    <x v="1"/>
    <n v="15"/>
    <n v="120"/>
    <n v="1800"/>
    <n v="180"/>
    <s v="Large Order"/>
    <s v="Weekday"/>
  </r>
  <r>
    <s v="ORD-2544"/>
    <d v="2024-07-16T00:00:00"/>
    <n v="2024"/>
    <s v="Jul"/>
    <s v="Tue"/>
    <s v="CUST-143"/>
    <s v="PROD-006"/>
    <s v="Corporate"/>
    <s v="West"/>
    <x v="2"/>
    <x v="3"/>
    <n v="17"/>
    <n v="120"/>
    <n v="2040"/>
    <n v="204"/>
    <s v="Large Order"/>
    <s v="Weekday"/>
  </r>
  <r>
    <s v="ORD-2545"/>
    <d v="2024-02-12T00:00:00"/>
    <n v="2024"/>
    <s v="Feb"/>
    <s v="Mon"/>
    <s v="CUST-193"/>
    <s v="PROD-014"/>
    <s v="Consumer"/>
    <s v="East"/>
    <x v="2"/>
    <x v="4"/>
    <n v="6"/>
    <n v="120"/>
    <n v="720"/>
    <n v="72"/>
    <s v="Large Order"/>
    <s v="Weekday"/>
  </r>
  <r>
    <s v="ORD-2546"/>
    <d v="2024-06-13T00:00:00"/>
    <n v="2024"/>
    <s v="Jun"/>
    <s v="Thu"/>
    <s v="CUST-113"/>
    <s v="PROD-003"/>
    <s v="Corporate"/>
    <s v="East"/>
    <x v="3"/>
    <x v="3"/>
    <n v="15"/>
    <n v="120"/>
    <n v="1800"/>
    <n v="180"/>
    <s v="Large Order"/>
    <s v="Weekday"/>
  </r>
  <r>
    <s v="ORD-2547"/>
    <d v="2024-08-06T00:00:00"/>
    <n v="2024"/>
    <s v="Aug"/>
    <s v="Tue"/>
    <s v="CUST-121"/>
    <s v="PROD-023"/>
    <s v="Corporate"/>
    <s v="North"/>
    <x v="3"/>
    <x v="1"/>
    <n v="2"/>
    <n v="120"/>
    <n v="240"/>
    <n v="24"/>
    <s v="Standard Order"/>
    <s v="Weekday"/>
  </r>
  <r>
    <s v="ORD-2548"/>
    <d v="2024-06-29T00:00:00"/>
    <n v="2024"/>
    <s v="Jun"/>
    <s v="Sat"/>
    <s v="CUST-178"/>
    <s v="PROD-014"/>
    <s v="Corporate"/>
    <s v="Central"/>
    <x v="0"/>
    <x v="0"/>
    <n v="13"/>
    <n v="120"/>
    <n v="1560"/>
    <n v="156"/>
    <s v="Large Order"/>
    <s v="Weekend"/>
  </r>
  <r>
    <s v="ORD-2549"/>
    <d v="2024-12-13T00:00:00"/>
    <n v="2024"/>
    <s v="Dec"/>
    <s v="Fri"/>
    <s v="CUST-120"/>
    <s v="PROD-001"/>
    <s v="Consumer"/>
    <s v="East"/>
    <x v="5"/>
    <x v="1"/>
    <n v="2"/>
    <n v="120"/>
    <n v="240"/>
    <n v="24"/>
    <s v="Standard Order"/>
    <s v="Weekday"/>
  </r>
  <r>
    <s v="ORD-2550"/>
    <d v="2024-04-30T00:00:00"/>
    <n v="2024"/>
    <s v="Apr"/>
    <s v="Tue"/>
    <s v="CUST-199"/>
    <s v="PROD-021"/>
    <s v="Corporate"/>
    <s v="East"/>
    <x v="3"/>
    <x v="1"/>
    <n v="19"/>
    <n v="120"/>
    <n v="2280"/>
    <n v="228"/>
    <s v="Large Order"/>
    <s v="Weekday"/>
  </r>
  <r>
    <s v="ORD-2551"/>
    <d v="2024-03-19T00:00:00"/>
    <n v="2024"/>
    <s v="Mar"/>
    <s v="Tue"/>
    <s v="CUST-186"/>
    <s v="PROD-015"/>
    <s v="Corporate"/>
    <s v="East"/>
    <x v="3"/>
    <x v="1"/>
    <n v="3"/>
    <n v="120"/>
    <n v="360"/>
    <n v="36"/>
    <s v="Standard Order"/>
    <s v="Weekday"/>
  </r>
  <r>
    <s v="ORD-2552"/>
    <d v="2024-09-28T00:00:00"/>
    <n v="2024"/>
    <s v="Sep"/>
    <s v="Sat"/>
    <s v="CUST-146"/>
    <s v="PROD-013"/>
    <s v="Corporate"/>
    <s v="Central"/>
    <x v="3"/>
    <x v="2"/>
    <n v="4"/>
    <n v="120"/>
    <n v="480"/>
    <n v="48"/>
    <s v="Standard Order"/>
    <s v="Weekend"/>
  </r>
  <r>
    <s v="ORD-2553"/>
    <d v="2024-04-05T00:00:00"/>
    <n v="2024"/>
    <s v="Apr"/>
    <s v="Fri"/>
    <s v="CUST-163"/>
    <s v="PROD-017"/>
    <s v="Corporate"/>
    <s v="East"/>
    <x v="5"/>
    <x v="0"/>
    <n v="9"/>
    <n v="120"/>
    <n v="1080"/>
    <n v="108"/>
    <s v="Large Order"/>
    <s v="Weekday"/>
  </r>
  <r>
    <s v="ORD-2554"/>
    <d v="2024-12-26T00:00:00"/>
    <n v="2024"/>
    <s v="Dec"/>
    <s v="Thu"/>
    <s v="CUST-157"/>
    <s v="PROD-007"/>
    <s v="Home Office"/>
    <s v="West"/>
    <x v="3"/>
    <x v="1"/>
    <n v="7"/>
    <n v="120"/>
    <n v="840"/>
    <n v="84"/>
    <s v="Large Order"/>
    <s v="Weekday"/>
  </r>
  <r>
    <s v="ORD-2555"/>
    <d v="2024-02-07T00:00:00"/>
    <n v="2024"/>
    <s v="Feb"/>
    <s v="Wed"/>
    <s v="CUST-157"/>
    <s v="PROD-006"/>
    <s v="Home Office"/>
    <s v="East"/>
    <x v="2"/>
    <x v="0"/>
    <n v="11"/>
    <n v="120"/>
    <n v="1320"/>
    <n v="132"/>
    <s v="Large Order"/>
    <s v="Weekday"/>
  </r>
  <r>
    <s v="ORD-2556"/>
    <d v="2024-12-29T00:00:00"/>
    <n v="2024"/>
    <s v="Dec"/>
    <s v="Sun"/>
    <s v="CUST-108"/>
    <s v="PROD-018"/>
    <s v="Home Office"/>
    <s v="Central"/>
    <x v="3"/>
    <x v="3"/>
    <n v="6"/>
    <n v="120"/>
    <n v="720"/>
    <n v="72"/>
    <s v="Large Order"/>
    <s v="Weekend"/>
  </r>
  <r>
    <s v="ORD-2557"/>
    <d v="2024-12-24T00:00:00"/>
    <n v="2024"/>
    <s v="Dec"/>
    <s v="Tue"/>
    <s v="CUST-181"/>
    <s v="PROD-006"/>
    <s v="Corporate"/>
    <s v="East"/>
    <x v="5"/>
    <x v="2"/>
    <n v="4"/>
    <n v="120"/>
    <n v="480"/>
    <n v="48"/>
    <s v="Standard Order"/>
    <s v="Weekday"/>
  </r>
  <r>
    <s v="ORD-2558"/>
    <d v="2024-03-12T00:00:00"/>
    <n v="2024"/>
    <s v="Mar"/>
    <s v="Tue"/>
    <s v="CUST-130"/>
    <s v="PROD-016"/>
    <s v="Consumer"/>
    <s v="North"/>
    <x v="3"/>
    <x v="4"/>
    <n v="19"/>
    <n v="120"/>
    <n v="2280"/>
    <n v="228"/>
    <s v="Large Order"/>
    <s v="Weekday"/>
  </r>
  <r>
    <s v="ORD-2559"/>
    <d v="2024-10-09T00:00:00"/>
    <n v="2024"/>
    <s v="Oct"/>
    <s v="Wed"/>
    <s v="CUST-116"/>
    <s v="PROD-020"/>
    <s v="Consumer"/>
    <s v="Central"/>
    <x v="0"/>
    <x v="3"/>
    <n v="13"/>
    <n v="120"/>
    <n v="1560"/>
    <n v="156"/>
    <s v="Large Order"/>
    <s v="Weekday"/>
  </r>
  <r>
    <s v="ORD-2560"/>
    <d v="2024-09-02T00:00:00"/>
    <n v="2024"/>
    <s v="Sep"/>
    <s v="Mon"/>
    <s v="CUST-167"/>
    <s v="PROD-014"/>
    <s v="Corporate"/>
    <s v="Central"/>
    <x v="5"/>
    <x v="0"/>
    <n v="5"/>
    <n v="120"/>
    <n v="600"/>
    <n v="60"/>
    <s v="Large Order"/>
    <s v="Weekday"/>
  </r>
  <r>
    <s v="ORD-2561"/>
    <d v="2024-11-24T00:00:00"/>
    <n v="2024"/>
    <s v="Nov"/>
    <s v="Sun"/>
    <s v="CUST-109"/>
    <s v="PROD-015"/>
    <s v="Corporate"/>
    <s v="South"/>
    <x v="5"/>
    <x v="3"/>
    <n v="5"/>
    <n v="120"/>
    <n v="600"/>
    <n v="60"/>
    <s v="Large Order"/>
    <s v="Weekend"/>
  </r>
  <r>
    <s v="ORD-2562"/>
    <d v="2024-10-09T00:00:00"/>
    <n v="2024"/>
    <s v="Oct"/>
    <s v="Wed"/>
    <s v="CUST-181"/>
    <s v="PROD-019"/>
    <s v="Consumer"/>
    <s v="East"/>
    <x v="4"/>
    <x v="1"/>
    <n v="17"/>
    <n v="120"/>
    <n v="2040"/>
    <n v="204"/>
    <s v="Large Order"/>
    <s v="Weekday"/>
  </r>
  <r>
    <s v="ORD-2563"/>
    <d v="2024-01-29T00:00:00"/>
    <n v="2024"/>
    <s v="Jan"/>
    <s v="Mon"/>
    <s v="CUST-115"/>
    <s v="PROD-017"/>
    <s v="Consumer"/>
    <s v="East"/>
    <x v="3"/>
    <x v="2"/>
    <n v="6"/>
    <n v="120"/>
    <n v="720"/>
    <n v="72"/>
    <s v="Large Order"/>
    <s v="Weekday"/>
  </r>
  <r>
    <s v="ORD-2564"/>
    <d v="2024-12-29T00:00:00"/>
    <n v="2024"/>
    <s v="Dec"/>
    <s v="Sun"/>
    <s v="CUST-128"/>
    <s v="PROD-012"/>
    <s v="Home Office"/>
    <s v="East"/>
    <x v="3"/>
    <x v="0"/>
    <n v="9"/>
    <n v="120"/>
    <n v="1080"/>
    <n v="108"/>
    <s v="Large Order"/>
    <s v="Weekend"/>
  </r>
  <r>
    <s v="ORD-2565"/>
    <d v="2024-10-09T00:00:00"/>
    <n v="2024"/>
    <s v="Oct"/>
    <s v="Wed"/>
    <s v="CUST-135"/>
    <s v="PROD-005"/>
    <s v="Home Office"/>
    <s v="South"/>
    <x v="3"/>
    <x v="4"/>
    <n v="18"/>
    <n v="120"/>
    <n v="2160"/>
    <n v="216"/>
    <s v="Large Order"/>
    <s v="Weekday"/>
  </r>
  <r>
    <s v="ORD-2566"/>
    <d v="2024-11-24T00:00:00"/>
    <n v="2024"/>
    <s v="Nov"/>
    <s v="Sun"/>
    <s v="CUST-121"/>
    <s v="PROD-019"/>
    <s v="Home Office"/>
    <s v="North"/>
    <x v="4"/>
    <x v="2"/>
    <n v="20"/>
    <n v="120"/>
    <n v="2400"/>
    <n v="240"/>
    <s v="Large Order"/>
    <s v="Weekend"/>
  </r>
  <r>
    <s v="ORD-2567"/>
    <d v="2024-11-05T00:00:00"/>
    <n v="2024"/>
    <s v="Nov"/>
    <s v="Tue"/>
    <s v="CUST-143"/>
    <s v="PROD-019"/>
    <s v="Consumer"/>
    <s v="Central"/>
    <x v="0"/>
    <x v="0"/>
    <n v="2"/>
    <n v="120"/>
    <n v="240"/>
    <n v="24"/>
    <s v="Standard Order"/>
    <s v="Weekday"/>
  </r>
  <r>
    <s v="ORD-2568"/>
    <d v="2024-10-22T00:00:00"/>
    <n v="2024"/>
    <s v="Oct"/>
    <s v="Tue"/>
    <s v="CUST-133"/>
    <s v="PROD-021"/>
    <s v="Consumer"/>
    <s v="East"/>
    <x v="5"/>
    <x v="1"/>
    <n v="20"/>
    <n v="120"/>
    <n v="2400"/>
    <n v="240"/>
    <s v="Large Order"/>
    <s v="Weekday"/>
  </r>
  <r>
    <s v="ORD-2569"/>
    <d v="2024-09-11T00:00:00"/>
    <n v="2024"/>
    <s v="Sep"/>
    <s v="Wed"/>
    <s v="CUST-180"/>
    <s v="PROD-018"/>
    <s v="Corporate"/>
    <s v="North"/>
    <x v="3"/>
    <x v="1"/>
    <n v="8"/>
    <n v="120"/>
    <n v="960"/>
    <n v="96"/>
    <s v="Large Order"/>
    <s v="Weekday"/>
  </r>
  <r>
    <s v="ORD-2570"/>
    <d v="2024-12-16T00:00:00"/>
    <n v="2024"/>
    <s v="Dec"/>
    <s v="Mon"/>
    <s v="CUST-151"/>
    <s v="PROD-010"/>
    <s v="Corporate"/>
    <s v="Central"/>
    <x v="0"/>
    <x v="0"/>
    <n v="6"/>
    <n v="120"/>
    <n v="720"/>
    <n v="72"/>
    <s v="Large Order"/>
    <s v="Weekday"/>
  </r>
  <r>
    <s v="ORD-2571"/>
    <d v="2024-09-04T00:00:00"/>
    <n v="2024"/>
    <s v="Sep"/>
    <s v="Wed"/>
    <s v="CUST-159"/>
    <s v="PROD-007"/>
    <s v="Corporate"/>
    <s v="South"/>
    <x v="5"/>
    <x v="2"/>
    <n v="11"/>
    <n v="120"/>
    <n v="1320"/>
    <n v="132"/>
    <s v="Large Order"/>
    <s v="Weekday"/>
  </r>
  <r>
    <s v="ORD-2572"/>
    <d v="2024-06-12T00:00:00"/>
    <n v="2024"/>
    <s v="Jun"/>
    <s v="Wed"/>
    <s v="CUST-193"/>
    <s v="PROD-012"/>
    <s v="Corporate"/>
    <s v="East"/>
    <x v="4"/>
    <x v="3"/>
    <n v="17"/>
    <n v="120"/>
    <n v="2040"/>
    <n v="204"/>
    <s v="Large Order"/>
    <s v="Weekday"/>
  </r>
  <r>
    <s v="ORD-2573"/>
    <d v="2024-06-12T00:00:00"/>
    <n v="2024"/>
    <s v="Jun"/>
    <s v="Wed"/>
    <s v="CUST-130"/>
    <s v="PROD-015"/>
    <s v="Consumer"/>
    <s v="West"/>
    <x v="3"/>
    <x v="1"/>
    <n v="8"/>
    <n v="120"/>
    <n v="960"/>
    <n v="96"/>
    <s v="Large Order"/>
    <s v="Weekday"/>
  </r>
  <r>
    <s v="ORD-2574"/>
    <d v="2024-01-26T00:00:00"/>
    <n v="2024"/>
    <s v="Jan"/>
    <s v="Fri"/>
    <s v="CUST-137"/>
    <s v="PROD-013"/>
    <s v="Home Office"/>
    <s v="South"/>
    <x v="2"/>
    <x v="2"/>
    <n v="6"/>
    <n v="120"/>
    <n v="720"/>
    <n v="72"/>
    <s v="Large Order"/>
    <s v="Weekday"/>
  </r>
  <r>
    <s v="ORD-2575"/>
    <d v="2024-10-22T00:00:00"/>
    <n v="2024"/>
    <s v="Oct"/>
    <s v="Tue"/>
    <s v="CUST-192"/>
    <s v="PROD-011"/>
    <s v="Consumer"/>
    <s v="West"/>
    <x v="4"/>
    <x v="1"/>
    <n v="17"/>
    <n v="120"/>
    <n v="2040"/>
    <n v="204"/>
    <s v="Large Order"/>
    <s v="Weekday"/>
  </r>
  <r>
    <s v="ORD-2576"/>
    <d v="2024-06-06T00:00:00"/>
    <n v="2024"/>
    <s v="Jun"/>
    <s v="Thu"/>
    <s v="CUST-163"/>
    <s v="PROD-001"/>
    <s v="Consumer"/>
    <s v="North"/>
    <x v="2"/>
    <x v="4"/>
    <n v="15"/>
    <n v="120"/>
    <n v="1800"/>
    <n v="180"/>
    <s v="Large Order"/>
    <s v="Weekday"/>
  </r>
  <r>
    <s v="ORD-2577"/>
    <d v="2024-04-20T00:00:00"/>
    <n v="2024"/>
    <s v="Apr"/>
    <s v="Sat"/>
    <s v="CUST-174"/>
    <s v="PROD-012"/>
    <s v="Consumer"/>
    <s v="Central"/>
    <x v="0"/>
    <x v="3"/>
    <n v="16"/>
    <n v="120"/>
    <n v="1920"/>
    <n v="192"/>
    <s v="Large Order"/>
    <s v="Weekend"/>
  </r>
  <r>
    <s v="ORD-2578"/>
    <d v="2024-11-30T00:00:00"/>
    <n v="2024"/>
    <s v="Nov"/>
    <s v="Sat"/>
    <s v="CUST-186"/>
    <s v="PROD-016"/>
    <s v="Corporate"/>
    <s v="East"/>
    <x v="5"/>
    <x v="0"/>
    <n v="4"/>
    <n v="120"/>
    <n v="480"/>
    <n v="48"/>
    <s v="Standard Order"/>
    <s v="Weekend"/>
  </r>
  <r>
    <s v="ORD-2579"/>
    <d v="2024-05-15T00:00:00"/>
    <n v="2024"/>
    <s v="May"/>
    <s v="Wed"/>
    <s v="CUST-193"/>
    <s v="PROD-012"/>
    <s v="Corporate"/>
    <s v="East"/>
    <x v="3"/>
    <x v="0"/>
    <n v="13"/>
    <n v="120"/>
    <n v="1560"/>
    <n v="156"/>
    <s v="Large Order"/>
    <s v="Weekday"/>
  </r>
  <r>
    <s v="ORD-2580"/>
    <d v="2024-10-14T00:00:00"/>
    <n v="2024"/>
    <s v="Oct"/>
    <s v="Mon"/>
    <s v="CUST-124"/>
    <s v="PROD-012"/>
    <s v="Home Office"/>
    <s v="Central"/>
    <x v="3"/>
    <x v="0"/>
    <n v="13"/>
    <n v="120"/>
    <n v="1560"/>
    <n v="156"/>
    <s v="Large Order"/>
    <s v="Weekday"/>
  </r>
  <r>
    <s v="ORD-2581"/>
    <d v="2024-10-08T00:00:00"/>
    <n v="2024"/>
    <s v="Oct"/>
    <s v="Tue"/>
    <s v="CUST-135"/>
    <s v="PROD-020"/>
    <s v="Home Office"/>
    <s v="East"/>
    <x v="5"/>
    <x v="0"/>
    <n v="5"/>
    <n v="120"/>
    <n v="600"/>
    <n v="60"/>
    <s v="Large Order"/>
    <s v="Weekday"/>
  </r>
  <r>
    <s v="ORD-2582"/>
    <d v="2024-07-20T00:00:00"/>
    <n v="2024"/>
    <s v="Jul"/>
    <s v="Sat"/>
    <s v="CUST-147"/>
    <s v="PROD-011"/>
    <s v="Home Office"/>
    <s v="North"/>
    <x v="3"/>
    <x v="2"/>
    <n v="7"/>
    <n v="120"/>
    <n v="840"/>
    <n v="84"/>
    <s v="Large Order"/>
    <s v="Weekend"/>
  </r>
  <r>
    <s v="ORD-2583"/>
    <d v="2024-07-24T00:00:00"/>
    <n v="2024"/>
    <s v="Jul"/>
    <s v="Wed"/>
    <s v="CUST-164"/>
    <s v="PROD-002"/>
    <s v="Consumer"/>
    <s v="Central"/>
    <x v="0"/>
    <x v="2"/>
    <n v="11"/>
    <n v="120"/>
    <n v="1320"/>
    <n v="132"/>
    <s v="Large Order"/>
    <s v="Weekday"/>
  </r>
  <r>
    <s v="ORD-2584"/>
    <d v="2024-09-22T00:00:00"/>
    <n v="2024"/>
    <s v="Sep"/>
    <s v="Sun"/>
    <s v="CUST-158"/>
    <s v="PROD-005"/>
    <s v="Home Office"/>
    <s v="East"/>
    <x v="5"/>
    <x v="2"/>
    <n v="11"/>
    <n v="120"/>
    <n v="1320"/>
    <n v="132"/>
    <s v="Large Order"/>
    <s v="Weekend"/>
  </r>
  <r>
    <s v="ORD-2585"/>
    <d v="2024-06-12T00:00:00"/>
    <n v="2024"/>
    <s v="Jun"/>
    <s v="Wed"/>
    <s v="CUST-120"/>
    <s v="PROD-013"/>
    <s v="Home Office"/>
    <s v="Central"/>
    <x v="3"/>
    <x v="4"/>
    <n v="11"/>
    <n v="120"/>
    <n v="1320"/>
    <n v="132"/>
    <s v="Large Order"/>
    <s v="Weekday"/>
  </r>
  <r>
    <s v="ORD-2586"/>
    <d v="2024-09-17T00:00:00"/>
    <n v="2024"/>
    <s v="Sep"/>
    <s v="Tue"/>
    <s v="CUST-168"/>
    <s v="PROD-016"/>
    <s v="Home Office"/>
    <s v="West"/>
    <x v="5"/>
    <x v="3"/>
    <n v="16"/>
    <n v="120"/>
    <n v="1920"/>
    <n v="192"/>
    <s v="Large Order"/>
    <s v="Weekday"/>
  </r>
  <r>
    <s v="ORD-2587"/>
    <d v="2024-07-07T00:00:00"/>
    <n v="2024"/>
    <s v="Jul"/>
    <s v="Sun"/>
    <s v="CUST-142"/>
    <s v="PROD-022"/>
    <s v="Consumer"/>
    <s v="West"/>
    <x v="2"/>
    <x v="4"/>
    <n v="10"/>
    <n v="120"/>
    <n v="1200"/>
    <n v="120"/>
    <s v="Large Order"/>
    <s v="Weekend"/>
  </r>
  <r>
    <s v="ORD-2588"/>
    <d v="2024-12-18T00:00:00"/>
    <n v="2024"/>
    <s v="Dec"/>
    <s v="Wed"/>
    <s v="CUST-180"/>
    <s v="PROD-001"/>
    <s v="Home Office"/>
    <s v="Central"/>
    <x v="2"/>
    <x v="3"/>
    <n v="19"/>
    <n v="120"/>
    <n v="2280"/>
    <n v="228"/>
    <s v="Large Order"/>
    <s v="Weekday"/>
  </r>
  <r>
    <s v="ORD-2589"/>
    <d v="2024-01-27T00:00:00"/>
    <n v="2024"/>
    <s v="Jan"/>
    <s v="Sat"/>
    <s v="CUST-174"/>
    <s v="PROD-016"/>
    <s v="Consumer"/>
    <s v="North"/>
    <x v="5"/>
    <x v="4"/>
    <n v="13"/>
    <n v="120"/>
    <n v="1560"/>
    <n v="156"/>
    <s v="Large Order"/>
    <s v="Weekend"/>
  </r>
  <r>
    <s v="ORD-2590"/>
    <d v="2024-12-14T00:00:00"/>
    <n v="2024"/>
    <s v="Dec"/>
    <s v="Sat"/>
    <s v="CUST-131"/>
    <s v="PROD-002"/>
    <s v="Home Office"/>
    <s v="South"/>
    <x v="0"/>
    <x v="2"/>
    <n v="1"/>
    <n v="120"/>
    <n v="120"/>
    <n v="12"/>
    <s v="Standard Order"/>
    <s v="Weekend"/>
  </r>
  <r>
    <s v="ORD-2591"/>
    <d v="2024-08-02T00:00:00"/>
    <n v="2024"/>
    <s v="Aug"/>
    <s v="Fri"/>
    <s v="CUST-119"/>
    <s v="PROD-014"/>
    <s v="Home Office"/>
    <s v="South"/>
    <x v="4"/>
    <x v="1"/>
    <n v="17"/>
    <n v="120"/>
    <n v="2040"/>
    <n v="204"/>
    <s v="Large Order"/>
    <s v="Weekday"/>
  </r>
  <r>
    <s v="ORD-2592"/>
    <d v="2024-08-29T00:00:00"/>
    <n v="2024"/>
    <s v="Aug"/>
    <s v="Thu"/>
    <s v="CUST-194"/>
    <s v="PROD-024"/>
    <s v="Consumer"/>
    <s v="East"/>
    <x v="4"/>
    <x v="4"/>
    <n v="7"/>
    <n v="120"/>
    <n v="840"/>
    <n v="84"/>
    <s v="Large Order"/>
    <s v="Weekday"/>
  </r>
  <r>
    <s v="ORD-2593"/>
    <d v="2024-12-05T00:00:00"/>
    <n v="2024"/>
    <s v="Dec"/>
    <s v="Thu"/>
    <s v="CUST-161"/>
    <s v="PROD-017"/>
    <s v="Corporate"/>
    <s v="East"/>
    <x v="3"/>
    <x v="2"/>
    <n v="15"/>
    <n v="120"/>
    <n v="1800"/>
    <n v="180"/>
    <s v="Large Order"/>
    <s v="Weekday"/>
  </r>
  <r>
    <s v="ORD-2594"/>
    <d v="2024-06-24T00:00:00"/>
    <n v="2024"/>
    <s v="Jun"/>
    <s v="Mon"/>
    <s v="CUST-169"/>
    <s v="PROD-012"/>
    <s v="Home Office"/>
    <s v="South"/>
    <x v="3"/>
    <x v="4"/>
    <n v="16"/>
    <n v="120"/>
    <n v="1920"/>
    <n v="192"/>
    <s v="Large Order"/>
    <s v="Weekday"/>
  </r>
  <r>
    <s v="ORD-2595"/>
    <d v="2024-05-06T00:00:00"/>
    <n v="2024"/>
    <s v="May"/>
    <s v="Mon"/>
    <s v="CUST-135"/>
    <s v="PROD-018"/>
    <s v="Corporate"/>
    <s v="West"/>
    <x v="4"/>
    <x v="3"/>
    <n v="10"/>
    <n v="120"/>
    <n v="1200"/>
    <n v="120"/>
    <s v="Large Order"/>
    <s v="Weekday"/>
  </r>
  <r>
    <s v="ORD-2596"/>
    <d v="2024-12-19T00:00:00"/>
    <n v="2024"/>
    <s v="Dec"/>
    <s v="Thu"/>
    <s v="CUST-190"/>
    <s v="PROD-016"/>
    <s v="Corporate"/>
    <s v="Central"/>
    <x v="2"/>
    <x v="3"/>
    <n v="18"/>
    <n v="120"/>
    <n v="2160"/>
    <n v="216"/>
    <s v="Large Order"/>
    <s v="Weekday"/>
  </r>
  <r>
    <s v="ORD-2597"/>
    <d v="2024-05-20T00:00:00"/>
    <n v="2024"/>
    <s v="May"/>
    <s v="Mon"/>
    <s v="CUST-136"/>
    <s v="PROD-004"/>
    <s v="Home Office"/>
    <s v="North"/>
    <x v="5"/>
    <x v="1"/>
    <n v="13"/>
    <n v="120"/>
    <n v="1560"/>
    <n v="156"/>
    <s v="Large Order"/>
    <s v="Weekday"/>
  </r>
  <r>
    <s v="ORD-2598"/>
    <d v="2024-03-15T00:00:00"/>
    <n v="2024"/>
    <s v="Mar"/>
    <s v="Fri"/>
    <s v="CUST-137"/>
    <s v="PROD-002"/>
    <s v="Corporate"/>
    <s v="East"/>
    <x v="0"/>
    <x v="3"/>
    <n v="15"/>
    <n v="120"/>
    <n v="1800"/>
    <n v="180"/>
    <s v="Large Order"/>
    <s v="Weekday"/>
  </r>
  <r>
    <s v="ORD-2599"/>
    <d v="2024-09-02T00:00:00"/>
    <n v="2024"/>
    <s v="Sep"/>
    <s v="Mon"/>
    <s v="CUST-127"/>
    <s v="PROD-007"/>
    <s v="Home Office"/>
    <s v="South"/>
    <x v="3"/>
    <x v="4"/>
    <n v="9"/>
    <n v="120"/>
    <n v="1080"/>
    <n v="108"/>
    <s v="Large Order"/>
    <s v="Weekday"/>
  </r>
  <r>
    <s v="ORD-2600"/>
    <d v="2024-11-11T00:00:00"/>
    <n v="2024"/>
    <s v="Nov"/>
    <s v="Mon"/>
    <s v="CUST-194"/>
    <s v="PROD-019"/>
    <s v="Consumer"/>
    <s v="East"/>
    <x v="4"/>
    <x v="0"/>
    <n v="17"/>
    <n v="120"/>
    <n v="2040"/>
    <n v="204"/>
    <s v="Large Order"/>
    <s v="Weekday"/>
  </r>
  <r>
    <s v="ORD-2601"/>
    <d v="2024-04-29T00:00:00"/>
    <n v="2024"/>
    <s v="Apr"/>
    <s v="Mon"/>
    <s v="CUST-106"/>
    <s v="PROD-004"/>
    <s v="Corporate"/>
    <s v="West"/>
    <x v="3"/>
    <x v="1"/>
    <n v="4"/>
    <n v="120"/>
    <n v="480"/>
    <n v="48"/>
    <s v="Standard Order"/>
    <s v="Weekday"/>
  </r>
  <r>
    <s v="ORD-2602"/>
    <d v="2024-03-11T00:00:00"/>
    <n v="2024"/>
    <s v="Mar"/>
    <s v="Mon"/>
    <s v="CUST-100"/>
    <s v="PROD-018"/>
    <s v="Consumer"/>
    <s v="North"/>
    <x v="2"/>
    <x v="1"/>
    <n v="16"/>
    <n v="120"/>
    <n v="1920"/>
    <n v="192"/>
    <s v="Large Order"/>
    <s v="Weekday"/>
  </r>
  <r>
    <s v="ORD-2603"/>
    <d v="2024-05-27T00:00:00"/>
    <n v="2024"/>
    <s v="May"/>
    <s v="Mon"/>
    <s v="CUST-141"/>
    <s v="PROD-010"/>
    <s v="Home Office"/>
    <s v="North"/>
    <x v="0"/>
    <x v="0"/>
    <n v="19"/>
    <n v="120"/>
    <n v="2280"/>
    <n v="228"/>
    <s v="Large Order"/>
    <s v="Weekday"/>
  </r>
  <r>
    <s v="ORD-2604"/>
    <d v="2024-01-20T00:00:00"/>
    <n v="2024"/>
    <s v="Jan"/>
    <s v="Sat"/>
    <s v="CUST-122"/>
    <s v="PROD-014"/>
    <s v="Consumer"/>
    <s v="Central"/>
    <x v="0"/>
    <x v="1"/>
    <n v="16"/>
    <n v="120"/>
    <n v="1920"/>
    <n v="192"/>
    <s v="Large Order"/>
    <s v="Weekend"/>
  </r>
  <r>
    <s v="ORD-2605"/>
    <d v="2024-05-28T00:00:00"/>
    <n v="2024"/>
    <s v="May"/>
    <s v="Tue"/>
    <s v="CUST-104"/>
    <s v="PROD-001"/>
    <s v="Corporate"/>
    <s v="Central"/>
    <x v="5"/>
    <x v="4"/>
    <n v="4"/>
    <n v="120"/>
    <n v="480"/>
    <n v="48"/>
    <s v="Standard Order"/>
    <s v="Weekday"/>
  </r>
  <r>
    <s v="ORD-2606"/>
    <d v="2024-06-20T00:00:00"/>
    <n v="2024"/>
    <s v="Jun"/>
    <s v="Thu"/>
    <s v="CUST-136"/>
    <s v="PROD-015"/>
    <s v="Home Office"/>
    <s v="South"/>
    <x v="5"/>
    <x v="4"/>
    <n v="16"/>
    <n v="120"/>
    <n v="1920"/>
    <n v="192"/>
    <s v="Large Order"/>
    <s v="Weekday"/>
  </r>
  <r>
    <s v="ORD-2607"/>
    <d v="2024-03-09T00:00:00"/>
    <n v="2024"/>
    <s v="Mar"/>
    <s v="Sat"/>
    <s v="CUST-164"/>
    <s v="PROD-015"/>
    <s v="Corporate"/>
    <s v="South"/>
    <x v="4"/>
    <x v="0"/>
    <n v="11"/>
    <n v="120"/>
    <n v="1320"/>
    <n v="132"/>
    <s v="Large Order"/>
    <s v="Weekend"/>
  </r>
  <r>
    <s v="ORD-2608"/>
    <d v="2024-08-22T00:00:00"/>
    <n v="2024"/>
    <s v="Aug"/>
    <s v="Thu"/>
    <s v="CUST-182"/>
    <s v="PROD-009"/>
    <s v="Home Office"/>
    <s v="South"/>
    <x v="4"/>
    <x v="0"/>
    <n v="11"/>
    <n v="120"/>
    <n v="1320"/>
    <n v="132"/>
    <s v="Large Order"/>
    <s v="Weekday"/>
  </r>
  <r>
    <s v="ORD-2609"/>
    <d v="2024-10-17T00:00:00"/>
    <n v="2024"/>
    <s v="Oct"/>
    <s v="Thu"/>
    <s v="CUST-186"/>
    <s v="PROD-025"/>
    <s v="Consumer"/>
    <s v="North"/>
    <x v="4"/>
    <x v="4"/>
    <n v="13"/>
    <n v="120"/>
    <n v="1560"/>
    <n v="156"/>
    <s v="Large Order"/>
    <s v="Weekday"/>
  </r>
  <r>
    <s v="ORD-2610"/>
    <d v="2024-09-20T00:00:00"/>
    <n v="2024"/>
    <s v="Sep"/>
    <s v="Fri"/>
    <s v="CUST-141"/>
    <s v="PROD-003"/>
    <s v="Corporate"/>
    <s v="South"/>
    <x v="0"/>
    <x v="2"/>
    <n v="5"/>
    <n v="120"/>
    <n v="600"/>
    <n v="60"/>
    <s v="Large Order"/>
    <s v="Weekday"/>
  </r>
  <r>
    <s v="ORD-2611"/>
    <d v="2024-05-07T00:00:00"/>
    <n v="2024"/>
    <s v="May"/>
    <s v="Tue"/>
    <s v="CUST-100"/>
    <s v="PROD-009"/>
    <s v="Corporate"/>
    <s v="North"/>
    <x v="4"/>
    <x v="1"/>
    <n v="9"/>
    <n v="120"/>
    <n v="1080"/>
    <n v="108"/>
    <s v="Large Order"/>
    <s v="Weekday"/>
  </r>
  <r>
    <s v="ORD-2612"/>
    <d v="2024-06-03T00:00:00"/>
    <n v="2024"/>
    <s v="Jun"/>
    <s v="Mon"/>
    <s v="CUST-174"/>
    <s v="PROD-024"/>
    <s v="Home Office"/>
    <s v="East"/>
    <x v="0"/>
    <x v="3"/>
    <n v="12"/>
    <n v="120"/>
    <n v="1440"/>
    <n v="144"/>
    <s v="Large Order"/>
    <s v="Weekday"/>
  </r>
  <r>
    <s v="ORD-2613"/>
    <d v="2024-02-01T00:00:00"/>
    <n v="2024"/>
    <s v="Feb"/>
    <s v="Thu"/>
    <s v="CUST-185"/>
    <s v="PROD-004"/>
    <s v="Corporate"/>
    <s v="North"/>
    <x v="3"/>
    <x v="2"/>
    <n v="13"/>
    <n v="120"/>
    <n v="1560"/>
    <n v="156"/>
    <s v="Large Order"/>
    <s v="Weekday"/>
  </r>
  <r>
    <s v="ORD-2614"/>
    <d v="2024-12-26T00:00:00"/>
    <n v="2024"/>
    <s v="Dec"/>
    <s v="Thu"/>
    <s v="CUST-198"/>
    <s v="PROD-010"/>
    <s v="Home Office"/>
    <s v="West"/>
    <x v="0"/>
    <x v="3"/>
    <n v="12"/>
    <n v="120"/>
    <n v="1440"/>
    <n v="144"/>
    <s v="Large Order"/>
    <s v="Weekday"/>
  </r>
  <r>
    <s v="ORD-2615"/>
    <d v="2024-04-22T00:00:00"/>
    <n v="2024"/>
    <s v="Apr"/>
    <s v="Mon"/>
    <s v="CUST-117"/>
    <s v="PROD-016"/>
    <s v="Consumer"/>
    <s v="South"/>
    <x v="2"/>
    <x v="4"/>
    <n v="12"/>
    <n v="120"/>
    <n v="1440"/>
    <n v="144"/>
    <s v="Large Order"/>
    <s v="Weekday"/>
  </r>
  <r>
    <s v="ORD-2616"/>
    <d v="2024-10-08T00:00:00"/>
    <n v="2024"/>
    <s v="Oct"/>
    <s v="Tue"/>
    <s v="CUST-160"/>
    <s v="PROD-025"/>
    <s v="Home Office"/>
    <s v="East"/>
    <x v="4"/>
    <x v="2"/>
    <n v="20"/>
    <n v="120"/>
    <n v="2400"/>
    <n v="240"/>
    <s v="Large Order"/>
    <s v="Weekday"/>
  </r>
  <r>
    <s v="ORD-2617"/>
    <d v="2024-02-11T00:00:00"/>
    <n v="2024"/>
    <s v="Feb"/>
    <s v="Sun"/>
    <s v="CUST-167"/>
    <s v="PROD-015"/>
    <s v="Home Office"/>
    <s v="Central"/>
    <x v="3"/>
    <x v="0"/>
    <n v="19"/>
    <n v="120"/>
    <n v="2280"/>
    <n v="228"/>
    <s v="Large Order"/>
    <s v="Weekend"/>
  </r>
  <r>
    <s v="ORD-2618"/>
    <d v="2024-10-07T00:00:00"/>
    <n v="2024"/>
    <s v="Oct"/>
    <s v="Mon"/>
    <s v="CUST-164"/>
    <s v="PROD-007"/>
    <s v="Home Office"/>
    <s v="South"/>
    <x v="5"/>
    <x v="2"/>
    <n v="6"/>
    <n v="120"/>
    <n v="720"/>
    <n v="72"/>
    <s v="Large Order"/>
    <s v="Weekday"/>
  </r>
  <r>
    <s v="ORD-2619"/>
    <d v="2024-09-23T00:00:00"/>
    <n v="2024"/>
    <s v="Sep"/>
    <s v="Mon"/>
    <s v="CUST-156"/>
    <s v="PROD-004"/>
    <s v="Home Office"/>
    <s v="South"/>
    <x v="4"/>
    <x v="4"/>
    <n v="16"/>
    <n v="120"/>
    <n v="1920"/>
    <n v="192"/>
    <s v="Large Order"/>
    <s v="Weekday"/>
  </r>
  <r>
    <s v="ORD-2620"/>
    <d v="2024-09-18T00:00:00"/>
    <n v="2024"/>
    <s v="Sep"/>
    <s v="Wed"/>
    <s v="CUST-157"/>
    <s v="PROD-002"/>
    <s v="Corporate"/>
    <s v="East"/>
    <x v="4"/>
    <x v="4"/>
    <n v="14"/>
    <n v="120"/>
    <n v="1680"/>
    <n v="168"/>
    <s v="Large Order"/>
    <s v="Weekday"/>
  </r>
  <r>
    <s v="ORD-2621"/>
    <d v="2024-01-30T00:00:00"/>
    <n v="2024"/>
    <s v="Jan"/>
    <s v="Tue"/>
    <s v="CUST-171"/>
    <s v="PROD-015"/>
    <s v="Home Office"/>
    <s v="North"/>
    <x v="3"/>
    <x v="0"/>
    <n v="13"/>
    <n v="120"/>
    <n v="1560"/>
    <n v="156"/>
    <s v="Large Order"/>
    <s v="Weekday"/>
  </r>
  <r>
    <s v="ORD-2622"/>
    <d v="2024-01-02T00:00:00"/>
    <n v="2024"/>
    <s v="Jan"/>
    <s v="Tue"/>
    <s v="CUST-195"/>
    <s v="PROD-007"/>
    <s v="Home Office"/>
    <s v="West"/>
    <x v="0"/>
    <x v="0"/>
    <n v="14"/>
    <n v="120"/>
    <n v="1680"/>
    <n v="168"/>
    <s v="Large Order"/>
    <s v="Weekday"/>
  </r>
  <r>
    <s v="ORD-2623"/>
    <d v="2024-02-02T00:00:00"/>
    <n v="2024"/>
    <s v="Feb"/>
    <s v="Fri"/>
    <s v="CUST-169"/>
    <s v="PROD-002"/>
    <s v="Consumer"/>
    <s v="West"/>
    <x v="2"/>
    <x v="0"/>
    <n v="10"/>
    <n v="120"/>
    <n v="1200"/>
    <n v="120"/>
    <s v="Large Order"/>
    <s v="Weekday"/>
  </r>
  <r>
    <s v="ORD-2624"/>
    <d v="2024-03-10T00:00:00"/>
    <n v="2024"/>
    <s v="Mar"/>
    <s v="Sun"/>
    <s v="CUST-198"/>
    <s v="PROD-021"/>
    <s v="Home Office"/>
    <s v="Central"/>
    <x v="2"/>
    <x v="3"/>
    <n v="13"/>
    <n v="120"/>
    <n v="1560"/>
    <n v="156"/>
    <s v="Large Order"/>
    <s v="Weekend"/>
  </r>
  <r>
    <s v="ORD-2625"/>
    <d v="2024-07-12T00:00:00"/>
    <n v="2024"/>
    <s v="Jul"/>
    <s v="Fri"/>
    <s v="CUST-148"/>
    <s v="PROD-003"/>
    <s v="Home Office"/>
    <s v="South"/>
    <x v="5"/>
    <x v="2"/>
    <n v="12"/>
    <n v="120"/>
    <n v="1440"/>
    <n v="144"/>
    <s v="Large Order"/>
    <s v="Weekday"/>
  </r>
  <r>
    <s v="ORD-2626"/>
    <d v="2024-10-02T00:00:00"/>
    <n v="2024"/>
    <s v="Oct"/>
    <s v="Wed"/>
    <s v="CUST-150"/>
    <s v="PROD-017"/>
    <s v="Consumer"/>
    <s v="West"/>
    <x v="4"/>
    <x v="0"/>
    <n v="1"/>
    <n v="120"/>
    <n v="120"/>
    <n v="12"/>
    <s v="Standard Order"/>
    <s v="Weekday"/>
  </r>
  <r>
    <s v="ORD-2627"/>
    <d v="2024-08-25T00:00:00"/>
    <n v="2024"/>
    <s v="Aug"/>
    <s v="Sun"/>
    <s v="CUST-186"/>
    <s v="PROD-024"/>
    <s v="Home Office"/>
    <s v="East"/>
    <x v="2"/>
    <x v="4"/>
    <n v="13"/>
    <n v="120"/>
    <n v="1560"/>
    <n v="156"/>
    <s v="Large Order"/>
    <s v="Weekend"/>
  </r>
  <r>
    <s v="ORD-2628"/>
    <d v="2024-05-06T00:00:00"/>
    <n v="2024"/>
    <s v="May"/>
    <s v="Mon"/>
    <s v="CUST-158"/>
    <s v="PROD-012"/>
    <s v="Consumer"/>
    <s v="South"/>
    <x v="3"/>
    <x v="2"/>
    <n v="4"/>
    <n v="120"/>
    <n v="480"/>
    <n v="48"/>
    <s v="Standard Order"/>
    <s v="Weekday"/>
  </r>
  <r>
    <s v="ORD-2629"/>
    <d v="2024-12-04T00:00:00"/>
    <n v="2024"/>
    <s v="Dec"/>
    <s v="Wed"/>
    <s v="CUST-153"/>
    <s v="PROD-020"/>
    <s v="Consumer"/>
    <s v="North"/>
    <x v="4"/>
    <x v="2"/>
    <n v="3"/>
    <n v="120"/>
    <n v="360"/>
    <n v="36"/>
    <s v="Standard Order"/>
    <s v="Weekday"/>
  </r>
  <r>
    <s v="ORD-2630"/>
    <d v="2024-01-18T00:00:00"/>
    <n v="2024"/>
    <s v="Jan"/>
    <s v="Thu"/>
    <s v="CUST-157"/>
    <s v="PROD-020"/>
    <s v="Home Office"/>
    <s v="South"/>
    <x v="0"/>
    <x v="2"/>
    <n v="2"/>
    <n v="120"/>
    <n v="240"/>
    <n v="24"/>
    <s v="Standard Order"/>
    <s v="Weekday"/>
  </r>
  <r>
    <s v="ORD-2631"/>
    <d v="2024-04-29T00:00:00"/>
    <n v="2024"/>
    <s v="Apr"/>
    <s v="Mon"/>
    <s v="CUST-169"/>
    <s v="PROD-007"/>
    <s v="Consumer"/>
    <s v="East"/>
    <x v="4"/>
    <x v="4"/>
    <n v="10"/>
    <n v="120"/>
    <n v="1200"/>
    <n v="120"/>
    <s v="Large Order"/>
    <s v="Weekday"/>
  </r>
  <r>
    <s v="ORD-2632"/>
    <d v="2024-10-21T00:00:00"/>
    <n v="2024"/>
    <s v="Oct"/>
    <s v="Mon"/>
    <s v="CUST-140"/>
    <s v="PROD-019"/>
    <s v="Home Office"/>
    <s v="East"/>
    <x v="3"/>
    <x v="2"/>
    <n v="10"/>
    <n v="120"/>
    <n v="1200"/>
    <n v="120"/>
    <s v="Large Order"/>
    <s v="Weekday"/>
  </r>
  <r>
    <s v="ORD-2633"/>
    <d v="2024-12-04T00:00:00"/>
    <n v="2024"/>
    <s v="Dec"/>
    <s v="Wed"/>
    <s v="CUST-166"/>
    <s v="PROD-008"/>
    <s v="Corporate"/>
    <s v="West"/>
    <x v="3"/>
    <x v="3"/>
    <n v="2"/>
    <n v="120"/>
    <n v="240"/>
    <n v="24"/>
    <s v="Standard Order"/>
    <s v="Weekday"/>
  </r>
  <r>
    <s v="ORD-2634"/>
    <d v="2024-10-29T00:00:00"/>
    <n v="2024"/>
    <s v="Oct"/>
    <s v="Tue"/>
    <s v="CUST-194"/>
    <s v="PROD-006"/>
    <s v="Home Office"/>
    <s v="Central"/>
    <x v="2"/>
    <x v="4"/>
    <n v="16"/>
    <n v="120"/>
    <n v="1920"/>
    <n v="192"/>
    <s v="Large Order"/>
    <s v="Weekday"/>
  </r>
  <r>
    <s v="ORD-2635"/>
    <d v="2024-06-25T00:00:00"/>
    <n v="2024"/>
    <s v="Jun"/>
    <s v="Tue"/>
    <s v="CUST-182"/>
    <s v="PROD-022"/>
    <s v="Corporate"/>
    <s v="West"/>
    <x v="5"/>
    <x v="3"/>
    <n v="14"/>
    <n v="120"/>
    <n v="1680"/>
    <n v="168"/>
    <s v="Large Order"/>
    <s v="Weekday"/>
  </r>
  <r>
    <s v="ORD-2636"/>
    <d v="2024-06-02T00:00:00"/>
    <n v="2024"/>
    <s v="Jun"/>
    <s v="Sun"/>
    <s v="CUST-148"/>
    <s v="PROD-006"/>
    <s v="Home Office"/>
    <s v="Central"/>
    <x v="2"/>
    <x v="2"/>
    <n v="8"/>
    <n v="120"/>
    <n v="960"/>
    <n v="96"/>
    <s v="Large Order"/>
    <s v="Weekend"/>
  </r>
  <r>
    <s v="ORD-2637"/>
    <d v="2024-12-28T00:00:00"/>
    <n v="2024"/>
    <s v="Dec"/>
    <s v="Sat"/>
    <s v="CUST-118"/>
    <s v="PROD-015"/>
    <s v="Consumer"/>
    <s v="South"/>
    <x v="5"/>
    <x v="1"/>
    <n v="14"/>
    <n v="120"/>
    <n v="1680"/>
    <n v="168"/>
    <s v="Large Order"/>
    <s v="Weekend"/>
  </r>
  <r>
    <s v="ORD-2638"/>
    <d v="2024-03-09T00:00:00"/>
    <n v="2024"/>
    <s v="Mar"/>
    <s v="Sat"/>
    <s v="CUST-149"/>
    <s v="PROD-008"/>
    <s v="Corporate"/>
    <s v="South"/>
    <x v="4"/>
    <x v="3"/>
    <n v="3"/>
    <n v="120"/>
    <n v="360"/>
    <n v="36"/>
    <s v="Standard Order"/>
    <s v="Weekend"/>
  </r>
  <r>
    <s v="ORD-2639"/>
    <d v="2024-07-08T00:00:00"/>
    <n v="2024"/>
    <s v="Jul"/>
    <s v="Mon"/>
    <s v="CUST-111"/>
    <s v="PROD-018"/>
    <s v="Home Office"/>
    <s v="South"/>
    <x v="4"/>
    <x v="0"/>
    <n v="9"/>
    <n v="120"/>
    <n v="1080"/>
    <n v="108"/>
    <s v="Large Order"/>
    <s v="Weekday"/>
  </r>
  <r>
    <s v="ORD-2640"/>
    <d v="2024-11-05T00:00:00"/>
    <n v="2024"/>
    <s v="Nov"/>
    <s v="Tue"/>
    <s v="CUST-177"/>
    <s v="PROD-002"/>
    <s v="Consumer"/>
    <s v="South"/>
    <x v="4"/>
    <x v="4"/>
    <n v="18"/>
    <n v="120"/>
    <n v="2160"/>
    <n v="216"/>
    <s v="Large Order"/>
    <s v="Weekday"/>
  </r>
  <r>
    <s v="ORD-2641"/>
    <d v="2024-04-16T00:00:00"/>
    <n v="2024"/>
    <s v="Apr"/>
    <s v="Tue"/>
    <s v="CUST-142"/>
    <s v="PROD-010"/>
    <s v="Consumer"/>
    <s v="South"/>
    <x v="4"/>
    <x v="2"/>
    <n v="4"/>
    <n v="120"/>
    <n v="480"/>
    <n v="48"/>
    <s v="Standard Order"/>
    <s v="Weekday"/>
  </r>
  <r>
    <s v="ORD-2642"/>
    <d v="2024-09-02T00:00:00"/>
    <n v="2024"/>
    <s v="Sep"/>
    <s v="Mon"/>
    <s v="CUST-131"/>
    <s v="PROD-023"/>
    <s v="Home Office"/>
    <s v="East"/>
    <x v="4"/>
    <x v="1"/>
    <n v="8"/>
    <n v="120"/>
    <n v="960"/>
    <n v="96"/>
    <s v="Large Order"/>
    <s v="Weekday"/>
  </r>
  <r>
    <s v="ORD-2643"/>
    <d v="2024-05-24T00:00:00"/>
    <n v="2024"/>
    <s v="May"/>
    <s v="Fri"/>
    <s v="CUST-148"/>
    <s v="PROD-015"/>
    <s v="Home Office"/>
    <s v="West"/>
    <x v="3"/>
    <x v="3"/>
    <n v="9"/>
    <n v="120"/>
    <n v="1080"/>
    <n v="108"/>
    <s v="Large Order"/>
    <s v="Weekday"/>
  </r>
  <r>
    <s v="ORD-2644"/>
    <d v="2024-09-11T00:00:00"/>
    <n v="2024"/>
    <s v="Sep"/>
    <s v="Wed"/>
    <s v="CUST-159"/>
    <s v="PROD-004"/>
    <s v="Home Office"/>
    <s v="South"/>
    <x v="2"/>
    <x v="3"/>
    <n v="7"/>
    <n v="120"/>
    <n v="840"/>
    <n v="84"/>
    <s v="Large Order"/>
    <s v="Weekday"/>
  </r>
  <r>
    <s v="ORD-2645"/>
    <d v="2024-07-30T00:00:00"/>
    <n v="2024"/>
    <s v="Jul"/>
    <s v="Tue"/>
    <s v="CUST-105"/>
    <s v="PROD-019"/>
    <s v="Consumer"/>
    <s v="East"/>
    <x v="4"/>
    <x v="0"/>
    <n v="9"/>
    <n v="120"/>
    <n v="1080"/>
    <n v="108"/>
    <s v="Large Order"/>
    <s v="Weekday"/>
  </r>
  <r>
    <s v="ORD-2646"/>
    <d v="2024-10-26T00:00:00"/>
    <n v="2024"/>
    <s v="Oct"/>
    <s v="Sat"/>
    <s v="CUST-174"/>
    <s v="PROD-024"/>
    <s v="Corporate"/>
    <s v="Central"/>
    <x v="3"/>
    <x v="2"/>
    <n v="7"/>
    <n v="120"/>
    <n v="840"/>
    <n v="84"/>
    <s v="Large Order"/>
    <s v="Weekend"/>
  </r>
  <r>
    <s v="ORD-2647"/>
    <d v="2024-07-13T00:00:00"/>
    <n v="2024"/>
    <s v="Jul"/>
    <s v="Sat"/>
    <s v="CUST-172"/>
    <s v="PROD-008"/>
    <s v="Corporate"/>
    <s v="West"/>
    <x v="5"/>
    <x v="3"/>
    <n v="9"/>
    <n v="120"/>
    <n v="1080"/>
    <n v="108"/>
    <s v="Large Order"/>
    <s v="Weekend"/>
  </r>
  <r>
    <s v="ORD-2648"/>
    <d v="2024-09-07T00:00:00"/>
    <n v="2024"/>
    <s v="Sep"/>
    <s v="Sat"/>
    <s v="CUST-192"/>
    <s v="PROD-021"/>
    <s v="Home Office"/>
    <s v="Central"/>
    <x v="2"/>
    <x v="1"/>
    <n v="6"/>
    <n v="120"/>
    <n v="720"/>
    <n v="72"/>
    <s v="Large Order"/>
    <s v="Weekend"/>
  </r>
  <r>
    <s v="ORD-2649"/>
    <d v="2024-06-29T00:00:00"/>
    <n v="2024"/>
    <s v="Jun"/>
    <s v="Sat"/>
    <s v="CUST-121"/>
    <s v="PROD-005"/>
    <s v="Home Office"/>
    <s v="North"/>
    <x v="5"/>
    <x v="1"/>
    <n v="6"/>
    <n v="120"/>
    <n v="720"/>
    <n v="72"/>
    <s v="Large Order"/>
    <s v="Weekend"/>
  </r>
  <r>
    <s v="ORD-2650"/>
    <d v="2024-10-04T00:00:00"/>
    <n v="2024"/>
    <s v="Oct"/>
    <s v="Fri"/>
    <s v="CUST-182"/>
    <s v="PROD-002"/>
    <s v="Home Office"/>
    <s v="North"/>
    <x v="0"/>
    <x v="0"/>
    <n v="2"/>
    <n v="120"/>
    <n v="240"/>
    <n v="24"/>
    <s v="Standard Order"/>
    <s v="Weekday"/>
  </r>
  <r>
    <s v="ORD-2651"/>
    <d v="2024-07-30T00:00:00"/>
    <n v="2024"/>
    <s v="Jul"/>
    <s v="Tue"/>
    <s v="CUST-117"/>
    <s v="PROD-021"/>
    <s v="Consumer"/>
    <s v="Central"/>
    <x v="0"/>
    <x v="2"/>
    <n v="1"/>
    <n v="120"/>
    <n v="120"/>
    <n v="12"/>
    <s v="Standard Order"/>
    <s v="Weekday"/>
  </r>
  <r>
    <s v="ORD-2652"/>
    <d v="2024-08-21T00:00:00"/>
    <n v="2024"/>
    <s v="Aug"/>
    <s v="Wed"/>
    <s v="CUST-147"/>
    <s v="PROD-002"/>
    <s v="Home Office"/>
    <s v="North"/>
    <x v="5"/>
    <x v="1"/>
    <n v="16"/>
    <n v="120"/>
    <n v="1920"/>
    <n v="192"/>
    <s v="Large Order"/>
    <s v="Weekday"/>
  </r>
  <r>
    <s v="ORD-2653"/>
    <d v="2024-09-29T00:00:00"/>
    <n v="2024"/>
    <s v="Sep"/>
    <s v="Sun"/>
    <s v="CUST-170"/>
    <s v="PROD-014"/>
    <s v="Consumer"/>
    <s v="West"/>
    <x v="0"/>
    <x v="4"/>
    <n v="9"/>
    <n v="120"/>
    <n v="1080"/>
    <n v="108"/>
    <s v="Large Order"/>
    <s v="Weekend"/>
  </r>
  <r>
    <s v="ORD-2654"/>
    <d v="2024-05-26T00:00:00"/>
    <n v="2024"/>
    <s v="May"/>
    <s v="Sun"/>
    <s v="CUST-102"/>
    <s v="PROD-017"/>
    <s v="Home Office"/>
    <s v="Central"/>
    <x v="2"/>
    <x v="2"/>
    <n v="4"/>
    <n v="120"/>
    <n v="480"/>
    <n v="48"/>
    <s v="Standard Order"/>
    <s v="Weekend"/>
  </r>
  <r>
    <s v="ORD-2655"/>
    <d v="2024-09-25T00:00:00"/>
    <n v="2024"/>
    <s v="Sep"/>
    <s v="Wed"/>
    <s v="CUST-119"/>
    <s v="PROD-008"/>
    <s v="Consumer"/>
    <s v="West"/>
    <x v="5"/>
    <x v="4"/>
    <n v="9"/>
    <n v="120"/>
    <n v="1080"/>
    <n v="108"/>
    <s v="Large Order"/>
    <s v="Weekday"/>
  </r>
  <r>
    <s v="ORD-2656"/>
    <d v="2024-05-16T00:00:00"/>
    <n v="2024"/>
    <s v="May"/>
    <s v="Thu"/>
    <s v="CUST-150"/>
    <s v="PROD-003"/>
    <s v="Corporate"/>
    <s v="North"/>
    <x v="2"/>
    <x v="1"/>
    <n v="19"/>
    <n v="120"/>
    <n v="2280"/>
    <n v="228"/>
    <s v="Large Order"/>
    <s v="Weekday"/>
  </r>
  <r>
    <s v="ORD-2657"/>
    <d v="2024-12-22T00:00:00"/>
    <n v="2024"/>
    <s v="Dec"/>
    <s v="Sun"/>
    <s v="CUST-128"/>
    <s v="PROD-010"/>
    <s v="Home Office"/>
    <s v="North"/>
    <x v="0"/>
    <x v="0"/>
    <n v="3"/>
    <n v="120"/>
    <n v="360"/>
    <n v="36"/>
    <s v="Standard Order"/>
    <s v="Weekend"/>
  </r>
  <r>
    <s v="ORD-2658"/>
    <d v="2024-07-12T00:00:00"/>
    <n v="2024"/>
    <s v="Jul"/>
    <s v="Fri"/>
    <s v="CUST-170"/>
    <s v="PROD-016"/>
    <s v="Consumer"/>
    <s v="North"/>
    <x v="0"/>
    <x v="2"/>
    <n v="3"/>
    <n v="120"/>
    <n v="360"/>
    <n v="36"/>
    <s v="Standard Order"/>
    <s v="Weekday"/>
  </r>
  <r>
    <s v="ORD-2659"/>
    <d v="2024-08-10T00:00:00"/>
    <n v="2024"/>
    <s v="Aug"/>
    <s v="Sat"/>
    <s v="CUST-182"/>
    <s v="PROD-011"/>
    <s v="Home Office"/>
    <s v="North"/>
    <x v="0"/>
    <x v="4"/>
    <n v="2"/>
    <n v="120"/>
    <n v="240"/>
    <n v="24"/>
    <s v="Standard Order"/>
    <s v="Weekend"/>
  </r>
  <r>
    <s v="ORD-2660"/>
    <d v="2024-12-20T00:00:00"/>
    <n v="2024"/>
    <s v="Dec"/>
    <s v="Fri"/>
    <s v="CUST-172"/>
    <s v="PROD-016"/>
    <s v="Corporate"/>
    <s v="East"/>
    <x v="0"/>
    <x v="0"/>
    <n v="9"/>
    <n v="120"/>
    <n v="1080"/>
    <n v="108"/>
    <s v="Large Order"/>
    <s v="Weekday"/>
  </r>
  <r>
    <s v="ORD-2661"/>
    <d v="2024-10-15T00:00:00"/>
    <n v="2024"/>
    <s v="Oct"/>
    <s v="Tue"/>
    <s v="CUST-184"/>
    <s v="PROD-002"/>
    <s v="Consumer"/>
    <s v="South"/>
    <x v="3"/>
    <x v="0"/>
    <n v="7"/>
    <n v="120"/>
    <n v="840"/>
    <n v="84"/>
    <s v="Large Order"/>
    <s v="Weekday"/>
  </r>
  <r>
    <s v="ORD-2662"/>
    <d v="2024-12-30T00:00:00"/>
    <n v="2024"/>
    <s v="Dec"/>
    <s v="Mon"/>
    <s v="CUST-150"/>
    <s v="PROD-003"/>
    <s v="Corporate"/>
    <s v="West"/>
    <x v="4"/>
    <x v="4"/>
    <n v="8"/>
    <n v="120"/>
    <n v="960"/>
    <n v="96"/>
    <s v="Large Order"/>
    <s v="Weekday"/>
  </r>
  <r>
    <s v="ORD-2663"/>
    <d v="2024-07-18T00:00:00"/>
    <n v="2024"/>
    <s v="Jul"/>
    <s v="Thu"/>
    <s v="CUST-186"/>
    <s v="PROD-018"/>
    <s v="Corporate"/>
    <s v="South"/>
    <x v="2"/>
    <x v="2"/>
    <n v="3"/>
    <n v="120"/>
    <n v="360"/>
    <n v="36"/>
    <s v="Standard Order"/>
    <s v="Weekday"/>
  </r>
  <r>
    <s v="ORD-2664"/>
    <d v="2024-06-26T00:00:00"/>
    <n v="2024"/>
    <s v="Jun"/>
    <s v="Wed"/>
    <s v="CUST-106"/>
    <s v="PROD-004"/>
    <s v="Corporate"/>
    <s v="North"/>
    <x v="4"/>
    <x v="0"/>
    <n v="11"/>
    <n v="120"/>
    <n v="1320"/>
    <n v="132"/>
    <s v="Large Order"/>
    <s v="Weekday"/>
  </r>
  <r>
    <s v="ORD-2665"/>
    <d v="2024-11-10T00:00:00"/>
    <n v="2024"/>
    <s v="Nov"/>
    <s v="Sun"/>
    <s v="CUST-176"/>
    <s v="PROD-013"/>
    <s v="Corporate"/>
    <s v="South"/>
    <x v="0"/>
    <x v="3"/>
    <n v="15"/>
    <n v="120"/>
    <n v="1800"/>
    <n v="180"/>
    <s v="Large Order"/>
    <s v="Weekend"/>
  </r>
  <r>
    <s v="ORD-2666"/>
    <d v="2024-07-01T00:00:00"/>
    <n v="2024"/>
    <s v="Jul"/>
    <s v="Mon"/>
    <s v="CUST-170"/>
    <s v="PROD-013"/>
    <s v="Corporate"/>
    <s v="North"/>
    <x v="4"/>
    <x v="4"/>
    <n v="13"/>
    <n v="120"/>
    <n v="1560"/>
    <n v="156"/>
    <s v="Large Order"/>
    <s v="Weekday"/>
  </r>
  <r>
    <s v="ORD-2667"/>
    <d v="2024-11-12T00:00:00"/>
    <n v="2024"/>
    <s v="Nov"/>
    <s v="Tue"/>
    <s v="CUST-137"/>
    <s v="PROD-008"/>
    <s v="Home Office"/>
    <s v="West"/>
    <x v="0"/>
    <x v="0"/>
    <n v="9"/>
    <n v="120"/>
    <n v="1080"/>
    <n v="108"/>
    <s v="Large Order"/>
    <s v="Weekday"/>
  </r>
  <r>
    <s v="ORD-2668"/>
    <d v="2024-12-30T00:00:00"/>
    <n v="2024"/>
    <s v="Dec"/>
    <s v="Mon"/>
    <s v="CUST-200"/>
    <s v="PROD-021"/>
    <s v="Consumer"/>
    <s v="East"/>
    <x v="2"/>
    <x v="3"/>
    <n v="12"/>
    <n v="120"/>
    <n v="1440"/>
    <n v="144"/>
    <s v="Large Order"/>
    <s v="Weekday"/>
  </r>
  <r>
    <s v="ORD-2669"/>
    <d v="2024-01-03T00:00:00"/>
    <n v="2024"/>
    <s v="Jan"/>
    <s v="Wed"/>
    <s v="CUST-139"/>
    <s v="PROD-015"/>
    <s v="Corporate"/>
    <s v="Central"/>
    <x v="3"/>
    <x v="0"/>
    <n v="5"/>
    <n v="120"/>
    <n v="600"/>
    <n v="60"/>
    <s v="Large Order"/>
    <s v="Weekday"/>
  </r>
  <r>
    <s v="ORD-2670"/>
    <d v="2024-08-08T00:00:00"/>
    <n v="2024"/>
    <s v="Aug"/>
    <s v="Thu"/>
    <s v="CUST-157"/>
    <s v="PROD-018"/>
    <s v="Home Office"/>
    <s v="Central"/>
    <x v="5"/>
    <x v="1"/>
    <n v="4"/>
    <n v="120"/>
    <n v="480"/>
    <n v="48"/>
    <s v="Standard Order"/>
    <s v="Weekday"/>
  </r>
  <r>
    <s v="ORD-2671"/>
    <d v="2024-06-30T00:00:00"/>
    <n v="2024"/>
    <s v="Jun"/>
    <s v="Sun"/>
    <s v="CUST-170"/>
    <s v="PROD-003"/>
    <s v="Home Office"/>
    <s v="Central"/>
    <x v="5"/>
    <x v="3"/>
    <n v="13"/>
    <n v="120"/>
    <n v="1560"/>
    <n v="156"/>
    <s v="Large Order"/>
    <s v="Weekend"/>
  </r>
  <r>
    <s v="ORD-2672"/>
    <d v="2024-07-30T00:00:00"/>
    <n v="2024"/>
    <s v="Jul"/>
    <s v="Tue"/>
    <s v="CUST-149"/>
    <s v="PROD-025"/>
    <s v="Consumer"/>
    <s v="East"/>
    <x v="5"/>
    <x v="2"/>
    <n v="19"/>
    <n v="120"/>
    <n v="2280"/>
    <n v="228"/>
    <s v="Large Order"/>
    <s v="Weekday"/>
  </r>
  <r>
    <s v="ORD-2673"/>
    <d v="2024-12-16T00:00:00"/>
    <n v="2024"/>
    <s v="Dec"/>
    <s v="Mon"/>
    <s v="CUST-148"/>
    <s v="PROD-006"/>
    <s v="Consumer"/>
    <s v="West"/>
    <x v="3"/>
    <x v="3"/>
    <n v="9"/>
    <n v="120"/>
    <n v="1080"/>
    <n v="108"/>
    <s v="Large Order"/>
    <s v="Weekday"/>
  </r>
  <r>
    <s v="ORD-2674"/>
    <d v="2024-02-02T00:00:00"/>
    <n v="2024"/>
    <s v="Feb"/>
    <s v="Fri"/>
    <s v="CUST-121"/>
    <s v="PROD-014"/>
    <s v="Corporate"/>
    <s v="West"/>
    <x v="2"/>
    <x v="3"/>
    <n v="16"/>
    <n v="120"/>
    <n v="1920"/>
    <n v="192"/>
    <s v="Large Order"/>
    <s v="Weekday"/>
  </r>
  <r>
    <s v="ORD-2675"/>
    <d v="2024-07-03T00:00:00"/>
    <n v="2024"/>
    <s v="Jul"/>
    <s v="Wed"/>
    <s v="CUST-132"/>
    <s v="PROD-008"/>
    <s v="Home Office"/>
    <s v="West"/>
    <x v="2"/>
    <x v="4"/>
    <n v="20"/>
    <n v="120"/>
    <n v="2400"/>
    <n v="240"/>
    <s v="Large Order"/>
    <s v="Weekday"/>
  </r>
  <r>
    <s v="ORD-2676"/>
    <d v="2024-02-24T00:00:00"/>
    <n v="2024"/>
    <s v="Feb"/>
    <s v="Sat"/>
    <s v="CUST-117"/>
    <s v="PROD-010"/>
    <s v="Consumer"/>
    <s v="Central"/>
    <x v="2"/>
    <x v="3"/>
    <n v="20"/>
    <n v="120"/>
    <n v="2400"/>
    <n v="240"/>
    <s v="Large Order"/>
    <s v="Weekend"/>
  </r>
  <r>
    <s v="ORD-2677"/>
    <d v="2024-06-17T00:00:00"/>
    <n v="2024"/>
    <s v="Jun"/>
    <s v="Mon"/>
    <s v="CUST-156"/>
    <s v="PROD-011"/>
    <s v="Corporate"/>
    <s v="South"/>
    <x v="5"/>
    <x v="2"/>
    <n v="10"/>
    <n v="120"/>
    <n v="1200"/>
    <n v="120"/>
    <s v="Large Order"/>
    <s v="Weekday"/>
  </r>
  <r>
    <s v="ORD-2678"/>
    <d v="2024-12-21T00:00:00"/>
    <n v="2024"/>
    <s v="Dec"/>
    <s v="Sat"/>
    <s v="CUST-125"/>
    <s v="PROD-016"/>
    <s v="Corporate"/>
    <s v="South"/>
    <x v="4"/>
    <x v="1"/>
    <n v="11"/>
    <n v="120"/>
    <n v="1320"/>
    <n v="132"/>
    <s v="Large Order"/>
    <s v="Weekend"/>
  </r>
  <r>
    <s v="ORD-2679"/>
    <d v="2024-12-21T00:00:00"/>
    <n v="2024"/>
    <s v="Dec"/>
    <s v="Sat"/>
    <s v="CUST-181"/>
    <s v="PROD-016"/>
    <s v="Home Office"/>
    <s v="South"/>
    <x v="4"/>
    <x v="3"/>
    <n v="13"/>
    <n v="120"/>
    <n v="1560"/>
    <n v="156"/>
    <s v="Large Order"/>
    <s v="Weekend"/>
  </r>
  <r>
    <s v="ORD-2680"/>
    <d v="2024-07-20T00:00:00"/>
    <n v="2024"/>
    <s v="Jul"/>
    <s v="Sat"/>
    <s v="CUST-146"/>
    <s v="PROD-004"/>
    <s v="Home Office"/>
    <s v="South"/>
    <x v="4"/>
    <x v="4"/>
    <n v="18"/>
    <n v="120"/>
    <n v="2160"/>
    <n v="216"/>
    <s v="Large Order"/>
    <s v="Weekend"/>
  </r>
  <r>
    <s v="ORD-2681"/>
    <d v="2024-10-08T00:00:00"/>
    <n v="2024"/>
    <s v="Oct"/>
    <s v="Tue"/>
    <s v="CUST-103"/>
    <s v="PROD-024"/>
    <s v="Corporate"/>
    <s v="South"/>
    <x v="4"/>
    <x v="1"/>
    <n v="10"/>
    <n v="120"/>
    <n v="1200"/>
    <n v="120"/>
    <s v="Large Order"/>
    <s v="Weekday"/>
  </r>
  <r>
    <s v="ORD-2682"/>
    <d v="2024-02-05T00:00:00"/>
    <n v="2024"/>
    <s v="Feb"/>
    <s v="Mon"/>
    <s v="CUST-152"/>
    <s v="PROD-022"/>
    <s v="Corporate"/>
    <s v="North"/>
    <x v="4"/>
    <x v="3"/>
    <n v="8"/>
    <n v="120"/>
    <n v="960"/>
    <n v="96"/>
    <s v="Large Order"/>
    <s v="Weekday"/>
  </r>
  <r>
    <s v="ORD-2683"/>
    <d v="2024-03-19T00:00:00"/>
    <n v="2024"/>
    <s v="Mar"/>
    <s v="Tue"/>
    <s v="CUST-191"/>
    <s v="PROD-014"/>
    <s v="Corporate"/>
    <s v="West"/>
    <x v="0"/>
    <x v="1"/>
    <n v="20"/>
    <n v="120"/>
    <n v="2400"/>
    <n v="240"/>
    <s v="Large Order"/>
    <s v="Weekday"/>
  </r>
  <r>
    <s v="ORD-2684"/>
    <d v="2024-07-24T00:00:00"/>
    <n v="2024"/>
    <s v="Jul"/>
    <s v="Wed"/>
    <s v="CUST-168"/>
    <s v="PROD-017"/>
    <s v="Home Office"/>
    <s v="North"/>
    <x v="2"/>
    <x v="4"/>
    <n v="2"/>
    <n v="120"/>
    <n v="240"/>
    <n v="24"/>
    <s v="Standard Order"/>
    <s v="Weekday"/>
  </r>
  <r>
    <s v="ORD-2685"/>
    <d v="2024-07-03T00:00:00"/>
    <n v="2024"/>
    <s v="Jul"/>
    <s v="Wed"/>
    <s v="CUST-189"/>
    <s v="PROD-018"/>
    <s v="Home Office"/>
    <s v="North"/>
    <x v="0"/>
    <x v="0"/>
    <n v="8"/>
    <n v="120"/>
    <n v="960"/>
    <n v="96"/>
    <s v="Large Order"/>
    <s v="Weekday"/>
  </r>
  <r>
    <s v="ORD-2686"/>
    <d v="2024-06-30T00:00:00"/>
    <n v="2024"/>
    <s v="Jun"/>
    <s v="Sun"/>
    <s v="CUST-121"/>
    <s v="PROD-021"/>
    <s v="Home Office"/>
    <s v="North"/>
    <x v="0"/>
    <x v="4"/>
    <n v="13"/>
    <n v="120"/>
    <n v="1560"/>
    <n v="156"/>
    <s v="Large Order"/>
    <s v="Weekend"/>
  </r>
  <r>
    <s v="ORD-2687"/>
    <d v="2024-06-18T00:00:00"/>
    <n v="2024"/>
    <s v="Jun"/>
    <s v="Tue"/>
    <s v="CUST-155"/>
    <s v="PROD-004"/>
    <s v="Consumer"/>
    <s v="Central"/>
    <x v="0"/>
    <x v="3"/>
    <n v="8"/>
    <n v="120"/>
    <n v="960"/>
    <n v="96"/>
    <s v="Large Order"/>
    <s v="Weekday"/>
  </r>
  <r>
    <s v="ORD-2688"/>
    <d v="2024-09-22T00:00:00"/>
    <n v="2024"/>
    <s v="Sep"/>
    <s v="Sun"/>
    <s v="CUST-171"/>
    <s v="PROD-019"/>
    <s v="Home Office"/>
    <s v="Central"/>
    <x v="5"/>
    <x v="2"/>
    <n v="15"/>
    <n v="120"/>
    <n v="1800"/>
    <n v="180"/>
    <s v="Large Order"/>
    <s v="Weekend"/>
  </r>
  <r>
    <s v="ORD-2689"/>
    <d v="2024-08-25T00:00:00"/>
    <n v="2024"/>
    <s v="Aug"/>
    <s v="Sun"/>
    <s v="CUST-198"/>
    <s v="PROD-022"/>
    <s v="Home Office"/>
    <s v="North"/>
    <x v="5"/>
    <x v="2"/>
    <n v="12"/>
    <n v="120"/>
    <n v="1440"/>
    <n v="144"/>
    <s v="Large Order"/>
    <s v="Weekend"/>
  </r>
  <r>
    <s v="ORD-2690"/>
    <d v="2024-09-04T00:00:00"/>
    <n v="2024"/>
    <s v="Sep"/>
    <s v="Wed"/>
    <s v="CUST-113"/>
    <s v="PROD-010"/>
    <s v="Corporate"/>
    <s v="West"/>
    <x v="0"/>
    <x v="0"/>
    <n v="5"/>
    <n v="120"/>
    <n v="600"/>
    <n v="60"/>
    <s v="Large Order"/>
    <s v="Weekday"/>
  </r>
  <r>
    <s v="ORD-2691"/>
    <d v="2024-06-24T00:00:00"/>
    <n v="2024"/>
    <s v="Jun"/>
    <s v="Mon"/>
    <s v="CUST-158"/>
    <s v="PROD-007"/>
    <s v="Home Office"/>
    <s v="East"/>
    <x v="2"/>
    <x v="3"/>
    <n v="16"/>
    <n v="120"/>
    <n v="1920"/>
    <n v="192"/>
    <s v="Large Order"/>
    <s v="Weekday"/>
  </r>
  <r>
    <s v="ORD-2692"/>
    <d v="2024-12-22T00:00:00"/>
    <n v="2024"/>
    <s v="Dec"/>
    <s v="Sun"/>
    <s v="CUST-157"/>
    <s v="PROD-011"/>
    <s v="Consumer"/>
    <s v="South"/>
    <x v="3"/>
    <x v="0"/>
    <n v="4"/>
    <n v="120"/>
    <n v="480"/>
    <n v="48"/>
    <s v="Standard Order"/>
    <s v="Weekend"/>
  </r>
  <r>
    <s v="ORD-2693"/>
    <d v="2024-06-24T00:00:00"/>
    <n v="2024"/>
    <s v="Jun"/>
    <s v="Mon"/>
    <s v="CUST-182"/>
    <s v="PROD-004"/>
    <s v="Home Office"/>
    <s v="West"/>
    <x v="4"/>
    <x v="2"/>
    <n v="17"/>
    <n v="120"/>
    <n v="2040"/>
    <n v="204"/>
    <s v="Large Order"/>
    <s v="Weekday"/>
  </r>
  <r>
    <s v="ORD-2694"/>
    <d v="2024-03-22T00:00:00"/>
    <n v="2024"/>
    <s v="Mar"/>
    <s v="Fri"/>
    <s v="CUST-142"/>
    <s v="PROD-018"/>
    <s v="Corporate"/>
    <s v="West"/>
    <x v="2"/>
    <x v="2"/>
    <n v="13"/>
    <n v="120"/>
    <n v="1560"/>
    <n v="156"/>
    <s v="Large Order"/>
    <s v="Weekday"/>
  </r>
  <r>
    <s v="ORD-2695"/>
    <d v="2024-04-05T00:00:00"/>
    <n v="2024"/>
    <s v="Apr"/>
    <s v="Fri"/>
    <s v="CUST-181"/>
    <s v="PROD-022"/>
    <s v="Corporate"/>
    <s v="North"/>
    <x v="2"/>
    <x v="0"/>
    <n v="20"/>
    <n v="120"/>
    <n v="2400"/>
    <n v="240"/>
    <s v="Large Order"/>
    <s v="Weekday"/>
  </r>
  <r>
    <s v="ORD-2696"/>
    <d v="2024-08-18T00:00:00"/>
    <n v="2024"/>
    <s v="Aug"/>
    <s v="Sun"/>
    <s v="CUST-175"/>
    <s v="PROD-014"/>
    <s v="Corporate"/>
    <s v="Central"/>
    <x v="0"/>
    <x v="2"/>
    <n v="7"/>
    <n v="120"/>
    <n v="840"/>
    <n v="84"/>
    <s v="Large Order"/>
    <s v="Weekend"/>
  </r>
  <r>
    <s v="ORD-2697"/>
    <d v="2024-12-26T00:00:00"/>
    <n v="2024"/>
    <s v="Dec"/>
    <s v="Thu"/>
    <s v="CUST-108"/>
    <s v="PROD-019"/>
    <s v="Consumer"/>
    <s v="West"/>
    <x v="5"/>
    <x v="2"/>
    <n v="12"/>
    <n v="120"/>
    <n v="1440"/>
    <n v="144"/>
    <s v="Large Order"/>
    <s v="Weekday"/>
  </r>
  <r>
    <s v="ORD-2698"/>
    <d v="2024-08-22T00:00:00"/>
    <n v="2024"/>
    <s v="Aug"/>
    <s v="Thu"/>
    <s v="CUST-114"/>
    <s v="PROD-009"/>
    <s v="Home Office"/>
    <s v="East"/>
    <x v="2"/>
    <x v="4"/>
    <n v="11"/>
    <n v="120"/>
    <n v="1320"/>
    <n v="132"/>
    <s v="Large Order"/>
    <s v="Weekday"/>
  </r>
  <r>
    <s v="ORD-2699"/>
    <d v="2024-11-08T00:00:00"/>
    <n v="2024"/>
    <s v="Nov"/>
    <s v="Fri"/>
    <s v="CUST-150"/>
    <s v="PROD-019"/>
    <s v="Consumer"/>
    <s v="Central"/>
    <x v="3"/>
    <x v="3"/>
    <n v="15"/>
    <n v="120"/>
    <n v="1800"/>
    <n v="180"/>
    <s v="Large Order"/>
    <s v="Weekday"/>
  </r>
  <r>
    <s v="ORD-2700"/>
    <d v="2024-12-10T00:00:00"/>
    <n v="2024"/>
    <s v="Dec"/>
    <s v="Tue"/>
    <s v="CUST-190"/>
    <s v="PROD-010"/>
    <s v="Home Office"/>
    <s v="East"/>
    <x v="5"/>
    <x v="0"/>
    <n v="5"/>
    <n v="120"/>
    <n v="600"/>
    <n v="60"/>
    <s v="Large Order"/>
    <s v="Weekday"/>
  </r>
  <r>
    <s v="ORD-2701"/>
    <d v="2024-05-02T00:00:00"/>
    <n v="2024"/>
    <s v="May"/>
    <s v="Thu"/>
    <s v="CUST-139"/>
    <s v="PROD-004"/>
    <s v="Consumer"/>
    <s v="West"/>
    <x v="3"/>
    <x v="2"/>
    <n v="17"/>
    <n v="120"/>
    <n v="2040"/>
    <n v="204"/>
    <s v="Large Order"/>
    <s v="Weekday"/>
  </r>
  <r>
    <s v="ORD-2702"/>
    <d v="2024-11-01T00:00:00"/>
    <n v="2024"/>
    <s v="Nov"/>
    <s v="Fri"/>
    <s v="CUST-117"/>
    <s v="PROD-019"/>
    <s v="Corporate"/>
    <s v="South"/>
    <x v="2"/>
    <x v="2"/>
    <n v="16"/>
    <n v="120"/>
    <n v="1920"/>
    <n v="192"/>
    <s v="Large Order"/>
    <s v="Weekday"/>
  </r>
  <r>
    <s v="ORD-2703"/>
    <d v="2024-12-21T00:00:00"/>
    <n v="2024"/>
    <s v="Dec"/>
    <s v="Sat"/>
    <s v="CUST-182"/>
    <s v="PROD-006"/>
    <s v="Home Office"/>
    <s v="East"/>
    <x v="4"/>
    <x v="1"/>
    <n v="10"/>
    <n v="120"/>
    <n v="1200"/>
    <n v="120"/>
    <s v="Large Order"/>
    <s v="Weekend"/>
  </r>
  <r>
    <s v="ORD-2704"/>
    <d v="2024-06-10T00:00:00"/>
    <n v="2024"/>
    <s v="Jun"/>
    <s v="Mon"/>
    <s v="CUST-157"/>
    <s v="PROD-020"/>
    <s v="Consumer"/>
    <s v="West"/>
    <x v="3"/>
    <x v="0"/>
    <n v="16"/>
    <n v="120"/>
    <n v="1920"/>
    <n v="192"/>
    <s v="Large Order"/>
    <s v="Weekday"/>
  </r>
  <r>
    <s v="ORD-2705"/>
    <d v="2024-07-15T00:00:00"/>
    <n v="2024"/>
    <s v="Jul"/>
    <s v="Mon"/>
    <s v="CUST-171"/>
    <s v="PROD-017"/>
    <s v="Home Office"/>
    <s v="Central"/>
    <x v="2"/>
    <x v="1"/>
    <n v="16"/>
    <n v="120"/>
    <n v="1920"/>
    <n v="192"/>
    <s v="Large Order"/>
    <s v="Weekday"/>
  </r>
  <r>
    <s v="ORD-2706"/>
    <d v="2024-08-15T00:00:00"/>
    <n v="2024"/>
    <s v="Aug"/>
    <s v="Thu"/>
    <s v="CUST-162"/>
    <s v="PROD-006"/>
    <s v="Consumer"/>
    <s v="South"/>
    <x v="5"/>
    <x v="0"/>
    <n v="8"/>
    <n v="120"/>
    <n v="960"/>
    <n v="96"/>
    <s v="Large Order"/>
    <s v="Weekday"/>
  </r>
  <r>
    <s v="ORD-2707"/>
    <d v="2024-05-20T00:00:00"/>
    <n v="2024"/>
    <s v="May"/>
    <s v="Mon"/>
    <s v="CUST-128"/>
    <s v="PROD-018"/>
    <s v="Corporate"/>
    <s v="Central"/>
    <x v="4"/>
    <x v="1"/>
    <n v="19"/>
    <n v="120"/>
    <n v="2280"/>
    <n v="228"/>
    <s v="Large Order"/>
    <s v="Weekday"/>
  </r>
  <r>
    <s v="ORD-2708"/>
    <d v="2024-09-10T00:00:00"/>
    <n v="2024"/>
    <s v="Sep"/>
    <s v="Tue"/>
    <s v="CUST-170"/>
    <s v="PROD-017"/>
    <s v="Consumer"/>
    <s v="West"/>
    <x v="5"/>
    <x v="0"/>
    <n v="9"/>
    <n v="120"/>
    <n v="1080"/>
    <n v="108"/>
    <s v="Large Order"/>
    <s v="Weekday"/>
  </r>
  <r>
    <s v="ORD-2709"/>
    <d v="2024-07-06T00:00:00"/>
    <n v="2024"/>
    <s v="Jul"/>
    <s v="Sat"/>
    <s v="CUST-169"/>
    <s v="PROD-025"/>
    <s v="Consumer"/>
    <s v="East"/>
    <x v="2"/>
    <x v="4"/>
    <n v="7"/>
    <n v="120"/>
    <n v="840"/>
    <n v="84"/>
    <s v="Large Order"/>
    <s v="Weekend"/>
  </r>
  <r>
    <s v="ORD-2710"/>
    <d v="2024-02-22T00:00:00"/>
    <n v="2024"/>
    <s v="Feb"/>
    <s v="Thu"/>
    <s v="CUST-194"/>
    <s v="PROD-021"/>
    <s v="Consumer"/>
    <s v="South"/>
    <x v="3"/>
    <x v="0"/>
    <n v="15"/>
    <n v="120"/>
    <n v="1800"/>
    <n v="180"/>
    <s v="Large Order"/>
    <s v="Weekday"/>
  </r>
  <r>
    <s v="ORD-2711"/>
    <d v="2024-02-14T00:00:00"/>
    <n v="2024"/>
    <s v="Feb"/>
    <s v="Wed"/>
    <s v="CUST-156"/>
    <s v="PROD-004"/>
    <s v="Consumer"/>
    <s v="Central"/>
    <x v="4"/>
    <x v="4"/>
    <n v="12"/>
    <n v="120"/>
    <n v="1440"/>
    <n v="144"/>
    <s v="Large Order"/>
    <s v="Weekday"/>
  </r>
  <r>
    <s v="ORD-2712"/>
    <d v="2024-11-08T00:00:00"/>
    <n v="2024"/>
    <s v="Nov"/>
    <s v="Fri"/>
    <s v="CUST-180"/>
    <s v="PROD-014"/>
    <s v="Consumer"/>
    <s v="East"/>
    <x v="5"/>
    <x v="2"/>
    <n v="7"/>
    <n v="120"/>
    <n v="840"/>
    <n v="84"/>
    <s v="Large Order"/>
    <s v="Weekday"/>
  </r>
  <r>
    <s v="ORD-2713"/>
    <d v="2024-01-31T00:00:00"/>
    <n v="2024"/>
    <s v="Jan"/>
    <s v="Wed"/>
    <s v="CUST-172"/>
    <s v="PROD-012"/>
    <s v="Home Office"/>
    <s v="East"/>
    <x v="3"/>
    <x v="4"/>
    <n v="18"/>
    <n v="120"/>
    <n v="2160"/>
    <n v="216"/>
    <s v="Large Order"/>
    <s v="Weekday"/>
  </r>
  <r>
    <s v="ORD-2714"/>
    <d v="2024-12-26T00:00:00"/>
    <n v="2024"/>
    <s v="Dec"/>
    <s v="Thu"/>
    <s v="CUST-137"/>
    <s v="PROD-010"/>
    <s v="Home Office"/>
    <s v="South"/>
    <x v="3"/>
    <x v="4"/>
    <n v="4"/>
    <n v="120"/>
    <n v="480"/>
    <n v="48"/>
    <s v="Standard Order"/>
    <s v="Weekday"/>
  </r>
  <r>
    <s v="ORD-2715"/>
    <d v="2024-07-29T00:00:00"/>
    <n v="2024"/>
    <s v="Jul"/>
    <s v="Mon"/>
    <s v="CUST-107"/>
    <s v="PROD-009"/>
    <s v="Home Office"/>
    <s v="West"/>
    <x v="4"/>
    <x v="2"/>
    <n v="8"/>
    <n v="120"/>
    <n v="960"/>
    <n v="96"/>
    <s v="Large Order"/>
    <s v="Weekday"/>
  </r>
  <r>
    <s v="ORD-2716"/>
    <d v="2024-06-13T00:00:00"/>
    <n v="2024"/>
    <s v="Jun"/>
    <s v="Thu"/>
    <s v="CUST-131"/>
    <s v="PROD-025"/>
    <s v="Home Office"/>
    <s v="West"/>
    <x v="2"/>
    <x v="1"/>
    <n v="5"/>
    <n v="120"/>
    <n v="600"/>
    <n v="60"/>
    <s v="Large Order"/>
    <s v="Weekday"/>
  </r>
  <r>
    <s v="ORD-2717"/>
    <d v="2024-05-17T00:00:00"/>
    <n v="2024"/>
    <s v="May"/>
    <s v="Fri"/>
    <s v="CUST-180"/>
    <s v="PROD-014"/>
    <s v="Corporate"/>
    <s v="West"/>
    <x v="2"/>
    <x v="0"/>
    <n v="3"/>
    <n v="120"/>
    <n v="360"/>
    <n v="36"/>
    <s v="Standard Order"/>
    <s v="Weekday"/>
  </r>
  <r>
    <s v="ORD-2718"/>
    <d v="2024-05-22T00:00:00"/>
    <n v="2024"/>
    <s v="May"/>
    <s v="Wed"/>
    <s v="CUST-188"/>
    <s v="PROD-012"/>
    <s v="Corporate"/>
    <s v="East"/>
    <x v="2"/>
    <x v="3"/>
    <n v="19"/>
    <n v="120"/>
    <n v="2280"/>
    <n v="228"/>
    <s v="Large Order"/>
    <s v="Weekday"/>
  </r>
  <r>
    <s v="ORD-2719"/>
    <d v="2024-02-17T00:00:00"/>
    <n v="2024"/>
    <s v="Feb"/>
    <s v="Sat"/>
    <s v="CUST-193"/>
    <s v="PROD-015"/>
    <s v="Home Office"/>
    <s v="East"/>
    <x v="3"/>
    <x v="0"/>
    <n v="18"/>
    <n v="120"/>
    <n v="2160"/>
    <n v="216"/>
    <s v="Large Order"/>
    <s v="Weekend"/>
  </r>
  <r>
    <s v="ORD-2720"/>
    <d v="2024-08-07T00:00:00"/>
    <n v="2024"/>
    <s v="Aug"/>
    <s v="Wed"/>
    <s v="CUST-127"/>
    <s v="PROD-016"/>
    <s v="Corporate"/>
    <s v="North"/>
    <x v="3"/>
    <x v="3"/>
    <n v="11"/>
    <n v="120"/>
    <n v="1320"/>
    <n v="132"/>
    <s v="Large Order"/>
    <s v="Weekday"/>
  </r>
  <r>
    <s v="ORD-2721"/>
    <d v="2024-03-07T00:00:00"/>
    <n v="2024"/>
    <s v="Mar"/>
    <s v="Thu"/>
    <s v="CUST-172"/>
    <s v="PROD-016"/>
    <s v="Corporate"/>
    <s v="West"/>
    <x v="0"/>
    <x v="0"/>
    <n v="4"/>
    <n v="120"/>
    <n v="480"/>
    <n v="48"/>
    <s v="Standard Order"/>
    <s v="Weekday"/>
  </r>
  <r>
    <s v="ORD-2722"/>
    <d v="2024-08-23T00:00:00"/>
    <n v="2024"/>
    <s v="Aug"/>
    <s v="Fri"/>
    <s v="CUST-102"/>
    <s v="PROD-004"/>
    <s v="Consumer"/>
    <s v="East"/>
    <x v="2"/>
    <x v="1"/>
    <n v="1"/>
    <n v="120"/>
    <n v="120"/>
    <n v="12"/>
    <s v="Standard Order"/>
    <s v="Weekday"/>
  </r>
  <r>
    <s v="ORD-2723"/>
    <d v="2024-08-07T00:00:00"/>
    <n v="2024"/>
    <s v="Aug"/>
    <s v="Wed"/>
    <s v="CUST-125"/>
    <s v="PROD-023"/>
    <s v="Consumer"/>
    <s v="South"/>
    <x v="3"/>
    <x v="2"/>
    <n v="9"/>
    <n v="120"/>
    <n v="1080"/>
    <n v="108"/>
    <s v="Large Order"/>
    <s v="Weekday"/>
  </r>
  <r>
    <s v="ORD-2724"/>
    <d v="2024-07-03T00:00:00"/>
    <n v="2024"/>
    <s v="Jul"/>
    <s v="Wed"/>
    <s v="CUST-132"/>
    <s v="PROD-003"/>
    <s v="Corporate"/>
    <s v="North"/>
    <x v="4"/>
    <x v="0"/>
    <n v="13"/>
    <n v="120"/>
    <n v="1560"/>
    <n v="156"/>
    <s v="Large Order"/>
    <s v="Weekday"/>
  </r>
  <r>
    <s v="ORD-2725"/>
    <d v="2024-12-24T00:00:00"/>
    <n v="2024"/>
    <s v="Dec"/>
    <s v="Tue"/>
    <s v="CUST-196"/>
    <s v="PROD-008"/>
    <s v="Corporate"/>
    <s v="Central"/>
    <x v="0"/>
    <x v="0"/>
    <n v="1"/>
    <n v="120"/>
    <n v="120"/>
    <n v="12"/>
    <s v="Standard Order"/>
    <s v="Weekday"/>
  </r>
  <r>
    <s v="ORD-2726"/>
    <d v="2024-02-09T00:00:00"/>
    <n v="2024"/>
    <s v="Feb"/>
    <s v="Fri"/>
    <s v="CUST-116"/>
    <s v="PROD-019"/>
    <s v="Consumer"/>
    <s v="South"/>
    <x v="5"/>
    <x v="1"/>
    <n v="1"/>
    <n v="120"/>
    <n v="120"/>
    <n v="12"/>
    <s v="Standard Order"/>
    <s v="Weekday"/>
  </r>
  <r>
    <s v="ORD-2727"/>
    <d v="2024-06-24T00:00:00"/>
    <n v="2024"/>
    <s v="Jun"/>
    <s v="Mon"/>
    <s v="CUST-115"/>
    <s v="PROD-014"/>
    <s v="Home Office"/>
    <s v="East"/>
    <x v="4"/>
    <x v="1"/>
    <n v="3"/>
    <n v="120"/>
    <n v="360"/>
    <n v="36"/>
    <s v="Standard Order"/>
    <s v="Weekday"/>
  </r>
  <r>
    <s v="ORD-2728"/>
    <d v="2024-02-15T00:00:00"/>
    <n v="2024"/>
    <s v="Feb"/>
    <s v="Thu"/>
    <s v="CUST-193"/>
    <s v="PROD-004"/>
    <s v="Consumer"/>
    <s v="North"/>
    <x v="3"/>
    <x v="3"/>
    <n v="10"/>
    <n v="120"/>
    <n v="1200"/>
    <n v="120"/>
    <s v="Large Order"/>
    <s v="Weekday"/>
  </r>
  <r>
    <s v="ORD-2729"/>
    <d v="2024-03-09T00:00:00"/>
    <n v="2024"/>
    <s v="Mar"/>
    <s v="Sat"/>
    <s v="CUST-182"/>
    <s v="PROD-022"/>
    <s v="Consumer"/>
    <s v="South"/>
    <x v="0"/>
    <x v="4"/>
    <n v="19"/>
    <n v="120"/>
    <n v="2280"/>
    <n v="228"/>
    <s v="Large Order"/>
    <s v="Weekend"/>
  </r>
  <r>
    <s v="ORD-2730"/>
    <d v="2024-11-28T00:00:00"/>
    <n v="2024"/>
    <s v="Nov"/>
    <s v="Thu"/>
    <s v="CUST-121"/>
    <s v="PROD-015"/>
    <s v="Corporate"/>
    <s v="South"/>
    <x v="4"/>
    <x v="2"/>
    <n v="14"/>
    <n v="120"/>
    <n v="1680"/>
    <n v="168"/>
    <s v="Large Order"/>
    <s v="Weekday"/>
  </r>
  <r>
    <s v="ORD-2731"/>
    <d v="2024-08-14T00:00:00"/>
    <n v="2024"/>
    <s v="Aug"/>
    <s v="Wed"/>
    <s v="CUST-127"/>
    <s v="PROD-003"/>
    <s v="Consumer"/>
    <s v="South"/>
    <x v="4"/>
    <x v="0"/>
    <n v="19"/>
    <n v="120"/>
    <n v="2280"/>
    <n v="228"/>
    <s v="Large Order"/>
    <s v="Weekday"/>
  </r>
  <r>
    <s v="ORD-2732"/>
    <d v="2024-06-28T00:00:00"/>
    <n v="2024"/>
    <s v="Jun"/>
    <s v="Fri"/>
    <s v="CUST-154"/>
    <s v="PROD-011"/>
    <s v="Consumer"/>
    <s v="East"/>
    <x v="4"/>
    <x v="3"/>
    <n v="3"/>
    <n v="120"/>
    <n v="360"/>
    <n v="36"/>
    <s v="Standard Order"/>
    <s v="Weekday"/>
  </r>
  <r>
    <s v="ORD-2733"/>
    <d v="2024-11-03T00:00:00"/>
    <n v="2024"/>
    <s v="Nov"/>
    <s v="Sun"/>
    <s v="CUST-176"/>
    <s v="PROD-024"/>
    <s v="Home Office"/>
    <s v="West"/>
    <x v="3"/>
    <x v="0"/>
    <n v="10"/>
    <n v="120"/>
    <n v="1200"/>
    <n v="120"/>
    <s v="Large Order"/>
    <s v="Weekend"/>
  </r>
  <r>
    <s v="ORD-2734"/>
    <d v="2024-11-06T00:00:00"/>
    <n v="2024"/>
    <s v="Nov"/>
    <s v="Wed"/>
    <s v="CUST-165"/>
    <s v="PROD-007"/>
    <s v="Home Office"/>
    <s v="South"/>
    <x v="2"/>
    <x v="3"/>
    <n v="2"/>
    <n v="120"/>
    <n v="240"/>
    <n v="24"/>
    <s v="Standard Order"/>
    <s v="Weekday"/>
  </r>
  <r>
    <s v="ORD-2735"/>
    <d v="2024-05-02T00:00:00"/>
    <n v="2024"/>
    <s v="May"/>
    <s v="Thu"/>
    <s v="CUST-163"/>
    <s v="PROD-013"/>
    <s v="Consumer"/>
    <s v="West"/>
    <x v="4"/>
    <x v="1"/>
    <n v="20"/>
    <n v="120"/>
    <n v="2400"/>
    <n v="240"/>
    <s v="Large Order"/>
    <s v="Weekday"/>
  </r>
  <r>
    <s v="ORD-2736"/>
    <d v="2024-01-07T00:00:00"/>
    <n v="2024"/>
    <s v="Jan"/>
    <s v="Sun"/>
    <s v="CUST-146"/>
    <s v="PROD-011"/>
    <s v="Consumer"/>
    <s v="North"/>
    <x v="2"/>
    <x v="4"/>
    <n v="14"/>
    <n v="120"/>
    <n v="1680"/>
    <n v="168"/>
    <s v="Large Order"/>
    <s v="Weekend"/>
  </r>
  <r>
    <s v="ORD-2737"/>
    <d v="2024-12-15T00:00:00"/>
    <n v="2024"/>
    <s v="Dec"/>
    <s v="Sun"/>
    <s v="CUST-122"/>
    <s v="PROD-025"/>
    <s v="Corporate"/>
    <s v="West"/>
    <x v="0"/>
    <x v="0"/>
    <n v="19"/>
    <n v="120"/>
    <n v="2280"/>
    <n v="228"/>
    <s v="Large Order"/>
    <s v="Weekend"/>
  </r>
  <r>
    <s v="ORD-2738"/>
    <d v="2024-05-14T00:00:00"/>
    <n v="2024"/>
    <s v="May"/>
    <s v="Tue"/>
    <s v="CUST-127"/>
    <s v="PROD-002"/>
    <s v="Consumer"/>
    <s v="West"/>
    <x v="2"/>
    <x v="4"/>
    <n v="10"/>
    <n v="120"/>
    <n v="1200"/>
    <n v="120"/>
    <s v="Large Order"/>
    <s v="Weekday"/>
  </r>
  <r>
    <s v="ORD-2739"/>
    <d v="2024-09-13T00:00:00"/>
    <n v="2024"/>
    <s v="Sep"/>
    <s v="Fri"/>
    <s v="CUST-198"/>
    <s v="PROD-014"/>
    <s v="Corporate"/>
    <s v="North"/>
    <x v="2"/>
    <x v="0"/>
    <n v="18"/>
    <n v="120"/>
    <n v="2160"/>
    <n v="216"/>
    <s v="Large Order"/>
    <s v="Weekday"/>
  </r>
  <r>
    <s v="ORD-2740"/>
    <d v="2024-03-19T00:00:00"/>
    <n v="2024"/>
    <s v="Mar"/>
    <s v="Tue"/>
    <s v="CUST-135"/>
    <s v="PROD-003"/>
    <s v="Corporate"/>
    <s v="Central"/>
    <x v="0"/>
    <x v="4"/>
    <n v="7"/>
    <n v="120"/>
    <n v="840"/>
    <n v="84"/>
    <s v="Large Order"/>
    <s v="Weekday"/>
  </r>
  <r>
    <s v="ORD-2741"/>
    <d v="2024-03-20T00:00:00"/>
    <n v="2024"/>
    <s v="Mar"/>
    <s v="Wed"/>
    <s v="CUST-168"/>
    <s v="PROD-011"/>
    <s v="Corporate"/>
    <s v="West"/>
    <x v="5"/>
    <x v="0"/>
    <n v="10"/>
    <n v="120"/>
    <n v="1200"/>
    <n v="120"/>
    <s v="Large Order"/>
    <s v="Weekday"/>
  </r>
  <r>
    <s v="ORD-2742"/>
    <d v="2024-05-02T00:00:00"/>
    <n v="2024"/>
    <s v="May"/>
    <s v="Thu"/>
    <s v="CUST-107"/>
    <s v="PROD-008"/>
    <s v="Consumer"/>
    <s v="South"/>
    <x v="2"/>
    <x v="0"/>
    <n v="15"/>
    <n v="120"/>
    <n v="1800"/>
    <n v="180"/>
    <s v="Large Order"/>
    <s v="Weekday"/>
  </r>
  <r>
    <s v="ORD-2743"/>
    <d v="2024-01-29T00:00:00"/>
    <n v="2024"/>
    <s v="Jan"/>
    <s v="Mon"/>
    <s v="CUST-139"/>
    <s v="PROD-022"/>
    <s v="Home Office"/>
    <s v="East"/>
    <x v="4"/>
    <x v="0"/>
    <n v="1"/>
    <n v="120"/>
    <n v="120"/>
    <n v="12"/>
    <s v="Standard Order"/>
    <s v="Weekday"/>
  </r>
  <r>
    <s v="ORD-2744"/>
    <d v="2024-12-25T00:00:00"/>
    <n v="2024"/>
    <s v="Dec"/>
    <s v="Wed"/>
    <s v="CUST-101"/>
    <s v="PROD-006"/>
    <s v="Corporate"/>
    <s v="East"/>
    <x v="3"/>
    <x v="4"/>
    <n v="17"/>
    <n v="120"/>
    <n v="2040"/>
    <n v="204"/>
    <s v="Large Order"/>
    <s v="Weekday"/>
  </r>
  <r>
    <s v="ORD-2745"/>
    <d v="2024-05-12T00:00:00"/>
    <n v="2024"/>
    <s v="May"/>
    <s v="Sun"/>
    <s v="CUST-121"/>
    <s v="PROD-012"/>
    <s v="Consumer"/>
    <s v="East"/>
    <x v="3"/>
    <x v="0"/>
    <n v="1"/>
    <n v="120"/>
    <n v="120"/>
    <n v="12"/>
    <s v="Standard Order"/>
    <s v="Weekend"/>
  </r>
  <r>
    <s v="ORD-2746"/>
    <d v="2024-08-07T00:00:00"/>
    <n v="2024"/>
    <s v="Aug"/>
    <s v="Wed"/>
    <s v="CUST-134"/>
    <s v="PROD-017"/>
    <s v="Consumer"/>
    <s v="Central"/>
    <x v="3"/>
    <x v="4"/>
    <n v="3"/>
    <n v="120"/>
    <n v="360"/>
    <n v="36"/>
    <s v="Standard Order"/>
    <s v="Weekday"/>
  </r>
  <r>
    <s v="ORD-2747"/>
    <d v="2024-09-18T00:00:00"/>
    <n v="2024"/>
    <s v="Sep"/>
    <s v="Wed"/>
    <s v="CUST-146"/>
    <s v="PROD-002"/>
    <s v="Corporate"/>
    <s v="North"/>
    <x v="5"/>
    <x v="2"/>
    <n v="12"/>
    <n v="120"/>
    <n v="1440"/>
    <n v="144"/>
    <s v="Large Order"/>
    <s v="Weekday"/>
  </r>
  <r>
    <s v="ORD-2748"/>
    <d v="2024-02-22T00:00:00"/>
    <n v="2024"/>
    <s v="Feb"/>
    <s v="Thu"/>
    <s v="CUST-173"/>
    <s v="PROD-022"/>
    <s v="Home Office"/>
    <s v="East"/>
    <x v="0"/>
    <x v="2"/>
    <n v="17"/>
    <n v="120"/>
    <n v="2040"/>
    <n v="204"/>
    <s v="Large Order"/>
    <s v="Weekday"/>
  </r>
  <r>
    <s v="ORD-2749"/>
    <d v="2024-01-07T00:00:00"/>
    <n v="2024"/>
    <s v="Jan"/>
    <s v="Sun"/>
    <s v="CUST-131"/>
    <s v="PROD-002"/>
    <s v="Corporate"/>
    <s v="West"/>
    <x v="3"/>
    <x v="1"/>
    <n v="5"/>
    <n v="120"/>
    <n v="600"/>
    <n v="60"/>
    <s v="Large Order"/>
    <s v="Weekend"/>
  </r>
  <r>
    <s v="ORD-2750"/>
    <d v="2024-01-19T00:00:00"/>
    <n v="2024"/>
    <s v="Jan"/>
    <s v="Fri"/>
    <s v="CUST-170"/>
    <s v="PROD-023"/>
    <s v="Home Office"/>
    <s v="East"/>
    <x v="2"/>
    <x v="2"/>
    <n v="11"/>
    <n v="120"/>
    <n v="1320"/>
    <n v="132"/>
    <s v="Large Order"/>
    <s v="Weekday"/>
  </r>
  <r>
    <s v="ORD-2751"/>
    <d v="2024-06-12T00:00:00"/>
    <n v="2024"/>
    <s v="Jun"/>
    <s v="Wed"/>
    <s v="CUST-134"/>
    <s v="PROD-003"/>
    <s v="Home Office"/>
    <s v="North"/>
    <x v="3"/>
    <x v="0"/>
    <n v="17"/>
    <n v="120"/>
    <n v="2040"/>
    <n v="204"/>
    <s v="Large Order"/>
    <s v="Weekday"/>
  </r>
  <r>
    <s v="ORD-2752"/>
    <d v="2024-01-27T00:00:00"/>
    <n v="2024"/>
    <s v="Jan"/>
    <s v="Sat"/>
    <s v="CUST-122"/>
    <s v="PROD-008"/>
    <s v="Home Office"/>
    <s v="North"/>
    <x v="0"/>
    <x v="1"/>
    <n v="3"/>
    <n v="120"/>
    <n v="360"/>
    <n v="36"/>
    <s v="Standard Order"/>
    <s v="Weekend"/>
  </r>
  <r>
    <s v="ORD-2753"/>
    <d v="2024-05-24T00:00:00"/>
    <n v="2024"/>
    <s v="May"/>
    <s v="Fri"/>
    <s v="CUST-199"/>
    <s v="PROD-010"/>
    <s v="Corporate"/>
    <s v="Central"/>
    <x v="0"/>
    <x v="4"/>
    <n v="15"/>
    <n v="120"/>
    <n v="1800"/>
    <n v="180"/>
    <s v="Large Order"/>
    <s v="Weekday"/>
  </r>
  <r>
    <s v="ORD-2754"/>
    <d v="2024-04-12T00:00:00"/>
    <n v="2024"/>
    <s v="Apr"/>
    <s v="Fri"/>
    <s v="CUST-137"/>
    <s v="PROD-019"/>
    <s v="Corporate"/>
    <s v="Central"/>
    <x v="5"/>
    <x v="2"/>
    <n v="15"/>
    <n v="120"/>
    <n v="1800"/>
    <n v="180"/>
    <s v="Large Order"/>
    <s v="Weekday"/>
  </r>
  <r>
    <s v="ORD-2755"/>
    <d v="2024-09-09T00:00:00"/>
    <n v="2024"/>
    <s v="Sep"/>
    <s v="Mon"/>
    <s v="CUST-198"/>
    <s v="PROD-025"/>
    <s v="Consumer"/>
    <s v="East"/>
    <x v="5"/>
    <x v="2"/>
    <n v="5"/>
    <n v="120"/>
    <n v="600"/>
    <n v="60"/>
    <s v="Large Order"/>
    <s v="Weekday"/>
  </r>
  <r>
    <s v="ORD-2756"/>
    <d v="2024-07-28T00:00:00"/>
    <n v="2024"/>
    <s v="Jul"/>
    <s v="Sun"/>
    <s v="CUST-103"/>
    <s v="PROD-008"/>
    <s v="Home Office"/>
    <s v="East"/>
    <x v="3"/>
    <x v="0"/>
    <n v="11"/>
    <n v="120"/>
    <n v="1320"/>
    <n v="132"/>
    <s v="Large Order"/>
    <s v="Weekend"/>
  </r>
  <r>
    <s v="ORD-2757"/>
    <d v="2024-12-02T00:00:00"/>
    <n v="2024"/>
    <s v="Dec"/>
    <s v="Mon"/>
    <s v="CUST-148"/>
    <s v="PROD-024"/>
    <s v="Home Office"/>
    <s v="South"/>
    <x v="3"/>
    <x v="0"/>
    <n v="7"/>
    <n v="120"/>
    <n v="840"/>
    <n v="84"/>
    <s v="Large Order"/>
    <s v="Weekday"/>
  </r>
  <r>
    <s v="ORD-2758"/>
    <d v="2024-05-01T00:00:00"/>
    <n v="2024"/>
    <s v="May"/>
    <s v="Wed"/>
    <s v="CUST-153"/>
    <s v="PROD-016"/>
    <s v="Consumer"/>
    <s v="East"/>
    <x v="4"/>
    <x v="3"/>
    <n v="3"/>
    <n v="120"/>
    <n v="360"/>
    <n v="36"/>
    <s v="Standard Order"/>
    <s v="Weekday"/>
  </r>
  <r>
    <s v="ORD-2759"/>
    <d v="2024-04-28T00:00:00"/>
    <n v="2024"/>
    <s v="Apr"/>
    <s v="Sun"/>
    <s v="CUST-166"/>
    <s v="PROD-014"/>
    <s v="Home Office"/>
    <s v="North"/>
    <x v="3"/>
    <x v="1"/>
    <n v="3"/>
    <n v="120"/>
    <n v="360"/>
    <n v="36"/>
    <s v="Standard Order"/>
    <s v="Weekend"/>
  </r>
  <r>
    <s v="ORD-2760"/>
    <d v="2024-09-15T00:00:00"/>
    <n v="2024"/>
    <s v="Sep"/>
    <s v="Sun"/>
    <s v="CUST-117"/>
    <s v="PROD-021"/>
    <s v="Corporate"/>
    <s v="East"/>
    <x v="0"/>
    <x v="4"/>
    <n v="19"/>
    <n v="120"/>
    <n v="2280"/>
    <n v="228"/>
    <s v="Large Order"/>
    <s v="Weekend"/>
  </r>
  <r>
    <s v="ORD-2761"/>
    <d v="2024-12-05T00:00:00"/>
    <n v="2024"/>
    <s v="Dec"/>
    <s v="Thu"/>
    <s v="CUST-116"/>
    <s v="PROD-008"/>
    <s v="Corporate"/>
    <s v="South"/>
    <x v="3"/>
    <x v="3"/>
    <n v="13"/>
    <n v="120"/>
    <n v="1560"/>
    <n v="156"/>
    <s v="Large Order"/>
    <s v="Weekday"/>
  </r>
  <r>
    <s v="ORD-2762"/>
    <d v="2024-06-16T00:00:00"/>
    <n v="2024"/>
    <s v="Jun"/>
    <s v="Sun"/>
    <s v="CUST-140"/>
    <s v="PROD-015"/>
    <s v="Corporate"/>
    <s v="South"/>
    <x v="4"/>
    <x v="0"/>
    <n v="7"/>
    <n v="120"/>
    <n v="840"/>
    <n v="84"/>
    <s v="Large Order"/>
    <s v="Weekend"/>
  </r>
  <r>
    <s v="ORD-2763"/>
    <d v="2024-10-26T00:00:00"/>
    <n v="2024"/>
    <s v="Oct"/>
    <s v="Sat"/>
    <s v="CUST-113"/>
    <s v="PROD-005"/>
    <s v="Consumer"/>
    <s v="West"/>
    <x v="4"/>
    <x v="1"/>
    <n v="15"/>
    <n v="120"/>
    <n v="1800"/>
    <n v="180"/>
    <s v="Large Order"/>
    <s v="Weekend"/>
  </r>
  <r>
    <s v="ORD-2764"/>
    <d v="2024-03-02T00:00:00"/>
    <n v="2024"/>
    <s v="Mar"/>
    <s v="Sat"/>
    <s v="CUST-168"/>
    <s v="PROD-012"/>
    <s v="Consumer"/>
    <s v="East"/>
    <x v="2"/>
    <x v="3"/>
    <n v="15"/>
    <n v="120"/>
    <n v="1800"/>
    <n v="180"/>
    <s v="Large Order"/>
    <s v="Weekend"/>
  </r>
  <r>
    <s v="ORD-2765"/>
    <d v="2024-03-02T00:00:00"/>
    <n v="2024"/>
    <s v="Mar"/>
    <s v="Sat"/>
    <s v="CUST-111"/>
    <s v="PROD-006"/>
    <s v="Home Office"/>
    <s v="South"/>
    <x v="3"/>
    <x v="4"/>
    <n v="2"/>
    <n v="120"/>
    <n v="240"/>
    <n v="24"/>
    <s v="Standard Order"/>
    <s v="Weekend"/>
  </r>
  <r>
    <s v="ORD-2766"/>
    <d v="2024-06-16T00:00:00"/>
    <n v="2024"/>
    <s v="Jun"/>
    <s v="Sun"/>
    <s v="CUST-118"/>
    <s v="PROD-003"/>
    <s v="Home Office"/>
    <s v="North"/>
    <x v="4"/>
    <x v="3"/>
    <n v="13"/>
    <n v="120"/>
    <n v="1560"/>
    <n v="156"/>
    <s v="Large Order"/>
    <s v="Weekend"/>
  </r>
  <r>
    <s v="ORD-2767"/>
    <d v="2024-12-12T00:00:00"/>
    <n v="2024"/>
    <s v="Dec"/>
    <s v="Thu"/>
    <s v="CUST-138"/>
    <s v="PROD-009"/>
    <s v="Consumer"/>
    <s v="North"/>
    <x v="0"/>
    <x v="1"/>
    <n v="15"/>
    <n v="120"/>
    <n v="1800"/>
    <n v="180"/>
    <s v="Large Order"/>
    <s v="Weekday"/>
  </r>
  <r>
    <s v="ORD-2768"/>
    <d v="2024-10-08T00:00:00"/>
    <n v="2024"/>
    <s v="Oct"/>
    <s v="Tue"/>
    <s v="CUST-131"/>
    <s v="PROD-004"/>
    <s v="Corporate"/>
    <s v="East"/>
    <x v="0"/>
    <x v="2"/>
    <n v="4"/>
    <n v="120"/>
    <n v="480"/>
    <n v="48"/>
    <s v="Standard Order"/>
    <s v="Weekday"/>
  </r>
  <r>
    <s v="ORD-2769"/>
    <d v="2024-04-23T00:00:00"/>
    <n v="2024"/>
    <s v="Apr"/>
    <s v="Tue"/>
    <s v="CUST-116"/>
    <s v="PROD-007"/>
    <s v="Corporate"/>
    <s v="West"/>
    <x v="3"/>
    <x v="0"/>
    <n v="19"/>
    <n v="120"/>
    <n v="2280"/>
    <n v="228"/>
    <s v="Large Order"/>
    <s v="Weekday"/>
  </r>
  <r>
    <s v="ORD-2770"/>
    <d v="2024-02-08T00:00:00"/>
    <n v="2024"/>
    <s v="Feb"/>
    <s v="Thu"/>
    <s v="CUST-102"/>
    <s v="PROD-003"/>
    <s v="Consumer"/>
    <s v="North"/>
    <x v="2"/>
    <x v="2"/>
    <n v="3"/>
    <n v="120"/>
    <n v="360"/>
    <n v="36"/>
    <s v="Standard Order"/>
    <s v="Weekday"/>
  </r>
  <r>
    <s v="ORD-2771"/>
    <d v="2024-06-18T00:00:00"/>
    <n v="2024"/>
    <s v="Jun"/>
    <s v="Tue"/>
    <s v="CUST-115"/>
    <s v="PROD-002"/>
    <s v="Corporate"/>
    <s v="West"/>
    <x v="0"/>
    <x v="2"/>
    <n v="19"/>
    <n v="120"/>
    <n v="2280"/>
    <n v="228"/>
    <s v="Large Order"/>
    <s v="Weekday"/>
  </r>
  <r>
    <s v="ORD-2772"/>
    <d v="2024-07-21T00:00:00"/>
    <n v="2024"/>
    <s v="Jul"/>
    <s v="Sun"/>
    <s v="CUST-163"/>
    <s v="PROD-001"/>
    <s v="Corporate"/>
    <s v="South"/>
    <x v="2"/>
    <x v="2"/>
    <n v="12"/>
    <n v="120"/>
    <n v="1440"/>
    <n v="144"/>
    <s v="Large Order"/>
    <s v="Weekend"/>
  </r>
  <r>
    <s v="ORD-2773"/>
    <d v="2024-04-05T00:00:00"/>
    <n v="2024"/>
    <s v="Apr"/>
    <s v="Fri"/>
    <s v="CUST-135"/>
    <s v="PROD-009"/>
    <s v="Corporate"/>
    <s v="West"/>
    <x v="4"/>
    <x v="0"/>
    <n v="20"/>
    <n v="120"/>
    <n v="2400"/>
    <n v="240"/>
    <s v="Large Order"/>
    <s v="Weekday"/>
  </r>
  <r>
    <s v="ORD-2774"/>
    <d v="2024-05-05T00:00:00"/>
    <n v="2024"/>
    <s v="May"/>
    <s v="Sun"/>
    <s v="CUST-182"/>
    <s v="PROD-010"/>
    <s v="Corporate"/>
    <s v="South"/>
    <x v="2"/>
    <x v="4"/>
    <n v="16"/>
    <n v="120"/>
    <n v="1920"/>
    <n v="192"/>
    <s v="Large Order"/>
    <s v="Weekend"/>
  </r>
  <r>
    <s v="ORD-2775"/>
    <d v="2024-05-23T00:00:00"/>
    <n v="2024"/>
    <s v="May"/>
    <s v="Thu"/>
    <s v="CUST-149"/>
    <s v="PROD-005"/>
    <s v="Corporate"/>
    <s v="East"/>
    <x v="4"/>
    <x v="4"/>
    <n v="8"/>
    <n v="120"/>
    <n v="960"/>
    <n v="96"/>
    <s v="Large Order"/>
    <s v="Weekday"/>
  </r>
  <r>
    <s v="ORD-2776"/>
    <d v="2024-10-05T00:00:00"/>
    <n v="2024"/>
    <s v="Oct"/>
    <s v="Sat"/>
    <s v="CUST-102"/>
    <s v="PROD-013"/>
    <s v="Home Office"/>
    <s v="West"/>
    <x v="3"/>
    <x v="1"/>
    <n v="18"/>
    <n v="120"/>
    <n v="2160"/>
    <n v="216"/>
    <s v="Large Order"/>
    <s v="Weekend"/>
  </r>
  <r>
    <s v="ORD-2777"/>
    <d v="2024-06-25T00:00:00"/>
    <n v="2024"/>
    <s v="Jun"/>
    <s v="Tue"/>
    <s v="CUST-172"/>
    <s v="PROD-017"/>
    <s v="Corporate"/>
    <s v="North"/>
    <x v="2"/>
    <x v="3"/>
    <n v="6"/>
    <n v="120"/>
    <n v="720"/>
    <n v="72"/>
    <s v="Large Order"/>
    <s v="Weekday"/>
  </r>
  <r>
    <s v="ORD-2778"/>
    <d v="2024-11-01T00:00:00"/>
    <n v="2024"/>
    <s v="Nov"/>
    <s v="Fri"/>
    <s v="CUST-128"/>
    <s v="PROD-001"/>
    <s v="Corporate"/>
    <s v="South"/>
    <x v="0"/>
    <x v="1"/>
    <n v="17"/>
    <n v="120"/>
    <n v="2040"/>
    <n v="204"/>
    <s v="Large Order"/>
    <s v="Weekday"/>
  </r>
  <r>
    <s v="ORD-2779"/>
    <d v="2024-10-26T00:00:00"/>
    <n v="2024"/>
    <s v="Oct"/>
    <s v="Sat"/>
    <s v="CUST-129"/>
    <s v="PROD-006"/>
    <s v="Consumer"/>
    <s v="West"/>
    <x v="4"/>
    <x v="2"/>
    <n v="9"/>
    <n v="120"/>
    <n v="1080"/>
    <n v="108"/>
    <s v="Large Order"/>
    <s v="Weekend"/>
  </r>
  <r>
    <s v="ORD-2780"/>
    <d v="2024-01-29T00:00:00"/>
    <n v="2024"/>
    <s v="Jan"/>
    <s v="Mon"/>
    <s v="CUST-197"/>
    <s v="PROD-008"/>
    <s v="Home Office"/>
    <s v="East"/>
    <x v="2"/>
    <x v="3"/>
    <n v="6"/>
    <n v="120"/>
    <n v="720"/>
    <n v="72"/>
    <s v="Large Order"/>
    <s v="Weekday"/>
  </r>
  <r>
    <s v="ORD-2781"/>
    <d v="2024-10-30T00:00:00"/>
    <n v="2024"/>
    <s v="Oct"/>
    <s v="Wed"/>
    <s v="CUST-140"/>
    <s v="PROD-024"/>
    <s v="Home Office"/>
    <s v="Central"/>
    <x v="3"/>
    <x v="4"/>
    <n v="1"/>
    <n v="120"/>
    <n v="120"/>
    <n v="12"/>
    <s v="Standard Order"/>
    <s v="Weekday"/>
  </r>
  <r>
    <s v="ORD-2782"/>
    <d v="2024-06-29T00:00:00"/>
    <n v="2024"/>
    <s v="Jun"/>
    <s v="Sat"/>
    <s v="CUST-172"/>
    <s v="PROD-019"/>
    <s v="Consumer"/>
    <s v="North"/>
    <x v="5"/>
    <x v="2"/>
    <n v="16"/>
    <n v="120"/>
    <n v="1920"/>
    <n v="192"/>
    <s v="Large Order"/>
    <s v="Weekend"/>
  </r>
  <r>
    <s v="ORD-2783"/>
    <d v="2024-03-30T00:00:00"/>
    <n v="2024"/>
    <s v="Mar"/>
    <s v="Sat"/>
    <s v="CUST-162"/>
    <s v="PROD-002"/>
    <s v="Consumer"/>
    <s v="Central"/>
    <x v="0"/>
    <x v="2"/>
    <n v="20"/>
    <n v="120"/>
    <n v="2400"/>
    <n v="240"/>
    <s v="Large Order"/>
    <s v="Weekend"/>
  </r>
  <r>
    <s v="ORD-2784"/>
    <d v="2024-09-26T00:00:00"/>
    <n v="2024"/>
    <s v="Sep"/>
    <s v="Thu"/>
    <s v="CUST-161"/>
    <s v="PROD-001"/>
    <s v="Corporate"/>
    <s v="South"/>
    <x v="5"/>
    <x v="2"/>
    <n v="5"/>
    <n v="120"/>
    <n v="600"/>
    <n v="60"/>
    <s v="Large Order"/>
    <s v="Weekday"/>
  </r>
  <r>
    <s v="ORD-2785"/>
    <d v="2024-03-31T00:00:00"/>
    <n v="2024"/>
    <s v="Mar"/>
    <s v="Sun"/>
    <s v="CUST-141"/>
    <s v="PROD-002"/>
    <s v="Consumer"/>
    <s v="West"/>
    <x v="4"/>
    <x v="4"/>
    <n v="5"/>
    <n v="120"/>
    <n v="600"/>
    <n v="60"/>
    <s v="Large Order"/>
    <s v="Weekend"/>
  </r>
  <r>
    <s v="ORD-2786"/>
    <d v="2024-09-26T00:00:00"/>
    <n v="2024"/>
    <s v="Sep"/>
    <s v="Thu"/>
    <s v="CUST-146"/>
    <s v="PROD-003"/>
    <s v="Corporate"/>
    <s v="West"/>
    <x v="2"/>
    <x v="4"/>
    <n v="4"/>
    <n v="120"/>
    <n v="480"/>
    <n v="48"/>
    <s v="Standard Order"/>
    <s v="Weekday"/>
  </r>
  <r>
    <s v="ORD-2787"/>
    <d v="2024-06-14T00:00:00"/>
    <n v="2024"/>
    <s v="Jun"/>
    <s v="Fri"/>
    <s v="CUST-117"/>
    <s v="PROD-006"/>
    <s v="Home Office"/>
    <s v="South"/>
    <x v="2"/>
    <x v="1"/>
    <n v="11"/>
    <n v="120"/>
    <n v="1320"/>
    <n v="132"/>
    <s v="Large Order"/>
    <s v="Weekday"/>
  </r>
  <r>
    <s v="ORD-2788"/>
    <d v="2024-10-14T00:00:00"/>
    <n v="2024"/>
    <s v="Oct"/>
    <s v="Mon"/>
    <s v="CUST-188"/>
    <s v="PROD-020"/>
    <s v="Corporate"/>
    <s v="North"/>
    <x v="4"/>
    <x v="4"/>
    <n v="6"/>
    <n v="120"/>
    <n v="720"/>
    <n v="72"/>
    <s v="Large Order"/>
    <s v="Weekday"/>
  </r>
  <r>
    <s v="ORD-2789"/>
    <d v="2024-12-18T00:00:00"/>
    <n v="2024"/>
    <s v="Dec"/>
    <s v="Wed"/>
    <s v="CUST-137"/>
    <s v="PROD-005"/>
    <s v="Consumer"/>
    <s v="East"/>
    <x v="0"/>
    <x v="4"/>
    <n v="13"/>
    <n v="120"/>
    <n v="1560"/>
    <n v="156"/>
    <s v="Large Order"/>
    <s v="Weekday"/>
  </r>
  <r>
    <s v="ORD-2790"/>
    <d v="2024-10-17T00:00:00"/>
    <n v="2024"/>
    <s v="Oct"/>
    <s v="Thu"/>
    <s v="CUST-104"/>
    <s v="PROD-006"/>
    <s v="Home Office"/>
    <s v="North"/>
    <x v="3"/>
    <x v="4"/>
    <n v="8"/>
    <n v="120"/>
    <n v="960"/>
    <n v="96"/>
    <s v="Large Order"/>
    <s v="Weekday"/>
  </r>
  <r>
    <s v="ORD-2791"/>
    <d v="2024-02-23T00:00:00"/>
    <n v="2024"/>
    <s v="Feb"/>
    <s v="Fri"/>
    <s v="CUST-163"/>
    <s v="PROD-005"/>
    <s v="Corporate"/>
    <s v="East"/>
    <x v="0"/>
    <x v="2"/>
    <n v="12"/>
    <n v="120"/>
    <n v="1440"/>
    <n v="144"/>
    <s v="Large Order"/>
    <s v="Weekday"/>
  </r>
  <r>
    <s v="ORD-2792"/>
    <d v="2024-03-26T00:00:00"/>
    <n v="2024"/>
    <s v="Mar"/>
    <s v="Tue"/>
    <s v="CUST-181"/>
    <s v="PROD-003"/>
    <s v="Home Office"/>
    <s v="East"/>
    <x v="3"/>
    <x v="1"/>
    <n v="1"/>
    <n v="120"/>
    <n v="120"/>
    <n v="12"/>
    <s v="Standard Order"/>
    <s v="Weekday"/>
  </r>
  <r>
    <s v="ORD-2793"/>
    <d v="2024-05-07T00:00:00"/>
    <n v="2024"/>
    <s v="May"/>
    <s v="Tue"/>
    <s v="CUST-188"/>
    <s v="PROD-003"/>
    <s v="Corporate"/>
    <s v="West"/>
    <x v="3"/>
    <x v="0"/>
    <n v="1"/>
    <n v="120"/>
    <n v="120"/>
    <n v="12"/>
    <s v="Standard Order"/>
    <s v="Weekday"/>
  </r>
  <r>
    <s v="ORD-2794"/>
    <d v="2024-08-12T00:00:00"/>
    <n v="2024"/>
    <s v="Aug"/>
    <s v="Mon"/>
    <s v="CUST-193"/>
    <s v="PROD-014"/>
    <s v="Consumer"/>
    <s v="South"/>
    <x v="2"/>
    <x v="1"/>
    <n v="13"/>
    <n v="120"/>
    <n v="1560"/>
    <n v="156"/>
    <s v="Large Order"/>
    <s v="Weekday"/>
  </r>
  <r>
    <s v="ORD-2795"/>
    <d v="2024-07-11T00:00:00"/>
    <n v="2024"/>
    <s v="Jul"/>
    <s v="Thu"/>
    <s v="CUST-112"/>
    <s v="PROD-016"/>
    <s v="Home Office"/>
    <s v="East"/>
    <x v="4"/>
    <x v="2"/>
    <n v="15"/>
    <n v="120"/>
    <n v="1800"/>
    <n v="180"/>
    <s v="Large Order"/>
    <s v="Weekday"/>
  </r>
  <r>
    <s v="ORD-2796"/>
    <d v="2024-01-18T00:00:00"/>
    <n v="2024"/>
    <s v="Jan"/>
    <s v="Thu"/>
    <s v="CUST-137"/>
    <s v="PROD-001"/>
    <s v="Corporate"/>
    <s v="Central"/>
    <x v="3"/>
    <x v="0"/>
    <n v="3"/>
    <n v="120"/>
    <n v="360"/>
    <n v="36"/>
    <s v="Standard Order"/>
    <s v="Weekday"/>
  </r>
  <r>
    <s v="ORD-2797"/>
    <d v="2024-07-11T00:00:00"/>
    <n v="2024"/>
    <s v="Jul"/>
    <s v="Thu"/>
    <s v="CUST-120"/>
    <s v="PROD-024"/>
    <s v="Consumer"/>
    <s v="West"/>
    <x v="5"/>
    <x v="0"/>
    <n v="11"/>
    <n v="120"/>
    <n v="1320"/>
    <n v="132"/>
    <s v="Large Order"/>
    <s v="Weekday"/>
  </r>
  <r>
    <s v="ORD-2798"/>
    <d v="2024-11-10T00:00:00"/>
    <n v="2024"/>
    <s v="Nov"/>
    <s v="Sun"/>
    <s v="CUST-161"/>
    <s v="PROD-023"/>
    <s v="Consumer"/>
    <s v="South"/>
    <x v="2"/>
    <x v="2"/>
    <n v="20"/>
    <n v="120"/>
    <n v="2400"/>
    <n v="240"/>
    <s v="Large Order"/>
    <s v="Weekend"/>
  </r>
  <r>
    <s v="ORD-2799"/>
    <d v="2024-03-21T00:00:00"/>
    <n v="2024"/>
    <s v="Mar"/>
    <s v="Thu"/>
    <s v="CUST-106"/>
    <s v="PROD-004"/>
    <s v="Corporate"/>
    <s v="East"/>
    <x v="4"/>
    <x v="2"/>
    <n v="14"/>
    <n v="120"/>
    <n v="1680"/>
    <n v="168"/>
    <s v="Large Order"/>
    <s v="Weekday"/>
  </r>
  <r>
    <s v="ORD-2800"/>
    <d v="2024-10-03T00:00:00"/>
    <n v="2024"/>
    <s v="Oct"/>
    <s v="Thu"/>
    <s v="CUST-133"/>
    <s v="PROD-022"/>
    <s v="Corporate"/>
    <s v="North"/>
    <x v="3"/>
    <x v="2"/>
    <n v="4"/>
    <n v="120"/>
    <n v="480"/>
    <n v="48"/>
    <s v="Standard Order"/>
    <s v="Weekday"/>
  </r>
  <r>
    <s v="ORD-2801"/>
    <d v="2024-10-19T00:00:00"/>
    <n v="2024"/>
    <s v="Oct"/>
    <s v="Sat"/>
    <s v="CUST-170"/>
    <s v="PROD-016"/>
    <s v="Consumer"/>
    <s v="West"/>
    <x v="0"/>
    <x v="3"/>
    <n v="1"/>
    <n v="120"/>
    <n v="120"/>
    <n v="12"/>
    <s v="Standard Order"/>
    <s v="Weekend"/>
  </r>
  <r>
    <s v="ORD-2802"/>
    <d v="2024-05-30T00:00:00"/>
    <n v="2024"/>
    <s v="May"/>
    <s v="Thu"/>
    <s v="CUST-184"/>
    <s v="PROD-021"/>
    <s v="Home Office"/>
    <s v="West"/>
    <x v="2"/>
    <x v="2"/>
    <n v="4"/>
    <n v="120"/>
    <n v="480"/>
    <n v="48"/>
    <s v="Standard Order"/>
    <s v="Weekday"/>
  </r>
  <r>
    <s v="ORD-2803"/>
    <d v="2024-03-28T00:00:00"/>
    <n v="2024"/>
    <s v="Mar"/>
    <s v="Thu"/>
    <s v="CUST-181"/>
    <s v="PROD-010"/>
    <s v="Consumer"/>
    <s v="North"/>
    <x v="2"/>
    <x v="0"/>
    <n v="10"/>
    <n v="120"/>
    <n v="1200"/>
    <n v="120"/>
    <s v="Large Order"/>
    <s v="Weekday"/>
  </r>
  <r>
    <s v="ORD-2804"/>
    <d v="2024-08-29T00:00:00"/>
    <n v="2024"/>
    <s v="Aug"/>
    <s v="Thu"/>
    <s v="CUST-162"/>
    <s v="PROD-022"/>
    <s v="Corporate"/>
    <s v="North"/>
    <x v="0"/>
    <x v="4"/>
    <n v="13"/>
    <n v="120"/>
    <n v="1560"/>
    <n v="156"/>
    <s v="Large Order"/>
    <s v="Weekday"/>
  </r>
  <r>
    <s v="ORD-2805"/>
    <d v="2024-07-14T00:00:00"/>
    <n v="2024"/>
    <s v="Jul"/>
    <s v="Sun"/>
    <s v="CUST-147"/>
    <s v="PROD-006"/>
    <s v="Corporate"/>
    <s v="South"/>
    <x v="0"/>
    <x v="3"/>
    <n v="15"/>
    <n v="120"/>
    <n v="1800"/>
    <n v="180"/>
    <s v="Large Order"/>
    <s v="Weekend"/>
  </r>
  <r>
    <s v="ORD-2806"/>
    <d v="2024-04-25T00:00:00"/>
    <n v="2024"/>
    <s v="Apr"/>
    <s v="Thu"/>
    <s v="CUST-134"/>
    <s v="PROD-019"/>
    <s v="Consumer"/>
    <s v="South"/>
    <x v="4"/>
    <x v="0"/>
    <n v="3"/>
    <n v="120"/>
    <n v="360"/>
    <n v="36"/>
    <s v="Standard Order"/>
    <s v="Weekday"/>
  </r>
  <r>
    <s v="ORD-2807"/>
    <d v="2024-10-04T00:00:00"/>
    <n v="2024"/>
    <s v="Oct"/>
    <s v="Fri"/>
    <s v="CUST-152"/>
    <s v="PROD-025"/>
    <s v="Home Office"/>
    <s v="West"/>
    <x v="4"/>
    <x v="4"/>
    <n v="2"/>
    <n v="120"/>
    <n v="240"/>
    <n v="24"/>
    <s v="Standard Order"/>
    <s v="Weekday"/>
  </r>
  <r>
    <s v="ORD-2808"/>
    <d v="2024-09-24T00:00:00"/>
    <n v="2024"/>
    <s v="Sep"/>
    <s v="Tue"/>
    <s v="CUST-153"/>
    <s v="PROD-018"/>
    <s v="Home Office"/>
    <s v="Central"/>
    <x v="2"/>
    <x v="4"/>
    <n v="8"/>
    <n v="120"/>
    <n v="960"/>
    <n v="96"/>
    <s v="Large Order"/>
    <s v="Weekday"/>
  </r>
  <r>
    <s v="ORD-2809"/>
    <d v="2024-02-10T00:00:00"/>
    <n v="2024"/>
    <s v="Feb"/>
    <s v="Sat"/>
    <s v="CUST-150"/>
    <s v="PROD-023"/>
    <s v="Consumer"/>
    <s v="West"/>
    <x v="5"/>
    <x v="4"/>
    <n v="17"/>
    <n v="120"/>
    <n v="2040"/>
    <n v="204"/>
    <s v="Large Order"/>
    <s v="Weekend"/>
  </r>
  <r>
    <s v="ORD-2810"/>
    <d v="2024-12-12T00:00:00"/>
    <n v="2024"/>
    <s v="Dec"/>
    <s v="Thu"/>
    <s v="CUST-179"/>
    <s v="PROD-005"/>
    <s v="Consumer"/>
    <s v="North"/>
    <x v="2"/>
    <x v="2"/>
    <n v="6"/>
    <n v="120"/>
    <n v="720"/>
    <n v="72"/>
    <s v="Large Order"/>
    <s v="Weekday"/>
  </r>
  <r>
    <s v="ORD-2811"/>
    <d v="2024-04-08T00:00:00"/>
    <n v="2024"/>
    <s v="Apr"/>
    <s v="Mon"/>
    <s v="CUST-116"/>
    <s v="PROD-002"/>
    <s v="Corporate"/>
    <s v="East"/>
    <x v="0"/>
    <x v="1"/>
    <n v="7"/>
    <n v="120"/>
    <n v="840"/>
    <n v="84"/>
    <s v="Large Order"/>
    <s v="Weekday"/>
  </r>
  <r>
    <s v="ORD-2812"/>
    <d v="2024-11-17T00:00:00"/>
    <n v="2024"/>
    <s v="Nov"/>
    <s v="Sun"/>
    <s v="CUST-118"/>
    <s v="PROD-020"/>
    <s v="Corporate"/>
    <s v="Central"/>
    <x v="3"/>
    <x v="0"/>
    <n v="3"/>
    <n v="120"/>
    <n v="360"/>
    <n v="36"/>
    <s v="Standard Order"/>
    <s v="Weekend"/>
  </r>
  <r>
    <s v="ORD-2813"/>
    <d v="2024-07-22T00:00:00"/>
    <n v="2024"/>
    <s v="Jul"/>
    <s v="Mon"/>
    <s v="CUST-170"/>
    <s v="PROD-011"/>
    <s v="Corporate"/>
    <s v="North"/>
    <x v="5"/>
    <x v="1"/>
    <n v="1"/>
    <n v="120"/>
    <n v="120"/>
    <n v="12"/>
    <s v="Standard Order"/>
    <s v="Weekday"/>
  </r>
  <r>
    <s v="ORD-2814"/>
    <d v="2024-11-15T00:00:00"/>
    <n v="2024"/>
    <s v="Nov"/>
    <s v="Fri"/>
    <s v="CUST-175"/>
    <s v="PROD-017"/>
    <s v="Corporate"/>
    <s v="North"/>
    <x v="0"/>
    <x v="1"/>
    <n v="5"/>
    <n v="120"/>
    <n v="600"/>
    <n v="60"/>
    <s v="Large Order"/>
    <s v="Weekday"/>
  </r>
  <r>
    <s v="ORD-2815"/>
    <d v="2024-10-28T00:00:00"/>
    <n v="2024"/>
    <s v="Oct"/>
    <s v="Mon"/>
    <s v="CUST-174"/>
    <s v="PROD-025"/>
    <s v="Consumer"/>
    <s v="West"/>
    <x v="0"/>
    <x v="4"/>
    <n v="4"/>
    <n v="120"/>
    <n v="480"/>
    <n v="48"/>
    <s v="Standard Order"/>
    <s v="Weekday"/>
  </r>
  <r>
    <s v="ORD-2816"/>
    <d v="2024-10-01T00:00:00"/>
    <n v="2024"/>
    <s v="Oct"/>
    <s v="Tue"/>
    <s v="CUST-144"/>
    <s v="PROD-014"/>
    <s v="Corporate"/>
    <s v="South"/>
    <x v="2"/>
    <x v="1"/>
    <n v="19"/>
    <n v="120"/>
    <n v="2280"/>
    <n v="228"/>
    <s v="Large Order"/>
    <s v="Weekday"/>
  </r>
  <r>
    <s v="ORD-2817"/>
    <d v="2024-01-20T00:00:00"/>
    <n v="2024"/>
    <s v="Jan"/>
    <s v="Sat"/>
    <s v="CUST-122"/>
    <s v="PROD-009"/>
    <s v="Corporate"/>
    <s v="South"/>
    <x v="4"/>
    <x v="4"/>
    <n v="20"/>
    <n v="120"/>
    <n v="2400"/>
    <n v="240"/>
    <s v="Large Order"/>
    <s v="Weekend"/>
  </r>
  <r>
    <s v="ORD-2818"/>
    <d v="2024-07-24T00:00:00"/>
    <n v="2024"/>
    <s v="Jul"/>
    <s v="Wed"/>
    <s v="CUST-104"/>
    <s v="PROD-013"/>
    <s v="Corporate"/>
    <s v="East"/>
    <x v="4"/>
    <x v="0"/>
    <n v="16"/>
    <n v="120"/>
    <n v="1920"/>
    <n v="192"/>
    <s v="Large Order"/>
    <s v="Weekday"/>
  </r>
  <r>
    <s v="ORD-2819"/>
    <d v="2024-07-09T00:00:00"/>
    <n v="2024"/>
    <s v="Jul"/>
    <s v="Tue"/>
    <s v="CUST-102"/>
    <s v="PROD-011"/>
    <s v="Corporate"/>
    <s v="East"/>
    <x v="3"/>
    <x v="3"/>
    <n v="16"/>
    <n v="120"/>
    <n v="1920"/>
    <n v="192"/>
    <s v="Large Order"/>
    <s v="Weekday"/>
  </r>
  <r>
    <s v="ORD-2820"/>
    <d v="2024-12-16T00:00:00"/>
    <n v="2024"/>
    <s v="Dec"/>
    <s v="Mon"/>
    <s v="CUST-112"/>
    <s v="PROD-008"/>
    <s v="Consumer"/>
    <s v="South"/>
    <x v="3"/>
    <x v="1"/>
    <n v="11"/>
    <n v="120"/>
    <n v="1320"/>
    <n v="132"/>
    <s v="Large Order"/>
    <s v="Weekday"/>
  </r>
  <r>
    <s v="ORD-2821"/>
    <d v="2024-08-01T00:00:00"/>
    <n v="2024"/>
    <s v="Aug"/>
    <s v="Thu"/>
    <s v="CUST-177"/>
    <s v="PROD-021"/>
    <s v="Consumer"/>
    <s v="East"/>
    <x v="4"/>
    <x v="1"/>
    <n v="7"/>
    <n v="120"/>
    <n v="840"/>
    <n v="84"/>
    <s v="Large Order"/>
    <s v="Weekday"/>
  </r>
  <r>
    <s v="ORD-2822"/>
    <d v="2024-07-27T00:00:00"/>
    <n v="2024"/>
    <s v="Jul"/>
    <s v="Sat"/>
    <s v="CUST-194"/>
    <s v="PROD-016"/>
    <s v="Home Office"/>
    <s v="West"/>
    <x v="3"/>
    <x v="0"/>
    <n v="17"/>
    <n v="120"/>
    <n v="2040"/>
    <n v="204"/>
    <s v="Large Order"/>
    <s v="Weekend"/>
  </r>
  <r>
    <s v="ORD-2823"/>
    <d v="2024-02-03T00:00:00"/>
    <n v="2024"/>
    <s v="Feb"/>
    <s v="Sat"/>
    <s v="CUST-139"/>
    <s v="PROD-023"/>
    <s v="Home Office"/>
    <s v="North"/>
    <x v="2"/>
    <x v="2"/>
    <n v="17"/>
    <n v="120"/>
    <n v="2040"/>
    <n v="204"/>
    <s v="Large Order"/>
    <s v="Weekend"/>
  </r>
  <r>
    <s v="ORD-2824"/>
    <d v="2024-01-15T00:00:00"/>
    <n v="2024"/>
    <s v="Jan"/>
    <s v="Mon"/>
    <s v="CUST-122"/>
    <s v="PROD-007"/>
    <s v="Consumer"/>
    <s v="East"/>
    <x v="0"/>
    <x v="2"/>
    <n v="2"/>
    <n v="120"/>
    <n v="240"/>
    <n v="24"/>
    <s v="Standard Order"/>
    <s v="Weekday"/>
  </r>
  <r>
    <s v="ORD-2825"/>
    <d v="2024-07-03T00:00:00"/>
    <n v="2024"/>
    <s v="Jul"/>
    <s v="Wed"/>
    <s v="CUST-190"/>
    <s v="PROD-007"/>
    <s v="Corporate"/>
    <s v="East"/>
    <x v="3"/>
    <x v="1"/>
    <n v="17"/>
    <n v="120"/>
    <n v="2040"/>
    <n v="204"/>
    <s v="Large Order"/>
    <s v="Weekday"/>
  </r>
  <r>
    <s v="ORD-2826"/>
    <d v="2024-03-04T00:00:00"/>
    <n v="2024"/>
    <s v="Mar"/>
    <s v="Mon"/>
    <s v="CUST-187"/>
    <s v="PROD-001"/>
    <s v="Consumer"/>
    <s v="East"/>
    <x v="3"/>
    <x v="1"/>
    <n v="20"/>
    <n v="120"/>
    <n v="2400"/>
    <n v="240"/>
    <s v="Large Order"/>
    <s v="Weekday"/>
  </r>
  <r>
    <s v="ORD-2827"/>
    <d v="2024-08-30T00:00:00"/>
    <n v="2024"/>
    <s v="Aug"/>
    <s v="Fri"/>
    <s v="CUST-175"/>
    <s v="PROD-018"/>
    <s v="Corporate"/>
    <s v="West"/>
    <x v="3"/>
    <x v="2"/>
    <n v="9"/>
    <n v="120"/>
    <n v="1080"/>
    <n v="108"/>
    <s v="Large Order"/>
    <s v="Weekday"/>
  </r>
  <r>
    <s v="ORD-2828"/>
    <d v="2024-12-18T00:00:00"/>
    <n v="2024"/>
    <s v="Dec"/>
    <s v="Wed"/>
    <s v="CUST-111"/>
    <s v="PROD-010"/>
    <s v="Consumer"/>
    <s v="South"/>
    <x v="2"/>
    <x v="0"/>
    <n v="6"/>
    <n v="120"/>
    <n v="720"/>
    <n v="72"/>
    <s v="Large Order"/>
    <s v="Weekday"/>
  </r>
  <r>
    <s v="ORD-2829"/>
    <d v="2024-04-19T00:00:00"/>
    <n v="2024"/>
    <s v="Apr"/>
    <s v="Fri"/>
    <s v="CUST-128"/>
    <s v="PROD-021"/>
    <s v="Consumer"/>
    <s v="South"/>
    <x v="4"/>
    <x v="3"/>
    <n v="14"/>
    <n v="120"/>
    <n v="1680"/>
    <n v="168"/>
    <s v="Large Order"/>
    <s v="Weekday"/>
  </r>
  <r>
    <s v="ORD-2830"/>
    <d v="2024-12-15T00:00:00"/>
    <n v="2024"/>
    <s v="Dec"/>
    <s v="Sun"/>
    <s v="CUST-101"/>
    <s v="PROD-016"/>
    <s v="Consumer"/>
    <s v="East"/>
    <x v="4"/>
    <x v="4"/>
    <n v="1"/>
    <n v="120"/>
    <n v="120"/>
    <n v="12"/>
    <s v="Standard Order"/>
    <s v="Weekend"/>
  </r>
  <r>
    <s v="ORD-2831"/>
    <d v="2024-11-07T00:00:00"/>
    <n v="2024"/>
    <s v="Nov"/>
    <s v="Thu"/>
    <s v="CUST-139"/>
    <s v="PROD-023"/>
    <s v="Home Office"/>
    <s v="East"/>
    <x v="3"/>
    <x v="1"/>
    <n v="13"/>
    <n v="120"/>
    <n v="1560"/>
    <n v="156"/>
    <s v="Large Order"/>
    <s v="Weekday"/>
  </r>
  <r>
    <s v="ORD-2832"/>
    <d v="2024-08-23T00:00:00"/>
    <n v="2024"/>
    <s v="Aug"/>
    <s v="Fri"/>
    <s v="CUST-132"/>
    <s v="PROD-007"/>
    <s v="Corporate"/>
    <s v="East"/>
    <x v="3"/>
    <x v="4"/>
    <n v="20"/>
    <n v="120"/>
    <n v="2400"/>
    <n v="240"/>
    <s v="Large Order"/>
    <s v="Weekday"/>
  </r>
  <r>
    <s v="ORD-2833"/>
    <d v="2024-02-22T00:00:00"/>
    <n v="2024"/>
    <s v="Feb"/>
    <s v="Thu"/>
    <s v="CUST-100"/>
    <s v="PROD-017"/>
    <s v="Home Office"/>
    <s v="North"/>
    <x v="3"/>
    <x v="4"/>
    <n v="20"/>
    <n v="120"/>
    <n v="2400"/>
    <n v="240"/>
    <s v="Large Order"/>
    <s v="Weekday"/>
  </r>
  <r>
    <s v="ORD-2834"/>
    <d v="2024-06-01T00:00:00"/>
    <n v="2024"/>
    <s v="Jun"/>
    <s v="Sat"/>
    <s v="CUST-187"/>
    <s v="PROD-004"/>
    <s v="Corporate"/>
    <s v="East"/>
    <x v="0"/>
    <x v="3"/>
    <n v="9"/>
    <n v="120"/>
    <n v="1080"/>
    <n v="108"/>
    <s v="Large Order"/>
    <s v="Weekend"/>
  </r>
  <r>
    <s v="ORD-2835"/>
    <d v="2024-05-21T00:00:00"/>
    <n v="2024"/>
    <s v="May"/>
    <s v="Tue"/>
    <s v="CUST-133"/>
    <s v="PROD-021"/>
    <s v="Home Office"/>
    <s v="East"/>
    <x v="3"/>
    <x v="2"/>
    <n v="5"/>
    <n v="120"/>
    <n v="600"/>
    <n v="60"/>
    <s v="Large Order"/>
    <s v="Weekday"/>
  </r>
  <r>
    <s v="ORD-2836"/>
    <d v="2024-05-03T00:00:00"/>
    <n v="2024"/>
    <s v="May"/>
    <s v="Fri"/>
    <s v="CUST-107"/>
    <s v="PROD-020"/>
    <s v="Corporate"/>
    <s v="West"/>
    <x v="3"/>
    <x v="2"/>
    <n v="1"/>
    <n v="120"/>
    <n v="120"/>
    <n v="12"/>
    <s v="Standard Order"/>
    <s v="Weekday"/>
  </r>
  <r>
    <s v="ORD-2837"/>
    <d v="2024-05-31T00:00:00"/>
    <n v="2024"/>
    <s v="May"/>
    <s v="Fri"/>
    <s v="CUST-133"/>
    <s v="PROD-014"/>
    <s v="Corporate"/>
    <s v="South"/>
    <x v="2"/>
    <x v="0"/>
    <n v="19"/>
    <n v="120"/>
    <n v="2280"/>
    <n v="228"/>
    <s v="Large Order"/>
    <s v="Weekday"/>
  </r>
  <r>
    <s v="ORD-2838"/>
    <d v="2024-10-19T00:00:00"/>
    <n v="2024"/>
    <s v="Oct"/>
    <s v="Sat"/>
    <s v="CUST-124"/>
    <s v="PROD-011"/>
    <s v="Home Office"/>
    <s v="South"/>
    <x v="4"/>
    <x v="4"/>
    <n v="16"/>
    <n v="120"/>
    <n v="1920"/>
    <n v="192"/>
    <s v="Large Order"/>
    <s v="Weekend"/>
  </r>
  <r>
    <s v="ORD-2839"/>
    <d v="2024-12-09T00:00:00"/>
    <n v="2024"/>
    <s v="Dec"/>
    <s v="Mon"/>
    <s v="CUST-145"/>
    <s v="PROD-017"/>
    <s v="Corporate"/>
    <s v="Central"/>
    <x v="4"/>
    <x v="4"/>
    <n v="6"/>
    <n v="120"/>
    <n v="720"/>
    <n v="72"/>
    <s v="Large Order"/>
    <s v="Weekday"/>
  </r>
  <r>
    <s v="ORD-2840"/>
    <d v="2024-08-29T00:00:00"/>
    <n v="2024"/>
    <s v="Aug"/>
    <s v="Thu"/>
    <s v="CUST-116"/>
    <s v="PROD-024"/>
    <s v="Corporate"/>
    <s v="East"/>
    <x v="5"/>
    <x v="2"/>
    <n v="11"/>
    <n v="120"/>
    <n v="1320"/>
    <n v="132"/>
    <s v="Large Order"/>
    <s v="Weekday"/>
  </r>
  <r>
    <s v="ORD-2841"/>
    <d v="2024-04-23T00:00:00"/>
    <n v="2024"/>
    <s v="Apr"/>
    <s v="Tue"/>
    <s v="CUST-145"/>
    <s v="PROD-008"/>
    <s v="Home Office"/>
    <s v="West"/>
    <x v="3"/>
    <x v="1"/>
    <n v="11"/>
    <n v="120"/>
    <n v="1320"/>
    <n v="132"/>
    <s v="Large Order"/>
    <s v="Weekday"/>
  </r>
  <r>
    <s v="ORD-2842"/>
    <d v="2024-10-26T00:00:00"/>
    <n v="2024"/>
    <s v="Oct"/>
    <s v="Sat"/>
    <s v="CUST-137"/>
    <s v="PROD-015"/>
    <s v="Consumer"/>
    <s v="Central"/>
    <x v="2"/>
    <x v="0"/>
    <n v="19"/>
    <n v="120"/>
    <n v="2280"/>
    <n v="228"/>
    <s v="Large Order"/>
    <s v="Weekend"/>
  </r>
  <r>
    <s v="ORD-2843"/>
    <d v="2024-11-13T00:00:00"/>
    <n v="2024"/>
    <s v="Nov"/>
    <s v="Wed"/>
    <s v="CUST-109"/>
    <s v="PROD-016"/>
    <s v="Consumer"/>
    <s v="South"/>
    <x v="5"/>
    <x v="0"/>
    <n v="13"/>
    <n v="120"/>
    <n v="1560"/>
    <n v="156"/>
    <s v="Large Order"/>
    <s v="Weekday"/>
  </r>
  <r>
    <s v="ORD-2844"/>
    <d v="2024-07-30T00:00:00"/>
    <n v="2024"/>
    <s v="Jul"/>
    <s v="Tue"/>
    <s v="CUST-106"/>
    <s v="PROD-005"/>
    <s v="Consumer"/>
    <s v="South"/>
    <x v="4"/>
    <x v="3"/>
    <n v="14"/>
    <n v="120"/>
    <n v="1680"/>
    <n v="168"/>
    <s v="Large Order"/>
    <s v="Weekday"/>
  </r>
  <r>
    <s v="ORD-2845"/>
    <d v="2024-08-22T00:00:00"/>
    <n v="2024"/>
    <s v="Aug"/>
    <s v="Thu"/>
    <s v="CUST-118"/>
    <s v="PROD-011"/>
    <s v="Home Office"/>
    <s v="North"/>
    <x v="4"/>
    <x v="0"/>
    <n v="16"/>
    <n v="120"/>
    <n v="1920"/>
    <n v="192"/>
    <s v="Large Order"/>
    <s v="Weekday"/>
  </r>
  <r>
    <s v="ORD-2846"/>
    <d v="2024-03-31T00:00:00"/>
    <n v="2024"/>
    <s v="Mar"/>
    <s v="Sun"/>
    <s v="CUST-140"/>
    <s v="PROD-021"/>
    <s v="Consumer"/>
    <s v="West"/>
    <x v="0"/>
    <x v="1"/>
    <n v="9"/>
    <n v="120"/>
    <n v="1080"/>
    <n v="108"/>
    <s v="Large Order"/>
    <s v="Weekend"/>
  </r>
  <r>
    <s v="ORD-2847"/>
    <d v="2024-03-27T00:00:00"/>
    <n v="2024"/>
    <s v="Mar"/>
    <s v="Wed"/>
    <s v="CUST-173"/>
    <s v="PROD-025"/>
    <s v="Consumer"/>
    <s v="West"/>
    <x v="2"/>
    <x v="0"/>
    <n v="5"/>
    <n v="120"/>
    <n v="600"/>
    <n v="60"/>
    <s v="Large Order"/>
    <s v="Weekday"/>
  </r>
  <r>
    <s v="ORD-2848"/>
    <d v="2024-11-20T00:00:00"/>
    <n v="2024"/>
    <s v="Nov"/>
    <s v="Wed"/>
    <s v="CUST-154"/>
    <s v="PROD-013"/>
    <s v="Corporate"/>
    <s v="East"/>
    <x v="2"/>
    <x v="1"/>
    <n v="1"/>
    <n v="120"/>
    <n v="120"/>
    <n v="12"/>
    <s v="Standard Order"/>
    <s v="Weekday"/>
  </r>
  <r>
    <s v="ORD-2849"/>
    <d v="2024-04-12T00:00:00"/>
    <n v="2024"/>
    <s v="Apr"/>
    <s v="Fri"/>
    <s v="CUST-193"/>
    <s v="PROD-012"/>
    <s v="Consumer"/>
    <s v="South"/>
    <x v="3"/>
    <x v="4"/>
    <n v="7"/>
    <n v="120"/>
    <n v="840"/>
    <n v="84"/>
    <s v="Large Order"/>
    <s v="Weekday"/>
  </r>
  <r>
    <s v="ORD-2850"/>
    <d v="2024-01-03T00:00:00"/>
    <n v="2024"/>
    <s v="Jan"/>
    <s v="Wed"/>
    <s v="CUST-180"/>
    <s v="PROD-024"/>
    <s v="Consumer"/>
    <s v="South"/>
    <x v="4"/>
    <x v="3"/>
    <n v="10"/>
    <n v="120"/>
    <n v="1200"/>
    <n v="120"/>
    <s v="Large Order"/>
    <s v="Weekday"/>
  </r>
  <r>
    <s v="ORD-2851"/>
    <d v="2024-07-15T00:00:00"/>
    <n v="2024"/>
    <s v="Jul"/>
    <s v="Mon"/>
    <s v="CUST-164"/>
    <s v="PROD-019"/>
    <s v="Corporate"/>
    <s v="Central"/>
    <x v="4"/>
    <x v="0"/>
    <n v="2"/>
    <n v="120"/>
    <n v="240"/>
    <n v="24"/>
    <s v="Standard Order"/>
    <s v="Weekday"/>
  </r>
  <r>
    <s v="ORD-2852"/>
    <d v="2024-05-28T00:00:00"/>
    <n v="2024"/>
    <s v="May"/>
    <s v="Tue"/>
    <s v="CUST-158"/>
    <s v="PROD-024"/>
    <s v="Home Office"/>
    <s v="East"/>
    <x v="5"/>
    <x v="4"/>
    <n v="11"/>
    <n v="120"/>
    <n v="1320"/>
    <n v="132"/>
    <s v="Large Order"/>
    <s v="Weekday"/>
  </r>
  <r>
    <s v="ORD-2853"/>
    <d v="2024-12-17T00:00:00"/>
    <n v="2024"/>
    <s v="Dec"/>
    <s v="Tue"/>
    <s v="CUST-117"/>
    <s v="PROD-011"/>
    <s v="Corporate"/>
    <s v="South"/>
    <x v="3"/>
    <x v="2"/>
    <n v="6"/>
    <n v="120"/>
    <n v="720"/>
    <n v="72"/>
    <s v="Large Order"/>
    <s v="Weekday"/>
  </r>
  <r>
    <s v="ORD-2854"/>
    <d v="2024-07-25T00:00:00"/>
    <n v="2024"/>
    <s v="Jul"/>
    <s v="Thu"/>
    <s v="CUST-102"/>
    <s v="PROD-008"/>
    <s v="Consumer"/>
    <s v="North"/>
    <x v="4"/>
    <x v="2"/>
    <n v="1"/>
    <n v="120"/>
    <n v="120"/>
    <n v="12"/>
    <s v="Standard Order"/>
    <s v="Weekday"/>
  </r>
  <r>
    <s v="ORD-2855"/>
    <d v="2024-03-27T00:00:00"/>
    <n v="2024"/>
    <s v="Mar"/>
    <s v="Wed"/>
    <s v="CUST-115"/>
    <s v="PROD-012"/>
    <s v="Home Office"/>
    <s v="North"/>
    <x v="0"/>
    <x v="1"/>
    <n v="9"/>
    <n v="120"/>
    <n v="1080"/>
    <n v="108"/>
    <s v="Large Order"/>
    <s v="Weekday"/>
  </r>
  <r>
    <s v="ORD-2856"/>
    <d v="2024-11-15T00:00:00"/>
    <n v="2024"/>
    <s v="Nov"/>
    <s v="Fri"/>
    <s v="CUST-106"/>
    <s v="PROD-020"/>
    <s v="Consumer"/>
    <s v="Central"/>
    <x v="0"/>
    <x v="0"/>
    <n v="2"/>
    <n v="120"/>
    <n v="240"/>
    <n v="24"/>
    <s v="Standard Order"/>
    <s v="Weekday"/>
  </r>
  <r>
    <s v="ORD-2857"/>
    <d v="2024-08-01T00:00:00"/>
    <n v="2024"/>
    <s v="Aug"/>
    <s v="Thu"/>
    <s v="CUST-156"/>
    <s v="PROD-013"/>
    <s v="Consumer"/>
    <s v="North"/>
    <x v="5"/>
    <x v="3"/>
    <n v="16"/>
    <n v="120"/>
    <n v="1920"/>
    <n v="192"/>
    <s v="Large Order"/>
    <s v="Weekday"/>
  </r>
  <r>
    <s v="ORD-2858"/>
    <d v="2024-04-15T00:00:00"/>
    <n v="2024"/>
    <s v="Apr"/>
    <s v="Mon"/>
    <s v="CUST-188"/>
    <s v="PROD-022"/>
    <s v="Home Office"/>
    <s v="Central"/>
    <x v="0"/>
    <x v="3"/>
    <n v="14"/>
    <n v="120"/>
    <n v="1680"/>
    <n v="168"/>
    <s v="Large Order"/>
    <s v="Weekday"/>
  </r>
  <r>
    <s v="ORD-2859"/>
    <d v="2024-12-05T00:00:00"/>
    <n v="2024"/>
    <s v="Dec"/>
    <s v="Thu"/>
    <s v="CUST-166"/>
    <s v="PROD-009"/>
    <s v="Home Office"/>
    <s v="North"/>
    <x v="5"/>
    <x v="2"/>
    <n v="14"/>
    <n v="120"/>
    <n v="1680"/>
    <n v="168"/>
    <s v="Large Order"/>
    <s v="Weekday"/>
  </r>
  <r>
    <s v="ORD-2860"/>
    <d v="2024-02-23T00:00:00"/>
    <n v="2024"/>
    <s v="Feb"/>
    <s v="Fri"/>
    <s v="CUST-165"/>
    <s v="PROD-024"/>
    <s v="Home Office"/>
    <s v="East"/>
    <x v="0"/>
    <x v="3"/>
    <n v="4"/>
    <n v="120"/>
    <n v="480"/>
    <n v="48"/>
    <s v="Standard Order"/>
    <s v="Weekday"/>
  </r>
  <r>
    <s v="ORD-2861"/>
    <d v="2024-09-11T00:00:00"/>
    <n v="2024"/>
    <s v="Sep"/>
    <s v="Wed"/>
    <s v="CUST-125"/>
    <s v="PROD-020"/>
    <s v="Consumer"/>
    <s v="Central"/>
    <x v="3"/>
    <x v="4"/>
    <n v="7"/>
    <n v="120"/>
    <n v="840"/>
    <n v="84"/>
    <s v="Large Order"/>
    <s v="Weekday"/>
  </r>
  <r>
    <s v="ORD-2862"/>
    <d v="2024-07-28T00:00:00"/>
    <n v="2024"/>
    <s v="Jul"/>
    <s v="Sun"/>
    <s v="CUST-137"/>
    <s v="PROD-006"/>
    <s v="Consumer"/>
    <s v="North"/>
    <x v="5"/>
    <x v="1"/>
    <n v="7"/>
    <n v="120"/>
    <n v="840"/>
    <n v="84"/>
    <s v="Large Order"/>
    <s v="Weekend"/>
  </r>
  <r>
    <s v="ORD-2863"/>
    <d v="2024-09-03T00:00:00"/>
    <n v="2024"/>
    <s v="Sep"/>
    <s v="Tue"/>
    <s v="CUST-142"/>
    <s v="PROD-008"/>
    <s v="Consumer"/>
    <s v="Central"/>
    <x v="0"/>
    <x v="0"/>
    <n v="4"/>
    <n v="120"/>
    <n v="480"/>
    <n v="48"/>
    <s v="Standard Order"/>
    <s v="Weekday"/>
  </r>
  <r>
    <s v="ORD-2864"/>
    <d v="2024-12-08T00:00:00"/>
    <n v="2024"/>
    <s v="Dec"/>
    <s v="Sun"/>
    <s v="CUST-163"/>
    <s v="PROD-005"/>
    <s v="Consumer"/>
    <s v="East"/>
    <x v="5"/>
    <x v="0"/>
    <n v="4"/>
    <n v="120"/>
    <n v="480"/>
    <n v="48"/>
    <s v="Standard Order"/>
    <s v="Weekend"/>
  </r>
  <r>
    <s v="ORD-2865"/>
    <d v="2024-11-25T00:00:00"/>
    <n v="2024"/>
    <s v="Nov"/>
    <s v="Mon"/>
    <s v="CUST-129"/>
    <s v="PROD-015"/>
    <s v="Corporate"/>
    <s v="East"/>
    <x v="3"/>
    <x v="1"/>
    <n v="2"/>
    <n v="120"/>
    <n v="240"/>
    <n v="24"/>
    <s v="Standard Order"/>
    <s v="Weekday"/>
  </r>
  <r>
    <s v="ORD-2866"/>
    <d v="2024-03-30T00:00:00"/>
    <n v="2024"/>
    <s v="Mar"/>
    <s v="Sat"/>
    <s v="CUST-105"/>
    <s v="PROD-010"/>
    <s v="Corporate"/>
    <s v="South"/>
    <x v="3"/>
    <x v="1"/>
    <n v="4"/>
    <n v="120"/>
    <n v="480"/>
    <n v="48"/>
    <s v="Standard Order"/>
    <s v="Weekend"/>
  </r>
  <r>
    <s v="ORD-2867"/>
    <d v="2024-01-24T00:00:00"/>
    <n v="2024"/>
    <s v="Jan"/>
    <s v="Wed"/>
    <s v="CUST-101"/>
    <s v="PROD-005"/>
    <s v="Home Office"/>
    <s v="East"/>
    <x v="4"/>
    <x v="3"/>
    <n v="12"/>
    <n v="120"/>
    <n v="1440"/>
    <n v="144"/>
    <s v="Large Order"/>
    <s v="Weekday"/>
  </r>
  <r>
    <s v="ORD-2868"/>
    <d v="2024-11-14T00:00:00"/>
    <n v="2024"/>
    <s v="Nov"/>
    <s v="Thu"/>
    <s v="CUST-134"/>
    <s v="PROD-024"/>
    <s v="Consumer"/>
    <s v="West"/>
    <x v="3"/>
    <x v="3"/>
    <n v="6"/>
    <n v="120"/>
    <n v="720"/>
    <n v="72"/>
    <s v="Large Order"/>
    <s v="Weekday"/>
  </r>
  <r>
    <s v="ORD-2869"/>
    <d v="2024-07-23T00:00:00"/>
    <n v="2024"/>
    <s v="Jul"/>
    <s v="Tue"/>
    <s v="CUST-158"/>
    <s v="PROD-009"/>
    <s v="Corporate"/>
    <s v="North"/>
    <x v="2"/>
    <x v="1"/>
    <n v="6"/>
    <n v="120"/>
    <n v="720"/>
    <n v="72"/>
    <s v="Large Order"/>
    <s v="Weekday"/>
  </r>
  <r>
    <s v="ORD-2870"/>
    <d v="2024-12-22T00:00:00"/>
    <n v="2024"/>
    <s v="Dec"/>
    <s v="Sun"/>
    <s v="CUST-192"/>
    <s v="PROD-002"/>
    <s v="Consumer"/>
    <s v="Central"/>
    <x v="0"/>
    <x v="1"/>
    <n v="19"/>
    <n v="120"/>
    <n v="2280"/>
    <n v="228"/>
    <s v="Large Order"/>
    <s v="Weekend"/>
  </r>
  <r>
    <s v="ORD-2871"/>
    <d v="2024-10-18T00:00:00"/>
    <n v="2024"/>
    <s v="Oct"/>
    <s v="Fri"/>
    <s v="CUST-186"/>
    <s v="PROD-015"/>
    <s v="Consumer"/>
    <s v="West"/>
    <x v="5"/>
    <x v="1"/>
    <n v="12"/>
    <n v="120"/>
    <n v="1440"/>
    <n v="144"/>
    <s v="Large Order"/>
    <s v="Weekday"/>
  </r>
  <r>
    <s v="ORD-2872"/>
    <d v="2024-12-16T00:00:00"/>
    <n v="2024"/>
    <s v="Dec"/>
    <s v="Mon"/>
    <s v="CUST-193"/>
    <s v="PROD-005"/>
    <s v="Corporate"/>
    <s v="North"/>
    <x v="2"/>
    <x v="0"/>
    <n v="14"/>
    <n v="120"/>
    <n v="1680"/>
    <n v="168"/>
    <s v="Large Order"/>
    <s v="Weekday"/>
  </r>
  <r>
    <s v="ORD-2873"/>
    <d v="2024-02-02T00:00:00"/>
    <n v="2024"/>
    <s v="Feb"/>
    <s v="Fri"/>
    <s v="CUST-133"/>
    <s v="PROD-021"/>
    <s v="Corporate"/>
    <s v="Central"/>
    <x v="0"/>
    <x v="4"/>
    <n v="19"/>
    <n v="120"/>
    <n v="2280"/>
    <n v="228"/>
    <s v="Large Order"/>
    <s v="Weekday"/>
  </r>
  <r>
    <s v="ORD-2874"/>
    <d v="2024-04-24T00:00:00"/>
    <n v="2024"/>
    <s v="Apr"/>
    <s v="Wed"/>
    <s v="CUST-185"/>
    <s v="PROD-011"/>
    <s v="Home Office"/>
    <s v="West"/>
    <x v="5"/>
    <x v="4"/>
    <n v="4"/>
    <n v="120"/>
    <n v="480"/>
    <n v="48"/>
    <s v="Standard Order"/>
    <s v="Weekday"/>
  </r>
  <r>
    <s v="ORD-2875"/>
    <d v="2024-05-07T00:00:00"/>
    <n v="2024"/>
    <s v="May"/>
    <s v="Tue"/>
    <s v="CUST-161"/>
    <s v="PROD-012"/>
    <s v="Home Office"/>
    <s v="South"/>
    <x v="2"/>
    <x v="2"/>
    <n v="18"/>
    <n v="120"/>
    <n v="2160"/>
    <n v="216"/>
    <s v="Large Order"/>
    <s v="Weekday"/>
  </r>
  <r>
    <s v="ORD-2876"/>
    <d v="2024-11-09T00:00:00"/>
    <n v="2024"/>
    <s v="Nov"/>
    <s v="Sat"/>
    <s v="CUST-106"/>
    <s v="PROD-001"/>
    <s v="Home Office"/>
    <s v="East"/>
    <x v="4"/>
    <x v="4"/>
    <n v="16"/>
    <n v="120"/>
    <n v="1920"/>
    <n v="192"/>
    <s v="Large Order"/>
    <s v="Weekend"/>
  </r>
  <r>
    <s v="ORD-2877"/>
    <d v="2024-03-25T00:00:00"/>
    <n v="2024"/>
    <s v="Mar"/>
    <s v="Mon"/>
    <s v="CUST-109"/>
    <s v="PROD-025"/>
    <s v="Corporate"/>
    <s v="West"/>
    <x v="3"/>
    <x v="2"/>
    <n v="11"/>
    <n v="120"/>
    <n v="1320"/>
    <n v="132"/>
    <s v="Large Order"/>
    <s v="Weekday"/>
  </r>
  <r>
    <s v="ORD-2878"/>
    <d v="2024-01-26T00:00:00"/>
    <n v="2024"/>
    <s v="Jan"/>
    <s v="Fri"/>
    <s v="CUST-164"/>
    <s v="PROD-008"/>
    <s v="Home Office"/>
    <s v="West"/>
    <x v="2"/>
    <x v="1"/>
    <n v="8"/>
    <n v="120"/>
    <n v="960"/>
    <n v="96"/>
    <s v="Large Order"/>
    <s v="Weekday"/>
  </r>
  <r>
    <s v="ORD-2879"/>
    <d v="2024-08-15T00:00:00"/>
    <n v="2024"/>
    <s v="Aug"/>
    <s v="Thu"/>
    <s v="CUST-173"/>
    <s v="PROD-015"/>
    <s v="Consumer"/>
    <s v="North"/>
    <x v="2"/>
    <x v="1"/>
    <n v="11"/>
    <n v="120"/>
    <n v="1320"/>
    <n v="132"/>
    <s v="Large Order"/>
    <s v="Weekday"/>
  </r>
  <r>
    <s v="ORD-2880"/>
    <d v="2024-09-11T00:00:00"/>
    <n v="2024"/>
    <s v="Sep"/>
    <s v="Wed"/>
    <s v="CUST-195"/>
    <s v="PROD-021"/>
    <s v="Consumer"/>
    <s v="Central"/>
    <x v="0"/>
    <x v="1"/>
    <n v="14"/>
    <n v="120"/>
    <n v="1680"/>
    <n v="168"/>
    <s v="Large Order"/>
    <s v="Weekday"/>
  </r>
  <r>
    <s v="ORD-2881"/>
    <d v="2024-10-08T00:00:00"/>
    <n v="2024"/>
    <s v="Oct"/>
    <s v="Tue"/>
    <s v="CUST-100"/>
    <s v="PROD-003"/>
    <s v="Home Office"/>
    <s v="East"/>
    <x v="5"/>
    <x v="3"/>
    <n v="17"/>
    <n v="120"/>
    <n v="2040"/>
    <n v="204"/>
    <s v="Large Order"/>
    <s v="Weekday"/>
  </r>
  <r>
    <s v="ORD-2882"/>
    <d v="2024-12-01T00:00:00"/>
    <n v="2024"/>
    <s v="Dec"/>
    <s v="Sun"/>
    <s v="CUST-185"/>
    <s v="PROD-015"/>
    <s v="Corporate"/>
    <s v="Central"/>
    <x v="3"/>
    <x v="0"/>
    <n v="8"/>
    <n v="120"/>
    <n v="960"/>
    <n v="96"/>
    <s v="Large Order"/>
    <s v="Weekend"/>
  </r>
  <r>
    <s v="ORD-2883"/>
    <d v="2024-06-18T00:00:00"/>
    <n v="2024"/>
    <s v="Jun"/>
    <s v="Tue"/>
    <s v="CUST-171"/>
    <s v="PROD-025"/>
    <s v="Home Office"/>
    <s v="South"/>
    <x v="5"/>
    <x v="1"/>
    <n v="12"/>
    <n v="120"/>
    <n v="1440"/>
    <n v="144"/>
    <s v="Large Order"/>
    <s v="Weekday"/>
  </r>
  <r>
    <s v="ORD-2884"/>
    <d v="2024-02-28T00:00:00"/>
    <n v="2024"/>
    <s v="Feb"/>
    <s v="Wed"/>
    <s v="CUST-112"/>
    <s v="PROD-025"/>
    <s v="Home Office"/>
    <s v="East"/>
    <x v="4"/>
    <x v="0"/>
    <n v="11"/>
    <n v="120"/>
    <n v="1320"/>
    <n v="132"/>
    <s v="Large Order"/>
    <s v="Weekday"/>
  </r>
  <r>
    <s v="ORD-2885"/>
    <d v="2024-11-20T00:00:00"/>
    <n v="2024"/>
    <s v="Nov"/>
    <s v="Wed"/>
    <s v="CUST-137"/>
    <s v="PROD-018"/>
    <s v="Home Office"/>
    <s v="West"/>
    <x v="3"/>
    <x v="0"/>
    <n v="2"/>
    <n v="120"/>
    <n v="240"/>
    <n v="24"/>
    <s v="Standard Order"/>
    <s v="Weekday"/>
  </r>
  <r>
    <s v="ORD-2886"/>
    <d v="2024-09-09T00:00:00"/>
    <n v="2024"/>
    <s v="Sep"/>
    <s v="Mon"/>
    <s v="CUST-117"/>
    <s v="PROD-023"/>
    <s v="Home Office"/>
    <s v="West"/>
    <x v="2"/>
    <x v="0"/>
    <n v="9"/>
    <n v="120"/>
    <n v="1080"/>
    <n v="108"/>
    <s v="Large Order"/>
    <s v="Weekday"/>
  </r>
  <r>
    <s v="ORD-2887"/>
    <d v="2024-04-06T00:00:00"/>
    <n v="2024"/>
    <s v="Apr"/>
    <s v="Sat"/>
    <s v="CUST-115"/>
    <s v="PROD-013"/>
    <s v="Consumer"/>
    <s v="Central"/>
    <x v="2"/>
    <x v="2"/>
    <n v="11"/>
    <n v="120"/>
    <n v="1320"/>
    <n v="132"/>
    <s v="Large Order"/>
    <s v="Weekend"/>
  </r>
  <r>
    <s v="ORD-2888"/>
    <d v="2024-07-31T00:00:00"/>
    <n v="2024"/>
    <s v="Jul"/>
    <s v="Wed"/>
    <s v="CUST-105"/>
    <s v="PROD-021"/>
    <s v="Home Office"/>
    <s v="North"/>
    <x v="5"/>
    <x v="0"/>
    <n v="15"/>
    <n v="120"/>
    <n v="1800"/>
    <n v="180"/>
    <s v="Large Order"/>
    <s v="Weekday"/>
  </r>
  <r>
    <s v="ORD-2889"/>
    <d v="2024-10-28T00:00:00"/>
    <n v="2024"/>
    <s v="Oct"/>
    <s v="Mon"/>
    <s v="CUST-164"/>
    <s v="PROD-005"/>
    <s v="Corporate"/>
    <s v="South"/>
    <x v="0"/>
    <x v="4"/>
    <n v="2"/>
    <n v="120"/>
    <n v="240"/>
    <n v="24"/>
    <s v="Standard Order"/>
    <s v="Weekday"/>
  </r>
  <r>
    <s v="ORD-2890"/>
    <d v="2024-08-09T00:00:00"/>
    <n v="2024"/>
    <s v="Aug"/>
    <s v="Fri"/>
    <s v="CUST-174"/>
    <s v="PROD-016"/>
    <s v="Home Office"/>
    <s v="Central"/>
    <x v="4"/>
    <x v="4"/>
    <n v="6"/>
    <n v="120"/>
    <n v="720"/>
    <n v="72"/>
    <s v="Large Order"/>
    <s v="Weekday"/>
  </r>
  <r>
    <s v="ORD-2891"/>
    <d v="2024-03-06T00:00:00"/>
    <n v="2024"/>
    <s v="Mar"/>
    <s v="Wed"/>
    <s v="CUST-113"/>
    <s v="PROD-013"/>
    <s v="Home Office"/>
    <s v="South"/>
    <x v="5"/>
    <x v="4"/>
    <n v="11"/>
    <n v="120"/>
    <n v="1320"/>
    <n v="132"/>
    <s v="Large Order"/>
    <s v="Weekday"/>
  </r>
  <r>
    <s v="ORD-2892"/>
    <d v="2024-07-15T00:00:00"/>
    <n v="2024"/>
    <s v="Jul"/>
    <s v="Mon"/>
    <s v="CUST-153"/>
    <s v="PROD-020"/>
    <s v="Home Office"/>
    <s v="West"/>
    <x v="4"/>
    <x v="3"/>
    <n v="13"/>
    <n v="120"/>
    <n v="1560"/>
    <n v="156"/>
    <s v="Large Order"/>
    <s v="Weekday"/>
  </r>
  <r>
    <s v="ORD-2893"/>
    <d v="2024-05-30T00:00:00"/>
    <n v="2024"/>
    <s v="May"/>
    <s v="Thu"/>
    <s v="CUST-157"/>
    <s v="PROD-005"/>
    <s v="Consumer"/>
    <s v="Central"/>
    <x v="2"/>
    <x v="4"/>
    <n v="17"/>
    <n v="120"/>
    <n v="2040"/>
    <n v="204"/>
    <s v="Large Order"/>
    <s v="Weekday"/>
  </r>
  <r>
    <s v="ORD-2894"/>
    <d v="2024-12-25T00:00:00"/>
    <n v="2024"/>
    <s v="Dec"/>
    <s v="Wed"/>
    <s v="CUST-170"/>
    <s v="PROD-011"/>
    <s v="Home Office"/>
    <s v="South"/>
    <x v="5"/>
    <x v="2"/>
    <n v="7"/>
    <n v="120"/>
    <n v="840"/>
    <n v="84"/>
    <s v="Large Order"/>
    <s v="Weekday"/>
  </r>
  <r>
    <s v="ORD-2895"/>
    <d v="2024-05-28T00:00:00"/>
    <n v="2024"/>
    <s v="May"/>
    <s v="Tue"/>
    <s v="CUST-187"/>
    <s v="PROD-012"/>
    <s v="Home Office"/>
    <s v="East"/>
    <x v="4"/>
    <x v="2"/>
    <n v="17"/>
    <n v="120"/>
    <n v="2040"/>
    <n v="204"/>
    <s v="Large Order"/>
    <s v="Weekday"/>
  </r>
  <r>
    <s v="ORD-2896"/>
    <d v="2024-11-22T00:00:00"/>
    <n v="2024"/>
    <s v="Nov"/>
    <s v="Fri"/>
    <s v="CUST-141"/>
    <s v="PROD-023"/>
    <s v="Consumer"/>
    <s v="Central"/>
    <x v="3"/>
    <x v="4"/>
    <n v="16"/>
    <n v="120"/>
    <n v="1920"/>
    <n v="192"/>
    <s v="Large Order"/>
    <s v="Weekday"/>
  </r>
  <r>
    <s v="ORD-2897"/>
    <d v="2024-12-07T00:00:00"/>
    <n v="2024"/>
    <s v="Dec"/>
    <s v="Sat"/>
    <s v="CUST-190"/>
    <s v="PROD-014"/>
    <s v="Home Office"/>
    <s v="South"/>
    <x v="5"/>
    <x v="3"/>
    <n v="14"/>
    <n v="120"/>
    <n v="1680"/>
    <n v="168"/>
    <s v="Large Order"/>
    <s v="Weekend"/>
  </r>
  <r>
    <s v="ORD-2898"/>
    <d v="2024-09-24T00:00:00"/>
    <n v="2024"/>
    <s v="Sep"/>
    <s v="Tue"/>
    <s v="CUST-113"/>
    <s v="PROD-001"/>
    <s v="Corporate"/>
    <s v="South"/>
    <x v="4"/>
    <x v="0"/>
    <n v="2"/>
    <n v="120"/>
    <n v="240"/>
    <n v="24"/>
    <s v="Standard Order"/>
    <s v="Weekday"/>
  </r>
  <r>
    <s v="ORD-2899"/>
    <d v="2024-03-23T00:00:00"/>
    <n v="2024"/>
    <s v="Mar"/>
    <s v="Sat"/>
    <s v="CUST-136"/>
    <s v="PROD-022"/>
    <s v="Corporate"/>
    <s v="North"/>
    <x v="4"/>
    <x v="0"/>
    <n v="10"/>
    <n v="120"/>
    <n v="1200"/>
    <n v="120"/>
    <s v="Large Order"/>
    <s v="Weekend"/>
  </r>
  <r>
    <s v="ORD-2900"/>
    <d v="2024-10-04T00:00:00"/>
    <n v="2024"/>
    <s v="Oct"/>
    <s v="Fri"/>
    <s v="CUST-104"/>
    <s v="PROD-012"/>
    <s v="Corporate"/>
    <s v="Central"/>
    <x v="0"/>
    <x v="4"/>
    <n v="18"/>
    <n v="120"/>
    <n v="2160"/>
    <n v="216"/>
    <s v="Large Order"/>
    <s v="Weekday"/>
  </r>
  <r>
    <s v="ORD-2901"/>
    <d v="2024-11-27T00:00:00"/>
    <n v="2024"/>
    <s v="Nov"/>
    <s v="Wed"/>
    <s v="CUST-171"/>
    <s v="PROD-013"/>
    <s v="Consumer"/>
    <s v="Central"/>
    <x v="5"/>
    <x v="3"/>
    <n v="2"/>
    <n v="120"/>
    <n v="240"/>
    <n v="24"/>
    <s v="Standard Order"/>
    <s v="Weekday"/>
  </r>
  <r>
    <s v="ORD-2902"/>
    <d v="2024-07-17T00:00:00"/>
    <n v="2024"/>
    <s v="Jul"/>
    <s v="Wed"/>
    <s v="CUST-153"/>
    <s v="PROD-022"/>
    <s v="Corporate"/>
    <s v="South"/>
    <x v="5"/>
    <x v="0"/>
    <n v="1"/>
    <n v="120"/>
    <n v="120"/>
    <n v="12"/>
    <s v="Standard Order"/>
    <s v="Weekday"/>
  </r>
  <r>
    <s v="ORD-2903"/>
    <d v="2024-04-13T00:00:00"/>
    <n v="2024"/>
    <s v="Apr"/>
    <s v="Sat"/>
    <s v="CUST-179"/>
    <s v="PROD-025"/>
    <s v="Corporate"/>
    <s v="South"/>
    <x v="4"/>
    <x v="3"/>
    <n v="19"/>
    <n v="120"/>
    <n v="2280"/>
    <n v="228"/>
    <s v="Large Order"/>
    <s v="Weekend"/>
  </r>
  <r>
    <s v="ORD-2904"/>
    <d v="2024-11-04T00:00:00"/>
    <n v="2024"/>
    <s v="Nov"/>
    <s v="Mon"/>
    <s v="CUST-125"/>
    <s v="PROD-025"/>
    <s v="Home Office"/>
    <s v="Central"/>
    <x v="4"/>
    <x v="3"/>
    <n v="15"/>
    <n v="120"/>
    <n v="1800"/>
    <n v="180"/>
    <s v="Large Order"/>
    <s v="Weekday"/>
  </r>
  <r>
    <s v="ORD-2905"/>
    <d v="2024-12-15T00:00:00"/>
    <n v="2024"/>
    <s v="Dec"/>
    <s v="Sun"/>
    <s v="CUST-109"/>
    <s v="PROD-006"/>
    <s v="Consumer"/>
    <s v="South"/>
    <x v="5"/>
    <x v="0"/>
    <n v="13"/>
    <n v="120"/>
    <n v="1560"/>
    <n v="156"/>
    <s v="Large Order"/>
    <s v="Weekend"/>
  </r>
  <r>
    <s v="ORD-2906"/>
    <d v="2024-05-22T00:00:00"/>
    <n v="2024"/>
    <s v="May"/>
    <s v="Wed"/>
    <s v="CUST-171"/>
    <s v="PROD-009"/>
    <s v="Consumer"/>
    <s v="South"/>
    <x v="4"/>
    <x v="4"/>
    <n v="9"/>
    <n v="120"/>
    <n v="1080"/>
    <n v="108"/>
    <s v="Large Order"/>
    <s v="Weekday"/>
  </r>
  <r>
    <s v="ORD-2907"/>
    <d v="2024-08-26T00:00:00"/>
    <n v="2024"/>
    <s v="Aug"/>
    <s v="Mon"/>
    <s v="CUST-190"/>
    <s v="PROD-005"/>
    <s v="Consumer"/>
    <s v="West"/>
    <x v="4"/>
    <x v="3"/>
    <n v="20"/>
    <n v="120"/>
    <n v="2400"/>
    <n v="240"/>
    <s v="Large Order"/>
    <s v="Weekday"/>
  </r>
  <r>
    <s v="ORD-2908"/>
    <d v="2024-11-16T00:00:00"/>
    <n v="2024"/>
    <s v="Nov"/>
    <s v="Sat"/>
    <s v="CUST-178"/>
    <s v="PROD-022"/>
    <s v="Corporate"/>
    <s v="South"/>
    <x v="2"/>
    <x v="4"/>
    <n v="18"/>
    <n v="120"/>
    <n v="2160"/>
    <n v="216"/>
    <s v="Large Order"/>
    <s v="Weekend"/>
  </r>
  <r>
    <s v="ORD-2909"/>
    <d v="2024-12-28T00:00:00"/>
    <n v="2024"/>
    <s v="Dec"/>
    <s v="Sat"/>
    <s v="CUST-140"/>
    <s v="PROD-017"/>
    <s v="Consumer"/>
    <s v="West"/>
    <x v="4"/>
    <x v="4"/>
    <n v="3"/>
    <n v="120"/>
    <n v="360"/>
    <n v="36"/>
    <s v="Standard Order"/>
    <s v="Weekend"/>
  </r>
  <r>
    <s v="ORD-2910"/>
    <d v="2024-03-22T00:00:00"/>
    <n v="2024"/>
    <s v="Mar"/>
    <s v="Fri"/>
    <s v="CUST-153"/>
    <s v="PROD-018"/>
    <s v="Home Office"/>
    <s v="East"/>
    <x v="2"/>
    <x v="0"/>
    <n v="12"/>
    <n v="120"/>
    <n v="1440"/>
    <n v="144"/>
    <s v="Large Order"/>
    <s v="Weekday"/>
  </r>
  <r>
    <s v="ORD-2911"/>
    <d v="2024-04-19T00:00:00"/>
    <n v="2024"/>
    <s v="Apr"/>
    <s v="Fri"/>
    <s v="CUST-184"/>
    <s v="PROD-011"/>
    <s v="Corporate"/>
    <s v="North"/>
    <x v="3"/>
    <x v="3"/>
    <n v="7"/>
    <n v="120"/>
    <n v="840"/>
    <n v="84"/>
    <s v="Large Order"/>
    <s v="Weekday"/>
  </r>
  <r>
    <s v="ORD-2912"/>
    <d v="2024-11-12T00:00:00"/>
    <n v="2024"/>
    <s v="Nov"/>
    <s v="Tue"/>
    <s v="CUST-167"/>
    <s v="PROD-016"/>
    <s v="Home Office"/>
    <s v="North"/>
    <x v="0"/>
    <x v="0"/>
    <n v="12"/>
    <n v="120"/>
    <n v="1440"/>
    <n v="144"/>
    <s v="Large Order"/>
    <s v="Weekday"/>
  </r>
  <r>
    <s v="ORD-2913"/>
    <d v="2024-11-24T00:00:00"/>
    <n v="2024"/>
    <s v="Nov"/>
    <s v="Sun"/>
    <s v="CUST-178"/>
    <s v="PROD-020"/>
    <s v="Consumer"/>
    <s v="East"/>
    <x v="0"/>
    <x v="3"/>
    <n v="13"/>
    <n v="120"/>
    <n v="1560"/>
    <n v="156"/>
    <s v="Large Order"/>
    <s v="Weekend"/>
  </r>
  <r>
    <s v="ORD-2914"/>
    <d v="2024-02-28T00:00:00"/>
    <n v="2024"/>
    <s v="Feb"/>
    <s v="Wed"/>
    <s v="CUST-149"/>
    <s v="PROD-009"/>
    <s v="Home Office"/>
    <s v="West"/>
    <x v="3"/>
    <x v="0"/>
    <n v="17"/>
    <n v="120"/>
    <n v="2040"/>
    <n v="204"/>
    <s v="Large Order"/>
    <s v="Weekday"/>
  </r>
  <r>
    <s v="ORD-2915"/>
    <d v="2024-07-10T00:00:00"/>
    <n v="2024"/>
    <s v="Jul"/>
    <s v="Wed"/>
    <s v="CUST-165"/>
    <s v="PROD-017"/>
    <s v="Corporate"/>
    <s v="North"/>
    <x v="2"/>
    <x v="0"/>
    <n v="10"/>
    <n v="120"/>
    <n v="1200"/>
    <n v="120"/>
    <s v="Large Order"/>
    <s v="Weekday"/>
  </r>
  <r>
    <s v="ORD-2916"/>
    <d v="2024-04-08T00:00:00"/>
    <n v="2024"/>
    <s v="Apr"/>
    <s v="Mon"/>
    <s v="CUST-141"/>
    <s v="PROD-017"/>
    <s v="Consumer"/>
    <s v="South"/>
    <x v="0"/>
    <x v="2"/>
    <n v="18"/>
    <n v="120"/>
    <n v="2160"/>
    <n v="216"/>
    <s v="Large Order"/>
    <s v="Weekday"/>
  </r>
  <r>
    <s v="ORD-2917"/>
    <d v="2024-11-16T00:00:00"/>
    <n v="2024"/>
    <s v="Nov"/>
    <s v="Sat"/>
    <s v="CUST-108"/>
    <s v="PROD-007"/>
    <s v="Home Office"/>
    <s v="North"/>
    <x v="4"/>
    <x v="1"/>
    <n v="4"/>
    <n v="120"/>
    <n v="480"/>
    <n v="48"/>
    <s v="Standard Order"/>
    <s v="Weekend"/>
  </r>
  <r>
    <s v="ORD-2918"/>
    <d v="2024-12-25T00:00:00"/>
    <n v="2024"/>
    <s v="Dec"/>
    <s v="Wed"/>
    <s v="CUST-194"/>
    <s v="PROD-025"/>
    <s v="Corporate"/>
    <s v="North"/>
    <x v="0"/>
    <x v="2"/>
    <n v="1"/>
    <n v="120"/>
    <n v="120"/>
    <n v="12"/>
    <s v="Standard Order"/>
    <s v="Weekday"/>
  </r>
  <r>
    <s v="ORD-2919"/>
    <d v="2024-06-18T00:00:00"/>
    <n v="2024"/>
    <s v="Jun"/>
    <s v="Tue"/>
    <s v="CUST-104"/>
    <s v="PROD-003"/>
    <s v="Consumer"/>
    <s v="West"/>
    <x v="0"/>
    <x v="2"/>
    <n v="9"/>
    <n v="120"/>
    <n v="1080"/>
    <n v="108"/>
    <s v="Large Order"/>
    <s v="Weekday"/>
  </r>
  <r>
    <s v="ORD-2920"/>
    <d v="2024-10-21T00:00:00"/>
    <n v="2024"/>
    <s v="Oct"/>
    <s v="Mon"/>
    <s v="CUST-129"/>
    <s v="PROD-009"/>
    <s v="Corporate"/>
    <s v="Central"/>
    <x v="2"/>
    <x v="1"/>
    <n v="13"/>
    <n v="120"/>
    <n v="1560"/>
    <n v="156"/>
    <s v="Large Order"/>
    <s v="Weekday"/>
  </r>
  <r>
    <s v="ORD-2921"/>
    <d v="2024-01-09T00:00:00"/>
    <n v="2024"/>
    <s v="Jan"/>
    <s v="Tue"/>
    <s v="CUST-149"/>
    <s v="PROD-022"/>
    <s v="Consumer"/>
    <s v="East"/>
    <x v="5"/>
    <x v="0"/>
    <n v="20"/>
    <n v="120"/>
    <n v="2400"/>
    <n v="240"/>
    <s v="Large Order"/>
    <s v="Weekday"/>
  </r>
  <r>
    <s v="ORD-2922"/>
    <d v="2024-10-26T00:00:00"/>
    <n v="2024"/>
    <s v="Oct"/>
    <s v="Sat"/>
    <s v="CUST-105"/>
    <s v="PROD-023"/>
    <s v="Consumer"/>
    <s v="East"/>
    <x v="3"/>
    <x v="4"/>
    <n v="4"/>
    <n v="120"/>
    <n v="480"/>
    <n v="48"/>
    <s v="Standard Order"/>
    <s v="Weekend"/>
  </r>
  <r>
    <s v="ORD-2923"/>
    <d v="2024-12-17T00:00:00"/>
    <n v="2024"/>
    <s v="Dec"/>
    <s v="Tue"/>
    <s v="CUST-138"/>
    <s v="PROD-020"/>
    <s v="Consumer"/>
    <s v="Central"/>
    <x v="3"/>
    <x v="1"/>
    <n v="13"/>
    <n v="120"/>
    <n v="1560"/>
    <n v="156"/>
    <s v="Large Order"/>
    <s v="Weekday"/>
  </r>
  <r>
    <s v="ORD-2924"/>
    <d v="2024-12-04T00:00:00"/>
    <n v="2024"/>
    <s v="Dec"/>
    <s v="Wed"/>
    <s v="CUST-103"/>
    <s v="PROD-016"/>
    <s v="Consumer"/>
    <s v="East"/>
    <x v="5"/>
    <x v="2"/>
    <n v="5"/>
    <n v="120"/>
    <n v="600"/>
    <n v="60"/>
    <s v="Large Order"/>
    <s v="Weekday"/>
  </r>
  <r>
    <s v="ORD-2925"/>
    <d v="2024-10-06T00:00:00"/>
    <n v="2024"/>
    <s v="Oct"/>
    <s v="Sun"/>
    <s v="CUST-137"/>
    <s v="PROD-021"/>
    <s v="Consumer"/>
    <s v="North"/>
    <x v="3"/>
    <x v="3"/>
    <n v="1"/>
    <n v="120"/>
    <n v="120"/>
    <n v="12"/>
    <s v="Standard Order"/>
    <s v="Weekend"/>
  </r>
  <r>
    <s v="ORD-2926"/>
    <d v="2024-10-11T00:00:00"/>
    <n v="2024"/>
    <s v="Oct"/>
    <s v="Fri"/>
    <s v="CUST-118"/>
    <s v="PROD-004"/>
    <s v="Consumer"/>
    <s v="East"/>
    <x v="0"/>
    <x v="4"/>
    <n v="20"/>
    <n v="120"/>
    <n v="2400"/>
    <n v="240"/>
    <s v="Large Order"/>
    <s v="Weekday"/>
  </r>
  <r>
    <s v="ORD-2927"/>
    <d v="2024-10-07T00:00:00"/>
    <n v="2024"/>
    <s v="Oct"/>
    <s v="Mon"/>
    <s v="CUST-110"/>
    <s v="PROD-010"/>
    <s v="Consumer"/>
    <s v="South"/>
    <x v="3"/>
    <x v="2"/>
    <n v="14"/>
    <n v="120"/>
    <n v="1680"/>
    <n v="168"/>
    <s v="Large Order"/>
    <s v="Weekday"/>
  </r>
  <r>
    <s v="ORD-2928"/>
    <d v="2024-09-19T00:00:00"/>
    <n v="2024"/>
    <s v="Sep"/>
    <s v="Thu"/>
    <s v="CUST-118"/>
    <s v="PROD-006"/>
    <s v="Consumer"/>
    <s v="Central"/>
    <x v="4"/>
    <x v="4"/>
    <n v="9"/>
    <n v="120"/>
    <n v="1080"/>
    <n v="108"/>
    <s v="Large Order"/>
    <s v="Weekday"/>
  </r>
  <r>
    <s v="ORD-2929"/>
    <d v="2024-04-02T00:00:00"/>
    <n v="2024"/>
    <s v="Apr"/>
    <s v="Tue"/>
    <s v="CUST-185"/>
    <s v="PROD-019"/>
    <s v="Consumer"/>
    <s v="South"/>
    <x v="5"/>
    <x v="1"/>
    <n v="18"/>
    <n v="120"/>
    <n v="2160"/>
    <n v="216"/>
    <s v="Large Order"/>
    <s v="Weekday"/>
  </r>
  <r>
    <s v="ORD-2930"/>
    <d v="2024-12-09T00:00:00"/>
    <n v="2024"/>
    <s v="Dec"/>
    <s v="Mon"/>
    <s v="CUST-108"/>
    <s v="PROD-009"/>
    <s v="Consumer"/>
    <s v="South"/>
    <x v="4"/>
    <x v="4"/>
    <n v="16"/>
    <n v="120"/>
    <n v="1920"/>
    <n v="192"/>
    <s v="Large Order"/>
    <s v="Weekday"/>
  </r>
  <r>
    <s v="ORD-2931"/>
    <d v="2024-07-01T00:00:00"/>
    <n v="2024"/>
    <s v="Jul"/>
    <s v="Mon"/>
    <s v="CUST-116"/>
    <s v="PROD-022"/>
    <s v="Home Office"/>
    <s v="East"/>
    <x v="4"/>
    <x v="0"/>
    <n v="10"/>
    <n v="120"/>
    <n v="1200"/>
    <n v="120"/>
    <s v="Large Order"/>
    <s v="Weekday"/>
  </r>
  <r>
    <s v="ORD-2932"/>
    <d v="2024-04-09T00:00:00"/>
    <n v="2024"/>
    <s v="Apr"/>
    <s v="Tue"/>
    <s v="CUST-140"/>
    <s v="PROD-016"/>
    <s v="Corporate"/>
    <s v="East"/>
    <x v="3"/>
    <x v="4"/>
    <n v="10"/>
    <n v="120"/>
    <n v="1200"/>
    <n v="120"/>
    <s v="Large Order"/>
    <s v="Weekday"/>
  </r>
  <r>
    <s v="ORD-2933"/>
    <d v="2024-03-19T00:00:00"/>
    <n v="2024"/>
    <s v="Mar"/>
    <s v="Tue"/>
    <s v="CUST-172"/>
    <s v="PROD-019"/>
    <s v="Corporate"/>
    <s v="West"/>
    <x v="3"/>
    <x v="1"/>
    <n v="6"/>
    <n v="120"/>
    <n v="720"/>
    <n v="72"/>
    <s v="Large Order"/>
    <s v="Weekday"/>
  </r>
  <r>
    <s v="ORD-2934"/>
    <d v="2024-05-06T00:00:00"/>
    <n v="2024"/>
    <s v="May"/>
    <s v="Mon"/>
    <s v="CUST-200"/>
    <s v="PROD-008"/>
    <s v="Home Office"/>
    <s v="East"/>
    <x v="2"/>
    <x v="3"/>
    <n v="12"/>
    <n v="120"/>
    <n v="1440"/>
    <n v="144"/>
    <s v="Large Order"/>
    <s v="Weekday"/>
  </r>
  <r>
    <s v="ORD-2935"/>
    <d v="2024-06-18T00:00:00"/>
    <n v="2024"/>
    <s v="Jun"/>
    <s v="Tue"/>
    <s v="CUST-161"/>
    <s v="PROD-015"/>
    <s v="Corporate"/>
    <s v="East"/>
    <x v="3"/>
    <x v="3"/>
    <n v="16"/>
    <n v="120"/>
    <n v="1920"/>
    <n v="192"/>
    <s v="Large Order"/>
    <s v="Weekday"/>
  </r>
  <r>
    <s v="ORD-2936"/>
    <d v="2024-03-30T00:00:00"/>
    <n v="2024"/>
    <s v="Mar"/>
    <s v="Sat"/>
    <s v="CUST-182"/>
    <s v="PROD-020"/>
    <s v="Consumer"/>
    <s v="North"/>
    <x v="3"/>
    <x v="2"/>
    <n v="18"/>
    <n v="120"/>
    <n v="2160"/>
    <n v="216"/>
    <s v="Large Order"/>
    <s v="Weekend"/>
  </r>
  <r>
    <s v="ORD-2937"/>
    <d v="2024-11-16T00:00:00"/>
    <n v="2024"/>
    <s v="Nov"/>
    <s v="Sat"/>
    <s v="CUST-109"/>
    <s v="PROD-024"/>
    <s v="Consumer"/>
    <s v="South"/>
    <x v="0"/>
    <x v="4"/>
    <n v="1"/>
    <n v="120"/>
    <n v="120"/>
    <n v="12"/>
    <s v="Standard Order"/>
    <s v="Weekend"/>
  </r>
  <r>
    <s v="ORD-2938"/>
    <d v="2024-10-23T00:00:00"/>
    <n v="2024"/>
    <s v="Oct"/>
    <s v="Wed"/>
    <s v="CUST-151"/>
    <s v="PROD-025"/>
    <s v="Home Office"/>
    <s v="East"/>
    <x v="4"/>
    <x v="0"/>
    <n v="18"/>
    <n v="120"/>
    <n v="2160"/>
    <n v="216"/>
    <s v="Large Order"/>
    <s v="Weekday"/>
  </r>
  <r>
    <s v="ORD-2939"/>
    <d v="2024-10-03T00:00:00"/>
    <n v="2024"/>
    <s v="Oct"/>
    <s v="Thu"/>
    <s v="CUST-160"/>
    <s v="PROD-021"/>
    <s v="Consumer"/>
    <s v="West"/>
    <x v="3"/>
    <x v="1"/>
    <n v="8"/>
    <n v="120"/>
    <n v="960"/>
    <n v="96"/>
    <s v="Large Order"/>
    <s v="Weekday"/>
  </r>
  <r>
    <s v="ORD-2940"/>
    <d v="2024-10-28T00:00:00"/>
    <n v="2024"/>
    <s v="Oct"/>
    <s v="Mon"/>
    <s v="CUST-193"/>
    <s v="PROD-010"/>
    <s v="Consumer"/>
    <s v="South"/>
    <x v="2"/>
    <x v="4"/>
    <n v="17"/>
    <n v="120"/>
    <n v="2040"/>
    <n v="204"/>
    <s v="Large Order"/>
    <s v="Weekday"/>
  </r>
  <r>
    <s v="ORD-2941"/>
    <d v="2024-07-05T00:00:00"/>
    <n v="2024"/>
    <s v="Jul"/>
    <s v="Fri"/>
    <s v="CUST-164"/>
    <s v="PROD-001"/>
    <s v="Home Office"/>
    <s v="Central"/>
    <x v="4"/>
    <x v="4"/>
    <n v="6"/>
    <n v="120"/>
    <n v="720"/>
    <n v="72"/>
    <s v="Large Order"/>
    <s v="Weekday"/>
  </r>
  <r>
    <s v="ORD-2942"/>
    <d v="2024-03-12T00:00:00"/>
    <n v="2024"/>
    <s v="Mar"/>
    <s v="Tue"/>
    <s v="CUST-157"/>
    <s v="PROD-006"/>
    <s v="Consumer"/>
    <s v="West"/>
    <x v="5"/>
    <x v="4"/>
    <n v="5"/>
    <n v="120"/>
    <n v="600"/>
    <n v="60"/>
    <s v="Large Order"/>
    <s v="Weekday"/>
  </r>
  <r>
    <s v="ORD-2943"/>
    <d v="2024-09-04T00:00:00"/>
    <n v="2024"/>
    <s v="Sep"/>
    <s v="Wed"/>
    <s v="CUST-145"/>
    <s v="PROD-002"/>
    <s v="Consumer"/>
    <s v="Central"/>
    <x v="2"/>
    <x v="2"/>
    <n v="3"/>
    <n v="120"/>
    <n v="360"/>
    <n v="36"/>
    <s v="Standard Order"/>
    <s v="Weekday"/>
  </r>
  <r>
    <s v="ORD-2944"/>
    <d v="2024-04-29T00:00:00"/>
    <n v="2024"/>
    <s v="Apr"/>
    <s v="Mon"/>
    <s v="CUST-105"/>
    <s v="PROD-022"/>
    <s v="Consumer"/>
    <s v="East"/>
    <x v="5"/>
    <x v="3"/>
    <n v="13"/>
    <n v="120"/>
    <n v="1560"/>
    <n v="156"/>
    <s v="Large Order"/>
    <s v="Weekday"/>
  </r>
  <r>
    <s v="ORD-2945"/>
    <d v="2024-08-20T00:00:00"/>
    <n v="2024"/>
    <s v="Aug"/>
    <s v="Tue"/>
    <s v="CUST-105"/>
    <s v="PROD-002"/>
    <s v="Home Office"/>
    <s v="Central"/>
    <x v="3"/>
    <x v="0"/>
    <n v="17"/>
    <n v="120"/>
    <n v="2040"/>
    <n v="204"/>
    <s v="Large Order"/>
    <s v="Weekday"/>
  </r>
  <r>
    <s v="ORD-2946"/>
    <d v="2024-05-20T00:00:00"/>
    <n v="2024"/>
    <s v="May"/>
    <s v="Mon"/>
    <s v="CUST-194"/>
    <s v="PROD-009"/>
    <s v="Home Office"/>
    <s v="North"/>
    <x v="5"/>
    <x v="4"/>
    <n v="6"/>
    <n v="120"/>
    <n v="720"/>
    <n v="72"/>
    <s v="Large Order"/>
    <s v="Weekday"/>
  </r>
  <r>
    <s v="ORD-2947"/>
    <d v="2024-07-12T00:00:00"/>
    <n v="2024"/>
    <s v="Jul"/>
    <s v="Fri"/>
    <s v="CUST-146"/>
    <s v="PROD-019"/>
    <s v="Home Office"/>
    <s v="East"/>
    <x v="0"/>
    <x v="4"/>
    <n v="9"/>
    <n v="120"/>
    <n v="1080"/>
    <n v="108"/>
    <s v="Large Order"/>
    <s v="Weekday"/>
  </r>
  <r>
    <s v="ORD-2948"/>
    <d v="2024-04-24T00:00:00"/>
    <n v="2024"/>
    <s v="Apr"/>
    <s v="Wed"/>
    <s v="CUST-166"/>
    <s v="PROD-013"/>
    <s v="Corporate"/>
    <s v="South"/>
    <x v="3"/>
    <x v="1"/>
    <n v="16"/>
    <n v="120"/>
    <n v="1920"/>
    <n v="192"/>
    <s v="Large Order"/>
    <s v="Weekday"/>
  </r>
  <r>
    <s v="ORD-2949"/>
    <d v="2024-01-04T00:00:00"/>
    <n v="2024"/>
    <s v="Jan"/>
    <s v="Thu"/>
    <s v="CUST-164"/>
    <s v="PROD-005"/>
    <s v="Corporate"/>
    <s v="South"/>
    <x v="4"/>
    <x v="2"/>
    <n v="3"/>
    <n v="120"/>
    <n v="360"/>
    <n v="36"/>
    <s v="Standard Order"/>
    <s v="Weekday"/>
  </r>
  <r>
    <s v="ORD-2950"/>
    <d v="2024-05-23T00:00:00"/>
    <n v="2024"/>
    <s v="May"/>
    <s v="Thu"/>
    <s v="CUST-127"/>
    <s v="PROD-005"/>
    <s v="Consumer"/>
    <s v="East"/>
    <x v="4"/>
    <x v="3"/>
    <n v="20"/>
    <n v="120"/>
    <n v="2400"/>
    <n v="240"/>
    <s v="Large Order"/>
    <s v="Weekday"/>
  </r>
  <r>
    <s v="ORD-2951"/>
    <d v="2024-03-01T00:00:00"/>
    <n v="2024"/>
    <s v="Mar"/>
    <s v="Fri"/>
    <s v="CUST-184"/>
    <s v="PROD-008"/>
    <s v="Corporate"/>
    <s v="West"/>
    <x v="3"/>
    <x v="0"/>
    <n v="16"/>
    <n v="120"/>
    <n v="1920"/>
    <n v="192"/>
    <s v="Large Order"/>
    <s v="Weekday"/>
  </r>
  <r>
    <s v="ORD-2952"/>
    <d v="2024-09-02T00:00:00"/>
    <n v="2024"/>
    <s v="Sep"/>
    <s v="Mon"/>
    <s v="CUST-126"/>
    <s v="PROD-019"/>
    <s v="Consumer"/>
    <s v="Central"/>
    <x v="2"/>
    <x v="0"/>
    <n v="8"/>
    <n v="120"/>
    <n v="960"/>
    <n v="96"/>
    <s v="Large Order"/>
    <s v="Weekday"/>
  </r>
  <r>
    <s v="ORD-2953"/>
    <d v="2024-10-20T00:00:00"/>
    <n v="2024"/>
    <s v="Oct"/>
    <s v="Sun"/>
    <s v="CUST-175"/>
    <s v="PROD-006"/>
    <s v="Consumer"/>
    <s v="West"/>
    <x v="5"/>
    <x v="0"/>
    <n v="19"/>
    <n v="120"/>
    <n v="2280"/>
    <n v="228"/>
    <s v="Large Order"/>
    <s v="Weekend"/>
  </r>
  <r>
    <s v="ORD-2954"/>
    <d v="2024-03-26T00:00:00"/>
    <n v="2024"/>
    <s v="Mar"/>
    <s v="Tue"/>
    <s v="CUST-133"/>
    <s v="PROD-006"/>
    <s v="Home Office"/>
    <s v="West"/>
    <x v="2"/>
    <x v="4"/>
    <n v="19"/>
    <n v="120"/>
    <n v="2280"/>
    <n v="228"/>
    <s v="Large Order"/>
    <s v="Weekday"/>
  </r>
  <r>
    <s v="ORD-2955"/>
    <d v="2024-12-04T00:00:00"/>
    <n v="2024"/>
    <s v="Dec"/>
    <s v="Wed"/>
    <s v="CUST-136"/>
    <s v="PROD-003"/>
    <s v="Consumer"/>
    <s v="South"/>
    <x v="2"/>
    <x v="4"/>
    <n v="16"/>
    <n v="120"/>
    <n v="1920"/>
    <n v="192"/>
    <s v="Large Order"/>
    <s v="Weekday"/>
  </r>
  <r>
    <s v="ORD-2956"/>
    <d v="2024-03-28T00:00:00"/>
    <n v="2024"/>
    <s v="Mar"/>
    <s v="Thu"/>
    <s v="CUST-128"/>
    <s v="PROD-014"/>
    <s v="Home Office"/>
    <s v="East"/>
    <x v="4"/>
    <x v="4"/>
    <n v="6"/>
    <n v="120"/>
    <n v="720"/>
    <n v="72"/>
    <s v="Large Order"/>
    <s v="Weekday"/>
  </r>
  <r>
    <s v="ORD-2957"/>
    <d v="2024-09-18T00:00:00"/>
    <n v="2024"/>
    <s v="Sep"/>
    <s v="Wed"/>
    <s v="CUST-133"/>
    <s v="PROD-006"/>
    <s v="Home Office"/>
    <s v="North"/>
    <x v="3"/>
    <x v="1"/>
    <n v="20"/>
    <n v="120"/>
    <n v="2400"/>
    <n v="240"/>
    <s v="Large Order"/>
    <s v="Weekday"/>
  </r>
  <r>
    <s v="ORD-2958"/>
    <d v="2024-04-27T00:00:00"/>
    <n v="2024"/>
    <s v="Apr"/>
    <s v="Sat"/>
    <s v="CUST-148"/>
    <s v="PROD-013"/>
    <s v="Consumer"/>
    <s v="Central"/>
    <x v="0"/>
    <x v="0"/>
    <n v="7"/>
    <n v="120"/>
    <n v="840"/>
    <n v="84"/>
    <s v="Large Order"/>
    <s v="Weekend"/>
  </r>
  <r>
    <s v="ORD-2959"/>
    <d v="2024-09-15T00:00:00"/>
    <n v="2024"/>
    <s v="Sep"/>
    <s v="Sun"/>
    <s v="CUST-187"/>
    <s v="PROD-014"/>
    <s v="Consumer"/>
    <s v="Central"/>
    <x v="5"/>
    <x v="0"/>
    <n v="6"/>
    <n v="120"/>
    <n v="720"/>
    <n v="72"/>
    <s v="Large Order"/>
    <s v="Weekend"/>
  </r>
  <r>
    <s v="ORD-2960"/>
    <d v="2024-11-10T00:00:00"/>
    <n v="2024"/>
    <s v="Nov"/>
    <s v="Sun"/>
    <s v="CUST-176"/>
    <s v="PROD-002"/>
    <s v="Home Office"/>
    <s v="West"/>
    <x v="5"/>
    <x v="0"/>
    <n v="3"/>
    <n v="120"/>
    <n v="360"/>
    <n v="36"/>
    <s v="Standard Order"/>
    <s v="Weekend"/>
  </r>
  <r>
    <s v="ORD-2961"/>
    <d v="2024-03-07T00:00:00"/>
    <n v="2024"/>
    <s v="Mar"/>
    <s v="Thu"/>
    <s v="CUST-177"/>
    <s v="PROD-018"/>
    <s v="Consumer"/>
    <s v="South"/>
    <x v="2"/>
    <x v="4"/>
    <n v="14"/>
    <n v="120"/>
    <n v="1680"/>
    <n v="168"/>
    <s v="Large Order"/>
    <s v="Weekday"/>
  </r>
  <r>
    <s v="ORD-2962"/>
    <d v="2024-01-23T00:00:00"/>
    <n v="2024"/>
    <s v="Jan"/>
    <s v="Tue"/>
    <s v="CUST-189"/>
    <s v="PROD-017"/>
    <s v="Corporate"/>
    <s v="South"/>
    <x v="4"/>
    <x v="1"/>
    <n v="13"/>
    <n v="120"/>
    <n v="1560"/>
    <n v="156"/>
    <s v="Large Order"/>
    <s v="Weekday"/>
  </r>
  <r>
    <s v="ORD-2963"/>
    <d v="2024-12-22T00:00:00"/>
    <n v="2024"/>
    <s v="Dec"/>
    <s v="Sun"/>
    <s v="CUST-173"/>
    <s v="PROD-004"/>
    <s v="Corporate"/>
    <s v="West"/>
    <x v="4"/>
    <x v="3"/>
    <n v="16"/>
    <n v="120"/>
    <n v="1920"/>
    <n v="192"/>
    <s v="Large Order"/>
    <s v="Weekend"/>
  </r>
  <r>
    <s v="ORD-2964"/>
    <d v="2024-02-12T00:00:00"/>
    <n v="2024"/>
    <s v="Feb"/>
    <s v="Mon"/>
    <s v="CUST-136"/>
    <s v="PROD-020"/>
    <s v="Home Office"/>
    <s v="Central"/>
    <x v="2"/>
    <x v="3"/>
    <n v="7"/>
    <n v="120"/>
    <n v="840"/>
    <n v="84"/>
    <s v="Large Order"/>
    <s v="Weekday"/>
  </r>
  <r>
    <s v="ORD-2965"/>
    <d v="2024-01-04T00:00:00"/>
    <n v="2024"/>
    <s v="Jan"/>
    <s v="Thu"/>
    <s v="CUST-173"/>
    <s v="PROD-017"/>
    <s v="Consumer"/>
    <s v="North"/>
    <x v="5"/>
    <x v="0"/>
    <n v="13"/>
    <n v="120"/>
    <n v="1560"/>
    <n v="156"/>
    <s v="Large Order"/>
    <s v="Weekday"/>
  </r>
  <r>
    <s v="ORD-2966"/>
    <d v="2024-12-18T00:00:00"/>
    <n v="2024"/>
    <s v="Dec"/>
    <s v="Wed"/>
    <s v="CUST-140"/>
    <s v="PROD-014"/>
    <s v="Corporate"/>
    <s v="Central"/>
    <x v="0"/>
    <x v="2"/>
    <n v="14"/>
    <n v="120"/>
    <n v="1680"/>
    <n v="168"/>
    <s v="Large Order"/>
    <s v="Weekday"/>
  </r>
  <r>
    <s v="ORD-2967"/>
    <d v="2024-05-09T00:00:00"/>
    <n v="2024"/>
    <s v="May"/>
    <s v="Thu"/>
    <s v="CUST-133"/>
    <s v="PROD-018"/>
    <s v="Corporate"/>
    <s v="West"/>
    <x v="5"/>
    <x v="3"/>
    <n v="20"/>
    <n v="120"/>
    <n v="2400"/>
    <n v="240"/>
    <s v="Large Order"/>
    <s v="Weekday"/>
  </r>
  <r>
    <s v="ORD-2968"/>
    <d v="2024-12-14T00:00:00"/>
    <n v="2024"/>
    <s v="Dec"/>
    <s v="Sat"/>
    <s v="CUST-150"/>
    <s v="PROD-025"/>
    <s v="Consumer"/>
    <s v="East"/>
    <x v="2"/>
    <x v="4"/>
    <n v="18"/>
    <n v="120"/>
    <n v="2160"/>
    <n v="216"/>
    <s v="Large Order"/>
    <s v="Weekend"/>
  </r>
  <r>
    <s v="ORD-2969"/>
    <d v="2024-07-08T00:00:00"/>
    <n v="2024"/>
    <s v="Jul"/>
    <s v="Mon"/>
    <s v="CUST-171"/>
    <s v="PROD-018"/>
    <s v="Corporate"/>
    <s v="North"/>
    <x v="3"/>
    <x v="3"/>
    <n v="19"/>
    <n v="120"/>
    <n v="2280"/>
    <n v="228"/>
    <s v="Large Order"/>
    <s v="Weekday"/>
  </r>
  <r>
    <s v="ORD-2970"/>
    <d v="2024-12-27T00:00:00"/>
    <n v="2024"/>
    <s v="Dec"/>
    <s v="Fri"/>
    <s v="CUST-150"/>
    <s v="PROD-024"/>
    <s v="Consumer"/>
    <s v="West"/>
    <x v="0"/>
    <x v="2"/>
    <n v="15"/>
    <n v="120"/>
    <n v="1800"/>
    <n v="180"/>
    <s v="Large Order"/>
    <s v="Weekday"/>
  </r>
  <r>
    <s v="ORD-2971"/>
    <d v="2024-03-23T00:00:00"/>
    <n v="2024"/>
    <s v="Mar"/>
    <s v="Sat"/>
    <s v="CUST-112"/>
    <s v="PROD-007"/>
    <s v="Home Office"/>
    <s v="West"/>
    <x v="2"/>
    <x v="3"/>
    <n v="18"/>
    <n v="120"/>
    <n v="2160"/>
    <n v="216"/>
    <s v="Large Order"/>
    <s v="Weekend"/>
  </r>
  <r>
    <s v="ORD-2972"/>
    <d v="2024-12-16T00:00:00"/>
    <n v="2024"/>
    <s v="Dec"/>
    <s v="Mon"/>
    <s v="CUST-190"/>
    <s v="PROD-002"/>
    <s v="Consumer"/>
    <s v="North"/>
    <x v="2"/>
    <x v="0"/>
    <n v="3"/>
    <n v="120"/>
    <n v="360"/>
    <n v="36"/>
    <s v="Standard Order"/>
    <s v="Weekday"/>
  </r>
  <r>
    <s v="ORD-2973"/>
    <d v="2024-08-29T00:00:00"/>
    <n v="2024"/>
    <s v="Aug"/>
    <s v="Thu"/>
    <s v="CUST-176"/>
    <s v="PROD-014"/>
    <s v="Consumer"/>
    <s v="West"/>
    <x v="0"/>
    <x v="3"/>
    <n v="8"/>
    <n v="120"/>
    <n v="960"/>
    <n v="96"/>
    <s v="Large Order"/>
    <s v="Weekday"/>
  </r>
  <r>
    <s v="ORD-2974"/>
    <d v="2024-11-07T00:00:00"/>
    <n v="2024"/>
    <s v="Nov"/>
    <s v="Thu"/>
    <s v="CUST-104"/>
    <s v="PROD-024"/>
    <s v="Corporate"/>
    <s v="West"/>
    <x v="2"/>
    <x v="4"/>
    <n v="17"/>
    <n v="120"/>
    <n v="2040"/>
    <n v="204"/>
    <s v="Large Order"/>
    <s v="Weekday"/>
  </r>
  <r>
    <s v="ORD-2975"/>
    <d v="2024-11-01T00:00:00"/>
    <n v="2024"/>
    <s v="Nov"/>
    <s v="Fri"/>
    <s v="CUST-107"/>
    <s v="PROD-025"/>
    <s v="Consumer"/>
    <s v="North"/>
    <x v="2"/>
    <x v="1"/>
    <n v="1"/>
    <n v="120"/>
    <n v="120"/>
    <n v="12"/>
    <s v="Standard Order"/>
    <s v="Weekday"/>
  </r>
  <r>
    <s v="ORD-2976"/>
    <d v="2024-12-02T00:00:00"/>
    <n v="2024"/>
    <s v="Dec"/>
    <s v="Mon"/>
    <s v="CUST-166"/>
    <s v="PROD-010"/>
    <s v="Consumer"/>
    <s v="North"/>
    <x v="0"/>
    <x v="4"/>
    <n v="17"/>
    <n v="120"/>
    <n v="2040"/>
    <n v="204"/>
    <s v="Large Order"/>
    <s v="Weekday"/>
  </r>
  <r>
    <s v="ORD-2977"/>
    <d v="2024-04-28T00:00:00"/>
    <n v="2024"/>
    <s v="Apr"/>
    <s v="Sun"/>
    <s v="CUST-178"/>
    <s v="PROD-006"/>
    <s v="Home Office"/>
    <s v="East"/>
    <x v="0"/>
    <x v="3"/>
    <n v="8"/>
    <n v="120"/>
    <n v="960"/>
    <n v="96"/>
    <s v="Large Order"/>
    <s v="Weekend"/>
  </r>
  <r>
    <s v="ORD-2978"/>
    <d v="2024-03-21T00:00:00"/>
    <n v="2024"/>
    <s v="Mar"/>
    <s v="Thu"/>
    <s v="CUST-111"/>
    <s v="PROD-009"/>
    <s v="Corporate"/>
    <s v="North"/>
    <x v="3"/>
    <x v="1"/>
    <n v="13"/>
    <n v="120"/>
    <n v="1560"/>
    <n v="156"/>
    <s v="Large Order"/>
    <s v="Weekday"/>
  </r>
  <r>
    <s v="ORD-2979"/>
    <d v="2024-09-22T00:00:00"/>
    <n v="2024"/>
    <s v="Sep"/>
    <s v="Sun"/>
    <s v="CUST-101"/>
    <s v="PROD-024"/>
    <s v="Home Office"/>
    <s v="East"/>
    <x v="0"/>
    <x v="0"/>
    <n v="18"/>
    <n v="120"/>
    <n v="2160"/>
    <n v="216"/>
    <s v="Large Order"/>
    <s v="Weekend"/>
  </r>
  <r>
    <s v="ORD-2980"/>
    <d v="2024-10-13T00:00:00"/>
    <n v="2024"/>
    <s v="Oct"/>
    <s v="Sun"/>
    <s v="CUST-174"/>
    <s v="PROD-012"/>
    <s v="Corporate"/>
    <s v="East"/>
    <x v="3"/>
    <x v="2"/>
    <n v="20"/>
    <n v="120"/>
    <n v="2400"/>
    <n v="240"/>
    <s v="Large Order"/>
    <s v="Weekend"/>
  </r>
  <r>
    <s v="ORD-2981"/>
    <d v="2024-08-20T00:00:00"/>
    <n v="2024"/>
    <s v="Aug"/>
    <s v="Tue"/>
    <s v="CUST-151"/>
    <s v="PROD-019"/>
    <s v="Consumer"/>
    <s v="East"/>
    <x v="3"/>
    <x v="2"/>
    <n v="14"/>
    <n v="120"/>
    <n v="1680"/>
    <n v="168"/>
    <s v="Large Order"/>
    <s v="Weekday"/>
  </r>
  <r>
    <s v="ORD-2982"/>
    <d v="2024-10-13T00:00:00"/>
    <n v="2024"/>
    <s v="Oct"/>
    <s v="Sun"/>
    <s v="CUST-109"/>
    <s v="PROD-017"/>
    <s v="Corporate"/>
    <s v="West"/>
    <x v="3"/>
    <x v="0"/>
    <n v="17"/>
    <n v="120"/>
    <n v="2040"/>
    <n v="204"/>
    <s v="Large Order"/>
    <s v="Weekend"/>
  </r>
  <r>
    <s v="ORD-2983"/>
    <d v="2024-10-02T00:00:00"/>
    <n v="2024"/>
    <s v="Oct"/>
    <s v="Wed"/>
    <s v="CUST-173"/>
    <s v="PROD-009"/>
    <s v="Home Office"/>
    <s v="West"/>
    <x v="2"/>
    <x v="1"/>
    <n v="19"/>
    <n v="120"/>
    <n v="2280"/>
    <n v="228"/>
    <s v="Large Order"/>
    <s v="Weekday"/>
  </r>
  <r>
    <s v="ORD-2984"/>
    <d v="2024-05-04T00:00:00"/>
    <n v="2024"/>
    <s v="May"/>
    <s v="Sat"/>
    <s v="CUST-196"/>
    <s v="PROD-011"/>
    <s v="Corporate"/>
    <s v="South"/>
    <x v="2"/>
    <x v="4"/>
    <n v="1"/>
    <n v="120"/>
    <n v="120"/>
    <n v="12"/>
    <s v="Standard Order"/>
    <s v="Weekend"/>
  </r>
  <r>
    <s v="ORD-2985"/>
    <d v="2024-05-12T00:00:00"/>
    <n v="2024"/>
    <s v="May"/>
    <s v="Sun"/>
    <s v="CUST-108"/>
    <s v="PROD-013"/>
    <s v="Home Office"/>
    <s v="East"/>
    <x v="4"/>
    <x v="2"/>
    <n v="11"/>
    <n v="120"/>
    <n v="1320"/>
    <n v="132"/>
    <s v="Large Order"/>
    <s v="Weekend"/>
  </r>
  <r>
    <s v="ORD-2986"/>
    <d v="2024-06-29T00:00:00"/>
    <n v="2024"/>
    <s v="Jun"/>
    <s v="Sat"/>
    <s v="CUST-166"/>
    <s v="PROD-018"/>
    <s v="Consumer"/>
    <s v="Central"/>
    <x v="3"/>
    <x v="2"/>
    <n v="10"/>
    <n v="120"/>
    <n v="1200"/>
    <n v="120"/>
    <s v="Large Order"/>
    <s v="Weekend"/>
  </r>
  <r>
    <s v="ORD-2987"/>
    <d v="2024-12-10T00:00:00"/>
    <n v="2024"/>
    <s v="Dec"/>
    <s v="Tue"/>
    <s v="CUST-195"/>
    <s v="PROD-011"/>
    <s v="Consumer"/>
    <s v="South"/>
    <x v="5"/>
    <x v="2"/>
    <n v="16"/>
    <n v="120"/>
    <n v="1920"/>
    <n v="192"/>
    <s v="Large Order"/>
    <s v="Weekday"/>
  </r>
  <r>
    <s v="ORD-2988"/>
    <d v="2024-04-21T00:00:00"/>
    <n v="2024"/>
    <s v="Apr"/>
    <s v="Sun"/>
    <s v="CUST-173"/>
    <s v="PROD-009"/>
    <s v="Consumer"/>
    <s v="South"/>
    <x v="4"/>
    <x v="1"/>
    <n v="7"/>
    <n v="120"/>
    <n v="840"/>
    <n v="84"/>
    <s v="Large Order"/>
    <s v="Weekend"/>
  </r>
  <r>
    <s v="ORD-2989"/>
    <d v="2024-05-03T00:00:00"/>
    <n v="2024"/>
    <s v="May"/>
    <s v="Fri"/>
    <s v="CUST-133"/>
    <s v="PROD-007"/>
    <s v="Consumer"/>
    <s v="West"/>
    <x v="4"/>
    <x v="2"/>
    <n v="20"/>
    <n v="120"/>
    <n v="2400"/>
    <n v="240"/>
    <s v="Large Order"/>
    <s v="Weekday"/>
  </r>
  <r>
    <s v="ORD-2990"/>
    <d v="2024-02-24T00:00:00"/>
    <n v="2024"/>
    <s v="Feb"/>
    <s v="Sat"/>
    <s v="CUST-115"/>
    <s v="PROD-003"/>
    <s v="Home Office"/>
    <s v="Central"/>
    <x v="2"/>
    <x v="4"/>
    <n v="1"/>
    <n v="120"/>
    <n v="120"/>
    <n v="12"/>
    <s v="Standard Order"/>
    <s v="Weekend"/>
  </r>
  <r>
    <s v="ORD-2991"/>
    <d v="2024-10-04T00:00:00"/>
    <n v="2024"/>
    <s v="Oct"/>
    <s v="Fri"/>
    <s v="CUST-105"/>
    <s v="PROD-016"/>
    <s v="Corporate"/>
    <s v="Central"/>
    <x v="5"/>
    <x v="3"/>
    <n v="16"/>
    <n v="120"/>
    <n v="1920"/>
    <n v="192"/>
    <s v="Large Order"/>
    <s v="Weekday"/>
  </r>
  <r>
    <s v="ORD-2992"/>
    <d v="2024-10-21T00:00:00"/>
    <n v="2024"/>
    <s v="Oct"/>
    <s v="Mon"/>
    <s v="CUST-135"/>
    <s v="PROD-016"/>
    <s v="Consumer"/>
    <s v="West"/>
    <x v="5"/>
    <x v="3"/>
    <n v="13"/>
    <n v="120"/>
    <n v="1560"/>
    <n v="156"/>
    <s v="Large Order"/>
    <s v="Weekday"/>
  </r>
  <r>
    <s v="ORD-2993"/>
    <d v="2024-10-22T00:00:00"/>
    <n v="2024"/>
    <s v="Oct"/>
    <s v="Tue"/>
    <s v="CUST-116"/>
    <s v="PROD-002"/>
    <s v="Home Office"/>
    <s v="West"/>
    <x v="2"/>
    <x v="1"/>
    <n v="18"/>
    <n v="120"/>
    <n v="2160"/>
    <n v="216"/>
    <s v="Large Order"/>
    <s v="Weekday"/>
  </r>
  <r>
    <s v="ORD-2994"/>
    <d v="2024-06-26T00:00:00"/>
    <n v="2024"/>
    <s v="Jun"/>
    <s v="Wed"/>
    <s v="CUST-150"/>
    <s v="PROD-022"/>
    <s v="Consumer"/>
    <s v="South"/>
    <x v="2"/>
    <x v="0"/>
    <n v="17"/>
    <n v="120"/>
    <n v="2040"/>
    <n v="204"/>
    <s v="Large Order"/>
    <s v="Weekday"/>
  </r>
  <r>
    <s v="ORD-2995"/>
    <d v="2024-12-18T00:00:00"/>
    <n v="2024"/>
    <s v="Dec"/>
    <s v="Wed"/>
    <s v="CUST-101"/>
    <s v="PROD-001"/>
    <s v="Home Office"/>
    <s v="Central"/>
    <x v="4"/>
    <x v="1"/>
    <n v="19"/>
    <n v="120"/>
    <n v="2280"/>
    <n v="228"/>
    <s v="Large Order"/>
    <s v="Weekday"/>
  </r>
  <r>
    <s v="ORD-2996"/>
    <d v="2024-07-04T00:00:00"/>
    <n v="2024"/>
    <s v="Jul"/>
    <s v="Thu"/>
    <s v="CUST-178"/>
    <s v="PROD-009"/>
    <s v="Consumer"/>
    <s v="West"/>
    <x v="5"/>
    <x v="3"/>
    <n v="8"/>
    <n v="120"/>
    <n v="960"/>
    <n v="96"/>
    <s v="Large Order"/>
    <s v="Weekday"/>
  </r>
  <r>
    <s v="ORD-2997"/>
    <d v="2024-11-09T00:00:00"/>
    <n v="2024"/>
    <s v="Nov"/>
    <s v="Sat"/>
    <s v="CUST-143"/>
    <s v="PROD-012"/>
    <s v="Consumer"/>
    <s v="West"/>
    <x v="2"/>
    <x v="1"/>
    <n v="7"/>
    <n v="120"/>
    <n v="840"/>
    <n v="84"/>
    <s v="Large Order"/>
    <s v="Weekend"/>
  </r>
  <r>
    <s v="ORD-2998"/>
    <d v="2024-07-09T00:00:00"/>
    <n v="2024"/>
    <s v="Jul"/>
    <s v="Tue"/>
    <s v="CUST-146"/>
    <s v="PROD-013"/>
    <s v="Corporate"/>
    <s v="East"/>
    <x v="2"/>
    <x v="2"/>
    <n v="19"/>
    <n v="120"/>
    <n v="2280"/>
    <n v="228"/>
    <s v="Large Order"/>
    <s v="Weekday"/>
  </r>
  <r>
    <s v="ORD-2999"/>
    <d v="2024-10-21T00:00:00"/>
    <n v="2024"/>
    <s v="Oct"/>
    <s v="Mon"/>
    <s v="CUST-187"/>
    <s v="PROD-008"/>
    <s v="Consumer"/>
    <s v="South"/>
    <x v="3"/>
    <x v="2"/>
    <n v="18"/>
    <n v="120"/>
    <n v="2160"/>
    <n v="216"/>
    <s v="Large Order"/>
    <s v="Weekday"/>
  </r>
  <r>
    <s v="ORD-3000"/>
    <d v="2024-07-14T00:00:00"/>
    <n v="2024"/>
    <s v="Jul"/>
    <s v="Sun"/>
    <s v="CUST-125"/>
    <s v="PROD-005"/>
    <s v="Home Office"/>
    <s v="Central"/>
    <x v="4"/>
    <x v="1"/>
    <n v="1"/>
    <n v="120"/>
    <n v="120"/>
    <n v="12"/>
    <s v="Standard Order"/>
    <s v="Weekend"/>
  </r>
  <r>
    <s v="ORD-3001"/>
    <d v="2024-09-12T00:00:00"/>
    <n v="2024"/>
    <s v="Sep"/>
    <s v="Thu"/>
    <s v="CUST-117"/>
    <s v="PROD-021"/>
    <s v="Home Office"/>
    <s v="North"/>
    <x v="5"/>
    <x v="3"/>
    <n v="16"/>
    <n v="120"/>
    <n v="1920"/>
    <n v="192"/>
    <s v="Large Order"/>
    <s v="Weekday"/>
  </r>
  <r>
    <s v="ORD-3002"/>
    <d v="2024-10-14T00:00:00"/>
    <n v="2024"/>
    <s v="Oct"/>
    <s v="Mon"/>
    <s v="CUST-172"/>
    <s v="PROD-002"/>
    <s v="Corporate"/>
    <s v="West"/>
    <x v="0"/>
    <x v="2"/>
    <n v="2"/>
    <n v="120"/>
    <n v="240"/>
    <n v="24"/>
    <s v="Standard Order"/>
    <s v="Weekday"/>
  </r>
  <r>
    <s v="ORD-3003"/>
    <d v="2024-05-10T00:00:00"/>
    <n v="2024"/>
    <s v="May"/>
    <s v="Fri"/>
    <s v="CUST-160"/>
    <s v="PROD-021"/>
    <s v="Consumer"/>
    <s v="North"/>
    <x v="2"/>
    <x v="3"/>
    <n v="9"/>
    <n v="120"/>
    <n v="1080"/>
    <n v="108"/>
    <s v="Large Order"/>
    <s v="Weekday"/>
  </r>
  <r>
    <s v="ORD-3004"/>
    <d v="2024-10-13T00:00:00"/>
    <n v="2024"/>
    <s v="Oct"/>
    <s v="Sun"/>
    <s v="CUST-171"/>
    <s v="PROD-009"/>
    <s v="Corporate"/>
    <s v="Central"/>
    <x v="0"/>
    <x v="1"/>
    <n v="4"/>
    <n v="120"/>
    <n v="480"/>
    <n v="48"/>
    <s v="Standard Order"/>
    <s v="Weekend"/>
  </r>
  <r>
    <s v="ORD-3005"/>
    <d v="2024-12-13T00:00:00"/>
    <n v="2024"/>
    <s v="Dec"/>
    <s v="Fri"/>
    <s v="CUST-177"/>
    <s v="PROD-007"/>
    <s v="Home Office"/>
    <s v="Central"/>
    <x v="5"/>
    <x v="4"/>
    <n v="6"/>
    <n v="120"/>
    <n v="720"/>
    <n v="72"/>
    <s v="Large Order"/>
    <s v="Weekday"/>
  </r>
  <r>
    <s v="ORD-3006"/>
    <d v="2024-05-25T00:00:00"/>
    <n v="2024"/>
    <s v="May"/>
    <s v="Sat"/>
    <s v="CUST-145"/>
    <s v="PROD-011"/>
    <s v="Home Office"/>
    <s v="South"/>
    <x v="5"/>
    <x v="1"/>
    <n v="15"/>
    <n v="120"/>
    <n v="1800"/>
    <n v="180"/>
    <s v="Large Order"/>
    <s v="Weekend"/>
  </r>
  <r>
    <s v="ORD-3007"/>
    <d v="2024-07-14T00:00:00"/>
    <n v="2024"/>
    <s v="Jul"/>
    <s v="Sun"/>
    <s v="CUST-178"/>
    <s v="PROD-010"/>
    <s v="Corporate"/>
    <s v="North"/>
    <x v="4"/>
    <x v="2"/>
    <n v="11"/>
    <n v="120"/>
    <n v="1320"/>
    <n v="132"/>
    <s v="Large Order"/>
    <s v="Weekend"/>
  </r>
  <r>
    <s v="ORD-3008"/>
    <d v="2024-11-09T00:00:00"/>
    <n v="2024"/>
    <s v="Nov"/>
    <s v="Sat"/>
    <s v="CUST-173"/>
    <s v="PROD-013"/>
    <s v="Consumer"/>
    <s v="East"/>
    <x v="0"/>
    <x v="2"/>
    <n v="11"/>
    <n v="120"/>
    <n v="1320"/>
    <n v="132"/>
    <s v="Large Order"/>
    <s v="Weekend"/>
  </r>
  <r>
    <s v="ORD-3009"/>
    <d v="2024-06-11T00:00:00"/>
    <n v="2024"/>
    <s v="Jun"/>
    <s v="Tue"/>
    <s v="CUST-183"/>
    <s v="PROD-010"/>
    <s v="Home Office"/>
    <s v="Central"/>
    <x v="3"/>
    <x v="4"/>
    <n v="13"/>
    <n v="120"/>
    <n v="1560"/>
    <n v="156"/>
    <s v="Large Order"/>
    <s v="Weekday"/>
  </r>
  <r>
    <s v="ORD-3010"/>
    <d v="2024-08-15T00:00:00"/>
    <n v="2024"/>
    <s v="Aug"/>
    <s v="Thu"/>
    <s v="CUST-199"/>
    <s v="PROD-012"/>
    <s v="Home Office"/>
    <s v="South"/>
    <x v="5"/>
    <x v="4"/>
    <n v="15"/>
    <n v="120"/>
    <n v="1800"/>
    <n v="180"/>
    <s v="Large Order"/>
    <s v="Weekday"/>
  </r>
  <r>
    <s v="ORD-3011"/>
    <d v="2024-04-04T00:00:00"/>
    <n v="2024"/>
    <s v="Apr"/>
    <s v="Thu"/>
    <s v="CUST-102"/>
    <s v="PROD-005"/>
    <s v="Home Office"/>
    <s v="West"/>
    <x v="4"/>
    <x v="3"/>
    <n v="3"/>
    <n v="120"/>
    <n v="360"/>
    <n v="36"/>
    <s v="Standard Order"/>
    <s v="Weekday"/>
  </r>
  <r>
    <s v="ORD-3012"/>
    <d v="2024-07-22T00:00:00"/>
    <n v="2024"/>
    <s v="Jul"/>
    <s v="Mon"/>
    <s v="CUST-113"/>
    <s v="PROD-004"/>
    <s v="Consumer"/>
    <s v="North"/>
    <x v="2"/>
    <x v="4"/>
    <n v="2"/>
    <n v="120"/>
    <n v="240"/>
    <n v="24"/>
    <s v="Standard Order"/>
    <s v="Weekday"/>
  </r>
  <r>
    <s v="ORD-3013"/>
    <d v="2024-07-22T00:00:00"/>
    <n v="2024"/>
    <s v="Jul"/>
    <s v="Mon"/>
    <s v="CUST-167"/>
    <s v="PROD-025"/>
    <s v="Consumer"/>
    <s v="South"/>
    <x v="0"/>
    <x v="3"/>
    <n v="20"/>
    <n v="120"/>
    <n v="2400"/>
    <n v="240"/>
    <s v="Large Order"/>
    <s v="Weekday"/>
  </r>
  <r>
    <s v="ORD-3014"/>
    <d v="2024-12-01T00:00:00"/>
    <n v="2024"/>
    <s v="Dec"/>
    <s v="Sun"/>
    <s v="CUST-149"/>
    <s v="PROD-010"/>
    <s v="Consumer"/>
    <s v="North"/>
    <x v="4"/>
    <x v="3"/>
    <n v="15"/>
    <n v="120"/>
    <n v="1800"/>
    <n v="180"/>
    <s v="Large Order"/>
    <s v="Weekend"/>
  </r>
  <r>
    <s v="ORD-3015"/>
    <d v="2024-03-08T00:00:00"/>
    <n v="2024"/>
    <s v="Mar"/>
    <s v="Fri"/>
    <s v="CUST-167"/>
    <s v="PROD-006"/>
    <s v="Consumer"/>
    <s v="West"/>
    <x v="0"/>
    <x v="3"/>
    <n v="11"/>
    <n v="120"/>
    <n v="1320"/>
    <n v="132"/>
    <s v="Large Order"/>
    <s v="Weekday"/>
  </r>
  <r>
    <s v="ORD-3016"/>
    <d v="2024-08-27T00:00:00"/>
    <n v="2024"/>
    <s v="Aug"/>
    <s v="Tue"/>
    <s v="CUST-169"/>
    <s v="PROD-009"/>
    <s v="Home Office"/>
    <s v="Central"/>
    <x v="2"/>
    <x v="2"/>
    <n v="18"/>
    <n v="120"/>
    <n v="2160"/>
    <n v="216"/>
    <s v="Large Order"/>
    <s v="Weekday"/>
  </r>
  <r>
    <s v="ORD-3017"/>
    <d v="2024-11-01T00:00:00"/>
    <n v="2024"/>
    <s v="Nov"/>
    <s v="Fri"/>
    <s v="CUST-158"/>
    <s v="PROD-021"/>
    <s v="Home Office"/>
    <s v="Central"/>
    <x v="5"/>
    <x v="1"/>
    <n v="17"/>
    <n v="120"/>
    <n v="2040"/>
    <n v="204"/>
    <s v="Large Order"/>
    <s v="Weekday"/>
  </r>
  <r>
    <s v="ORD-3018"/>
    <d v="2024-09-30T00:00:00"/>
    <n v="2024"/>
    <s v="Sep"/>
    <s v="Mon"/>
    <s v="CUST-139"/>
    <s v="PROD-012"/>
    <s v="Corporate"/>
    <s v="East"/>
    <x v="5"/>
    <x v="2"/>
    <n v="3"/>
    <n v="120"/>
    <n v="360"/>
    <n v="36"/>
    <s v="Standard Order"/>
    <s v="Weekday"/>
  </r>
  <r>
    <s v="ORD-3019"/>
    <d v="2024-07-06T00:00:00"/>
    <n v="2024"/>
    <s v="Jul"/>
    <s v="Sat"/>
    <s v="CUST-152"/>
    <s v="PROD-009"/>
    <s v="Consumer"/>
    <s v="Central"/>
    <x v="3"/>
    <x v="0"/>
    <n v="1"/>
    <n v="120"/>
    <n v="120"/>
    <n v="12"/>
    <s v="Standard Order"/>
    <s v="Weekend"/>
  </r>
  <r>
    <s v="ORD-3020"/>
    <d v="2024-03-10T00:00:00"/>
    <n v="2024"/>
    <s v="Mar"/>
    <s v="Sun"/>
    <s v="CUST-144"/>
    <s v="PROD-010"/>
    <s v="Corporate"/>
    <s v="East"/>
    <x v="5"/>
    <x v="0"/>
    <n v="16"/>
    <n v="120"/>
    <n v="1920"/>
    <n v="192"/>
    <s v="Large Order"/>
    <s v="Weekend"/>
  </r>
  <r>
    <s v="ORD-3021"/>
    <d v="2024-09-01T00:00:00"/>
    <n v="2024"/>
    <s v="Sep"/>
    <s v="Sun"/>
    <s v="CUST-138"/>
    <s v="PROD-001"/>
    <s v="Corporate"/>
    <s v="Central"/>
    <x v="3"/>
    <x v="4"/>
    <n v="8"/>
    <n v="120"/>
    <n v="960"/>
    <n v="96"/>
    <s v="Large Order"/>
    <s v="Weekend"/>
  </r>
  <r>
    <s v="ORD-3022"/>
    <d v="2024-10-07T00:00:00"/>
    <n v="2024"/>
    <s v="Oct"/>
    <s v="Mon"/>
    <s v="CUST-147"/>
    <s v="PROD-007"/>
    <s v="Corporate"/>
    <s v="East"/>
    <x v="5"/>
    <x v="1"/>
    <n v="13"/>
    <n v="120"/>
    <n v="1560"/>
    <n v="156"/>
    <s v="Large Order"/>
    <s v="Weekday"/>
  </r>
  <r>
    <s v="ORD-3023"/>
    <d v="2024-11-26T00:00:00"/>
    <n v="2024"/>
    <s v="Nov"/>
    <s v="Tue"/>
    <s v="CUST-149"/>
    <s v="PROD-013"/>
    <s v="Consumer"/>
    <s v="East"/>
    <x v="3"/>
    <x v="0"/>
    <n v="14"/>
    <n v="120"/>
    <n v="1680"/>
    <n v="168"/>
    <s v="Large Order"/>
    <s v="Weekday"/>
  </r>
  <r>
    <s v="ORD-3024"/>
    <d v="2024-09-21T00:00:00"/>
    <n v="2024"/>
    <s v="Sep"/>
    <s v="Sat"/>
    <s v="CUST-197"/>
    <s v="PROD-020"/>
    <s v="Home Office"/>
    <s v="South"/>
    <x v="3"/>
    <x v="3"/>
    <n v="18"/>
    <n v="120"/>
    <n v="2160"/>
    <n v="216"/>
    <s v="Large Order"/>
    <s v="Weekend"/>
  </r>
  <r>
    <s v="ORD-3025"/>
    <d v="2024-07-30T00:00:00"/>
    <n v="2024"/>
    <s v="Jul"/>
    <s v="Tue"/>
    <s v="CUST-124"/>
    <s v="PROD-003"/>
    <s v="Consumer"/>
    <s v="Central"/>
    <x v="4"/>
    <x v="3"/>
    <n v="4"/>
    <n v="120"/>
    <n v="480"/>
    <n v="48"/>
    <s v="Standard Order"/>
    <s v="Weekday"/>
  </r>
  <r>
    <s v="ORD-3026"/>
    <d v="2024-11-12T00:00:00"/>
    <n v="2024"/>
    <s v="Nov"/>
    <s v="Tue"/>
    <s v="CUST-157"/>
    <s v="PROD-009"/>
    <s v="Home Office"/>
    <s v="South"/>
    <x v="5"/>
    <x v="1"/>
    <n v="7"/>
    <n v="120"/>
    <n v="840"/>
    <n v="84"/>
    <s v="Large Order"/>
    <s v="Weekday"/>
  </r>
  <r>
    <s v="ORD-3027"/>
    <d v="2024-03-18T00:00:00"/>
    <n v="2024"/>
    <s v="Mar"/>
    <s v="Mon"/>
    <s v="CUST-106"/>
    <s v="PROD-018"/>
    <s v="Consumer"/>
    <s v="North"/>
    <x v="4"/>
    <x v="0"/>
    <n v="10"/>
    <n v="120"/>
    <n v="1200"/>
    <n v="120"/>
    <s v="Large Order"/>
    <s v="Weekday"/>
  </r>
  <r>
    <s v="ORD-3028"/>
    <d v="2024-08-12T00:00:00"/>
    <n v="2024"/>
    <s v="Aug"/>
    <s v="Mon"/>
    <s v="CUST-193"/>
    <s v="PROD-001"/>
    <s v="Consumer"/>
    <s v="East"/>
    <x v="0"/>
    <x v="2"/>
    <n v="1"/>
    <n v="120"/>
    <n v="120"/>
    <n v="12"/>
    <s v="Standard Order"/>
    <s v="Weekday"/>
  </r>
  <r>
    <s v="ORD-3029"/>
    <d v="2024-06-24T00:00:00"/>
    <n v="2024"/>
    <s v="Jun"/>
    <s v="Mon"/>
    <s v="CUST-153"/>
    <s v="PROD-010"/>
    <s v="Corporate"/>
    <s v="North"/>
    <x v="3"/>
    <x v="1"/>
    <n v="2"/>
    <n v="120"/>
    <n v="240"/>
    <n v="24"/>
    <s v="Standard Order"/>
    <s v="Weekday"/>
  </r>
  <r>
    <s v="ORD-3030"/>
    <d v="2024-03-15T00:00:00"/>
    <n v="2024"/>
    <s v="Mar"/>
    <s v="Fri"/>
    <s v="CUST-107"/>
    <s v="PROD-009"/>
    <s v="Corporate"/>
    <s v="South"/>
    <x v="0"/>
    <x v="4"/>
    <n v="16"/>
    <n v="120"/>
    <n v="1920"/>
    <n v="192"/>
    <s v="Large Order"/>
    <s v="Weekday"/>
  </r>
  <r>
    <s v="ORD-3031"/>
    <d v="2024-05-08T00:00:00"/>
    <n v="2024"/>
    <s v="May"/>
    <s v="Wed"/>
    <s v="CUST-148"/>
    <s v="PROD-001"/>
    <s v="Consumer"/>
    <s v="North"/>
    <x v="4"/>
    <x v="1"/>
    <n v="15"/>
    <n v="120"/>
    <n v="1800"/>
    <n v="180"/>
    <s v="Large Order"/>
    <s v="Weekday"/>
  </r>
  <r>
    <s v="ORD-3032"/>
    <d v="2024-01-18T00:00:00"/>
    <n v="2024"/>
    <s v="Jan"/>
    <s v="Thu"/>
    <s v="CUST-125"/>
    <s v="PROD-015"/>
    <s v="Home Office"/>
    <s v="North"/>
    <x v="0"/>
    <x v="4"/>
    <n v="7"/>
    <n v="120"/>
    <n v="840"/>
    <n v="84"/>
    <s v="Large Order"/>
    <s v="Weekday"/>
  </r>
  <r>
    <s v="ORD-3033"/>
    <d v="2024-12-14T00:00:00"/>
    <n v="2024"/>
    <s v="Dec"/>
    <s v="Sat"/>
    <s v="CUST-139"/>
    <s v="PROD-011"/>
    <s v="Consumer"/>
    <s v="East"/>
    <x v="0"/>
    <x v="4"/>
    <n v="17"/>
    <n v="120"/>
    <n v="2040"/>
    <n v="204"/>
    <s v="Large Order"/>
    <s v="Weekend"/>
  </r>
  <r>
    <s v="ORD-3034"/>
    <d v="2024-09-03T00:00:00"/>
    <n v="2024"/>
    <s v="Sep"/>
    <s v="Tue"/>
    <s v="CUST-181"/>
    <s v="PROD-010"/>
    <s v="Consumer"/>
    <s v="North"/>
    <x v="3"/>
    <x v="0"/>
    <n v="7"/>
    <n v="120"/>
    <n v="840"/>
    <n v="84"/>
    <s v="Large Order"/>
    <s v="Weekday"/>
  </r>
  <r>
    <s v="ORD-3035"/>
    <d v="2024-04-30T00:00:00"/>
    <n v="2024"/>
    <s v="Apr"/>
    <s v="Tue"/>
    <s v="CUST-181"/>
    <s v="PROD-014"/>
    <s v="Corporate"/>
    <s v="Central"/>
    <x v="0"/>
    <x v="2"/>
    <n v="9"/>
    <n v="120"/>
    <n v="1080"/>
    <n v="108"/>
    <s v="Large Order"/>
    <s v="Weekday"/>
  </r>
  <r>
    <s v="ORD-3036"/>
    <d v="2024-07-21T00:00:00"/>
    <n v="2024"/>
    <s v="Jul"/>
    <s v="Sun"/>
    <s v="CUST-131"/>
    <s v="PROD-001"/>
    <s v="Consumer"/>
    <s v="North"/>
    <x v="5"/>
    <x v="1"/>
    <n v="20"/>
    <n v="120"/>
    <n v="2400"/>
    <n v="240"/>
    <s v="Large Order"/>
    <s v="Weekend"/>
  </r>
  <r>
    <s v="ORD-3037"/>
    <d v="2024-02-15T00:00:00"/>
    <n v="2024"/>
    <s v="Feb"/>
    <s v="Thu"/>
    <s v="CUST-131"/>
    <s v="PROD-006"/>
    <s v="Corporate"/>
    <s v="South"/>
    <x v="0"/>
    <x v="4"/>
    <n v="11"/>
    <n v="120"/>
    <n v="1320"/>
    <n v="132"/>
    <s v="Large Order"/>
    <s v="Weekday"/>
  </r>
  <r>
    <s v="ORD-3038"/>
    <d v="2024-11-16T00:00:00"/>
    <n v="2024"/>
    <s v="Nov"/>
    <s v="Sat"/>
    <s v="CUST-107"/>
    <s v="PROD-002"/>
    <s v="Corporate"/>
    <s v="East"/>
    <x v="4"/>
    <x v="4"/>
    <n v="4"/>
    <n v="120"/>
    <n v="480"/>
    <n v="48"/>
    <s v="Standard Order"/>
    <s v="Weekend"/>
  </r>
  <r>
    <s v="ORD-3039"/>
    <d v="2024-04-29T00:00:00"/>
    <n v="2024"/>
    <s v="Apr"/>
    <s v="Mon"/>
    <s v="CUST-140"/>
    <s v="PROD-018"/>
    <s v="Home Office"/>
    <s v="East"/>
    <x v="3"/>
    <x v="1"/>
    <n v="7"/>
    <n v="120"/>
    <n v="840"/>
    <n v="84"/>
    <s v="Large Order"/>
    <s v="Weekday"/>
  </r>
  <r>
    <s v="ORD-3040"/>
    <d v="2024-07-12T00:00:00"/>
    <n v="2024"/>
    <s v="Jul"/>
    <s v="Fri"/>
    <s v="CUST-145"/>
    <s v="PROD-024"/>
    <s v="Consumer"/>
    <s v="West"/>
    <x v="3"/>
    <x v="0"/>
    <n v="16"/>
    <n v="120"/>
    <n v="1920"/>
    <n v="192"/>
    <s v="Large Order"/>
    <s v="Weekday"/>
  </r>
  <r>
    <s v="ORD-3041"/>
    <d v="2024-10-13T00:00:00"/>
    <n v="2024"/>
    <s v="Oct"/>
    <s v="Sun"/>
    <s v="CUST-137"/>
    <s v="PROD-018"/>
    <s v="Home Office"/>
    <s v="East"/>
    <x v="2"/>
    <x v="2"/>
    <n v="19"/>
    <n v="120"/>
    <n v="2280"/>
    <n v="228"/>
    <s v="Large Order"/>
    <s v="Weekend"/>
  </r>
  <r>
    <s v="ORD-3042"/>
    <d v="2024-06-27T00:00:00"/>
    <n v="2024"/>
    <s v="Jun"/>
    <s v="Thu"/>
    <s v="CUST-141"/>
    <s v="PROD-024"/>
    <s v="Corporate"/>
    <s v="East"/>
    <x v="3"/>
    <x v="4"/>
    <n v="18"/>
    <n v="120"/>
    <n v="2160"/>
    <n v="216"/>
    <s v="Large Order"/>
    <s v="Weekday"/>
  </r>
  <r>
    <s v="ORD-3043"/>
    <d v="2024-09-28T00:00:00"/>
    <n v="2024"/>
    <s v="Sep"/>
    <s v="Sat"/>
    <s v="CUST-119"/>
    <s v="PROD-015"/>
    <s v="Corporate"/>
    <s v="South"/>
    <x v="3"/>
    <x v="4"/>
    <n v="12"/>
    <n v="120"/>
    <n v="1440"/>
    <n v="144"/>
    <s v="Large Order"/>
    <s v="Weekend"/>
  </r>
  <r>
    <s v="ORD-3044"/>
    <d v="2024-11-22T00:00:00"/>
    <n v="2024"/>
    <s v="Nov"/>
    <s v="Fri"/>
    <s v="CUST-164"/>
    <s v="PROD-013"/>
    <s v="Home Office"/>
    <s v="North"/>
    <x v="4"/>
    <x v="0"/>
    <n v="20"/>
    <n v="120"/>
    <n v="2400"/>
    <n v="240"/>
    <s v="Large Order"/>
    <s v="Weekday"/>
  </r>
  <r>
    <s v="ORD-3045"/>
    <d v="2024-11-13T00:00:00"/>
    <n v="2024"/>
    <s v="Nov"/>
    <s v="Wed"/>
    <s v="CUST-130"/>
    <s v="PROD-011"/>
    <s v="Home Office"/>
    <s v="South"/>
    <x v="0"/>
    <x v="4"/>
    <n v="13"/>
    <n v="120"/>
    <n v="1560"/>
    <n v="156"/>
    <s v="Large Order"/>
    <s v="Weekday"/>
  </r>
  <r>
    <s v="ORD-3046"/>
    <d v="2024-12-15T00:00:00"/>
    <n v="2024"/>
    <s v="Dec"/>
    <s v="Sun"/>
    <s v="CUST-163"/>
    <s v="PROD-025"/>
    <s v="Home Office"/>
    <s v="Central"/>
    <x v="4"/>
    <x v="4"/>
    <n v="10"/>
    <n v="120"/>
    <n v="1200"/>
    <n v="120"/>
    <s v="Large Order"/>
    <s v="Weekend"/>
  </r>
  <r>
    <s v="ORD-3047"/>
    <d v="2024-11-24T00:00:00"/>
    <n v="2024"/>
    <s v="Nov"/>
    <s v="Sun"/>
    <s v="CUST-141"/>
    <s v="PROD-004"/>
    <s v="Consumer"/>
    <s v="North"/>
    <x v="5"/>
    <x v="0"/>
    <n v="2"/>
    <n v="120"/>
    <n v="240"/>
    <n v="24"/>
    <s v="Standard Order"/>
    <s v="Weekend"/>
  </r>
  <r>
    <s v="ORD-3048"/>
    <d v="2024-03-07T00:00:00"/>
    <n v="2024"/>
    <s v="Mar"/>
    <s v="Thu"/>
    <s v="CUST-122"/>
    <s v="PROD-002"/>
    <s v="Consumer"/>
    <s v="West"/>
    <x v="0"/>
    <x v="1"/>
    <n v="7"/>
    <n v="120"/>
    <n v="840"/>
    <n v="84"/>
    <s v="Large Order"/>
    <s v="Weekday"/>
  </r>
  <r>
    <s v="ORD-3049"/>
    <d v="2024-10-19T00:00:00"/>
    <n v="2024"/>
    <s v="Oct"/>
    <s v="Sat"/>
    <s v="CUST-182"/>
    <s v="PROD-013"/>
    <s v="Home Office"/>
    <s v="Central"/>
    <x v="2"/>
    <x v="4"/>
    <n v="20"/>
    <n v="120"/>
    <n v="2400"/>
    <n v="240"/>
    <s v="Large Order"/>
    <s v="Weekend"/>
  </r>
  <r>
    <s v="ORD-3050"/>
    <d v="2024-05-11T00:00:00"/>
    <n v="2024"/>
    <s v="May"/>
    <s v="Sat"/>
    <s v="CUST-106"/>
    <s v="PROD-012"/>
    <s v="Consumer"/>
    <s v="West"/>
    <x v="5"/>
    <x v="0"/>
    <n v="1"/>
    <n v="120"/>
    <n v="120"/>
    <n v="12"/>
    <s v="Standard Order"/>
    <s v="Weekend"/>
  </r>
  <r>
    <s v="ORD-3051"/>
    <d v="2024-04-16T00:00:00"/>
    <n v="2024"/>
    <s v="Apr"/>
    <s v="Tue"/>
    <s v="CUST-183"/>
    <s v="PROD-016"/>
    <s v="Consumer"/>
    <s v="Central"/>
    <x v="2"/>
    <x v="0"/>
    <n v="12"/>
    <n v="120"/>
    <n v="1440"/>
    <n v="144"/>
    <s v="Large Order"/>
    <s v="Weekday"/>
  </r>
  <r>
    <s v="ORD-3052"/>
    <d v="2024-07-31T00:00:00"/>
    <n v="2024"/>
    <s v="Jul"/>
    <s v="Wed"/>
    <s v="CUST-147"/>
    <s v="PROD-023"/>
    <s v="Consumer"/>
    <s v="Central"/>
    <x v="5"/>
    <x v="3"/>
    <n v="17"/>
    <n v="120"/>
    <n v="2040"/>
    <n v="204"/>
    <s v="Large Order"/>
    <s v="Weekday"/>
  </r>
  <r>
    <s v="ORD-3053"/>
    <d v="2024-02-06T00:00:00"/>
    <n v="2024"/>
    <s v="Feb"/>
    <s v="Tue"/>
    <s v="CUST-138"/>
    <s v="PROD-003"/>
    <s v="Consumer"/>
    <s v="Central"/>
    <x v="5"/>
    <x v="0"/>
    <n v="4"/>
    <n v="120"/>
    <n v="480"/>
    <n v="48"/>
    <s v="Standard Order"/>
    <s v="Weekday"/>
  </r>
  <r>
    <s v="ORD-3054"/>
    <d v="2024-09-29T00:00:00"/>
    <n v="2024"/>
    <s v="Sep"/>
    <s v="Sun"/>
    <s v="CUST-149"/>
    <s v="PROD-007"/>
    <s v="Consumer"/>
    <s v="West"/>
    <x v="5"/>
    <x v="2"/>
    <n v="19"/>
    <n v="120"/>
    <n v="2280"/>
    <n v="228"/>
    <s v="Large Order"/>
    <s v="Weekend"/>
  </r>
  <r>
    <s v="ORD-3055"/>
    <d v="2024-04-01T00:00:00"/>
    <n v="2024"/>
    <s v="Apr"/>
    <s v="Mon"/>
    <s v="CUST-171"/>
    <s v="PROD-024"/>
    <s v="Home Office"/>
    <s v="North"/>
    <x v="2"/>
    <x v="0"/>
    <n v="19"/>
    <n v="120"/>
    <n v="2280"/>
    <n v="228"/>
    <s v="Large Order"/>
    <s v="Weekday"/>
  </r>
  <r>
    <s v="ORD-3056"/>
    <d v="2024-08-22T00:00:00"/>
    <n v="2024"/>
    <s v="Aug"/>
    <s v="Thu"/>
    <s v="CUST-189"/>
    <s v="PROD-022"/>
    <s v="Corporate"/>
    <s v="Central"/>
    <x v="0"/>
    <x v="2"/>
    <n v="6"/>
    <n v="120"/>
    <n v="720"/>
    <n v="72"/>
    <s v="Large Order"/>
    <s v="Weekday"/>
  </r>
  <r>
    <s v="ORD-3057"/>
    <d v="2024-09-15T00:00:00"/>
    <n v="2024"/>
    <s v="Sep"/>
    <s v="Sun"/>
    <s v="CUST-143"/>
    <s v="PROD-022"/>
    <s v="Consumer"/>
    <s v="West"/>
    <x v="5"/>
    <x v="4"/>
    <n v="15"/>
    <n v="120"/>
    <n v="1800"/>
    <n v="180"/>
    <s v="Large Order"/>
    <s v="Weekend"/>
  </r>
  <r>
    <s v="ORD-3058"/>
    <d v="2024-06-10T00:00:00"/>
    <n v="2024"/>
    <s v="Jun"/>
    <s v="Mon"/>
    <s v="CUST-170"/>
    <s v="PROD-011"/>
    <s v="Corporate"/>
    <s v="Central"/>
    <x v="2"/>
    <x v="1"/>
    <n v="11"/>
    <n v="120"/>
    <n v="1320"/>
    <n v="132"/>
    <s v="Large Order"/>
    <s v="Weekday"/>
  </r>
  <r>
    <s v="ORD-3059"/>
    <d v="2024-10-15T00:00:00"/>
    <n v="2024"/>
    <s v="Oct"/>
    <s v="Tue"/>
    <s v="CUST-169"/>
    <s v="PROD-007"/>
    <s v="Corporate"/>
    <s v="North"/>
    <x v="5"/>
    <x v="3"/>
    <n v="12"/>
    <n v="120"/>
    <n v="1440"/>
    <n v="144"/>
    <s v="Large Order"/>
    <s v="Weekday"/>
  </r>
  <r>
    <s v="ORD-3060"/>
    <d v="2024-08-17T00:00:00"/>
    <n v="2024"/>
    <s v="Aug"/>
    <s v="Sat"/>
    <s v="CUST-150"/>
    <s v="PROD-001"/>
    <s v="Home Office"/>
    <s v="South"/>
    <x v="0"/>
    <x v="3"/>
    <n v="20"/>
    <n v="120"/>
    <n v="2400"/>
    <n v="240"/>
    <s v="Large Order"/>
    <s v="Weekend"/>
  </r>
  <r>
    <s v="ORD-3061"/>
    <d v="2024-03-10T00:00:00"/>
    <n v="2024"/>
    <s v="Mar"/>
    <s v="Sun"/>
    <s v="CUST-138"/>
    <s v="PROD-001"/>
    <s v="Corporate"/>
    <s v="Central"/>
    <x v="4"/>
    <x v="2"/>
    <n v="11"/>
    <n v="120"/>
    <n v="1320"/>
    <n v="132"/>
    <s v="Large Order"/>
    <s v="Weekend"/>
  </r>
  <r>
    <s v="ORD-3062"/>
    <d v="2024-12-19T00:00:00"/>
    <n v="2024"/>
    <s v="Dec"/>
    <s v="Thu"/>
    <s v="CUST-135"/>
    <s v="PROD-018"/>
    <s v="Home Office"/>
    <s v="South"/>
    <x v="5"/>
    <x v="4"/>
    <n v="19"/>
    <n v="120"/>
    <n v="2280"/>
    <n v="228"/>
    <s v="Large Order"/>
    <s v="Weekday"/>
  </r>
  <r>
    <s v="ORD-3063"/>
    <d v="2024-01-20T00:00:00"/>
    <n v="2024"/>
    <s v="Jan"/>
    <s v="Sat"/>
    <s v="CUST-158"/>
    <s v="PROD-012"/>
    <s v="Consumer"/>
    <s v="North"/>
    <x v="4"/>
    <x v="3"/>
    <n v="12"/>
    <n v="120"/>
    <n v="1440"/>
    <n v="144"/>
    <s v="Large Order"/>
    <s v="Weekend"/>
  </r>
  <r>
    <s v="ORD-3064"/>
    <d v="2024-05-07T00:00:00"/>
    <n v="2024"/>
    <s v="May"/>
    <s v="Tue"/>
    <s v="CUST-129"/>
    <s v="PROD-009"/>
    <s v="Corporate"/>
    <s v="East"/>
    <x v="0"/>
    <x v="4"/>
    <n v="13"/>
    <n v="120"/>
    <n v="1560"/>
    <n v="156"/>
    <s v="Large Order"/>
    <s v="Weekday"/>
  </r>
  <r>
    <s v="ORD-3065"/>
    <d v="2024-04-21T00:00:00"/>
    <n v="2024"/>
    <s v="Apr"/>
    <s v="Sun"/>
    <s v="CUST-193"/>
    <s v="PROD-003"/>
    <s v="Home Office"/>
    <s v="Central"/>
    <x v="3"/>
    <x v="1"/>
    <n v="6"/>
    <n v="120"/>
    <n v="720"/>
    <n v="72"/>
    <s v="Large Order"/>
    <s v="Weekend"/>
  </r>
  <r>
    <s v="ORD-3066"/>
    <d v="2024-12-19T00:00:00"/>
    <n v="2024"/>
    <s v="Dec"/>
    <s v="Thu"/>
    <s v="CUST-189"/>
    <s v="PROD-019"/>
    <s v="Consumer"/>
    <s v="East"/>
    <x v="5"/>
    <x v="3"/>
    <n v="2"/>
    <n v="120"/>
    <n v="240"/>
    <n v="24"/>
    <s v="Standard Order"/>
    <s v="Weekday"/>
  </r>
  <r>
    <s v="ORD-3067"/>
    <d v="2024-10-22T00:00:00"/>
    <n v="2024"/>
    <s v="Oct"/>
    <s v="Tue"/>
    <s v="CUST-148"/>
    <s v="PROD-003"/>
    <s v="Consumer"/>
    <s v="Central"/>
    <x v="3"/>
    <x v="3"/>
    <n v="14"/>
    <n v="120"/>
    <n v="1680"/>
    <n v="168"/>
    <s v="Large Order"/>
    <s v="Weekday"/>
  </r>
  <r>
    <s v="ORD-3068"/>
    <d v="2024-03-02T00:00:00"/>
    <n v="2024"/>
    <s v="Mar"/>
    <s v="Sat"/>
    <s v="CUST-198"/>
    <s v="PROD-008"/>
    <s v="Home Office"/>
    <s v="Central"/>
    <x v="5"/>
    <x v="0"/>
    <n v="13"/>
    <n v="120"/>
    <n v="1560"/>
    <n v="156"/>
    <s v="Large Order"/>
    <s v="Weekend"/>
  </r>
  <r>
    <s v="ORD-3069"/>
    <d v="2024-09-25T00:00:00"/>
    <n v="2024"/>
    <s v="Sep"/>
    <s v="Wed"/>
    <s v="CUST-105"/>
    <s v="PROD-011"/>
    <s v="Home Office"/>
    <s v="West"/>
    <x v="5"/>
    <x v="2"/>
    <n v="11"/>
    <n v="120"/>
    <n v="1320"/>
    <n v="132"/>
    <s v="Large Order"/>
    <s v="Weekday"/>
  </r>
  <r>
    <s v="ORD-3070"/>
    <d v="2024-04-23T00:00:00"/>
    <n v="2024"/>
    <s v="Apr"/>
    <s v="Tue"/>
    <s v="CUST-119"/>
    <s v="PROD-002"/>
    <s v="Home Office"/>
    <s v="West"/>
    <x v="2"/>
    <x v="1"/>
    <n v="20"/>
    <n v="120"/>
    <n v="2400"/>
    <n v="240"/>
    <s v="Large Order"/>
    <s v="Weekday"/>
  </r>
  <r>
    <s v="ORD-3071"/>
    <d v="2024-02-16T00:00:00"/>
    <n v="2024"/>
    <s v="Feb"/>
    <s v="Fri"/>
    <s v="CUST-128"/>
    <s v="PROD-014"/>
    <s v="Corporate"/>
    <s v="Central"/>
    <x v="2"/>
    <x v="2"/>
    <n v="5"/>
    <n v="120"/>
    <n v="600"/>
    <n v="60"/>
    <s v="Large Order"/>
    <s v="Weekday"/>
  </r>
  <r>
    <s v="ORD-3072"/>
    <d v="2024-08-31T00:00:00"/>
    <n v="2024"/>
    <s v="Aug"/>
    <s v="Sat"/>
    <s v="CUST-173"/>
    <s v="PROD-024"/>
    <s v="Consumer"/>
    <s v="South"/>
    <x v="5"/>
    <x v="1"/>
    <n v="9"/>
    <n v="120"/>
    <n v="1080"/>
    <n v="108"/>
    <s v="Large Order"/>
    <s v="Weekend"/>
  </r>
  <r>
    <s v="ORD-3073"/>
    <d v="2024-09-13T00:00:00"/>
    <n v="2024"/>
    <s v="Sep"/>
    <s v="Fri"/>
    <s v="CUST-155"/>
    <s v="PROD-025"/>
    <s v="Home Office"/>
    <s v="South"/>
    <x v="4"/>
    <x v="2"/>
    <n v="16"/>
    <n v="120"/>
    <n v="1920"/>
    <n v="192"/>
    <s v="Large Order"/>
    <s v="Weekday"/>
  </r>
  <r>
    <s v="ORD-3074"/>
    <d v="2024-09-06T00:00:00"/>
    <n v="2024"/>
    <s v="Sep"/>
    <s v="Fri"/>
    <s v="CUST-150"/>
    <s v="PROD-021"/>
    <s v="Home Office"/>
    <s v="East"/>
    <x v="4"/>
    <x v="4"/>
    <n v="20"/>
    <n v="120"/>
    <n v="2400"/>
    <n v="240"/>
    <s v="Large Order"/>
    <s v="Weekday"/>
  </r>
  <r>
    <s v="ORD-3075"/>
    <d v="2024-09-25T00:00:00"/>
    <n v="2024"/>
    <s v="Sep"/>
    <s v="Wed"/>
    <s v="CUST-131"/>
    <s v="PROD-008"/>
    <s v="Consumer"/>
    <s v="West"/>
    <x v="3"/>
    <x v="1"/>
    <n v="11"/>
    <n v="120"/>
    <n v="1320"/>
    <n v="132"/>
    <s v="Large Order"/>
    <s v="Weekday"/>
  </r>
  <r>
    <s v="ORD-3076"/>
    <d v="2024-10-21T00:00:00"/>
    <n v="2024"/>
    <s v="Oct"/>
    <s v="Mon"/>
    <s v="CUST-111"/>
    <s v="PROD-004"/>
    <s v="Home Office"/>
    <s v="North"/>
    <x v="2"/>
    <x v="1"/>
    <n v="12"/>
    <n v="120"/>
    <n v="1440"/>
    <n v="144"/>
    <s v="Large Order"/>
    <s v="Weekday"/>
  </r>
  <r>
    <s v="ORD-3077"/>
    <d v="2024-06-13T00:00:00"/>
    <n v="2024"/>
    <s v="Jun"/>
    <s v="Thu"/>
    <s v="CUST-144"/>
    <s v="PROD-020"/>
    <s v="Home Office"/>
    <s v="West"/>
    <x v="0"/>
    <x v="3"/>
    <n v="6"/>
    <n v="120"/>
    <n v="720"/>
    <n v="72"/>
    <s v="Large Order"/>
    <s v="Weekday"/>
  </r>
  <r>
    <s v="ORD-3078"/>
    <d v="2024-11-11T00:00:00"/>
    <n v="2024"/>
    <s v="Nov"/>
    <s v="Mon"/>
    <s v="CUST-156"/>
    <s v="PROD-020"/>
    <s v="Consumer"/>
    <s v="North"/>
    <x v="2"/>
    <x v="0"/>
    <n v="8"/>
    <n v="120"/>
    <n v="960"/>
    <n v="96"/>
    <s v="Large Order"/>
    <s v="Weekday"/>
  </r>
  <r>
    <s v="ORD-3079"/>
    <d v="2024-07-10T00:00:00"/>
    <n v="2024"/>
    <s v="Jul"/>
    <s v="Wed"/>
    <s v="CUST-119"/>
    <s v="PROD-025"/>
    <s v="Home Office"/>
    <s v="East"/>
    <x v="0"/>
    <x v="0"/>
    <n v="2"/>
    <n v="120"/>
    <n v="240"/>
    <n v="24"/>
    <s v="Standard Order"/>
    <s v="Weekday"/>
  </r>
  <r>
    <s v="ORD-3080"/>
    <d v="2024-11-13T00:00:00"/>
    <n v="2024"/>
    <s v="Nov"/>
    <s v="Wed"/>
    <s v="CUST-118"/>
    <s v="PROD-010"/>
    <s v="Consumer"/>
    <s v="Central"/>
    <x v="3"/>
    <x v="0"/>
    <n v="10"/>
    <n v="120"/>
    <n v="1200"/>
    <n v="120"/>
    <s v="Large Order"/>
    <s v="Weekday"/>
  </r>
  <r>
    <s v="ORD-3081"/>
    <d v="2024-01-12T00:00:00"/>
    <n v="2024"/>
    <s v="Jan"/>
    <s v="Fri"/>
    <s v="CUST-142"/>
    <s v="PROD-007"/>
    <s v="Home Office"/>
    <s v="South"/>
    <x v="5"/>
    <x v="2"/>
    <n v="7"/>
    <n v="120"/>
    <n v="840"/>
    <n v="84"/>
    <s v="Large Order"/>
    <s v="Weekday"/>
  </r>
  <r>
    <s v="ORD-3082"/>
    <d v="2024-05-12T00:00:00"/>
    <n v="2024"/>
    <s v="May"/>
    <s v="Sun"/>
    <s v="CUST-170"/>
    <s v="PROD-016"/>
    <s v="Home Office"/>
    <s v="South"/>
    <x v="4"/>
    <x v="0"/>
    <n v="13"/>
    <n v="120"/>
    <n v="1560"/>
    <n v="156"/>
    <s v="Large Order"/>
    <s v="Weekend"/>
  </r>
  <r>
    <s v="ORD-3083"/>
    <d v="2024-12-05T00:00:00"/>
    <n v="2024"/>
    <s v="Dec"/>
    <s v="Thu"/>
    <s v="CUST-167"/>
    <s v="PROD-002"/>
    <s v="Corporate"/>
    <s v="West"/>
    <x v="4"/>
    <x v="0"/>
    <n v="10"/>
    <n v="120"/>
    <n v="1200"/>
    <n v="120"/>
    <s v="Large Order"/>
    <s v="Weekday"/>
  </r>
  <r>
    <s v="ORD-3084"/>
    <d v="2024-12-22T00:00:00"/>
    <n v="2024"/>
    <s v="Dec"/>
    <s v="Sun"/>
    <s v="CUST-179"/>
    <s v="PROD-009"/>
    <s v="Consumer"/>
    <s v="North"/>
    <x v="2"/>
    <x v="0"/>
    <n v="3"/>
    <n v="120"/>
    <n v="360"/>
    <n v="36"/>
    <s v="Standard Order"/>
    <s v="Weekend"/>
  </r>
  <r>
    <s v="ORD-3085"/>
    <d v="2024-05-18T00:00:00"/>
    <n v="2024"/>
    <s v="May"/>
    <s v="Sat"/>
    <s v="CUST-184"/>
    <s v="PROD-022"/>
    <s v="Corporate"/>
    <s v="Central"/>
    <x v="0"/>
    <x v="0"/>
    <n v="10"/>
    <n v="120"/>
    <n v="1200"/>
    <n v="120"/>
    <s v="Large Order"/>
    <s v="Weekend"/>
  </r>
  <r>
    <s v="ORD-3086"/>
    <d v="2024-11-28T00:00:00"/>
    <n v="2024"/>
    <s v="Nov"/>
    <s v="Thu"/>
    <s v="CUST-149"/>
    <s v="PROD-008"/>
    <s v="Corporate"/>
    <s v="South"/>
    <x v="5"/>
    <x v="0"/>
    <n v="11"/>
    <n v="120"/>
    <n v="1320"/>
    <n v="132"/>
    <s v="Large Order"/>
    <s v="Weekday"/>
  </r>
  <r>
    <s v="ORD-3087"/>
    <d v="2024-11-01T00:00:00"/>
    <n v="2024"/>
    <s v="Nov"/>
    <s v="Fri"/>
    <s v="CUST-168"/>
    <s v="PROD-003"/>
    <s v="Consumer"/>
    <s v="Central"/>
    <x v="4"/>
    <x v="4"/>
    <n v="15"/>
    <n v="120"/>
    <n v="1800"/>
    <n v="180"/>
    <s v="Large Order"/>
    <s v="Weekday"/>
  </r>
  <r>
    <s v="ORD-3088"/>
    <d v="2024-12-30T00:00:00"/>
    <n v="2024"/>
    <s v="Dec"/>
    <s v="Mon"/>
    <s v="CUST-102"/>
    <s v="PROD-002"/>
    <s v="Consumer"/>
    <s v="East"/>
    <x v="5"/>
    <x v="3"/>
    <n v="11"/>
    <n v="120"/>
    <n v="1320"/>
    <n v="132"/>
    <s v="Large Order"/>
    <s v="Weekday"/>
  </r>
  <r>
    <s v="ORD-3089"/>
    <d v="2024-03-21T00:00:00"/>
    <n v="2024"/>
    <s v="Mar"/>
    <s v="Thu"/>
    <s v="CUST-102"/>
    <s v="PROD-012"/>
    <s v="Home Office"/>
    <s v="East"/>
    <x v="3"/>
    <x v="3"/>
    <n v="10"/>
    <n v="120"/>
    <n v="1200"/>
    <n v="120"/>
    <s v="Large Order"/>
    <s v="Weekday"/>
  </r>
  <r>
    <s v="ORD-3090"/>
    <d v="2024-09-13T00:00:00"/>
    <n v="2024"/>
    <s v="Sep"/>
    <s v="Fri"/>
    <s v="CUST-135"/>
    <s v="PROD-002"/>
    <s v="Home Office"/>
    <s v="West"/>
    <x v="3"/>
    <x v="1"/>
    <n v="1"/>
    <n v="120"/>
    <n v="120"/>
    <n v="12"/>
    <s v="Standard Order"/>
    <s v="Weekday"/>
  </r>
  <r>
    <s v="ORD-3091"/>
    <d v="2024-05-23T00:00:00"/>
    <n v="2024"/>
    <s v="May"/>
    <s v="Thu"/>
    <s v="CUST-128"/>
    <s v="PROD-005"/>
    <s v="Corporate"/>
    <s v="South"/>
    <x v="2"/>
    <x v="2"/>
    <n v="3"/>
    <n v="120"/>
    <n v="360"/>
    <n v="36"/>
    <s v="Standard Order"/>
    <s v="Weekday"/>
  </r>
  <r>
    <s v="ORD-3092"/>
    <d v="2024-09-23T00:00:00"/>
    <n v="2024"/>
    <s v="Sep"/>
    <s v="Mon"/>
    <s v="CUST-186"/>
    <s v="PROD-020"/>
    <s v="Home Office"/>
    <s v="West"/>
    <x v="4"/>
    <x v="1"/>
    <n v="8"/>
    <n v="120"/>
    <n v="960"/>
    <n v="96"/>
    <s v="Large Order"/>
    <s v="Weekday"/>
  </r>
  <r>
    <s v="ORD-3093"/>
    <d v="2024-08-06T00:00:00"/>
    <n v="2024"/>
    <s v="Aug"/>
    <s v="Tue"/>
    <s v="CUST-139"/>
    <s v="PROD-020"/>
    <s v="Corporate"/>
    <s v="South"/>
    <x v="2"/>
    <x v="4"/>
    <n v="5"/>
    <n v="120"/>
    <n v="600"/>
    <n v="60"/>
    <s v="Large Order"/>
    <s v="Weekday"/>
  </r>
  <r>
    <s v="ORD-3094"/>
    <d v="2024-03-11T00:00:00"/>
    <n v="2024"/>
    <s v="Mar"/>
    <s v="Mon"/>
    <s v="CUST-174"/>
    <s v="PROD-018"/>
    <s v="Home Office"/>
    <s v="Central"/>
    <x v="4"/>
    <x v="2"/>
    <n v="10"/>
    <n v="120"/>
    <n v="1200"/>
    <n v="120"/>
    <s v="Large Order"/>
    <s v="Weekday"/>
  </r>
  <r>
    <s v="ORD-3095"/>
    <d v="2024-09-25T00:00:00"/>
    <n v="2024"/>
    <s v="Sep"/>
    <s v="Wed"/>
    <s v="CUST-117"/>
    <s v="PROD-014"/>
    <s v="Consumer"/>
    <s v="East"/>
    <x v="5"/>
    <x v="2"/>
    <n v="11"/>
    <n v="120"/>
    <n v="1320"/>
    <n v="132"/>
    <s v="Large Order"/>
    <s v="Weekday"/>
  </r>
  <r>
    <s v="ORD-3096"/>
    <d v="2024-09-29T00:00:00"/>
    <n v="2024"/>
    <s v="Sep"/>
    <s v="Sun"/>
    <s v="CUST-192"/>
    <s v="PROD-004"/>
    <s v="Consumer"/>
    <s v="East"/>
    <x v="3"/>
    <x v="2"/>
    <n v="1"/>
    <n v="120"/>
    <n v="120"/>
    <n v="12"/>
    <s v="Standard Order"/>
    <s v="Weekend"/>
  </r>
  <r>
    <s v="ORD-3097"/>
    <d v="2024-07-30T00:00:00"/>
    <n v="2024"/>
    <s v="Jul"/>
    <s v="Tue"/>
    <s v="CUST-152"/>
    <s v="PROD-010"/>
    <s v="Corporate"/>
    <s v="Central"/>
    <x v="3"/>
    <x v="2"/>
    <n v="7"/>
    <n v="120"/>
    <n v="840"/>
    <n v="84"/>
    <s v="Large Order"/>
    <s v="Weekday"/>
  </r>
  <r>
    <s v="ORD-3098"/>
    <d v="2024-04-04T00:00:00"/>
    <n v="2024"/>
    <s v="Apr"/>
    <s v="Thu"/>
    <s v="CUST-103"/>
    <s v="PROD-025"/>
    <s v="Home Office"/>
    <s v="North"/>
    <x v="5"/>
    <x v="3"/>
    <n v="20"/>
    <n v="120"/>
    <n v="2400"/>
    <n v="240"/>
    <s v="Large Order"/>
    <s v="Weekday"/>
  </r>
  <r>
    <s v="ORD-3099"/>
    <d v="2024-04-28T00:00:00"/>
    <n v="2024"/>
    <s v="Apr"/>
    <s v="Sun"/>
    <s v="CUST-176"/>
    <s v="PROD-008"/>
    <s v="Consumer"/>
    <s v="West"/>
    <x v="0"/>
    <x v="3"/>
    <n v="3"/>
    <n v="120"/>
    <n v="360"/>
    <n v="36"/>
    <s v="Standard Order"/>
    <s v="Weekend"/>
  </r>
  <r>
    <s v="ORD-3100"/>
    <d v="2024-09-01T00:00:00"/>
    <n v="2024"/>
    <s v="Sep"/>
    <s v="Sun"/>
    <s v="CUST-117"/>
    <s v="PROD-017"/>
    <s v="Home Office"/>
    <s v="South"/>
    <x v="2"/>
    <x v="3"/>
    <n v="6"/>
    <n v="120"/>
    <n v="720"/>
    <n v="72"/>
    <s v="Large Order"/>
    <s v="Weekend"/>
  </r>
  <r>
    <s v="ORD-3101"/>
    <d v="2024-09-08T00:00:00"/>
    <n v="2024"/>
    <s v="Sep"/>
    <s v="Sun"/>
    <s v="CUST-160"/>
    <s v="PROD-005"/>
    <s v="Consumer"/>
    <s v="South"/>
    <x v="4"/>
    <x v="2"/>
    <n v="2"/>
    <n v="120"/>
    <n v="240"/>
    <n v="24"/>
    <s v="Standard Order"/>
    <s v="Weekend"/>
  </r>
  <r>
    <s v="ORD-3102"/>
    <d v="2024-01-08T00:00:00"/>
    <n v="2024"/>
    <s v="Jan"/>
    <s v="Mon"/>
    <s v="CUST-134"/>
    <s v="PROD-014"/>
    <s v="Consumer"/>
    <s v="East"/>
    <x v="4"/>
    <x v="2"/>
    <n v="3"/>
    <n v="120"/>
    <n v="360"/>
    <n v="36"/>
    <s v="Standard Order"/>
    <s v="Weekday"/>
  </r>
  <r>
    <s v="ORD-3103"/>
    <d v="2024-08-12T00:00:00"/>
    <n v="2024"/>
    <s v="Aug"/>
    <s v="Mon"/>
    <s v="CUST-178"/>
    <s v="PROD-016"/>
    <s v="Home Office"/>
    <s v="East"/>
    <x v="3"/>
    <x v="1"/>
    <n v="8"/>
    <n v="120"/>
    <n v="960"/>
    <n v="96"/>
    <s v="Large Order"/>
    <s v="Weekday"/>
  </r>
  <r>
    <s v="ORD-3104"/>
    <d v="2024-01-22T00:00:00"/>
    <n v="2024"/>
    <s v="Jan"/>
    <s v="Mon"/>
    <s v="CUST-177"/>
    <s v="PROD-024"/>
    <s v="Corporate"/>
    <s v="North"/>
    <x v="3"/>
    <x v="1"/>
    <n v="20"/>
    <n v="120"/>
    <n v="2400"/>
    <n v="240"/>
    <s v="Large Order"/>
    <s v="Weekday"/>
  </r>
  <r>
    <s v="ORD-3105"/>
    <d v="2024-10-19T00:00:00"/>
    <n v="2024"/>
    <s v="Oct"/>
    <s v="Sat"/>
    <s v="CUST-176"/>
    <s v="PROD-018"/>
    <s v="Home Office"/>
    <s v="West"/>
    <x v="0"/>
    <x v="4"/>
    <n v="4"/>
    <n v="120"/>
    <n v="480"/>
    <n v="48"/>
    <s v="Standard Order"/>
    <s v="Weekend"/>
  </r>
  <r>
    <s v="ORD-3106"/>
    <d v="2024-01-22T00:00:00"/>
    <n v="2024"/>
    <s v="Jan"/>
    <s v="Mon"/>
    <s v="CUST-131"/>
    <s v="PROD-017"/>
    <s v="Home Office"/>
    <s v="West"/>
    <x v="2"/>
    <x v="0"/>
    <n v="18"/>
    <n v="120"/>
    <n v="2160"/>
    <n v="216"/>
    <s v="Large Order"/>
    <s v="Weekday"/>
  </r>
  <r>
    <s v="ORD-3107"/>
    <d v="2024-11-18T00:00:00"/>
    <n v="2024"/>
    <s v="Nov"/>
    <s v="Mon"/>
    <s v="CUST-106"/>
    <s v="PROD-007"/>
    <s v="Corporate"/>
    <s v="East"/>
    <x v="2"/>
    <x v="1"/>
    <n v="10"/>
    <n v="120"/>
    <n v="1200"/>
    <n v="120"/>
    <s v="Large Order"/>
    <s v="Weekday"/>
  </r>
  <r>
    <s v="ORD-3108"/>
    <d v="2024-05-26T00:00:00"/>
    <n v="2024"/>
    <s v="May"/>
    <s v="Sun"/>
    <s v="CUST-159"/>
    <s v="PROD-006"/>
    <s v="Corporate"/>
    <s v="North"/>
    <x v="3"/>
    <x v="4"/>
    <n v="2"/>
    <n v="120"/>
    <n v="240"/>
    <n v="24"/>
    <s v="Standard Order"/>
    <s v="Weekend"/>
  </r>
  <r>
    <s v="ORD-3109"/>
    <d v="2024-03-13T00:00:00"/>
    <n v="2024"/>
    <s v="Mar"/>
    <s v="Wed"/>
    <s v="CUST-159"/>
    <s v="PROD-021"/>
    <s v="Corporate"/>
    <s v="West"/>
    <x v="0"/>
    <x v="4"/>
    <n v="4"/>
    <n v="120"/>
    <n v="480"/>
    <n v="48"/>
    <s v="Standard Order"/>
    <s v="Weekday"/>
  </r>
  <r>
    <s v="ORD-3110"/>
    <d v="2024-10-26T00:00:00"/>
    <n v="2024"/>
    <s v="Oct"/>
    <s v="Sat"/>
    <s v="CUST-189"/>
    <s v="PROD-018"/>
    <s v="Consumer"/>
    <s v="South"/>
    <x v="2"/>
    <x v="1"/>
    <n v="11"/>
    <n v="120"/>
    <n v="1320"/>
    <n v="132"/>
    <s v="Large Order"/>
    <s v="Weekend"/>
  </r>
  <r>
    <s v="ORD-3111"/>
    <d v="2024-04-01T00:00:00"/>
    <n v="2024"/>
    <s v="Apr"/>
    <s v="Mon"/>
    <s v="CUST-158"/>
    <s v="PROD-019"/>
    <s v="Home Office"/>
    <s v="North"/>
    <x v="4"/>
    <x v="1"/>
    <n v="3"/>
    <n v="120"/>
    <n v="360"/>
    <n v="36"/>
    <s v="Standard Order"/>
    <s v="Weekday"/>
  </r>
  <r>
    <s v="ORD-3112"/>
    <d v="2024-12-20T00:00:00"/>
    <n v="2024"/>
    <s v="Dec"/>
    <s v="Fri"/>
    <s v="CUST-183"/>
    <s v="PROD-023"/>
    <s v="Consumer"/>
    <s v="West"/>
    <x v="0"/>
    <x v="0"/>
    <n v="4"/>
    <n v="120"/>
    <n v="480"/>
    <n v="48"/>
    <s v="Standard Order"/>
    <s v="Weekday"/>
  </r>
  <r>
    <s v="ORD-3113"/>
    <d v="2024-11-20T00:00:00"/>
    <n v="2024"/>
    <s v="Nov"/>
    <s v="Wed"/>
    <s v="CUST-146"/>
    <s v="PROD-003"/>
    <s v="Home Office"/>
    <s v="South"/>
    <x v="2"/>
    <x v="4"/>
    <n v="20"/>
    <n v="120"/>
    <n v="2400"/>
    <n v="240"/>
    <s v="Large Order"/>
    <s v="Weekday"/>
  </r>
  <r>
    <s v="ORD-3114"/>
    <d v="2024-07-12T00:00:00"/>
    <n v="2024"/>
    <s v="Jul"/>
    <s v="Fri"/>
    <s v="CUST-170"/>
    <s v="PROD-013"/>
    <s v="Consumer"/>
    <s v="North"/>
    <x v="4"/>
    <x v="3"/>
    <n v="19"/>
    <n v="120"/>
    <n v="2280"/>
    <n v="228"/>
    <s v="Large Order"/>
    <s v="Weekday"/>
  </r>
  <r>
    <s v="ORD-3115"/>
    <d v="2024-03-17T00:00:00"/>
    <n v="2024"/>
    <s v="Mar"/>
    <s v="Sun"/>
    <s v="CUST-120"/>
    <s v="PROD-005"/>
    <s v="Consumer"/>
    <s v="North"/>
    <x v="0"/>
    <x v="1"/>
    <n v="10"/>
    <n v="120"/>
    <n v="1200"/>
    <n v="120"/>
    <s v="Large Order"/>
    <s v="Weekend"/>
  </r>
  <r>
    <s v="ORD-3116"/>
    <d v="2024-08-16T00:00:00"/>
    <n v="2024"/>
    <s v="Aug"/>
    <s v="Fri"/>
    <s v="CUST-136"/>
    <s v="PROD-021"/>
    <s v="Consumer"/>
    <s v="West"/>
    <x v="0"/>
    <x v="2"/>
    <n v="7"/>
    <n v="120"/>
    <n v="840"/>
    <n v="84"/>
    <s v="Large Order"/>
    <s v="Weekday"/>
  </r>
  <r>
    <s v="ORD-3117"/>
    <d v="2024-05-09T00:00:00"/>
    <n v="2024"/>
    <s v="May"/>
    <s v="Thu"/>
    <s v="CUST-101"/>
    <s v="PROD-015"/>
    <s v="Corporate"/>
    <s v="West"/>
    <x v="2"/>
    <x v="4"/>
    <n v="1"/>
    <n v="120"/>
    <n v="120"/>
    <n v="12"/>
    <s v="Standard Order"/>
    <s v="Weekday"/>
  </r>
  <r>
    <s v="ORD-3118"/>
    <d v="2024-09-09T00:00:00"/>
    <n v="2024"/>
    <s v="Sep"/>
    <s v="Mon"/>
    <s v="CUST-130"/>
    <s v="PROD-007"/>
    <s v="Home Office"/>
    <s v="Central"/>
    <x v="2"/>
    <x v="1"/>
    <n v="14"/>
    <n v="120"/>
    <n v="1680"/>
    <n v="168"/>
    <s v="Large Order"/>
    <s v="Weekday"/>
  </r>
  <r>
    <s v="ORD-3119"/>
    <d v="2024-11-03T00:00:00"/>
    <n v="2024"/>
    <s v="Nov"/>
    <s v="Sun"/>
    <s v="CUST-176"/>
    <s v="PROD-001"/>
    <s v="Consumer"/>
    <s v="North"/>
    <x v="5"/>
    <x v="3"/>
    <n v="20"/>
    <n v="120"/>
    <n v="2400"/>
    <n v="240"/>
    <s v="Large Order"/>
    <s v="Weekend"/>
  </r>
  <r>
    <s v="ORD-3120"/>
    <d v="2024-04-16T00:00:00"/>
    <n v="2024"/>
    <s v="Apr"/>
    <s v="Tue"/>
    <s v="CUST-106"/>
    <s v="PROD-006"/>
    <s v="Consumer"/>
    <s v="East"/>
    <x v="0"/>
    <x v="3"/>
    <n v="2"/>
    <n v="120"/>
    <n v="240"/>
    <n v="24"/>
    <s v="Standard Order"/>
    <s v="Weekday"/>
  </r>
  <r>
    <s v="ORD-3121"/>
    <d v="2024-01-17T00:00:00"/>
    <n v="2024"/>
    <s v="Jan"/>
    <s v="Wed"/>
    <s v="CUST-185"/>
    <s v="PROD-019"/>
    <s v="Home Office"/>
    <s v="East"/>
    <x v="3"/>
    <x v="3"/>
    <n v="3"/>
    <n v="120"/>
    <n v="360"/>
    <n v="36"/>
    <s v="Standard Order"/>
    <s v="Weekday"/>
  </r>
  <r>
    <s v="ORD-3122"/>
    <d v="2024-08-01T00:00:00"/>
    <n v="2024"/>
    <s v="Aug"/>
    <s v="Thu"/>
    <s v="CUST-122"/>
    <s v="PROD-006"/>
    <s v="Home Office"/>
    <s v="Central"/>
    <x v="3"/>
    <x v="4"/>
    <n v="20"/>
    <n v="120"/>
    <n v="2400"/>
    <n v="240"/>
    <s v="Large Order"/>
    <s v="Weekday"/>
  </r>
  <r>
    <s v="ORD-3123"/>
    <d v="2024-10-14T00:00:00"/>
    <n v="2024"/>
    <s v="Oct"/>
    <s v="Mon"/>
    <s v="CUST-122"/>
    <s v="PROD-015"/>
    <s v="Home Office"/>
    <s v="North"/>
    <x v="5"/>
    <x v="3"/>
    <n v="2"/>
    <n v="120"/>
    <n v="240"/>
    <n v="24"/>
    <s v="Standard Order"/>
    <s v="Weekday"/>
  </r>
  <r>
    <s v="ORD-3124"/>
    <d v="2024-06-02T00:00:00"/>
    <n v="2024"/>
    <s v="Jun"/>
    <s v="Sun"/>
    <s v="CUST-141"/>
    <s v="PROD-012"/>
    <s v="Corporate"/>
    <s v="East"/>
    <x v="0"/>
    <x v="1"/>
    <n v="18"/>
    <n v="120"/>
    <n v="2160"/>
    <n v="216"/>
    <s v="Large Order"/>
    <s v="Weekend"/>
  </r>
  <r>
    <s v="ORD-3125"/>
    <d v="2024-08-29T00:00:00"/>
    <n v="2024"/>
    <s v="Aug"/>
    <s v="Thu"/>
    <s v="CUST-117"/>
    <s v="PROD-004"/>
    <s v="Home Office"/>
    <s v="North"/>
    <x v="3"/>
    <x v="3"/>
    <n v="17"/>
    <n v="120"/>
    <n v="2040"/>
    <n v="204"/>
    <s v="Large Order"/>
    <s v="Weekday"/>
  </r>
  <r>
    <s v="ORD-3126"/>
    <d v="2024-04-17T00:00:00"/>
    <n v="2024"/>
    <s v="Apr"/>
    <s v="Wed"/>
    <s v="CUST-189"/>
    <s v="PROD-007"/>
    <s v="Home Office"/>
    <s v="Central"/>
    <x v="0"/>
    <x v="0"/>
    <n v="19"/>
    <n v="120"/>
    <n v="2280"/>
    <n v="228"/>
    <s v="Large Order"/>
    <s v="Weekday"/>
  </r>
  <r>
    <s v="ORD-3127"/>
    <d v="2024-11-18T00:00:00"/>
    <n v="2024"/>
    <s v="Nov"/>
    <s v="Mon"/>
    <s v="CUST-167"/>
    <s v="PROD-003"/>
    <s v="Corporate"/>
    <s v="Central"/>
    <x v="5"/>
    <x v="3"/>
    <n v="14"/>
    <n v="120"/>
    <n v="1680"/>
    <n v="168"/>
    <s v="Large Order"/>
    <s v="Weekday"/>
  </r>
  <r>
    <s v="ORD-3128"/>
    <d v="2024-06-11T00:00:00"/>
    <n v="2024"/>
    <s v="Jun"/>
    <s v="Tue"/>
    <s v="CUST-133"/>
    <s v="PROD-017"/>
    <s v="Home Office"/>
    <s v="West"/>
    <x v="5"/>
    <x v="3"/>
    <n v="5"/>
    <n v="120"/>
    <n v="600"/>
    <n v="60"/>
    <s v="Large Order"/>
    <s v="Weekday"/>
  </r>
  <r>
    <s v="ORD-3129"/>
    <d v="2024-09-11T00:00:00"/>
    <n v="2024"/>
    <s v="Sep"/>
    <s v="Wed"/>
    <s v="CUST-166"/>
    <s v="PROD-024"/>
    <s v="Home Office"/>
    <s v="North"/>
    <x v="2"/>
    <x v="1"/>
    <n v="6"/>
    <n v="120"/>
    <n v="720"/>
    <n v="72"/>
    <s v="Large Order"/>
    <s v="Weekday"/>
  </r>
  <r>
    <s v="ORD-3130"/>
    <d v="2024-04-29T00:00:00"/>
    <n v="2024"/>
    <s v="Apr"/>
    <s v="Mon"/>
    <s v="CUST-190"/>
    <s v="PROD-010"/>
    <s v="Consumer"/>
    <s v="West"/>
    <x v="0"/>
    <x v="0"/>
    <n v="1"/>
    <n v="120"/>
    <n v="120"/>
    <n v="12"/>
    <s v="Standard Order"/>
    <s v="Weekday"/>
  </r>
  <r>
    <s v="ORD-3131"/>
    <d v="2024-03-01T00:00:00"/>
    <n v="2024"/>
    <s v="Mar"/>
    <s v="Fri"/>
    <s v="CUST-194"/>
    <s v="PROD-007"/>
    <s v="Home Office"/>
    <s v="South"/>
    <x v="2"/>
    <x v="1"/>
    <n v="2"/>
    <n v="120"/>
    <n v="240"/>
    <n v="24"/>
    <s v="Standard Order"/>
    <s v="Weekday"/>
  </r>
  <r>
    <s v="ORD-3132"/>
    <d v="2024-10-13T00:00:00"/>
    <n v="2024"/>
    <s v="Oct"/>
    <s v="Sun"/>
    <s v="CUST-181"/>
    <s v="PROD-007"/>
    <s v="Consumer"/>
    <s v="East"/>
    <x v="4"/>
    <x v="3"/>
    <n v="9"/>
    <n v="120"/>
    <n v="1080"/>
    <n v="108"/>
    <s v="Large Order"/>
    <s v="Weekend"/>
  </r>
  <r>
    <s v="ORD-3133"/>
    <d v="2024-06-06T00:00:00"/>
    <n v="2024"/>
    <s v="Jun"/>
    <s v="Thu"/>
    <s v="CUST-138"/>
    <s v="PROD-017"/>
    <s v="Home Office"/>
    <s v="Central"/>
    <x v="3"/>
    <x v="0"/>
    <n v="4"/>
    <n v="120"/>
    <n v="480"/>
    <n v="48"/>
    <s v="Standard Order"/>
    <s v="Weekday"/>
  </r>
  <r>
    <s v="ORD-3134"/>
    <d v="2024-06-23T00:00:00"/>
    <n v="2024"/>
    <s v="Jun"/>
    <s v="Sun"/>
    <s v="CUST-150"/>
    <s v="PROD-024"/>
    <s v="Home Office"/>
    <s v="North"/>
    <x v="5"/>
    <x v="0"/>
    <n v="6"/>
    <n v="120"/>
    <n v="720"/>
    <n v="72"/>
    <s v="Large Order"/>
    <s v="Weekend"/>
  </r>
  <r>
    <s v="ORD-3135"/>
    <d v="2024-06-22T00:00:00"/>
    <n v="2024"/>
    <s v="Jun"/>
    <s v="Sat"/>
    <s v="CUST-186"/>
    <s v="PROD-016"/>
    <s v="Corporate"/>
    <s v="West"/>
    <x v="0"/>
    <x v="2"/>
    <n v="16"/>
    <n v="120"/>
    <n v="1920"/>
    <n v="192"/>
    <s v="Large Order"/>
    <s v="Weekend"/>
  </r>
  <r>
    <s v="ORD-3136"/>
    <d v="2024-08-23T00:00:00"/>
    <n v="2024"/>
    <s v="Aug"/>
    <s v="Fri"/>
    <s v="CUST-168"/>
    <s v="PROD-011"/>
    <s v="Corporate"/>
    <s v="North"/>
    <x v="2"/>
    <x v="0"/>
    <n v="17"/>
    <n v="120"/>
    <n v="2040"/>
    <n v="204"/>
    <s v="Large Order"/>
    <s v="Weekday"/>
  </r>
  <r>
    <s v="ORD-3137"/>
    <d v="2024-12-13T00:00:00"/>
    <n v="2024"/>
    <s v="Dec"/>
    <s v="Fri"/>
    <s v="CUST-140"/>
    <s v="PROD-018"/>
    <s v="Home Office"/>
    <s v="North"/>
    <x v="0"/>
    <x v="2"/>
    <n v="19"/>
    <n v="120"/>
    <n v="2280"/>
    <n v="228"/>
    <s v="Large Order"/>
    <s v="Weekday"/>
  </r>
  <r>
    <s v="ORD-3138"/>
    <d v="2024-06-30T00:00:00"/>
    <n v="2024"/>
    <s v="Jun"/>
    <s v="Sun"/>
    <s v="CUST-108"/>
    <s v="PROD-005"/>
    <s v="Corporate"/>
    <s v="South"/>
    <x v="0"/>
    <x v="3"/>
    <n v="13"/>
    <n v="120"/>
    <n v="1560"/>
    <n v="156"/>
    <s v="Large Order"/>
    <s v="Weekend"/>
  </r>
  <r>
    <s v="ORD-3139"/>
    <d v="2024-03-25T00:00:00"/>
    <n v="2024"/>
    <s v="Mar"/>
    <s v="Mon"/>
    <s v="CUST-173"/>
    <s v="PROD-020"/>
    <s v="Corporate"/>
    <s v="North"/>
    <x v="4"/>
    <x v="4"/>
    <n v="4"/>
    <n v="120"/>
    <n v="480"/>
    <n v="48"/>
    <s v="Standard Order"/>
    <s v="Weekday"/>
  </r>
  <r>
    <s v="ORD-3140"/>
    <d v="2024-06-06T00:00:00"/>
    <n v="2024"/>
    <s v="Jun"/>
    <s v="Thu"/>
    <s v="CUST-190"/>
    <s v="PROD-011"/>
    <s v="Home Office"/>
    <s v="South"/>
    <x v="0"/>
    <x v="3"/>
    <n v="14"/>
    <n v="120"/>
    <n v="1680"/>
    <n v="168"/>
    <s v="Large Order"/>
    <s v="Weekday"/>
  </r>
  <r>
    <s v="ORD-3141"/>
    <d v="2024-05-01T00:00:00"/>
    <n v="2024"/>
    <s v="May"/>
    <s v="Wed"/>
    <s v="CUST-147"/>
    <s v="PROD-015"/>
    <s v="Corporate"/>
    <s v="North"/>
    <x v="4"/>
    <x v="4"/>
    <n v="10"/>
    <n v="120"/>
    <n v="1200"/>
    <n v="120"/>
    <s v="Large Order"/>
    <s v="Weekday"/>
  </r>
  <r>
    <s v="ORD-3142"/>
    <d v="2024-07-10T00:00:00"/>
    <n v="2024"/>
    <s v="Jul"/>
    <s v="Wed"/>
    <s v="CUST-200"/>
    <s v="PROD-002"/>
    <s v="Consumer"/>
    <s v="East"/>
    <x v="0"/>
    <x v="1"/>
    <n v="17"/>
    <n v="120"/>
    <n v="2040"/>
    <n v="204"/>
    <s v="Large Order"/>
    <s v="Weekday"/>
  </r>
  <r>
    <s v="ORD-3143"/>
    <d v="2024-09-04T00:00:00"/>
    <n v="2024"/>
    <s v="Sep"/>
    <s v="Wed"/>
    <s v="CUST-164"/>
    <s v="PROD-005"/>
    <s v="Consumer"/>
    <s v="Central"/>
    <x v="3"/>
    <x v="1"/>
    <n v="17"/>
    <n v="120"/>
    <n v="2040"/>
    <n v="204"/>
    <s v="Large Order"/>
    <s v="Weekday"/>
  </r>
  <r>
    <s v="ORD-3144"/>
    <d v="2024-06-16T00:00:00"/>
    <n v="2024"/>
    <s v="Jun"/>
    <s v="Sun"/>
    <s v="CUST-118"/>
    <s v="PROD-025"/>
    <s v="Consumer"/>
    <s v="North"/>
    <x v="5"/>
    <x v="2"/>
    <n v="7"/>
    <n v="120"/>
    <n v="840"/>
    <n v="84"/>
    <s v="Large Order"/>
    <s v="Weekend"/>
  </r>
  <r>
    <s v="ORD-3145"/>
    <d v="2024-08-23T00:00:00"/>
    <n v="2024"/>
    <s v="Aug"/>
    <s v="Fri"/>
    <s v="CUST-149"/>
    <s v="PROD-023"/>
    <s v="Home Office"/>
    <s v="West"/>
    <x v="0"/>
    <x v="0"/>
    <n v="10"/>
    <n v="120"/>
    <n v="1200"/>
    <n v="120"/>
    <s v="Large Order"/>
    <s v="Weekday"/>
  </r>
  <r>
    <s v="ORD-3146"/>
    <d v="2024-12-17T00:00:00"/>
    <n v="2024"/>
    <s v="Dec"/>
    <s v="Tue"/>
    <s v="CUST-176"/>
    <s v="PROD-003"/>
    <s v="Corporate"/>
    <s v="Central"/>
    <x v="2"/>
    <x v="0"/>
    <n v="4"/>
    <n v="120"/>
    <n v="480"/>
    <n v="48"/>
    <s v="Standard Order"/>
    <s v="Weekday"/>
  </r>
  <r>
    <s v="ORD-3147"/>
    <d v="2024-12-03T00:00:00"/>
    <n v="2024"/>
    <s v="Dec"/>
    <s v="Tue"/>
    <s v="CUST-195"/>
    <s v="PROD-010"/>
    <s v="Consumer"/>
    <s v="East"/>
    <x v="5"/>
    <x v="3"/>
    <n v="7"/>
    <n v="120"/>
    <n v="840"/>
    <n v="84"/>
    <s v="Large Order"/>
    <s v="Weekday"/>
  </r>
  <r>
    <s v="ORD-3148"/>
    <d v="2024-04-08T00:00:00"/>
    <n v="2024"/>
    <s v="Apr"/>
    <s v="Mon"/>
    <s v="CUST-136"/>
    <s v="PROD-009"/>
    <s v="Home Office"/>
    <s v="Central"/>
    <x v="3"/>
    <x v="1"/>
    <n v="4"/>
    <n v="120"/>
    <n v="480"/>
    <n v="48"/>
    <s v="Standard Order"/>
    <s v="Weekday"/>
  </r>
  <r>
    <s v="ORD-3149"/>
    <d v="2024-03-21T00:00:00"/>
    <n v="2024"/>
    <s v="Mar"/>
    <s v="Thu"/>
    <s v="CUST-135"/>
    <s v="PROD-004"/>
    <s v="Consumer"/>
    <s v="East"/>
    <x v="5"/>
    <x v="4"/>
    <n v="17"/>
    <n v="120"/>
    <n v="2040"/>
    <n v="204"/>
    <s v="Large Order"/>
    <s v="Weekday"/>
  </r>
  <r>
    <s v="ORD-3150"/>
    <d v="2024-10-04T00:00:00"/>
    <n v="2024"/>
    <s v="Oct"/>
    <s v="Fri"/>
    <s v="CUST-144"/>
    <s v="PROD-018"/>
    <s v="Corporate"/>
    <s v="East"/>
    <x v="3"/>
    <x v="2"/>
    <n v="10"/>
    <n v="120"/>
    <n v="1200"/>
    <n v="120"/>
    <s v="Large Order"/>
    <s v="Weekday"/>
  </r>
  <r>
    <s v="ORD-3151"/>
    <d v="2024-03-28T00:00:00"/>
    <n v="2024"/>
    <s v="Mar"/>
    <s v="Thu"/>
    <s v="CUST-109"/>
    <s v="PROD-010"/>
    <s v="Home Office"/>
    <s v="North"/>
    <x v="3"/>
    <x v="4"/>
    <n v="15"/>
    <n v="120"/>
    <n v="1800"/>
    <n v="180"/>
    <s v="Large Order"/>
    <s v="Weekday"/>
  </r>
  <r>
    <s v="ORD-3152"/>
    <d v="2024-01-15T00:00:00"/>
    <n v="2024"/>
    <s v="Jan"/>
    <s v="Mon"/>
    <s v="CUST-160"/>
    <s v="PROD-022"/>
    <s v="Consumer"/>
    <s v="Central"/>
    <x v="0"/>
    <x v="1"/>
    <n v="2"/>
    <n v="120"/>
    <n v="240"/>
    <n v="24"/>
    <s v="Standard Order"/>
    <s v="Weekday"/>
  </r>
  <r>
    <s v="ORD-3153"/>
    <d v="2024-07-19T00:00:00"/>
    <n v="2024"/>
    <s v="Jul"/>
    <s v="Fri"/>
    <s v="CUST-122"/>
    <s v="PROD-023"/>
    <s v="Home Office"/>
    <s v="Central"/>
    <x v="5"/>
    <x v="1"/>
    <n v="20"/>
    <n v="120"/>
    <n v="2400"/>
    <n v="240"/>
    <s v="Large Order"/>
    <s v="Weekday"/>
  </r>
  <r>
    <s v="ORD-3154"/>
    <d v="2024-06-19T00:00:00"/>
    <n v="2024"/>
    <s v="Jun"/>
    <s v="Wed"/>
    <s v="CUST-125"/>
    <s v="PROD-023"/>
    <s v="Home Office"/>
    <s v="West"/>
    <x v="5"/>
    <x v="0"/>
    <n v="15"/>
    <n v="120"/>
    <n v="1800"/>
    <n v="180"/>
    <s v="Large Order"/>
    <s v="Weekday"/>
  </r>
  <r>
    <s v="ORD-3155"/>
    <d v="2024-02-17T00:00:00"/>
    <n v="2024"/>
    <s v="Feb"/>
    <s v="Sat"/>
    <s v="CUST-189"/>
    <s v="PROD-015"/>
    <s v="Consumer"/>
    <s v="East"/>
    <x v="2"/>
    <x v="3"/>
    <n v="15"/>
    <n v="120"/>
    <n v="1800"/>
    <n v="180"/>
    <s v="Large Order"/>
    <s v="Weekend"/>
  </r>
  <r>
    <s v="ORD-3156"/>
    <d v="2024-04-24T00:00:00"/>
    <n v="2024"/>
    <s v="Apr"/>
    <s v="Wed"/>
    <s v="CUST-118"/>
    <s v="PROD-020"/>
    <s v="Corporate"/>
    <s v="West"/>
    <x v="3"/>
    <x v="1"/>
    <n v="6"/>
    <n v="120"/>
    <n v="720"/>
    <n v="72"/>
    <s v="Large Order"/>
    <s v="Weekday"/>
  </r>
  <r>
    <s v="ORD-3157"/>
    <d v="2024-12-06T00:00:00"/>
    <n v="2024"/>
    <s v="Dec"/>
    <s v="Fri"/>
    <s v="CUST-142"/>
    <s v="PROD-011"/>
    <s v="Corporate"/>
    <s v="East"/>
    <x v="2"/>
    <x v="0"/>
    <n v="3"/>
    <n v="120"/>
    <n v="360"/>
    <n v="36"/>
    <s v="Standard Order"/>
    <s v="Weekday"/>
  </r>
  <r>
    <s v="ORD-3158"/>
    <d v="2024-06-28T00:00:00"/>
    <n v="2024"/>
    <s v="Jun"/>
    <s v="Fri"/>
    <s v="CUST-161"/>
    <s v="PROD-015"/>
    <s v="Consumer"/>
    <s v="North"/>
    <x v="3"/>
    <x v="3"/>
    <n v="20"/>
    <n v="120"/>
    <n v="2400"/>
    <n v="240"/>
    <s v="Large Order"/>
    <s v="Weekday"/>
  </r>
  <r>
    <s v="ORD-3159"/>
    <d v="2024-09-17T00:00:00"/>
    <n v="2024"/>
    <s v="Sep"/>
    <s v="Tue"/>
    <s v="CUST-113"/>
    <s v="PROD-013"/>
    <s v="Home Office"/>
    <s v="Central"/>
    <x v="0"/>
    <x v="3"/>
    <n v="18"/>
    <n v="120"/>
    <n v="2160"/>
    <n v="216"/>
    <s v="Large Order"/>
    <s v="Weekday"/>
  </r>
  <r>
    <s v="ORD-3160"/>
    <d v="2024-06-03T00:00:00"/>
    <n v="2024"/>
    <s v="Jun"/>
    <s v="Mon"/>
    <s v="CUST-168"/>
    <s v="PROD-015"/>
    <s v="Corporate"/>
    <s v="North"/>
    <x v="5"/>
    <x v="1"/>
    <n v="8"/>
    <n v="120"/>
    <n v="960"/>
    <n v="96"/>
    <s v="Large Order"/>
    <s v="Weekday"/>
  </r>
  <r>
    <s v="ORD-3161"/>
    <d v="2024-10-07T00:00:00"/>
    <n v="2024"/>
    <s v="Oct"/>
    <s v="Mon"/>
    <s v="CUST-120"/>
    <s v="PROD-016"/>
    <s v="Corporate"/>
    <s v="East"/>
    <x v="0"/>
    <x v="3"/>
    <n v="7"/>
    <n v="120"/>
    <n v="840"/>
    <n v="84"/>
    <s v="Large Order"/>
    <s v="Weekday"/>
  </r>
  <r>
    <s v="ORD-3162"/>
    <d v="2024-10-29T00:00:00"/>
    <n v="2024"/>
    <s v="Oct"/>
    <s v="Tue"/>
    <s v="CUST-155"/>
    <s v="PROD-014"/>
    <s v="Home Office"/>
    <s v="Central"/>
    <x v="3"/>
    <x v="4"/>
    <n v="8"/>
    <n v="120"/>
    <n v="960"/>
    <n v="96"/>
    <s v="Large Order"/>
    <s v="Weekday"/>
  </r>
  <r>
    <s v="ORD-3163"/>
    <d v="2024-12-08T00:00:00"/>
    <n v="2024"/>
    <s v="Dec"/>
    <s v="Sun"/>
    <s v="CUST-109"/>
    <s v="PROD-024"/>
    <s v="Home Office"/>
    <s v="West"/>
    <x v="5"/>
    <x v="1"/>
    <n v="4"/>
    <n v="120"/>
    <n v="480"/>
    <n v="48"/>
    <s v="Standard Order"/>
    <s v="Weekend"/>
  </r>
  <r>
    <s v="ORD-3164"/>
    <d v="2024-08-25T00:00:00"/>
    <n v="2024"/>
    <s v="Aug"/>
    <s v="Sun"/>
    <s v="CUST-141"/>
    <s v="PROD-018"/>
    <s v="Consumer"/>
    <s v="Central"/>
    <x v="2"/>
    <x v="2"/>
    <n v="10"/>
    <n v="120"/>
    <n v="1200"/>
    <n v="120"/>
    <s v="Large Order"/>
    <s v="Weekend"/>
  </r>
  <r>
    <s v="ORD-3165"/>
    <d v="2024-02-05T00:00:00"/>
    <n v="2024"/>
    <s v="Feb"/>
    <s v="Mon"/>
    <s v="CUST-176"/>
    <s v="PROD-004"/>
    <s v="Home Office"/>
    <s v="South"/>
    <x v="5"/>
    <x v="1"/>
    <n v="11"/>
    <n v="120"/>
    <n v="1320"/>
    <n v="132"/>
    <s v="Large Order"/>
    <s v="Weekday"/>
  </r>
  <r>
    <s v="ORD-3166"/>
    <d v="2024-12-04T00:00:00"/>
    <n v="2024"/>
    <s v="Dec"/>
    <s v="Wed"/>
    <s v="CUST-107"/>
    <s v="PROD-003"/>
    <s v="Consumer"/>
    <s v="East"/>
    <x v="4"/>
    <x v="4"/>
    <n v="1"/>
    <n v="120"/>
    <n v="120"/>
    <n v="12"/>
    <s v="Standard Order"/>
    <s v="Weekday"/>
  </r>
  <r>
    <s v="ORD-3167"/>
    <d v="2024-12-04T00:00:00"/>
    <n v="2024"/>
    <s v="Dec"/>
    <s v="Wed"/>
    <s v="CUST-119"/>
    <s v="PROD-015"/>
    <s v="Home Office"/>
    <s v="East"/>
    <x v="3"/>
    <x v="1"/>
    <n v="20"/>
    <n v="120"/>
    <n v="2400"/>
    <n v="240"/>
    <s v="Large Order"/>
    <s v="Weekday"/>
  </r>
  <r>
    <s v="ORD-3168"/>
    <d v="2024-04-10T00:00:00"/>
    <n v="2024"/>
    <s v="Apr"/>
    <s v="Wed"/>
    <s v="CUST-126"/>
    <s v="PROD-022"/>
    <s v="Corporate"/>
    <s v="Central"/>
    <x v="3"/>
    <x v="4"/>
    <n v="10"/>
    <n v="120"/>
    <n v="1200"/>
    <n v="120"/>
    <s v="Large Order"/>
    <s v="Weekday"/>
  </r>
  <r>
    <s v="ORD-3169"/>
    <d v="2024-08-10T00:00:00"/>
    <n v="2024"/>
    <s v="Aug"/>
    <s v="Sat"/>
    <s v="CUST-191"/>
    <s v="PROD-012"/>
    <s v="Consumer"/>
    <s v="East"/>
    <x v="5"/>
    <x v="0"/>
    <n v="20"/>
    <n v="120"/>
    <n v="2400"/>
    <n v="240"/>
    <s v="Large Order"/>
    <s v="Weekend"/>
  </r>
  <r>
    <s v="ORD-3170"/>
    <d v="2024-07-25T00:00:00"/>
    <n v="2024"/>
    <s v="Jul"/>
    <s v="Thu"/>
    <s v="CUST-116"/>
    <s v="PROD-010"/>
    <s v="Consumer"/>
    <s v="North"/>
    <x v="3"/>
    <x v="4"/>
    <n v="2"/>
    <n v="120"/>
    <n v="240"/>
    <n v="24"/>
    <s v="Standard Order"/>
    <s v="Weekday"/>
  </r>
  <r>
    <s v="ORD-3171"/>
    <d v="2024-10-13T00:00:00"/>
    <n v="2024"/>
    <s v="Oct"/>
    <s v="Sun"/>
    <s v="CUST-145"/>
    <s v="PROD-004"/>
    <s v="Corporate"/>
    <s v="West"/>
    <x v="0"/>
    <x v="2"/>
    <n v="14"/>
    <n v="120"/>
    <n v="1680"/>
    <n v="168"/>
    <s v="Large Order"/>
    <s v="Weekend"/>
  </r>
  <r>
    <s v="ORD-3172"/>
    <d v="2024-07-20T00:00:00"/>
    <n v="2024"/>
    <s v="Jul"/>
    <s v="Sat"/>
    <s v="CUST-180"/>
    <s v="PROD-011"/>
    <s v="Home Office"/>
    <s v="South"/>
    <x v="2"/>
    <x v="1"/>
    <n v="13"/>
    <n v="120"/>
    <n v="1560"/>
    <n v="156"/>
    <s v="Large Order"/>
    <s v="Weekend"/>
  </r>
  <r>
    <s v="ORD-3173"/>
    <d v="2024-04-18T00:00:00"/>
    <n v="2024"/>
    <s v="Apr"/>
    <s v="Thu"/>
    <s v="CUST-184"/>
    <s v="PROD-006"/>
    <s v="Corporate"/>
    <s v="South"/>
    <x v="4"/>
    <x v="2"/>
    <n v="18"/>
    <n v="120"/>
    <n v="2160"/>
    <n v="216"/>
    <s v="Large Order"/>
    <s v="Weekday"/>
  </r>
  <r>
    <s v="ORD-3174"/>
    <d v="2024-07-03T00:00:00"/>
    <n v="2024"/>
    <s v="Jul"/>
    <s v="Wed"/>
    <s v="CUST-153"/>
    <s v="PROD-005"/>
    <s v="Corporate"/>
    <s v="West"/>
    <x v="4"/>
    <x v="2"/>
    <n v="1"/>
    <n v="120"/>
    <n v="120"/>
    <n v="12"/>
    <s v="Standard Order"/>
    <s v="Weekday"/>
  </r>
  <r>
    <s v="ORD-3175"/>
    <d v="2024-01-09T00:00:00"/>
    <n v="2024"/>
    <s v="Jan"/>
    <s v="Tue"/>
    <s v="CUST-118"/>
    <s v="PROD-024"/>
    <s v="Corporate"/>
    <s v="West"/>
    <x v="2"/>
    <x v="2"/>
    <n v="3"/>
    <n v="120"/>
    <n v="360"/>
    <n v="36"/>
    <s v="Standard Order"/>
    <s v="Weekday"/>
  </r>
  <r>
    <s v="ORD-3176"/>
    <d v="2024-07-31T00:00:00"/>
    <n v="2024"/>
    <s v="Jul"/>
    <s v="Wed"/>
    <s v="CUST-158"/>
    <s v="PROD-023"/>
    <s v="Home Office"/>
    <s v="East"/>
    <x v="2"/>
    <x v="4"/>
    <n v="6"/>
    <n v="120"/>
    <n v="720"/>
    <n v="72"/>
    <s v="Large Order"/>
    <s v="Weekday"/>
  </r>
  <r>
    <s v="ORD-3177"/>
    <d v="2024-08-05T00:00:00"/>
    <n v="2024"/>
    <s v="Aug"/>
    <s v="Mon"/>
    <s v="CUST-170"/>
    <s v="PROD-015"/>
    <s v="Corporate"/>
    <s v="South"/>
    <x v="3"/>
    <x v="2"/>
    <n v="6"/>
    <n v="120"/>
    <n v="720"/>
    <n v="72"/>
    <s v="Large Order"/>
    <s v="Weekday"/>
  </r>
  <r>
    <s v="ORD-3178"/>
    <d v="2024-01-04T00:00:00"/>
    <n v="2024"/>
    <s v="Jan"/>
    <s v="Thu"/>
    <s v="CUST-173"/>
    <s v="PROD-016"/>
    <s v="Home Office"/>
    <s v="North"/>
    <x v="4"/>
    <x v="4"/>
    <n v="9"/>
    <n v="120"/>
    <n v="1080"/>
    <n v="108"/>
    <s v="Large Order"/>
    <s v="Weekday"/>
  </r>
  <r>
    <s v="ORD-3179"/>
    <d v="2024-10-06T00:00:00"/>
    <n v="2024"/>
    <s v="Oct"/>
    <s v="Sun"/>
    <s v="CUST-173"/>
    <s v="PROD-012"/>
    <s v="Consumer"/>
    <s v="North"/>
    <x v="0"/>
    <x v="4"/>
    <n v="16"/>
    <n v="120"/>
    <n v="1920"/>
    <n v="192"/>
    <s v="Large Order"/>
    <s v="Weekend"/>
  </r>
  <r>
    <s v="ORD-3180"/>
    <d v="2024-02-27T00:00:00"/>
    <n v="2024"/>
    <s v="Feb"/>
    <s v="Tue"/>
    <s v="CUST-174"/>
    <s v="PROD-016"/>
    <s v="Home Office"/>
    <s v="Central"/>
    <x v="0"/>
    <x v="2"/>
    <n v="17"/>
    <n v="120"/>
    <n v="2040"/>
    <n v="204"/>
    <s v="Large Order"/>
    <s v="Weekday"/>
  </r>
  <r>
    <s v="ORD-3181"/>
    <d v="2024-05-23T00:00:00"/>
    <n v="2024"/>
    <s v="May"/>
    <s v="Thu"/>
    <s v="CUST-159"/>
    <s v="PROD-017"/>
    <s v="Consumer"/>
    <s v="North"/>
    <x v="5"/>
    <x v="4"/>
    <n v="3"/>
    <n v="120"/>
    <n v="360"/>
    <n v="36"/>
    <s v="Standard Order"/>
    <s v="Weekday"/>
  </r>
  <r>
    <s v="ORD-3182"/>
    <d v="2024-11-18T00:00:00"/>
    <n v="2024"/>
    <s v="Nov"/>
    <s v="Mon"/>
    <s v="CUST-194"/>
    <s v="PROD-022"/>
    <s v="Home Office"/>
    <s v="West"/>
    <x v="0"/>
    <x v="4"/>
    <n v="19"/>
    <n v="120"/>
    <n v="2280"/>
    <n v="228"/>
    <s v="Large Order"/>
    <s v="Weekday"/>
  </r>
  <r>
    <s v="ORD-3183"/>
    <d v="2024-01-28T00:00:00"/>
    <n v="2024"/>
    <s v="Jan"/>
    <s v="Sun"/>
    <s v="CUST-143"/>
    <s v="PROD-018"/>
    <s v="Consumer"/>
    <s v="East"/>
    <x v="2"/>
    <x v="1"/>
    <n v="17"/>
    <n v="120"/>
    <n v="2040"/>
    <n v="204"/>
    <s v="Large Order"/>
    <s v="Weekend"/>
  </r>
  <r>
    <s v="ORD-3184"/>
    <d v="2024-10-20T00:00:00"/>
    <n v="2024"/>
    <s v="Oct"/>
    <s v="Sun"/>
    <s v="CUST-193"/>
    <s v="PROD-011"/>
    <s v="Corporate"/>
    <s v="Central"/>
    <x v="3"/>
    <x v="3"/>
    <n v="10"/>
    <n v="120"/>
    <n v="1200"/>
    <n v="120"/>
    <s v="Large Order"/>
    <s v="Weekend"/>
  </r>
  <r>
    <s v="ORD-3185"/>
    <d v="2024-12-21T00:00:00"/>
    <n v="2024"/>
    <s v="Dec"/>
    <s v="Sat"/>
    <s v="CUST-176"/>
    <s v="PROD-024"/>
    <s v="Corporate"/>
    <s v="East"/>
    <x v="5"/>
    <x v="3"/>
    <n v="2"/>
    <n v="120"/>
    <n v="240"/>
    <n v="24"/>
    <s v="Standard Order"/>
    <s v="Weekend"/>
  </r>
  <r>
    <s v="ORD-3186"/>
    <d v="2024-10-23T00:00:00"/>
    <n v="2024"/>
    <s v="Oct"/>
    <s v="Wed"/>
    <s v="CUST-121"/>
    <s v="PROD-019"/>
    <s v="Consumer"/>
    <s v="East"/>
    <x v="3"/>
    <x v="4"/>
    <n v="1"/>
    <n v="120"/>
    <n v="120"/>
    <n v="12"/>
    <s v="Standard Order"/>
    <s v="Weekday"/>
  </r>
  <r>
    <s v="ORD-3187"/>
    <d v="2024-02-12T00:00:00"/>
    <n v="2024"/>
    <s v="Feb"/>
    <s v="Mon"/>
    <s v="CUST-116"/>
    <s v="PROD-017"/>
    <s v="Consumer"/>
    <s v="North"/>
    <x v="3"/>
    <x v="3"/>
    <n v="5"/>
    <n v="120"/>
    <n v="600"/>
    <n v="60"/>
    <s v="Large Order"/>
    <s v="Weekday"/>
  </r>
  <r>
    <s v="ORD-3188"/>
    <d v="2024-05-20T00:00:00"/>
    <n v="2024"/>
    <s v="May"/>
    <s v="Mon"/>
    <s v="CUST-132"/>
    <s v="PROD-001"/>
    <s v="Home Office"/>
    <s v="South"/>
    <x v="0"/>
    <x v="4"/>
    <n v="6"/>
    <n v="120"/>
    <n v="720"/>
    <n v="72"/>
    <s v="Large Order"/>
    <s v="Weekday"/>
  </r>
  <r>
    <s v="ORD-3189"/>
    <d v="2024-03-18T00:00:00"/>
    <n v="2024"/>
    <s v="Mar"/>
    <s v="Mon"/>
    <s v="CUST-184"/>
    <s v="PROD-015"/>
    <s v="Corporate"/>
    <s v="South"/>
    <x v="4"/>
    <x v="3"/>
    <n v="8"/>
    <n v="120"/>
    <n v="960"/>
    <n v="96"/>
    <s v="Large Order"/>
    <s v="Weekday"/>
  </r>
  <r>
    <s v="ORD-3190"/>
    <d v="2024-09-27T00:00:00"/>
    <n v="2024"/>
    <s v="Sep"/>
    <s v="Fri"/>
    <s v="CUST-104"/>
    <s v="PROD-011"/>
    <s v="Consumer"/>
    <s v="West"/>
    <x v="4"/>
    <x v="4"/>
    <n v="5"/>
    <n v="120"/>
    <n v="600"/>
    <n v="60"/>
    <s v="Large Order"/>
    <s v="Weekday"/>
  </r>
  <r>
    <s v="ORD-3191"/>
    <d v="2024-07-30T00:00:00"/>
    <n v="2024"/>
    <s v="Jul"/>
    <s v="Tue"/>
    <s v="CUST-198"/>
    <s v="PROD-013"/>
    <s v="Consumer"/>
    <s v="North"/>
    <x v="2"/>
    <x v="2"/>
    <n v="7"/>
    <n v="120"/>
    <n v="840"/>
    <n v="84"/>
    <s v="Large Order"/>
    <s v="Weekday"/>
  </r>
  <r>
    <s v="ORD-3192"/>
    <d v="2024-06-25T00:00:00"/>
    <n v="2024"/>
    <s v="Jun"/>
    <s v="Tue"/>
    <s v="CUST-106"/>
    <s v="PROD-021"/>
    <s v="Corporate"/>
    <s v="Central"/>
    <x v="0"/>
    <x v="0"/>
    <n v="6"/>
    <n v="120"/>
    <n v="720"/>
    <n v="72"/>
    <s v="Large Order"/>
    <s v="Weekday"/>
  </r>
  <r>
    <s v="ORD-3193"/>
    <d v="2024-08-31T00:00:00"/>
    <n v="2024"/>
    <s v="Aug"/>
    <s v="Sat"/>
    <s v="CUST-138"/>
    <s v="PROD-016"/>
    <s v="Home Office"/>
    <s v="Central"/>
    <x v="5"/>
    <x v="2"/>
    <n v="13"/>
    <n v="120"/>
    <n v="1560"/>
    <n v="156"/>
    <s v="Large Order"/>
    <s v="Weekend"/>
  </r>
  <r>
    <s v="ORD-3194"/>
    <d v="2024-07-18T00:00:00"/>
    <n v="2024"/>
    <s v="Jul"/>
    <s v="Thu"/>
    <s v="CUST-160"/>
    <s v="PROD-009"/>
    <s v="Consumer"/>
    <s v="Central"/>
    <x v="5"/>
    <x v="1"/>
    <n v="1"/>
    <n v="120"/>
    <n v="120"/>
    <n v="12"/>
    <s v="Standard Order"/>
    <s v="Weekday"/>
  </r>
  <r>
    <s v="ORD-3195"/>
    <d v="2024-08-17T00:00:00"/>
    <n v="2024"/>
    <s v="Aug"/>
    <s v="Sat"/>
    <s v="CUST-148"/>
    <s v="PROD-022"/>
    <s v="Corporate"/>
    <s v="East"/>
    <x v="5"/>
    <x v="0"/>
    <n v="4"/>
    <n v="120"/>
    <n v="480"/>
    <n v="48"/>
    <s v="Standard Order"/>
    <s v="Weekend"/>
  </r>
  <r>
    <s v="ORD-3196"/>
    <d v="2024-11-22T00:00:00"/>
    <n v="2024"/>
    <s v="Nov"/>
    <s v="Fri"/>
    <s v="CUST-145"/>
    <s v="PROD-014"/>
    <s v="Home Office"/>
    <s v="West"/>
    <x v="3"/>
    <x v="3"/>
    <n v="9"/>
    <n v="120"/>
    <n v="1080"/>
    <n v="108"/>
    <s v="Large Order"/>
    <s v="Weekday"/>
  </r>
  <r>
    <s v="ORD-3197"/>
    <d v="2024-02-20T00:00:00"/>
    <n v="2024"/>
    <s v="Feb"/>
    <s v="Tue"/>
    <s v="CUST-132"/>
    <s v="PROD-021"/>
    <s v="Home Office"/>
    <s v="East"/>
    <x v="2"/>
    <x v="1"/>
    <n v="8"/>
    <n v="120"/>
    <n v="960"/>
    <n v="96"/>
    <s v="Large Order"/>
    <s v="Weekday"/>
  </r>
  <r>
    <s v="ORD-3198"/>
    <d v="2024-10-28T00:00:00"/>
    <n v="2024"/>
    <s v="Oct"/>
    <s v="Mon"/>
    <s v="CUST-198"/>
    <s v="PROD-007"/>
    <s v="Home Office"/>
    <s v="West"/>
    <x v="3"/>
    <x v="2"/>
    <n v="11"/>
    <n v="120"/>
    <n v="1320"/>
    <n v="132"/>
    <s v="Large Order"/>
    <s v="Weekday"/>
  </r>
  <r>
    <s v="ORD-3199"/>
    <d v="2024-12-10T00:00:00"/>
    <n v="2024"/>
    <s v="Dec"/>
    <s v="Tue"/>
    <s v="CUST-101"/>
    <s v="PROD-003"/>
    <s v="Consumer"/>
    <s v="East"/>
    <x v="2"/>
    <x v="0"/>
    <n v="17"/>
    <n v="120"/>
    <n v="2040"/>
    <n v="204"/>
    <s v="Large Order"/>
    <s v="Weekday"/>
  </r>
  <r>
    <s v="ORD-3200"/>
    <d v="2024-08-16T00:00:00"/>
    <n v="2024"/>
    <s v="Aug"/>
    <s v="Fri"/>
    <s v="CUST-144"/>
    <s v="PROD-008"/>
    <s v="Home Office"/>
    <s v="South"/>
    <x v="3"/>
    <x v="3"/>
    <n v="7"/>
    <n v="120"/>
    <n v="840"/>
    <n v="84"/>
    <s v="Large Order"/>
    <s v="Weekday"/>
  </r>
  <r>
    <s v="ORD-3201"/>
    <d v="2024-11-13T00:00:00"/>
    <n v="2024"/>
    <s v="Nov"/>
    <s v="Wed"/>
    <s v="CUST-111"/>
    <s v="PROD-002"/>
    <s v="Home Office"/>
    <s v="West"/>
    <x v="4"/>
    <x v="4"/>
    <n v="4"/>
    <n v="120"/>
    <n v="480"/>
    <n v="48"/>
    <s v="Standard Order"/>
    <s v="Weekday"/>
  </r>
  <r>
    <s v="ORD-3202"/>
    <d v="2024-03-02T00:00:00"/>
    <n v="2024"/>
    <s v="Mar"/>
    <s v="Sat"/>
    <s v="CUST-111"/>
    <s v="PROD-020"/>
    <s v="Consumer"/>
    <s v="West"/>
    <x v="2"/>
    <x v="4"/>
    <n v="6"/>
    <n v="120"/>
    <n v="720"/>
    <n v="72"/>
    <s v="Large Order"/>
    <s v="Weekend"/>
  </r>
  <r>
    <s v="ORD-3203"/>
    <d v="2024-12-22T00:00:00"/>
    <n v="2024"/>
    <s v="Dec"/>
    <s v="Sun"/>
    <s v="CUST-123"/>
    <s v="PROD-009"/>
    <s v="Corporate"/>
    <s v="East"/>
    <x v="2"/>
    <x v="0"/>
    <n v="15"/>
    <n v="120"/>
    <n v="1800"/>
    <n v="180"/>
    <s v="Large Order"/>
    <s v="Weekend"/>
  </r>
  <r>
    <s v="ORD-3204"/>
    <d v="2024-05-21T00:00:00"/>
    <n v="2024"/>
    <s v="May"/>
    <s v="Tue"/>
    <s v="CUST-198"/>
    <s v="PROD-014"/>
    <s v="Home Office"/>
    <s v="West"/>
    <x v="3"/>
    <x v="3"/>
    <n v="6"/>
    <n v="120"/>
    <n v="720"/>
    <n v="72"/>
    <s v="Large Order"/>
    <s v="Weekday"/>
  </r>
  <r>
    <s v="ORD-3205"/>
    <d v="2024-05-21T00:00:00"/>
    <n v="2024"/>
    <s v="May"/>
    <s v="Tue"/>
    <s v="CUST-199"/>
    <s v="PROD-002"/>
    <s v="Corporate"/>
    <s v="West"/>
    <x v="2"/>
    <x v="3"/>
    <n v="2"/>
    <n v="120"/>
    <n v="240"/>
    <n v="24"/>
    <s v="Standard Order"/>
    <s v="Weekday"/>
  </r>
  <r>
    <s v="ORD-3206"/>
    <d v="2024-05-15T00:00:00"/>
    <n v="2024"/>
    <s v="May"/>
    <s v="Wed"/>
    <s v="CUST-122"/>
    <s v="PROD-015"/>
    <s v="Consumer"/>
    <s v="Central"/>
    <x v="2"/>
    <x v="2"/>
    <n v="20"/>
    <n v="120"/>
    <n v="2400"/>
    <n v="240"/>
    <s v="Large Order"/>
    <s v="Weekday"/>
  </r>
  <r>
    <s v="ORD-3207"/>
    <d v="2024-11-26T00:00:00"/>
    <n v="2024"/>
    <s v="Nov"/>
    <s v="Tue"/>
    <s v="CUST-162"/>
    <s v="PROD-004"/>
    <s v="Consumer"/>
    <s v="North"/>
    <x v="5"/>
    <x v="1"/>
    <n v="7"/>
    <n v="120"/>
    <n v="840"/>
    <n v="84"/>
    <s v="Large Order"/>
    <s v="Weekday"/>
  </r>
  <r>
    <s v="ORD-3208"/>
    <d v="2024-02-24T00:00:00"/>
    <n v="2024"/>
    <s v="Feb"/>
    <s v="Sat"/>
    <s v="CUST-156"/>
    <s v="PROD-023"/>
    <s v="Corporate"/>
    <s v="West"/>
    <x v="0"/>
    <x v="0"/>
    <n v="3"/>
    <n v="120"/>
    <n v="360"/>
    <n v="36"/>
    <s v="Standard Order"/>
    <s v="Weekend"/>
  </r>
  <r>
    <s v="ORD-3209"/>
    <d v="2024-05-08T00:00:00"/>
    <n v="2024"/>
    <s v="May"/>
    <s v="Wed"/>
    <s v="CUST-199"/>
    <s v="PROD-015"/>
    <s v="Consumer"/>
    <s v="East"/>
    <x v="2"/>
    <x v="2"/>
    <n v="1"/>
    <n v="120"/>
    <n v="120"/>
    <n v="12"/>
    <s v="Standard Order"/>
    <s v="Weekday"/>
  </r>
  <r>
    <s v="ORD-3210"/>
    <d v="2024-12-06T00:00:00"/>
    <n v="2024"/>
    <s v="Dec"/>
    <s v="Fri"/>
    <s v="CUST-149"/>
    <s v="PROD-009"/>
    <s v="Consumer"/>
    <s v="West"/>
    <x v="3"/>
    <x v="1"/>
    <n v="19"/>
    <n v="120"/>
    <n v="2280"/>
    <n v="228"/>
    <s v="Large Order"/>
    <s v="Weekday"/>
  </r>
  <r>
    <s v="ORD-3211"/>
    <d v="2024-12-28T00:00:00"/>
    <n v="2024"/>
    <s v="Dec"/>
    <s v="Sat"/>
    <s v="CUST-198"/>
    <s v="PROD-016"/>
    <s v="Corporate"/>
    <s v="North"/>
    <x v="2"/>
    <x v="1"/>
    <n v="3"/>
    <n v="120"/>
    <n v="360"/>
    <n v="36"/>
    <s v="Standard Order"/>
    <s v="Weekend"/>
  </r>
  <r>
    <s v="ORD-3212"/>
    <d v="2024-01-02T00:00:00"/>
    <n v="2024"/>
    <s v="Jan"/>
    <s v="Tue"/>
    <s v="CUST-149"/>
    <s v="PROD-023"/>
    <s v="Corporate"/>
    <s v="West"/>
    <x v="0"/>
    <x v="4"/>
    <n v="18"/>
    <n v="120"/>
    <n v="2160"/>
    <n v="216"/>
    <s v="Large Order"/>
    <s v="Weekday"/>
  </r>
  <r>
    <s v="ORD-3213"/>
    <d v="2024-07-02T00:00:00"/>
    <n v="2024"/>
    <s v="Jul"/>
    <s v="Tue"/>
    <s v="CUST-142"/>
    <s v="PROD-022"/>
    <s v="Corporate"/>
    <s v="South"/>
    <x v="2"/>
    <x v="0"/>
    <n v="3"/>
    <n v="120"/>
    <n v="360"/>
    <n v="36"/>
    <s v="Standard Order"/>
    <s v="Weekday"/>
  </r>
  <r>
    <s v="ORD-3214"/>
    <d v="2024-06-23T00:00:00"/>
    <n v="2024"/>
    <s v="Jun"/>
    <s v="Sun"/>
    <s v="CUST-110"/>
    <s v="PROD-015"/>
    <s v="Corporate"/>
    <s v="West"/>
    <x v="4"/>
    <x v="2"/>
    <n v="18"/>
    <n v="120"/>
    <n v="2160"/>
    <n v="216"/>
    <s v="Large Order"/>
    <s v="Weekend"/>
  </r>
  <r>
    <s v="ORD-3215"/>
    <d v="2024-07-15T00:00:00"/>
    <n v="2024"/>
    <s v="Jul"/>
    <s v="Mon"/>
    <s v="CUST-184"/>
    <s v="PROD-007"/>
    <s v="Corporate"/>
    <s v="South"/>
    <x v="2"/>
    <x v="0"/>
    <n v="12"/>
    <n v="120"/>
    <n v="1440"/>
    <n v="144"/>
    <s v="Large Order"/>
    <s v="Weekday"/>
  </r>
  <r>
    <s v="ORD-3216"/>
    <d v="2024-11-19T00:00:00"/>
    <n v="2024"/>
    <s v="Nov"/>
    <s v="Tue"/>
    <s v="CUST-156"/>
    <s v="PROD-024"/>
    <s v="Consumer"/>
    <s v="North"/>
    <x v="4"/>
    <x v="0"/>
    <n v="7"/>
    <n v="120"/>
    <n v="840"/>
    <n v="84"/>
    <s v="Large Order"/>
    <s v="Weekday"/>
  </r>
  <r>
    <s v="ORD-3217"/>
    <d v="2024-10-30T00:00:00"/>
    <n v="2024"/>
    <s v="Oct"/>
    <s v="Wed"/>
    <s v="CUST-130"/>
    <s v="PROD-016"/>
    <s v="Corporate"/>
    <s v="North"/>
    <x v="0"/>
    <x v="4"/>
    <n v="10"/>
    <n v="120"/>
    <n v="1200"/>
    <n v="120"/>
    <s v="Large Order"/>
    <s v="Weekday"/>
  </r>
  <r>
    <s v="ORD-3218"/>
    <d v="2024-08-18T00:00:00"/>
    <n v="2024"/>
    <s v="Aug"/>
    <s v="Sun"/>
    <s v="CUST-102"/>
    <s v="PROD-002"/>
    <s v="Corporate"/>
    <s v="West"/>
    <x v="0"/>
    <x v="3"/>
    <n v="2"/>
    <n v="120"/>
    <n v="240"/>
    <n v="24"/>
    <s v="Standard Order"/>
    <s v="Weekend"/>
  </r>
  <r>
    <s v="ORD-3219"/>
    <d v="2024-04-18T00:00:00"/>
    <n v="2024"/>
    <s v="Apr"/>
    <s v="Thu"/>
    <s v="CUST-183"/>
    <s v="PROD-022"/>
    <s v="Home Office"/>
    <s v="South"/>
    <x v="2"/>
    <x v="4"/>
    <n v="5"/>
    <n v="120"/>
    <n v="600"/>
    <n v="60"/>
    <s v="Large Order"/>
    <s v="Weekday"/>
  </r>
  <r>
    <s v="ORD-3220"/>
    <d v="2024-04-29T00:00:00"/>
    <n v="2024"/>
    <s v="Apr"/>
    <s v="Mon"/>
    <s v="CUST-109"/>
    <s v="PROD-002"/>
    <s v="Home Office"/>
    <s v="South"/>
    <x v="4"/>
    <x v="1"/>
    <n v="1"/>
    <n v="120"/>
    <n v="120"/>
    <n v="12"/>
    <s v="Standard Order"/>
    <s v="Weekday"/>
  </r>
  <r>
    <s v="ORD-3221"/>
    <d v="2024-11-12T00:00:00"/>
    <n v="2024"/>
    <s v="Nov"/>
    <s v="Tue"/>
    <s v="CUST-105"/>
    <s v="PROD-008"/>
    <s v="Home Office"/>
    <s v="South"/>
    <x v="4"/>
    <x v="0"/>
    <n v="6"/>
    <n v="120"/>
    <n v="720"/>
    <n v="72"/>
    <s v="Large Order"/>
    <s v="Weekday"/>
  </r>
  <r>
    <s v="ORD-3222"/>
    <d v="2024-06-06T00:00:00"/>
    <n v="2024"/>
    <s v="Jun"/>
    <s v="Thu"/>
    <s v="CUST-112"/>
    <s v="PROD-015"/>
    <s v="Home Office"/>
    <s v="Central"/>
    <x v="4"/>
    <x v="4"/>
    <n v="3"/>
    <n v="120"/>
    <n v="360"/>
    <n v="36"/>
    <s v="Standard Order"/>
    <s v="Weekday"/>
  </r>
  <r>
    <s v="ORD-3223"/>
    <d v="2024-02-24T00:00:00"/>
    <n v="2024"/>
    <s v="Feb"/>
    <s v="Sat"/>
    <s v="CUST-114"/>
    <s v="PROD-016"/>
    <s v="Home Office"/>
    <s v="West"/>
    <x v="5"/>
    <x v="2"/>
    <n v="3"/>
    <n v="120"/>
    <n v="360"/>
    <n v="36"/>
    <s v="Standard Order"/>
    <s v="Weekend"/>
  </r>
  <r>
    <s v="ORD-3224"/>
    <d v="2024-08-06T00:00:00"/>
    <n v="2024"/>
    <s v="Aug"/>
    <s v="Tue"/>
    <s v="CUST-143"/>
    <s v="PROD-024"/>
    <s v="Home Office"/>
    <s v="South"/>
    <x v="2"/>
    <x v="3"/>
    <n v="4"/>
    <n v="120"/>
    <n v="480"/>
    <n v="48"/>
    <s v="Standard Order"/>
    <s v="Weekday"/>
  </r>
  <r>
    <s v="ORD-3225"/>
    <d v="2024-10-21T00:00:00"/>
    <n v="2024"/>
    <s v="Oct"/>
    <s v="Mon"/>
    <s v="CUST-169"/>
    <s v="PROD-005"/>
    <s v="Corporate"/>
    <s v="West"/>
    <x v="4"/>
    <x v="0"/>
    <n v="19"/>
    <n v="120"/>
    <n v="2280"/>
    <n v="228"/>
    <s v="Large Order"/>
    <s v="Weekday"/>
  </r>
  <r>
    <s v="ORD-3226"/>
    <d v="2024-02-02T00:00:00"/>
    <n v="2024"/>
    <s v="Feb"/>
    <s v="Fri"/>
    <s v="CUST-115"/>
    <s v="PROD-009"/>
    <s v="Consumer"/>
    <s v="South"/>
    <x v="2"/>
    <x v="2"/>
    <n v="12"/>
    <n v="120"/>
    <n v="1440"/>
    <n v="144"/>
    <s v="Large Order"/>
    <s v="Weekday"/>
  </r>
  <r>
    <s v="ORD-3227"/>
    <d v="2024-08-12T00:00:00"/>
    <n v="2024"/>
    <s v="Aug"/>
    <s v="Mon"/>
    <s v="CUST-131"/>
    <s v="PROD-019"/>
    <s v="Consumer"/>
    <s v="North"/>
    <x v="4"/>
    <x v="0"/>
    <n v="20"/>
    <n v="120"/>
    <n v="2400"/>
    <n v="240"/>
    <s v="Large Order"/>
    <s v="Weekday"/>
  </r>
  <r>
    <s v="ORD-3228"/>
    <d v="2024-03-21T00:00:00"/>
    <n v="2024"/>
    <s v="Mar"/>
    <s v="Thu"/>
    <s v="CUST-102"/>
    <s v="PROD-016"/>
    <s v="Consumer"/>
    <s v="West"/>
    <x v="0"/>
    <x v="0"/>
    <n v="6"/>
    <n v="120"/>
    <n v="720"/>
    <n v="72"/>
    <s v="Large Order"/>
    <s v="Weekday"/>
  </r>
  <r>
    <s v="ORD-3229"/>
    <d v="2024-12-27T00:00:00"/>
    <n v="2024"/>
    <s v="Dec"/>
    <s v="Fri"/>
    <s v="CUST-183"/>
    <s v="PROD-019"/>
    <s v="Corporate"/>
    <s v="West"/>
    <x v="2"/>
    <x v="1"/>
    <n v="5"/>
    <n v="120"/>
    <n v="600"/>
    <n v="60"/>
    <s v="Large Order"/>
    <s v="Weekday"/>
  </r>
  <r>
    <s v="ORD-3230"/>
    <d v="2024-11-23T00:00:00"/>
    <n v="2024"/>
    <s v="Nov"/>
    <s v="Sat"/>
    <s v="CUST-134"/>
    <s v="PROD-017"/>
    <s v="Corporate"/>
    <s v="West"/>
    <x v="2"/>
    <x v="2"/>
    <n v="6"/>
    <n v="120"/>
    <n v="720"/>
    <n v="72"/>
    <s v="Large Order"/>
    <s v="Weekend"/>
  </r>
  <r>
    <s v="ORD-3231"/>
    <d v="2024-01-20T00:00:00"/>
    <n v="2024"/>
    <s v="Jan"/>
    <s v="Sat"/>
    <s v="CUST-176"/>
    <s v="PROD-006"/>
    <s v="Home Office"/>
    <s v="Central"/>
    <x v="2"/>
    <x v="4"/>
    <n v="3"/>
    <n v="120"/>
    <n v="360"/>
    <n v="36"/>
    <s v="Standard Order"/>
    <s v="Weekend"/>
  </r>
  <r>
    <s v="ORD-3232"/>
    <d v="2024-06-03T00:00:00"/>
    <n v="2024"/>
    <s v="Jun"/>
    <s v="Mon"/>
    <s v="CUST-144"/>
    <s v="PROD-014"/>
    <s v="Consumer"/>
    <s v="Central"/>
    <x v="5"/>
    <x v="2"/>
    <n v="7"/>
    <n v="120"/>
    <n v="840"/>
    <n v="84"/>
    <s v="Large Order"/>
    <s v="Weekday"/>
  </r>
  <r>
    <s v="ORD-3233"/>
    <d v="2024-09-28T00:00:00"/>
    <n v="2024"/>
    <s v="Sep"/>
    <s v="Sat"/>
    <s v="CUST-112"/>
    <s v="PROD-020"/>
    <s v="Corporate"/>
    <s v="North"/>
    <x v="5"/>
    <x v="4"/>
    <n v="8"/>
    <n v="120"/>
    <n v="960"/>
    <n v="96"/>
    <s v="Large Order"/>
    <s v="Weekend"/>
  </r>
  <r>
    <s v="ORD-3234"/>
    <d v="2024-11-16T00:00:00"/>
    <n v="2024"/>
    <s v="Nov"/>
    <s v="Sat"/>
    <s v="CUST-184"/>
    <s v="PROD-007"/>
    <s v="Corporate"/>
    <s v="South"/>
    <x v="0"/>
    <x v="2"/>
    <n v="4"/>
    <n v="120"/>
    <n v="480"/>
    <n v="48"/>
    <s v="Standard Order"/>
    <s v="Weekend"/>
  </r>
  <r>
    <s v="ORD-3235"/>
    <d v="2024-12-16T00:00:00"/>
    <n v="2024"/>
    <s v="Dec"/>
    <s v="Mon"/>
    <s v="CUST-160"/>
    <s v="PROD-016"/>
    <s v="Consumer"/>
    <s v="East"/>
    <x v="4"/>
    <x v="0"/>
    <n v="2"/>
    <n v="120"/>
    <n v="240"/>
    <n v="24"/>
    <s v="Standard Order"/>
    <s v="Weekday"/>
  </r>
  <r>
    <s v="ORD-3236"/>
    <d v="2024-05-25T00:00:00"/>
    <n v="2024"/>
    <s v="May"/>
    <s v="Sat"/>
    <s v="CUST-126"/>
    <s v="PROD-014"/>
    <s v="Corporate"/>
    <s v="North"/>
    <x v="3"/>
    <x v="4"/>
    <n v="15"/>
    <n v="120"/>
    <n v="1800"/>
    <n v="180"/>
    <s v="Large Order"/>
    <s v="Weekend"/>
  </r>
  <r>
    <s v="ORD-3237"/>
    <d v="2024-01-27T00:00:00"/>
    <n v="2024"/>
    <s v="Jan"/>
    <s v="Sat"/>
    <s v="CUST-168"/>
    <s v="PROD-006"/>
    <s v="Consumer"/>
    <s v="Central"/>
    <x v="0"/>
    <x v="1"/>
    <n v="17"/>
    <n v="120"/>
    <n v="2040"/>
    <n v="204"/>
    <s v="Large Order"/>
    <s v="Weekend"/>
  </r>
  <r>
    <s v="ORD-3238"/>
    <d v="2024-04-30T00:00:00"/>
    <n v="2024"/>
    <s v="Apr"/>
    <s v="Tue"/>
    <s v="CUST-192"/>
    <s v="PROD-015"/>
    <s v="Home Office"/>
    <s v="East"/>
    <x v="5"/>
    <x v="3"/>
    <n v="14"/>
    <n v="120"/>
    <n v="1680"/>
    <n v="168"/>
    <s v="Large Order"/>
    <s v="Weekday"/>
  </r>
  <r>
    <s v="ORD-3239"/>
    <d v="2024-12-12T00:00:00"/>
    <n v="2024"/>
    <s v="Dec"/>
    <s v="Thu"/>
    <s v="CUST-141"/>
    <s v="PROD-008"/>
    <s v="Consumer"/>
    <s v="North"/>
    <x v="3"/>
    <x v="2"/>
    <n v="4"/>
    <n v="120"/>
    <n v="480"/>
    <n v="48"/>
    <s v="Standard Order"/>
    <s v="Weekday"/>
  </r>
  <r>
    <s v="ORD-3240"/>
    <d v="2024-07-30T00:00:00"/>
    <n v="2024"/>
    <s v="Jul"/>
    <s v="Tue"/>
    <s v="CUST-125"/>
    <s v="PROD-013"/>
    <s v="Consumer"/>
    <s v="West"/>
    <x v="0"/>
    <x v="1"/>
    <n v="19"/>
    <n v="120"/>
    <n v="2280"/>
    <n v="228"/>
    <s v="Large Order"/>
    <s v="Weekday"/>
  </r>
  <r>
    <s v="ORD-3241"/>
    <d v="2024-08-11T00:00:00"/>
    <n v="2024"/>
    <s v="Aug"/>
    <s v="Sun"/>
    <s v="CUST-118"/>
    <s v="PROD-007"/>
    <s v="Home Office"/>
    <s v="East"/>
    <x v="2"/>
    <x v="2"/>
    <n v="13"/>
    <n v="120"/>
    <n v="1560"/>
    <n v="156"/>
    <s v="Large Order"/>
    <s v="Weekend"/>
  </r>
  <r>
    <s v="ORD-3242"/>
    <d v="2024-08-22T00:00:00"/>
    <n v="2024"/>
    <s v="Aug"/>
    <s v="Thu"/>
    <s v="CUST-192"/>
    <s v="PROD-007"/>
    <s v="Home Office"/>
    <s v="East"/>
    <x v="3"/>
    <x v="3"/>
    <n v="7"/>
    <n v="120"/>
    <n v="840"/>
    <n v="84"/>
    <s v="Large Order"/>
    <s v="Weekday"/>
  </r>
  <r>
    <s v="ORD-3243"/>
    <d v="2024-01-17T00:00:00"/>
    <n v="2024"/>
    <s v="Jan"/>
    <s v="Wed"/>
    <s v="CUST-188"/>
    <s v="PROD-019"/>
    <s v="Consumer"/>
    <s v="South"/>
    <x v="3"/>
    <x v="2"/>
    <n v="4"/>
    <n v="120"/>
    <n v="480"/>
    <n v="48"/>
    <s v="Standard Order"/>
    <s v="Weekday"/>
  </r>
  <r>
    <s v="ORD-3244"/>
    <d v="2024-08-22T00:00:00"/>
    <n v="2024"/>
    <s v="Aug"/>
    <s v="Thu"/>
    <s v="CUST-153"/>
    <s v="PROD-006"/>
    <s v="Corporate"/>
    <s v="Central"/>
    <x v="4"/>
    <x v="3"/>
    <n v="20"/>
    <n v="120"/>
    <n v="2400"/>
    <n v="240"/>
    <s v="Large Order"/>
    <s v="Weekday"/>
  </r>
  <r>
    <s v="ORD-3245"/>
    <d v="2024-11-22T00:00:00"/>
    <n v="2024"/>
    <s v="Nov"/>
    <s v="Fri"/>
    <s v="CUST-178"/>
    <s v="PROD-006"/>
    <s v="Home Office"/>
    <s v="West"/>
    <x v="5"/>
    <x v="2"/>
    <n v="3"/>
    <n v="120"/>
    <n v="360"/>
    <n v="36"/>
    <s v="Standard Order"/>
    <s v="Weekday"/>
  </r>
  <r>
    <s v="ORD-3246"/>
    <d v="2024-09-24T00:00:00"/>
    <n v="2024"/>
    <s v="Sep"/>
    <s v="Tue"/>
    <s v="CUST-162"/>
    <s v="PROD-007"/>
    <s v="Home Office"/>
    <s v="East"/>
    <x v="2"/>
    <x v="1"/>
    <n v="9"/>
    <n v="120"/>
    <n v="1080"/>
    <n v="108"/>
    <s v="Large Order"/>
    <s v="Weekday"/>
  </r>
  <r>
    <s v="ORD-3247"/>
    <d v="2024-08-07T00:00:00"/>
    <n v="2024"/>
    <s v="Aug"/>
    <s v="Wed"/>
    <s v="CUST-194"/>
    <s v="PROD-008"/>
    <s v="Consumer"/>
    <s v="West"/>
    <x v="3"/>
    <x v="1"/>
    <n v="19"/>
    <n v="120"/>
    <n v="2280"/>
    <n v="228"/>
    <s v="Large Order"/>
    <s v="Weekday"/>
  </r>
  <r>
    <s v="ORD-3248"/>
    <d v="2024-10-29T00:00:00"/>
    <n v="2024"/>
    <s v="Oct"/>
    <s v="Tue"/>
    <s v="CUST-119"/>
    <s v="PROD-019"/>
    <s v="Consumer"/>
    <s v="West"/>
    <x v="2"/>
    <x v="0"/>
    <n v="2"/>
    <n v="120"/>
    <n v="240"/>
    <n v="24"/>
    <s v="Standard Order"/>
    <s v="Weekday"/>
  </r>
  <r>
    <s v="ORD-3249"/>
    <d v="2024-09-15T00:00:00"/>
    <n v="2024"/>
    <s v="Sep"/>
    <s v="Sun"/>
    <s v="CUST-104"/>
    <s v="PROD-014"/>
    <s v="Home Office"/>
    <s v="West"/>
    <x v="2"/>
    <x v="1"/>
    <n v="4"/>
    <n v="120"/>
    <n v="480"/>
    <n v="48"/>
    <s v="Standard Order"/>
    <s v="Weekend"/>
  </r>
  <r>
    <s v="ORD-3250"/>
    <d v="2024-05-03T00:00:00"/>
    <n v="2024"/>
    <s v="May"/>
    <s v="Fri"/>
    <s v="CUST-110"/>
    <s v="PROD-018"/>
    <s v="Consumer"/>
    <s v="West"/>
    <x v="2"/>
    <x v="2"/>
    <n v="5"/>
    <n v="120"/>
    <n v="600"/>
    <n v="60"/>
    <s v="Large Order"/>
    <s v="Weekday"/>
  </r>
  <r>
    <s v="ORD-3251"/>
    <d v="2024-05-02T00:00:00"/>
    <n v="2024"/>
    <s v="May"/>
    <s v="Thu"/>
    <s v="CUST-182"/>
    <s v="PROD-003"/>
    <s v="Consumer"/>
    <s v="West"/>
    <x v="2"/>
    <x v="3"/>
    <n v="6"/>
    <n v="120"/>
    <n v="720"/>
    <n v="72"/>
    <s v="Large Order"/>
    <s v="Weekday"/>
  </r>
  <r>
    <s v="ORD-3252"/>
    <d v="2024-10-19T00:00:00"/>
    <n v="2024"/>
    <s v="Oct"/>
    <s v="Sat"/>
    <s v="CUST-195"/>
    <s v="PROD-019"/>
    <s v="Consumer"/>
    <s v="West"/>
    <x v="2"/>
    <x v="1"/>
    <n v="5"/>
    <n v="120"/>
    <n v="600"/>
    <n v="60"/>
    <s v="Large Order"/>
    <s v="Weekend"/>
  </r>
  <r>
    <s v="ORD-3253"/>
    <d v="2024-07-26T00:00:00"/>
    <n v="2024"/>
    <s v="Jul"/>
    <s v="Fri"/>
    <s v="CUST-123"/>
    <s v="PROD-012"/>
    <s v="Home Office"/>
    <s v="East"/>
    <x v="2"/>
    <x v="0"/>
    <n v="3"/>
    <n v="120"/>
    <n v="360"/>
    <n v="36"/>
    <s v="Standard Order"/>
    <s v="Weekday"/>
  </r>
  <r>
    <s v="ORD-3254"/>
    <d v="2024-12-19T00:00:00"/>
    <n v="2024"/>
    <s v="Dec"/>
    <s v="Thu"/>
    <s v="CUST-142"/>
    <s v="PROD-017"/>
    <s v="Consumer"/>
    <s v="North"/>
    <x v="3"/>
    <x v="1"/>
    <n v="9"/>
    <n v="120"/>
    <n v="1080"/>
    <n v="108"/>
    <s v="Large Order"/>
    <s v="Weekday"/>
  </r>
  <r>
    <s v="ORD-3255"/>
    <d v="2024-11-09T00:00:00"/>
    <n v="2024"/>
    <s v="Nov"/>
    <s v="Sat"/>
    <s v="CUST-169"/>
    <s v="PROD-019"/>
    <s v="Consumer"/>
    <s v="North"/>
    <x v="0"/>
    <x v="4"/>
    <n v="11"/>
    <n v="120"/>
    <n v="1320"/>
    <n v="132"/>
    <s v="Large Order"/>
    <s v="Weekend"/>
  </r>
  <r>
    <s v="ORD-3256"/>
    <d v="2024-01-29T00:00:00"/>
    <n v="2024"/>
    <s v="Jan"/>
    <s v="Mon"/>
    <s v="CUST-165"/>
    <s v="PROD-022"/>
    <s v="Corporate"/>
    <s v="South"/>
    <x v="0"/>
    <x v="0"/>
    <n v="13"/>
    <n v="120"/>
    <n v="1560"/>
    <n v="156"/>
    <s v="Large Order"/>
    <s v="Weekday"/>
  </r>
  <r>
    <s v="ORD-3257"/>
    <d v="2024-11-12T00:00:00"/>
    <n v="2024"/>
    <s v="Nov"/>
    <s v="Tue"/>
    <s v="CUST-105"/>
    <s v="PROD-012"/>
    <s v="Corporate"/>
    <s v="Central"/>
    <x v="4"/>
    <x v="4"/>
    <n v="3"/>
    <n v="120"/>
    <n v="360"/>
    <n v="36"/>
    <s v="Standard Order"/>
    <s v="Weekday"/>
  </r>
  <r>
    <s v="ORD-3258"/>
    <d v="2024-04-14T00:00:00"/>
    <n v="2024"/>
    <s v="Apr"/>
    <s v="Sun"/>
    <s v="CUST-117"/>
    <s v="PROD-011"/>
    <s v="Consumer"/>
    <s v="South"/>
    <x v="5"/>
    <x v="0"/>
    <n v="16"/>
    <n v="120"/>
    <n v="1920"/>
    <n v="192"/>
    <s v="Large Order"/>
    <s v="Weekend"/>
  </r>
  <r>
    <s v="ORD-3259"/>
    <d v="2024-10-24T00:00:00"/>
    <n v="2024"/>
    <s v="Oct"/>
    <s v="Thu"/>
    <s v="CUST-189"/>
    <s v="PROD-007"/>
    <s v="Home Office"/>
    <s v="North"/>
    <x v="4"/>
    <x v="3"/>
    <n v="12"/>
    <n v="120"/>
    <n v="1440"/>
    <n v="144"/>
    <s v="Large Order"/>
    <s v="Weekday"/>
  </r>
  <r>
    <s v="ORD-3260"/>
    <d v="2024-09-14T00:00:00"/>
    <n v="2024"/>
    <s v="Sep"/>
    <s v="Sat"/>
    <s v="CUST-187"/>
    <s v="PROD-014"/>
    <s v="Corporate"/>
    <s v="West"/>
    <x v="0"/>
    <x v="0"/>
    <n v="12"/>
    <n v="120"/>
    <n v="1440"/>
    <n v="144"/>
    <s v="Large Order"/>
    <s v="Weekend"/>
  </r>
  <r>
    <s v="ORD-3261"/>
    <d v="2024-09-05T00:00:00"/>
    <n v="2024"/>
    <s v="Sep"/>
    <s v="Thu"/>
    <s v="CUST-164"/>
    <s v="PROD-017"/>
    <s v="Consumer"/>
    <s v="North"/>
    <x v="2"/>
    <x v="4"/>
    <n v="18"/>
    <n v="120"/>
    <n v="2160"/>
    <n v="216"/>
    <s v="Large Order"/>
    <s v="Weekday"/>
  </r>
  <r>
    <s v="ORD-3262"/>
    <d v="2024-08-19T00:00:00"/>
    <n v="2024"/>
    <s v="Aug"/>
    <s v="Mon"/>
    <s v="CUST-179"/>
    <s v="PROD-012"/>
    <s v="Home Office"/>
    <s v="North"/>
    <x v="0"/>
    <x v="2"/>
    <n v="15"/>
    <n v="120"/>
    <n v="1800"/>
    <n v="180"/>
    <s v="Large Order"/>
    <s v="Weekday"/>
  </r>
  <r>
    <s v="ORD-3263"/>
    <d v="2024-07-19T00:00:00"/>
    <n v="2024"/>
    <s v="Jul"/>
    <s v="Fri"/>
    <s v="CUST-122"/>
    <s v="PROD-010"/>
    <s v="Consumer"/>
    <s v="Central"/>
    <x v="0"/>
    <x v="2"/>
    <n v="9"/>
    <n v="120"/>
    <n v="1080"/>
    <n v="108"/>
    <s v="Large Order"/>
    <s v="Weekday"/>
  </r>
  <r>
    <s v="ORD-3264"/>
    <d v="2024-03-16T00:00:00"/>
    <n v="2024"/>
    <s v="Mar"/>
    <s v="Sat"/>
    <s v="CUST-163"/>
    <s v="PROD-005"/>
    <s v="Consumer"/>
    <s v="East"/>
    <x v="5"/>
    <x v="0"/>
    <n v="10"/>
    <n v="120"/>
    <n v="1200"/>
    <n v="120"/>
    <s v="Large Order"/>
    <s v="Weekend"/>
  </r>
  <r>
    <s v="ORD-3265"/>
    <d v="2024-12-15T00:00:00"/>
    <n v="2024"/>
    <s v="Dec"/>
    <s v="Sun"/>
    <s v="CUST-169"/>
    <s v="PROD-005"/>
    <s v="Corporate"/>
    <s v="North"/>
    <x v="3"/>
    <x v="1"/>
    <n v="15"/>
    <n v="120"/>
    <n v="1800"/>
    <n v="180"/>
    <s v="Large Order"/>
    <s v="Weekend"/>
  </r>
  <r>
    <s v="ORD-3266"/>
    <d v="2024-01-11T00:00:00"/>
    <n v="2024"/>
    <s v="Jan"/>
    <s v="Thu"/>
    <s v="CUST-137"/>
    <s v="PROD-007"/>
    <s v="Consumer"/>
    <s v="East"/>
    <x v="0"/>
    <x v="2"/>
    <n v="17"/>
    <n v="120"/>
    <n v="2040"/>
    <n v="204"/>
    <s v="Large Order"/>
    <s v="Weekday"/>
  </r>
  <r>
    <s v="ORD-3267"/>
    <d v="2024-07-29T00:00:00"/>
    <n v="2024"/>
    <s v="Jul"/>
    <s v="Mon"/>
    <s v="CUST-174"/>
    <s v="PROD-011"/>
    <s v="Home Office"/>
    <s v="East"/>
    <x v="3"/>
    <x v="1"/>
    <n v="19"/>
    <n v="120"/>
    <n v="2280"/>
    <n v="228"/>
    <s v="Large Order"/>
    <s v="Weekday"/>
  </r>
  <r>
    <s v="ORD-3268"/>
    <d v="2024-09-28T00:00:00"/>
    <n v="2024"/>
    <s v="Sep"/>
    <s v="Sat"/>
    <s v="CUST-170"/>
    <s v="PROD-015"/>
    <s v="Corporate"/>
    <s v="West"/>
    <x v="3"/>
    <x v="4"/>
    <n v="5"/>
    <n v="120"/>
    <n v="600"/>
    <n v="60"/>
    <s v="Large Order"/>
    <s v="Weekend"/>
  </r>
  <r>
    <s v="ORD-3269"/>
    <d v="2024-06-05T00:00:00"/>
    <n v="2024"/>
    <s v="Jun"/>
    <s v="Wed"/>
    <s v="CUST-121"/>
    <s v="PROD-009"/>
    <s v="Consumer"/>
    <s v="West"/>
    <x v="2"/>
    <x v="3"/>
    <n v="10"/>
    <n v="120"/>
    <n v="1200"/>
    <n v="120"/>
    <s v="Large Order"/>
    <s v="Weekday"/>
  </r>
  <r>
    <s v="ORD-3270"/>
    <d v="2024-01-25T00:00:00"/>
    <n v="2024"/>
    <s v="Jan"/>
    <s v="Thu"/>
    <s v="CUST-118"/>
    <s v="PROD-012"/>
    <s v="Corporate"/>
    <s v="South"/>
    <x v="2"/>
    <x v="2"/>
    <n v="20"/>
    <n v="120"/>
    <n v="2400"/>
    <n v="240"/>
    <s v="Large Order"/>
    <s v="Weekday"/>
  </r>
  <r>
    <s v="ORD-3271"/>
    <d v="2024-12-30T00:00:00"/>
    <n v="2024"/>
    <s v="Dec"/>
    <s v="Mon"/>
    <s v="CUST-168"/>
    <s v="PROD-010"/>
    <s v="Consumer"/>
    <s v="West"/>
    <x v="4"/>
    <x v="2"/>
    <n v="6"/>
    <n v="120"/>
    <n v="720"/>
    <n v="72"/>
    <s v="Large Order"/>
    <s v="Weekday"/>
  </r>
  <r>
    <s v="ORD-3272"/>
    <d v="2024-01-22T00:00:00"/>
    <n v="2024"/>
    <s v="Jan"/>
    <s v="Mon"/>
    <s v="CUST-140"/>
    <s v="PROD-019"/>
    <s v="Consumer"/>
    <s v="East"/>
    <x v="2"/>
    <x v="3"/>
    <n v="12"/>
    <n v="120"/>
    <n v="1440"/>
    <n v="144"/>
    <s v="Large Order"/>
    <s v="Weekday"/>
  </r>
  <r>
    <s v="ORD-3273"/>
    <d v="2024-10-14T00:00:00"/>
    <n v="2024"/>
    <s v="Oct"/>
    <s v="Mon"/>
    <s v="CUST-190"/>
    <s v="PROD-002"/>
    <s v="Home Office"/>
    <s v="North"/>
    <x v="3"/>
    <x v="3"/>
    <n v="5"/>
    <n v="120"/>
    <n v="600"/>
    <n v="60"/>
    <s v="Large Order"/>
    <s v="Weekday"/>
  </r>
  <r>
    <s v="ORD-3274"/>
    <d v="2024-10-03T00:00:00"/>
    <n v="2024"/>
    <s v="Oct"/>
    <s v="Thu"/>
    <s v="CUST-120"/>
    <s v="PROD-018"/>
    <s v="Corporate"/>
    <s v="North"/>
    <x v="0"/>
    <x v="0"/>
    <n v="13"/>
    <n v="120"/>
    <n v="1560"/>
    <n v="156"/>
    <s v="Large Order"/>
    <s v="Weekday"/>
  </r>
  <r>
    <s v="ORD-3275"/>
    <d v="2024-03-15T00:00:00"/>
    <n v="2024"/>
    <s v="Mar"/>
    <s v="Fri"/>
    <s v="CUST-158"/>
    <s v="PROD-011"/>
    <s v="Consumer"/>
    <s v="Central"/>
    <x v="0"/>
    <x v="4"/>
    <n v="17"/>
    <n v="120"/>
    <n v="2040"/>
    <n v="204"/>
    <s v="Large Order"/>
    <s v="Weekday"/>
  </r>
  <r>
    <s v="ORD-3276"/>
    <d v="2024-12-27T00:00:00"/>
    <n v="2024"/>
    <s v="Dec"/>
    <s v="Fri"/>
    <s v="CUST-137"/>
    <s v="PROD-016"/>
    <s v="Corporate"/>
    <s v="West"/>
    <x v="5"/>
    <x v="2"/>
    <n v="19"/>
    <n v="120"/>
    <n v="2280"/>
    <n v="228"/>
    <s v="Large Order"/>
    <s v="Weekday"/>
  </r>
  <r>
    <s v="ORD-3277"/>
    <d v="2024-08-14T00:00:00"/>
    <n v="2024"/>
    <s v="Aug"/>
    <s v="Wed"/>
    <s v="CUST-143"/>
    <s v="PROD-023"/>
    <s v="Consumer"/>
    <s v="Central"/>
    <x v="2"/>
    <x v="0"/>
    <n v="5"/>
    <n v="120"/>
    <n v="600"/>
    <n v="60"/>
    <s v="Large Order"/>
    <s v="Weekday"/>
  </r>
  <r>
    <s v="ORD-3278"/>
    <d v="2024-02-29T00:00:00"/>
    <n v="2024"/>
    <s v="Feb"/>
    <s v="Thu"/>
    <s v="CUST-139"/>
    <s v="PROD-001"/>
    <s v="Corporate"/>
    <s v="South"/>
    <x v="5"/>
    <x v="2"/>
    <n v="15"/>
    <n v="120"/>
    <n v="1800"/>
    <n v="180"/>
    <s v="Large Order"/>
    <s v="Weekday"/>
  </r>
  <r>
    <s v="ORD-3279"/>
    <d v="2024-06-16T00:00:00"/>
    <n v="2024"/>
    <s v="Jun"/>
    <s v="Sun"/>
    <s v="CUST-107"/>
    <s v="PROD-020"/>
    <s v="Home Office"/>
    <s v="Central"/>
    <x v="4"/>
    <x v="4"/>
    <n v="17"/>
    <n v="120"/>
    <n v="2040"/>
    <n v="204"/>
    <s v="Large Order"/>
    <s v="Weekend"/>
  </r>
  <r>
    <s v="ORD-3280"/>
    <d v="2024-05-22T00:00:00"/>
    <n v="2024"/>
    <s v="May"/>
    <s v="Wed"/>
    <s v="CUST-125"/>
    <s v="PROD-001"/>
    <s v="Consumer"/>
    <s v="Central"/>
    <x v="5"/>
    <x v="1"/>
    <n v="3"/>
    <n v="120"/>
    <n v="360"/>
    <n v="36"/>
    <s v="Standard Order"/>
    <s v="Weekday"/>
  </r>
  <r>
    <s v="ORD-3281"/>
    <d v="2024-07-20T00:00:00"/>
    <n v="2024"/>
    <s v="Jul"/>
    <s v="Sat"/>
    <s v="CUST-124"/>
    <s v="PROD-016"/>
    <s v="Corporate"/>
    <s v="West"/>
    <x v="5"/>
    <x v="4"/>
    <n v="17"/>
    <n v="120"/>
    <n v="2040"/>
    <n v="204"/>
    <s v="Large Order"/>
    <s v="Weekend"/>
  </r>
  <r>
    <s v="ORD-3282"/>
    <d v="2024-12-07T00:00:00"/>
    <n v="2024"/>
    <s v="Dec"/>
    <s v="Sat"/>
    <s v="CUST-146"/>
    <s v="PROD-013"/>
    <s v="Consumer"/>
    <s v="West"/>
    <x v="2"/>
    <x v="3"/>
    <n v="13"/>
    <n v="120"/>
    <n v="1560"/>
    <n v="156"/>
    <s v="Large Order"/>
    <s v="Weekend"/>
  </r>
  <r>
    <s v="ORD-3283"/>
    <d v="2024-05-25T00:00:00"/>
    <n v="2024"/>
    <s v="May"/>
    <s v="Sat"/>
    <s v="CUST-144"/>
    <s v="PROD-012"/>
    <s v="Corporate"/>
    <s v="East"/>
    <x v="2"/>
    <x v="4"/>
    <n v="3"/>
    <n v="120"/>
    <n v="360"/>
    <n v="36"/>
    <s v="Standard Order"/>
    <s v="Weekend"/>
  </r>
  <r>
    <s v="ORD-3284"/>
    <d v="2024-08-15T00:00:00"/>
    <n v="2024"/>
    <s v="Aug"/>
    <s v="Thu"/>
    <s v="CUST-194"/>
    <s v="PROD-014"/>
    <s v="Corporate"/>
    <s v="North"/>
    <x v="3"/>
    <x v="2"/>
    <n v="14"/>
    <n v="120"/>
    <n v="1680"/>
    <n v="168"/>
    <s v="Large Order"/>
    <s v="Weekday"/>
  </r>
  <r>
    <s v="ORD-3285"/>
    <d v="2024-07-31T00:00:00"/>
    <n v="2024"/>
    <s v="Jul"/>
    <s v="Wed"/>
    <s v="CUST-117"/>
    <s v="PROD-019"/>
    <s v="Home Office"/>
    <s v="West"/>
    <x v="0"/>
    <x v="2"/>
    <n v="7"/>
    <n v="120"/>
    <n v="840"/>
    <n v="84"/>
    <s v="Large Order"/>
    <s v="Weekday"/>
  </r>
  <r>
    <s v="ORD-3286"/>
    <d v="2024-09-25T00:00:00"/>
    <n v="2024"/>
    <s v="Sep"/>
    <s v="Wed"/>
    <s v="CUST-142"/>
    <s v="PROD-003"/>
    <s v="Home Office"/>
    <s v="West"/>
    <x v="2"/>
    <x v="0"/>
    <n v="1"/>
    <n v="120"/>
    <n v="120"/>
    <n v="12"/>
    <s v="Standard Order"/>
    <s v="Weekday"/>
  </r>
  <r>
    <s v="ORD-3287"/>
    <d v="2024-05-19T00:00:00"/>
    <n v="2024"/>
    <s v="May"/>
    <s v="Sun"/>
    <s v="CUST-153"/>
    <s v="PROD-006"/>
    <s v="Home Office"/>
    <s v="North"/>
    <x v="2"/>
    <x v="4"/>
    <n v="5"/>
    <n v="120"/>
    <n v="600"/>
    <n v="60"/>
    <s v="Large Order"/>
    <s v="Weekend"/>
  </r>
  <r>
    <s v="ORD-3288"/>
    <d v="2024-07-14T00:00:00"/>
    <n v="2024"/>
    <s v="Jul"/>
    <s v="Sun"/>
    <s v="CUST-137"/>
    <s v="PROD-018"/>
    <s v="Corporate"/>
    <s v="North"/>
    <x v="0"/>
    <x v="3"/>
    <n v="19"/>
    <n v="120"/>
    <n v="2280"/>
    <n v="228"/>
    <s v="Large Order"/>
    <s v="Weekend"/>
  </r>
  <r>
    <s v="ORD-3289"/>
    <d v="2024-10-13T00:00:00"/>
    <n v="2024"/>
    <s v="Oct"/>
    <s v="Sun"/>
    <s v="CUST-194"/>
    <s v="PROD-015"/>
    <s v="Consumer"/>
    <s v="East"/>
    <x v="0"/>
    <x v="0"/>
    <n v="5"/>
    <n v="120"/>
    <n v="600"/>
    <n v="60"/>
    <s v="Large Order"/>
    <s v="Weekend"/>
  </r>
  <r>
    <s v="ORD-3290"/>
    <d v="2024-11-23T00:00:00"/>
    <n v="2024"/>
    <s v="Nov"/>
    <s v="Sat"/>
    <s v="CUST-181"/>
    <s v="PROD-016"/>
    <s v="Consumer"/>
    <s v="North"/>
    <x v="3"/>
    <x v="1"/>
    <n v="6"/>
    <n v="120"/>
    <n v="720"/>
    <n v="72"/>
    <s v="Large Order"/>
    <s v="Weekend"/>
  </r>
  <r>
    <s v="ORD-3291"/>
    <d v="2024-12-18T00:00:00"/>
    <n v="2024"/>
    <s v="Dec"/>
    <s v="Wed"/>
    <s v="CUST-182"/>
    <s v="PROD-008"/>
    <s v="Consumer"/>
    <s v="Central"/>
    <x v="0"/>
    <x v="3"/>
    <n v="16"/>
    <n v="120"/>
    <n v="1920"/>
    <n v="192"/>
    <s v="Large Order"/>
    <s v="Weekday"/>
  </r>
  <r>
    <s v="ORD-3292"/>
    <d v="2024-02-04T00:00:00"/>
    <n v="2024"/>
    <s v="Feb"/>
    <s v="Sun"/>
    <s v="CUST-176"/>
    <s v="PROD-024"/>
    <s v="Corporate"/>
    <s v="North"/>
    <x v="5"/>
    <x v="1"/>
    <n v="19"/>
    <n v="120"/>
    <n v="2280"/>
    <n v="228"/>
    <s v="Large Order"/>
    <s v="Weekend"/>
  </r>
  <r>
    <s v="ORD-3293"/>
    <d v="2024-05-12T00:00:00"/>
    <n v="2024"/>
    <s v="May"/>
    <s v="Sun"/>
    <s v="CUST-180"/>
    <s v="PROD-022"/>
    <s v="Corporate"/>
    <s v="North"/>
    <x v="0"/>
    <x v="3"/>
    <n v="17"/>
    <n v="120"/>
    <n v="2040"/>
    <n v="204"/>
    <s v="Large Order"/>
    <s v="Weekend"/>
  </r>
  <r>
    <s v="ORD-3294"/>
    <d v="2024-01-09T00:00:00"/>
    <n v="2024"/>
    <s v="Jan"/>
    <s v="Tue"/>
    <s v="CUST-133"/>
    <s v="PROD-006"/>
    <s v="Home Office"/>
    <s v="North"/>
    <x v="0"/>
    <x v="2"/>
    <n v="11"/>
    <n v="120"/>
    <n v="1320"/>
    <n v="132"/>
    <s v="Large Order"/>
    <s v="Weekday"/>
  </r>
  <r>
    <s v="ORD-3295"/>
    <d v="2024-12-20T00:00:00"/>
    <n v="2024"/>
    <s v="Dec"/>
    <s v="Fri"/>
    <s v="CUST-117"/>
    <s v="PROD-012"/>
    <s v="Consumer"/>
    <s v="Central"/>
    <x v="0"/>
    <x v="3"/>
    <n v="12"/>
    <n v="120"/>
    <n v="1440"/>
    <n v="144"/>
    <s v="Large Order"/>
    <s v="Weekday"/>
  </r>
  <r>
    <s v="ORD-3296"/>
    <d v="2024-07-01T00:00:00"/>
    <n v="2024"/>
    <s v="Jul"/>
    <s v="Mon"/>
    <s v="CUST-106"/>
    <s v="PROD-010"/>
    <s v="Corporate"/>
    <s v="Central"/>
    <x v="5"/>
    <x v="0"/>
    <n v="17"/>
    <n v="120"/>
    <n v="2040"/>
    <n v="204"/>
    <s v="Large Order"/>
    <s v="Weekday"/>
  </r>
  <r>
    <s v="ORD-3297"/>
    <d v="2024-11-17T00:00:00"/>
    <n v="2024"/>
    <s v="Nov"/>
    <s v="Sun"/>
    <s v="CUST-123"/>
    <s v="PROD-025"/>
    <s v="Consumer"/>
    <s v="East"/>
    <x v="5"/>
    <x v="2"/>
    <n v="18"/>
    <n v="120"/>
    <n v="2160"/>
    <n v="216"/>
    <s v="Large Order"/>
    <s v="Weekend"/>
  </r>
  <r>
    <s v="ORD-3298"/>
    <d v="2024-06-10T00:00:00"/>
    <n v="2024"/>
    <s v="Jun"/>
    <s v="Mon"/>
    <s v="CUST-187"/>
    <s v="PROD-010"/>
    <s v="Corporate"/>
    <s v="East"/>
    <x v="3"/>
    <x v="0"/>
    <n v="18"/>
    <n v="120"/>
    <n v="2160"/>
    <n v="216"/>
    <s v="Large Order"/>
    <s v="Weekday"/>
  </r>
  <r>
    <s v="ORD-3299"/>
    <d v="2024-03-14T00:00:00"/>
    <n v="2024"/>
    <s v="Mar"/>
    <s v="Thu"/>
    <s v="CUST-101"/>
    <s v="PROD-005"/>
    <s v="Home Office"/>
    <s v="Central"/>
    <x v="3"/>
    <x v="3"/>
    <n v="16"/>
    <n v="120"/>
    <n v="1920"/>
    <n v="192"/>
    <s v="Large Order"/>
    <s v="Weekday"/>
  </r>
  <r>
    <s v="ORD-3300"/>
    <d v="2024-03-24T00:00:00"/>
    <n v="2024"/>
    <s v="Mar"/>
    <s v="Sun"/>
    <s v="CUST-113"/>
    <s v="PROD-007"/>
    <s v="Consumer"/>
    <s v="Central"/>
    <x v="5"/>
    <x v="2"/>
    <n v="7"/>
    <n v="120"/>
    <n v="840"/>
    <n v="84"/>
    <s v="Large Order"/>
    <s v="Weekend"/>
  </r>
  <r>
    <s v="ORD-3301"/>
    <d v="2024-10-13T00:00:00"/>
    <n v="2024"/>
    <s v="Oct"/>
    <s v="Sun"/>
    <s v="CUST-178"/>
    <s v="PROD-023"/>
    <s v="Home Office"/>
    <s v="West"/>
    <x v="5"/>
    <x v="4"/>
    <n v="4"/>
    <n v="120"/>
    <n v="480"/>
    <n v="48"/>
    <s v="Standard Order"/>
    <s v="Weekend"/>
  </r>
  <r>
    <s v="ORD-3302"/>
    <d v="2024-02-09T00:00:00"/>
    <n v="2024"/>
    <s v="Feb"/>
    <s v="Fri"/>
    <s v="CUST-114"/>
    <s v="PROD-005"/>
    <s v="Consumer"/>
    <s v="East"/>
    <x v="2"/>
    <x v="3"/>
    <n v="10"/>
    <n v="120"/>
    <n v="1200"/>
    <n v="120"/>
    <s v="Large Order"/>
    <s v="Weekday"/>
  </r>
  <r>
    <s v="ORD-3303"/>
    <d v="2024-03-12T00:00:00"/>
    <n v="2024"/>
    <s v="Mar"/>
    <s v="Tue"/>
    <s v="CUST-156"/>
    <s v="PROD-020"/>
    <s v="Home Office"/>
    <s v="South"/>
    <x v="3"/>
    <x v="2"/>
    <n v="10"/>
    <n v="120"/>
    <n v="1200"/>
    <n v="120"/>
    <s v="Large Order"/>
    <s v="Weekday"/>
  </r>
  <r>
    <s v="ORD-3304"/>
    <d v="2024-03-01T00:00:00"/>
    <n v="2024"/>
    <s v="Mar"/>
    <s v="Fri"/>
    <s v="CUST-128"/>
    <s v="PROD-005"/>
    <s v="Home Office"/>
    <s v="North"/>
    <x v="4"/>
    <x v="2"/>
    <n v="10"/>
    <n v="120"/>
    <n v="1200"/>
    <n v="120"/>
    <s v="Large Order"/>
    <s v="Weekday"/>
  </r>
  <r>
    <s v="ORD-3305"/>
    <d v="2024-03-07T00:00:00"/>
    <n v="2024"/>
    <s v="Mar"/>
    <s v="Thu"/>
    <s v="CUST-110"/>
    <s v="PROD-014"/>
    <s v="Home Office"/>
    <s v="North"/>
    <x v="0"/>
    <x v="0"/>
    <n v="1"/>
    <n v="120"/>
    <n v="120"/>
    <n v="12"/>
    <s v="Standard Order"/>
    <s v="Weekday"/>
  </r>
  <r>
    <s v="ORD-3306"/>
    <d v="2024-08-08T00:00:00"/>
    <n v="2024"/>
    <s v="Aug"/>
    <s v="Thu"/>
    <s v="CUST-105"/>
    <s v="PROD-007"/>
    <s v="Consumer"/>
    <s v="East"/>
    <x v="0"/>
    <x v="4"/>
    <n v="19"/>
    <n v="120"/>
    <n v="2280"/>
    <n v="228"/>
    <s v="Large Order"/>
    <s v="Weekday"/>
  </r>
  <r>
    <s v="ORD-3307"/>
    <d v="2024-03-01T00:00:00"/>
    <n v="2024"/>
    <s v="Mar"/>
    <s v="Fri"/>
    <s v="CUST-132"/>
    <s v="PROD-002"/>
    <s v="Consumer"/>
    <s v="South"/>
    <x v="3"/>
    <x v="0"/>
    <n v="4"/>
    <n v="120"/>
    <n v="480"/>
    <n v="48"/>
    <s v="Standard Order"/>
    <s v="Weekday"/>
  </r>
  <r>
    <s v="ORD-3308"/>
    <d v="2024-11-04T00:00:00"/>
    <n v="2024"/>
    <s v="Nov"/>
    <s v="Mon"/>
    <s v="CUST-126"/>
    <s v="PROD-019"/>
    <s v="Consumer"/>
    <s v="South"/>
    <x v="4"/>
    <x v="3"/>
    <n v="1"/>
    <n v="120"/>
    <n v="120"/>
    <n v="12"/>
    <s v="Standard Order"/>
    <s v="Weekday"/>
  </r>
  <r>
    <s v="ORD-3309"/>
    <d v="2024-05-22T00:00:00"/>
    <n v="2024"/>
    <s v="May"/>
    <s v="Wed"/>
    <s v="CUST-174"/>
    <s v="PROD-012"/>
    <s v="Corporate"/>
    <s v="North"/>
    <x v="4"/>
    <x v="4"/>
    <n v="20"/>
    <n v="120"/>
    <n v="2400"/>
    <n v="240"/>
    <s v="Large Order"/>
    <s v="Weekday"/>
  </r>
  <r>
    <s v="ORD-3310"/>
    <d v="2024-10-18T00:00:00"/>
    <n v="2024"/>
    <s v="Oct"/>
    <s v="Fri"/>
    <s v="CUST-108"/>
    <s v="PROD-004"/>
    <s v="Home Office"/>
    <s v="North"/>
    <x v="0"/>
    <x v="4"/>
    <n v="7"/>
    <n v="120"/>
    <n v="840"/>
    <n v="84"/>
    <s v="Large Order"/>
    <s v="Weekday"/>
  </r>
  <r>
    <s v="ORD-3311"/>
    <d v="2024-05-24T00:00:00"/>
    <n v="2024"/>
    <s v="May"/>
    <s v="Fri"/>
    <s v="CUST-121"/>
    <s v="PROD-025"/>
    <s v="Home Office"/>
    <s v="Central"/>
    <x v="0"/>
    <x v="0"/>
    <n v="7"/>
    <n v="120"/>
    <n v="840"/>
    <n v="84"/>
    <s v="Large Order"/>
    <s v="Weekday"/>
  </r>
  <r>
    <s v="ORD-3312"/>
    <d v="2024-12-28T00:00:00"/>
    <n v="2024"/>
    <s v="Dec"/>
    <s v="Sat"/>
    <s v="CUST-160"/>
    <s v="PROD-012"/>
    <s v="Home Office"/>
    <s v="West"/>
    <x v="5"/>
    <x v="2"/>
    <n v="15"/>
    <n v="120"/>
    <n v="1800"/>
    <n v="180"/>
    <s v="Large Order"/>
    <s v="Weekend"/>
  </r>
  <r>
    <s v="ORD-3313"/>
    <d v="2024-02-24T00:00:00"/>
    <n v="2024"/>
    <s v="Feb"/>
    <s v="Sat"/>
    <s v="CUST-123"/>
    <s v="PROD-012"/>
    <s v="Corporate"/>
    <s v="West"/>
    <x v="2"/>
    <x v="2"/>
    <n v="17"/>
    <n v="120"/>
    <n v="2040"/>
    <n v="204"/>
    <s v="Large Order"/>
    <s v="Weekend"/>
  </r>
  <r>
    <s v="ORD-3314"/>
    <d v="2024-02-27T00:00:00"/>
    <n v="2024"/>
    <s v="Feb"/>
    <s v="Tue"/>
    <s v="CUST-197"/>
    <s v="PROD-011"/>
    <s v="Consumer"/>
    <s v="North"/>
    <x v="2"/>
    <x v="0"/>
    <n v="17"/>
    <n v="120"/>
    <n v="2040"/>
    <n v="204"/>
    <s v="Large Order"/>
    <s v="Weekday"/>
  </r>
  <r>
    <s v="ORD-3315"/>
    <d v="2024-07-03T00:00:00"/>
    <n v="2024"/>
    <s v="Jul"/>
    <s v="Wed"/>
    <s v="CUST-190"/>
    <s v="PROD-010"/>
    <s v="Home Office"/>
    <s v="East"/>
    <x v="0"/>
    <x v="0"/>
    <n v="11"/>
    <n v="120"/>
    <n v="1320"/>
    <n v="132"/>
    <s v="Large Order"/>
    <s v="Weekday"/>
  </r>
  <r>
    <s v="ORD-3316"/>
    <d v="2024-07-16T00:00:00"/>
    <n v="2024"/>
    <s v="Jul"/>
    <s v="Tue"/>
    <s v="CUST-136"/>
    <s v="PROD-015"/>
    <s v="Home Office"/>
    <s v="West"/>
    <x v="3"/>
    <x v="1"/>
    <n v="8"/>
    <n v="120"/>
    <n v="960"/>
    <n v="96"/>
    <s v="Large Order"/>
    <s v="Weekday"/>
  </r>
  <r>
    <s v="ORD-3317"/>
    <d v="2024-05-28T00:00:00"/>
    <n v="2024"/>
    <s v="May"/>
    <s v="Tue"/>
    <s v="CUST-154"/>
    <s v="PROD-007"/>
    <s v="Consumer"/>
    <s v="West"/>
    <x v="2"/>
    <x v="3"/>
    <n v="6"/>
    <n v="120"/>
    <n v="720"/>
    <n v="72"/>
    <s v="Large Order"/>
    <s v="Weekday"/>
  </r>
  <r>
    <s v="ORD-3318"/>
    <d v="2024-12-11T00:00:00"/>
    <n v="2024"/>
    <s v="Dec"/>
    <s v="Wed"/>
    <s v="CUST-162"/>
    <s v="PROD-022"/>
    <s v="Consumer"/>
    <s v="West"/>
    <x v="2"/>
    <x v="1"/>
    <n v="17"/>
    <n v="120"/>
    <n v="2040"/>
    <n v="204"/>
    <s v="Large Order"/>
    <s v="Weekday"/>
  </r>
  <r>
    <s v="ORD-3319"/>
    <d v="2024-02-13T00:00:00"/>
    <n v="2024"/>
    <s v="Feb"/>
    <s v="Tue"/>
    <s v="CUST-115"/>
    <s v="PROD-005"/>
    <s v="Corporate"/>
    <s v="East"/>
    <x v="2"/>
    <x v="4"/>
    <n v="4"/>
    <n v="120"/>
    <n v="480"/>
    <n v="48"/>
    <s v="Standard Order"/>
    <s v="Weekday"/>
  </r>
  <r>
    <s v="ORD-3320"/>
    <d v="2024-03-27T00:00:00"/>
    <n v="2024"/>
    <s v="Mar"/>
    <s v="Wed"/>
    <s v="CUST-108"/>
    <s v="PROD-012"/>
    <s v="Consumer"/>
    <s v="West"/>
    <x v="3"/>
    <x v="2"/>
    <n v="20"/>
    <n v="120"/>
    <n v="2400"/>
    <n v="240"/>
    <s v="Large Order"/>
    <s v="Weekday"/>
  </r>
  <r>
    <s v="ORD-3321"/>
    <d v="2024-07-25T00:00:00"/>
    <n v="2024"/>
    <s v="Jul"/>
    <s v="Thu"/>
    <s v="CUST-115"/>
    <s v="PROD-008"/>
    <s v="Corporate"/>
    <s v="Central"/>
    <x v="2"/>
    <x v="3"/>
    <n v="19"/>
    <n v="120"/>
    <n v="2280"/>
    <n v="228"/>
    <s v="Large Order"/>
    <s v="Weekday"/>
  </r>
  <r>
    <s v="ORD-3322"/>
    <d v="2024-11-25T00:00:00"/>
    <n v="2024"/>
    <s v="Nov"/>
    <s v="Mon"/>
    <s v="CUST-151"/>
    <s v="PROD-012"/>
    <s v="Corporate"/>
    <s v="North"/>
    <x v="5"/>
    <x v="1"/>
    <n v="16"/>
    <n v="120"/>
    <n v="1920"/>
    <n v="192"/>
    <s v="Large Order"/>
    <s v="Weekday"/>
  </r>
  <r>
    <s v="ORD-3323"/>
    <d v="2024-03-16T00:00:00"/>
    <n v="2024"/>
    <s v="Mar"/>
    <s v="Sat"/>
    <s v="CUST-198"/>
    <s v="PROD-015"/>
    <s v="Consumer"/>
    <s v="North"/>
    <x v="0"/>
    <x v="3"/>
    <n v="16"/>
    <n v="120"/>
    <n v="1920"/>
    <n v="192"/>
    <s v="Large Order"/>
    <s v="Weekend"/>
  </r>
  <r>
    <s v="ORD-3324"/>
    <d v="2024-11-17T00:00:00"/>
    <n v="2024"/>
    <s v="Nov"/>
    <s v="Sun"/>
    <s v="CUST-117"/>
    <s v="PROD-001"/>
    <s v="Consumer"/>
    <s v="East"/>
    <x v="0"/>
    <x v="0"/>
    <n v="16"/>
    <n v="120"/>
    <n v="1920"/>
    <n v="192"/>
    <s v="Large Order"/>
    <s v="Weekend"/>
  </r>
  <r>
    <s v="ORD-3325"/>
    <d v="2024-04-01T00:00:00"/>
    <n v="2024"/>
    <s v="Apr"/>
    <s v="Mon"/>
    <s v="CUST-148"/>
    <s v="PROD-020"/>
    <s v="Home Office"/>
    <s v="Central"/>
    <x v="3"/>
    <x v="2"/>
    <n v="10"/>
    <n v="120"/>
    <n v="1200"/>
    <n v="120"/>
    <s v="Large Order"/>
    <s v="Weekday"/>
  </r>
  <r>
    <s v="ORD-3326"/>
    <d v="2024-02-19T00:00:00"/>
    <n v="2024"/>
    <s v="Feb"/>
    <s v="Mon"/>
    <s v="CUST-197"/>
    <s v="PROD-003"/>
    <s v="Home Office"/>
    <s v="East"/>
    <x v="5"/>
    <x v="1"/>
    <n v="15"/>
    <n v="120"/>
    <n v="1800"/>
    <n v="180"/>
    <s v="Large Order"/>
    <s v="Weekday"/>
  </r>
  <r>
    <s v="ORD-3327"/>
    <d v="2024-12-04T00:00:00"/>
    <n v="2024"/>
    <s v="Dec"/>
    <s v="Wed"/>
    <s v="CUST-163"/>
    <s v="PROD-016"/>
    <s v="Home Office"/>
    <s v="West"/>
    <x v="3"/>
    <x v="4"/>
    <n v="11"/>
    <n v="120"/>
    <n v="1320"/>
    <n v="132"/>
    <s v="Large Order"/>
    <s v="Weekday"/>
  </r>
  <r>
    <s v="ORD-3328"/>
    <d v="2024-10-03T00:00:00"/>
    <n v="2024"/>
    <s v="Oct"/>
    <s v="Thu"/>
    <s v="CUST-169"/>
    <s v="PROD-001"/>
    <s v="Consumer"/>
    <s v="North"/>
    <x v="2"/>
    <x v="0"/>
    <n v="13"/>
    <n v="120"/>
    <n v="1560"/>
    <n v="156"/>
    <s v="Large Order"/>
    <s v="Weekday"/>
  </r>
  <r>
    <s v="ORD-3329"/>
    <d v="2024-07-11T00:00:00"/>
    <n v="2024"/>
    <s v="Jul"/>
    <s v="Thu"/>
    <s v="CUST-156"/>
    <s v="PROD-015"/>
    <s v="Consumer"/>
    <s v="West"/>
    <x v="0"/>
    <x v="2"/>
    <n v="18"/>
    <n v="120"/>
    <n v="2160"/>
    <n v="216"/>
    <s v="Large Order"/>
    <s v="Weekday"/>
  </r>
  <r>
    <s v="ORD-3330"/>
    <d v="2024-06-04T00:00:00"/>
    <n v="2024"/>
    <s v="Jun"/>
    <s v="Tue"/>
    <s v="CUST-190"/>
    <s v="PROD-006"/>
    <s v="Corporate"/>
    <s v="West"/>
    <x v="2"/>
    <x v="2"/>
    <n v="10"/>
    <n v="120"/>
    <n v="1200"/>
    <n v="120"/>
    <s v="Large Order"/>
    <s v="Weekday"/>
  </r>
  <r>
    <s v="ORD-3331"/>
    <d v="2024-09-06T00:00:00"/>
    <n v="2024"/>
    <s v="Sep"/>
    <s v="Fri"/>
    <s v="CUST-197"/>
    <s v="PROD-004"/>
    <s v="Home Office"/>
    <s v="North"/>
    <x v="2"/>
    <x v="4"/>
    <n v="18"/>
    <n v="120"/>
    <n v="2160"/>
    <n v="216"/>
    <s v="Large Order"/>
    <s v="Weekday"/>
  </r>
  <r>
    <s v="ORD-3332"/>
    <d v="2024-08-31T00:00:00"/>
    <n v="2024"/>
    <s v="Aug"/>
    <s v="Sat"/>
    <s v="CUST-171"/>
    <s v="PROD-006"/>
    <s v="Home Office"/>
    <s v="East"/>
    <x v="0"/>
    <x v="1"/>
    <n v="9"/>
    <n v="120"/>
    <n v="1080"/>
    <n v="108"/>
    <s v="Large Order"/>
    <s v="Weekend"/>
  </r>
  <r>
    <s v="ORD-3333"/>
    <d v="2024-07-12T00:00:00"/>
    <n v="2024"/>
    <s v="Jul"/>
    <s v="Fri"/>
    <s v="CUST-178"/>
    <s v="PROD-022"/>
    <s v="Corporate"/>
    <s v="Central"/>
    <x v="3"/>
    <x v="3"/>
    <n v="2"/>
    <n v="120"/>
    <n v="240"/>
    <n v="24"/>
    <s v="Standard Order"/>
    <s v="Weekday"/>
  </r>
  <r>
    <s v="ORD-3334"/>
    <d v="2024-01-24T00:00:00"/>
    <n v="2024"/>
    <s v="Jan"/>
    <s v="Wed"/>
    <s v="CUST-116"/>
    <s v="PROD-012"/>
    <s v="Corporate"/>
    <s v="East"/>
    <x v="5"/>
    <x v="0"/>
    <n v="11"/>
    <n v="120"/>
    <n v="1320"/>
    <n v="132"/>
    <s v="Large Order"/>
    <s v="Weekday"/>
  </r>
  <r>
    <s v="ORD-3335"/>
    <d v="2024-08-07T00:00:00"/>
    <n v="2024"/>
    <s v="Aug"/>
    <s v="Wed"/>
    <s v="CUST-144"/>
    <s v="PROD-012"/>
    <s v="Corporate"/>
    <s v="North"/>
    <x v="3"/>
    <x v="0"/>
    <n v="8"/>
    <n v="120"/>
    <n v="960"/>
    <n v="96"/>
    <s v="Large Order"/>
    <s v="Weekday"/>
  </r>
  <r>
    <s v="ORD-3336"/>
    <d v="2024-11-27T00:00:00"/>
    <n v="2024"/>
    <s v="Nov"/>
    <s v="Wed"/>
    <s v="CUST-139"/>
    <s v="PROD-019"/>
    <s v="Consumer"/>
    <s v="West"/>
    <x v="0"/>
    <x v="3"/>
    <n v="4"/>
    <n v="120"/>
    <n v="480"/>
    <n v="48"/>
    <s v="Standard Order"/>
    <s v="Weekday"/>
  </r>
  <r>
    <s v="ORD-3337"/>
    <d v="2024-01-11T00:00:00"/>
    <n v="2024"/>
    <s v="Jan"/>
    <s v="Thu"/>
    <s v="CUST-168"/>
    <s v="PROD-011"/>
    <s v="Consumer"/>
    <s v="West"/>
    <x v="2"/>
    <x v="1"/>
    <n v="19"/>
    <n v="120"/>
    <n v="2280"/>
    <n v="228"/>
    <s v="Large Order"/>
    <s v="Weekday"/>
  </r>
  <r>
    <s v="ORD-3338"/>
    <d v="2024-08-03T00:00:00"/>
    <n v="2024"/>
    <s v="Aug"/>
    <s v="Sat"/>
    <s v="CUST-134"/>
    <s v="PROD-001"/>
    <s v="Home Office"/>
    <s v="Central"/>
    <x v="2"/>
    <x v="4"/>
    <n v="1"/>
    <n v="120"/>
    <n v="120"/>
    <n v="12"/>
    <s v="Standard Order"/>
    <s v="Weekend"/>
  </r>
  <r>
    <s v="ORD-3339"/>
    <d v="2024-07-12T00:00:00"/>
    <n v="2024"/>
    <s v="Jul"/>
    <s v="Fri"/>
    <s v="CUST-173"/>
    <s v="PROD-013"/>
    <s v="Corporate"/>
    <s v="Central"/>
    <x v="5"/>
    <x v="0"/>
    <n v="16"/>
    <n v="120"/>
    <n v="1920"/>
    <n v="192"/>
    <s v="Large Order"/>
    <s v="Weekday"/>
  </r>
  <r>
    <s v="ORD-3340"/>
    <d v="2024-12-11T00:00:00"/>
    <n v="2024"/>
    <s v="Dec"/>
    <s v="Wed"/>
    <s v="CUST-126"/>
    <s v="PROD-011"/>
    <s v="Corporate"/>
    <s v="North"/>
    <x v="5"/>
    <x v="3"/>
    <n v="6"/>
    <n v="120"/>
    <n v="720"/>
    <n v="72"/>
    <s v="Large Order"/>
    <s v="Weekday"/>
  </r>
  <r>
    <s v="ORD-3341"/>
    <d v="2024-07-05T00:00:00"/>
    <n v="2024"/>
    <s v="Jul"/>
    <s v="Fri"/>
    <s v="CUST-155"/>
    <s v="PROD-007"/>
    <s v="Corporate"/>
    <s v="South"/>
    <x v="0"/>
    <x v="4"/>
    <n v="7"/>
    <n v="120"/>
    <n v="840"/>
    <n v="84"/>
    <s v="Large Order"/>
    <s v="Weekday"/>
  </r>
  <r>
    <s v="ORD-3342"/>
    <d v="2024-01-25T00:00:00"/>
    <n v="2024"/>
    <s v="Jan"/>
    <s v="Thu"/>
    <s v="CUST-138"/>
    <s v="PROD-019"/>
    <s v="Corporate"/>
    <s v="East"/>
    <x v="4"/>
    <x v="4"/>
    <n v="3"/>
    <n v="120"/>
    <n v="360"/>
    <n v="36"/>
    <s v="Standard Order"/>
    <s v="Weekday"/>
  </r>
  <r>
    <s v="ORD-3343"/>
    <d v="2024-10-23T00:00:00"/>
    <n v="2024"/>
    <s v="Oct"/>
    <s v="Wed"/>
    <s v="CUST-112"/>
    <s v="PROD-019"/>
    <s v="Corporate"/>
    <s v="North"/>
    <x v="3"/>
    <x v="0"/>
    <n v="19"/>
    <n v="120"/>
    <n v="2280"/>
    <n v="228"/>
    <s v="Large Order"/>
    <s v="Weekday"/>
  </r>
  <r>
    <s v="ORD-3344"/>
    <d v="2024-08-31T00:00:00"/>
    <n v="2024"/>
    <s v="Aug"/>
    <s v="Sat"/>
    <s v="CUST-154"/>
    <s v="PROD-007"/>
    <s v="Corporate"/>
    <s v="South"/>
    <x v="0"/>
    <x v="3"/>
    <n v="17"/>
    <n v="120"/>
    <n v="2040"/>
    <n v="204"/>
    <s v="Large Order"/>
    <s v="Weekend"/>
  </r>
  <r>
    <s v="ORD-3345"/>
    <d v="2024-08-09T00:00:00"/>
    <n v="2024"/>
    <s v="Aug"/>
    <s v="Fri"/>
    <s v="CUST-184"/>
    <s v="PROD-018"/>
    <s v="Corporate"/>
    <s v="South"/>
    <x v="4"/>
    <x v="1"/>
    <n v="13"/>
    <n v="120"/>
    <n v="1560"/>
    <n v="156"/>
    <s v="Large Order"/>
    <s v="Weekday"/>
  </r>
  <r>
    <s v="ORD-3346"/>
    <d v="2024-09-20T00:00:00"/>
    <n v="2024"/>
    <s v="Sep"/>
    <s v="Fri"/>
    <s v="CUST-158"/>
    <s v="PROD-022"/>
    <s v="Home Office"/>
    <s v="West"/>
    <x v="4"/>
    <x v="0"/>
    <n v="17"/>
    <n v="120"/>
    <n v="2040"/>
    <n v="204"/>
    <s v="Large Order"/>
    <s v="Weekday"/>
  </r>
  <r>
    <s v="ORD-3347"/>
    <d v="2024-10-22T00:00:00"/>
    <n v="2024"/>
    <s v="Oct"/>
    <s v="Tue"/>
    <s v="CUST-163"/>
    <s v="PROD-007"/>
    <s v="Home Office"/>
    <s v="North"/>
    <x v="2"/>
    <x v="3"/>
    <n v="18"/>
    <n v="120"/>
    <n v="2160"/>
    <n v="216"/>
    <s v="Large Order"/>
    <s v="Weekday"/>
  </r>
  <r>
    <s v="ORD-3348"/>
    <d v="2024-08-10T00:00:00"/>
    <n v="2024"/>
    <s v="Aug"/>
    <s v="Sat"/>
    <s v="CUST-172"/>
    <s v="PROD-024"/>
    <s v="Home Office"/>
    <s v="East"/>
    <x v="0"/>
    <x v="4"/>
    <n v="7"/>
    <n v="120"/>
    <n v="840"/>
    <n v="84"/>
    <s v="Large Order"/>
    <s v="Weekend"/>
  </r>
  <r>
    <s v="ORD-3349"/>
    <d v="2024-03-16T00:00:00"/>
    <n v="2024"/>
    <s v="Mar"/>
    <s v="Sat"/>
    <s v="CUST-130"/>
    <s v="PROD-005"/>
    <s v="Home Office"/>
    <s v="East"/>
    <x v="3"/>
    <x v="1"/>
    <n v="14"/>
    <n v="120"/>
    <n v="1680"/>
    <n v="168"/>
    <s v="Large Order"/>
    <s v="Weekend"/>
  </r>
  <r>
    <s v="ORD-3350"/>
    <d v="2024-02-02T00:00:00"/>
    <n v="2024"/>
    <s v="Feb"/>
    <s v="Fri"/>
    <s v="CUST-181"/>
    <s v="PROD-007"/>
    <s v="Corporate"/>
    <s v="North"/>
    <x v="3"/>
    <x v="3"/>
    <n v="6"/>
    <n v="120"/>
    <n v="720"/>
    <n v="72"/>
    <s v="Large Order"/>
    <s v="Weekday"/>
  </r>
  <r>
    <s v="ORD-3351"/>
    <d v="2024-11-03T00:00:00"/>
    <n v="2024"/>
    <s v="Nov"/>
    <s v="Sun"/>
    <s v="CUST-130"/>
    <s v="PROD-013"/>
    <s v="Consumer"/>
    <s v="West"/>
    <x v="0"/>
    <x v="2"/>
    <n v="7"/>
    <n v="120"/>
    <n v="840"/>
    <n v="84"/>
    <s v="Large Order"/>
    <s v="Weekend"/>
  </r>
  <r>
    <s v="ORD-3352"/>
    <d v="2024-06-07T00:00:00"/>
    <n v="2024"/>
    <s v="Jun"/>
    <s v="Fri"/>
    <s v="CUST-159"/>
    <s v="PROD-016"/>
    <s v="Home Office"/>
    <s v="East"/>
    <x v="2"/>
    <x v="1"/>
    <n v="2"/>
    <n v="120"/>
    <n v="240"/>
    <n v="24"/>
    <s v="Standard Order"/>
    <s v="Weekday"/>
  </r>
  <r>
    <s v="ORD-3353"/>
    <d v="2024-05-19T00:00:00"/>
    <n v="2024"/>
    <s v="May"/>
    <s v="Sun"/>
    <s v="CUST-117"/>
    <s v="PROD-001"/>
    <s v="Corporate"/>
    <s v="North"/>
    <x v="3"/>
    <x v="4"/>
    <n v="6"/>
    <n v="120"/>
    <n v="720"/>
    <n v="72"/>
    <s v="Large Order"/>
    <s v="Weekend"/>
  </r>
  <r>
    <s v="ORD-3354"/>
    <d v="2024-01-22T00:00:00"/>
    <n v="2024"/>
    <s v="Jan"/>
    <s v="Mon"/>
    <s v="CUST-192"/>
    <s v="PROD-016"/>
    <s v="Consumer"/>
    <s v="North"/>
    <x v="0"/>
    <x v="0"/>
    <n v="11"/>
    <n v="120"/>
    <n v="1320"/>
    <n v="132"/>
    <s v="Large Order"/>
    <s v="Weekday"/>
  </r>
  <r>
    <s v="ORD-3355"/>
    <d v="2024-02-02T00:00:00"/>
    <n v="2024"/>
    <s v="Feb"/>
    <s v="Fri"/>
    <s v="CUST-152"/>
    <s v="PROD-012"/>
    <s v="Home Office"/>
    <s v="Central"/>
    <x v="0"/>
    <x v="1"/>
    <n v="5"/>
    <n v="120"/>
    <n v="600"/>
    <n v="60"/>
    <s v="Large Order"/>
    <s v="Weekday"/>
  </r>
  <r>
    <s v="ORD-3356"/>
    <d v="2024-10-19T00:00:00"/>
    <n v="2024"/>
    <s v="Oct"/>
    <s v="Sat"/>
    <s v="CUST-194"/>
    <s v="PROD-017"/>
    <s v="Consumer"/>
    <s v="East"/>
    <x v="5"/>
    <x v="4"/>
    <n v="17"/>
    <n v="120"/>
    <n v="2040"/>
    <n v="204"/>
    <s v="Large Order"/>
    <s v="Weekend"/>
  </r>
  <r>
    <s v="ORD-3357"/>
    <d v="2024-02-16T00:00:00"/>
    <n v="2024"/>
    <s v="Feb"/>
    <s v="Fri"/>
    <s v="CUST-130"/>
    <s v="PROD-020"/>
    <s v="Consumer"/>
    <s v="North"/>
    <x v="3"/>
    <x v="3"/>
    <n v="19"/>
    <n v="120"/>
    <n v="2280"/>
    <n v="228"/>
    <s v="Large Order"/>
    <s v="Weekday"/>
  </r>
  <r>
    <s v="ORD-3358"/>
    <d v="2024-04-30T00:00:00"/>
    <n v="2024"/>
    <s v="Apr"/>
    <s v="Tue"/>
    <s v="CUST-154"/>
    <s v="PROD-007"/>
    <s v="Consumer"/>
    <s v="North"/>
    <x v="0"/>
    <x v="2"/>
    <n v="7"/>
    <n v="120"/>
    <n v="840"/>
    <n v="84"/>
    <s v="Large Order"/>
    <s v="Weekday"/>
  </r>
  <r>
    <s v="ORD-3359"/>
    <d v="2024-08-13T00:00:00"/>
    <n v="2024"/>
    <s v="Aug"/>
    <s v="Tue"/>
    <s v="CUST-152"/>
    <s v="PROD-009"/>
    <s v="Home Office"/>
    <s v="West"/>
    <x v="0"/>
    <x v="1"/>
    <n v="18"/>
    <n v="120"/>
    <n v="2160"/>
    <n v="216"/>
    <s v="Large Order"/>
    <s v="Weekday"/>
  </r>
  <r>
    <s v="ORD-3360"/>
    <d v="2024-02-27T00:00:00"/>
    <n v="2024"/>
    <s v="Feb"/>
    <s v="Tue"/>
    <s v="CUST-140"/>
    <s v="PROD-018"/>
    <s v="Corporate"/>
    <s v="East"/>
    <x v="2"/>
    <x v="2"/>
    <n v="9"/>
    <n v="120"/>
    <n v="1080"/>
    <n v="108"/>
    <s v="Large Order"/>
    <s v="Weekday"/>
  </r>
  <r>
    <s v="ORD-3361"/>
    <d v="2024-03-15T00:00:00"/>
    <n v="2024"/>
    <s v="Mar"/>
    <s v="Fri"/>
    <s v="CUST-146"/>
    <s v="PROD-016"/>
    <s v="Home Office"/>
    <s v="North"/>
    <x v="3"/>
    <x v="3"/>
    <n v="1"/>
    <n v="120"/>
    <n v="120"/>
    <n v="12"/>
    <s v="Standard Order"/>
    <s v="Weekday"/>
  </r>
  <r>
    <s v="ORD-3362"/>
    <d v="2024-11-06T00:00:00"/>
    <n v="2024"/>
    <s v="Nov"/>
    <s v="Wed"/>
    <s v="CUST-104"/>
    <s v="PROD-024"/>
    <s v="Home Office"/>
    <s v="North"/>
    <x v="0"/>
    <x v="2"/>
    <n v="9"/>
    <n v="120"/>
    <n v="1080"/>
    <n v="108"/>
    <s v="Large Order"/>
    <s v="Weekday"/>
  </r>
  <r>
    <s v="ORD-3363"/>
    <d v="2024-06-07T00:00:00"/>
    <n v="2024"/>
    <s v="Jun"/>
    <s v="Fri"/>
    <s v="CUST-181"/>
    <s v="PROD-023"/>
    <s v="Corporate"/>
    <s v="East"/>
    <x v="0"/>
    <x v="4"/>
    <n v="8"/>
    <n v="120"/>
    <n v="960"/>
    <n v="96"/>
    <s v="Large Order"/>
    <s v="Weekday"/>
  </r>
  <r>
    <s v="ORD-3364"/>
    <d v="2024-07-17T00:00:00"/>
    <n v="2024"/>
    <s v="Jul"/>
    <s v="Wed"/>
    <s v="CUST-101"/>
    <s v="PROD-013"/>
    <s v="Corporate"/>
    <s v="West"/>
    <x v="3"/>
    <x v="0"/>
    <n v="8"/>
    <n v="120"/>
    <n v="960"/>
    <n v="96"/>
    <s v="Large Order"/>
    <s v="Weekday"/>
  </r>
  <r>
    <s v="ORD-3365"/>
    <d v="2024-03-23T00:00:00"/>
    <n v="2024"/>
    <s v="Mar"/>
    <s v="Sat"/>
    <s v="CUST-156"/>
    <s v="PROD-021"/>
    <s v="Corporate"/>
    <s v="East"/>
    <x v="2"/>
    <x v="0"/>
    <n v="9"/>
    <n v="120"/>
    <n v="1080"/>
    <n v="108"/>
    <s v="Large Order"/>
    <s v="Weekend"/>
  </r>
  <r>
    <s v="ORD-3366"/>
    <d v="2024-09-08T00:00:00"/>
    <n v="2024"/>
    <s v="Sep"/>
    <s v="Sun"/>
    <s v="CUST-160"/>
    <s v="PROD-024"/>
    <s v="Corporate"/>
    <s v="East"/>
    <x v="3"/>
    <x v="1"/>
    <n v="4"/>
    <n v="120"/>
    <n v="480"/>
    <n v="48"/>
    <s v="Standard Order"/>
    <s v="Weekend"/>
  </r>
  <r>
    <s v="ORD-3367"/>
    <d v="2024-12-23T00:00:00"/>
    <n v="2024"/>
    <s v="Dec"/>
    <s v="Mon"/>
    <s v="CUST-133"/>
    <s v="PROD-017"/>
    <s v="Consumer"/>
    <s v="North"/>
    <x v="3"/>
    <x v="1"/>
    <n v="20"/>
    <n v="120"/>
    <n v="2400"/>
    <n v="240"/>
    <s v="Large Order"/>
    <s v="Weekday"/>
  </r>
  <r>
    <s v="ORD-3368"/>
    <d v="2024-10-07T00:00:00"/>
    <n v="2024"/>
    <s v="Oct"/>
    <s v="Mon"/>
    <s v="CUST-194"/>
    <s v="PROD-011"/>
    <s v="Corporate"/>
    <s v="South"/>
    <x v="0"/>
    <x v="0"/>
    <n v="6"/>
    <n v="120"/>
    <n v="720"/>
    <n v="72"/>
    <s v="Large Order"/>
    <s v="Weekday"/>
  </r>
  <r>
    <s v="ORD-3369"/>
    <d v="2024-11-24T00:00:00"/>
    <n v="2024"/>
    <s v="Nov"/>
    <s v="Sun"/>
    <s v="CUST-117"/>
    <s v="PROD-001"/>
    <s v="Corporate"/>
    <s v="South"/>
    <x v="4"/>
    <x v="3"/>
    <n v="11"/>
    <n v="120"/>
    <n v="1320"/>
    <n v="132"/>
    <s v="Large Order"/>
    <s v="Weekend"/>
  </r>
  <r>
    <s v="ORD-3370"/>
    <d v="2024-02-26T00:00:00"/>
    <n v="2024"/>
    <s v="Feb"/>
    <s v="Mon"/>
    <s v="CUST-120"/>
    <s v="PROD-008"/>
    <s v="Home Office"/>
    <s v="South"/>
    <x v="4"/>
    <x v="4"/>
    <n v="14"/>
    <n v="120"/>
    <n v="1680"/>
    <n v="168"/>
    <s v="Large Order"/>
    <s v="Weekday"/>
  </r>
  <r>
    <s v="ORD-3371"/>
    <d v="2024-06-12T00:00:00"/>
    <n v="2024"/>
    <s v="Jun"/>
    <s v="Wed"/>
    <s v="CUST-157"/>
    <s v="PROD-016"/>
    <s v="Home Office"/>
    <s v="West"/>
    <x v="4"/>
    <x v="3"/>
    <n v="6"/>
    <n v="120"/>
    <n v="720"/>
    <n v="72"/>
    <s v="Large Order"/>
    <s v="Weekday"/>
  </r>
  <r>
    <s v="ORD-3372"/>
    <d v="2024-06-16T00:00:00"/>
    <n v="2024"/>
    <s v="Jun"/>
    <s v="Sun"/>
    <s v="CUST-136"/>
    <s v="PROD-007"/>
    <s v="Consumer"/>
    <s v="North"/>
    <x v="2"/>
    <x v="3"/>
    <n v="6"/>
    <n v="120"/>
    <n v="720"/>
    <n v="72"/>
    <s v="Large Order"/>
    <s v="Weekend"/>
  </r>
  <r>
    <s v="ORD-3373"/>
    <d v="2024-07-12T00:00:00"/>
    <n v="2024"/>
    <s v="Jul"/>
    <s v="Fri"/>
    <s v="CUST-173"/>
    <s v="PROD-008"/>
    <s v="Consumer"/>
    <s v="South"/>
    <x v="0"/>
    <x v="4"/>
    <n v="20"/>
    <n v="120"/>
    <n v="2400"/>
    <n v="240"/>
    <s v="Large Order"/>
    <s v="Weekday"/>
  </r>
  <r>
    <s v="ORD-3374"/>
    <d v="2024-02-15T00:00:00"/>
    <n v="2024"/>
    <s v="Feb"/>
    <s v="Thu"/>
    <s v="CUST-159"/>
    <s v="PROD-007"/>
    <s v="Corporate"/>
    <s v="East"/>
    <x v="4"/>
    <x v="0"/>
    <n v="13"/>
    <n v="120"/>
    <n v="1560"/>
    <n v="156"/>
    <s v="Large Order"/>
    <s v="Weekday"/>
  </r>
  <r>
    <s v="ORD-3375"/>
    <d v="2024-11-03T00:00:00"/>
    <n v="2024"/>
    <s v="Nov"/>
    <s v="Sun"/>
    <s v="CUST-133"/>
    <s v="PROD-005"/>
    <s v="Consumer"/>
    <s v="West"/>
    <x v="3"/>
    <x v="2"/>
    <n v="19"/>
    <n v="120"/>
    <n v="2280"/>
    <n v="228"/>
    <s v="Large Order"/>
    <s v="Weekend"/>
  </r>
  <r>
    <s v="ORD-3376"/>
    <d v="2024-09-26T00:00:00"/>
    <n v="2024"/>
    <s v="Sep"/>
    <s v="Thu"/>
    <s v="CUST-155"/>
    <s v="PROD-025"/>
    <s v="Corporate"/>
    <s v="West"/>
    <x v="2"/>
    <x v="0"/>
    <n v="8"/>
    <n v="120"/>
    <n v="960"/>
    <n v="96"/>
    <s v="Large Order"/>
    <s v="Weekday"/>
  </r>
  <r>
    <s v="ORD-3377"/>
    <d v="2024-04-07T00:00:00"/>
    <n v="2024"/>
    <s v="Apr"/>
    <s v="Sun"/>
    <s v="CUST-200"/>
    <s v="PROD-009"/>
    <s v="Corporate"/>
    <s v="South"/>
    <x v="2"/>
    <x v="1"/>
    <n v="5"/>
    <n v="120"/>
    <n v="600"/>
    <n v="60"/>
    <s v="Large Order"/>
    <s v="Weekend"/>
  </r>
  <r>
    <s v="ORD-3378"/>
    <d v="2024-04-15T00:00:00"/>
    <n v="2024"/>
    <s v="Apr"/>
    <s v="Mon"/>
    <s v="CUST-176"/>
    <s v="PROD-007"/>
    <s v="Corporate"/>
    <s v="South"/>
    <x v="4"/>
    <x v="1"/>
    <n v="6"/>
    <n v="120"/>
    <n v="720"/>
    <n v="72"/>
    <s v="Large Order"/>
    <s v="Weekday"/>
  </r>
  <r>
    <s v="ORD-3379"/>
    <d v="2024-03-15T00:00:00"/>
    <n v="2024"/>
    <s v="Mar"/>
    <s v="Fri"/>
    <s v="CUST-103"/>
    <s v="PROD-010"/>
    <s v="Corporate"/>
    <s v="West"/>
    <x v="4"/>
    <x v="4"/>
    <n v="15"/>
    <n v="120"/>
    <n v="1800"/>
    <n v="180"/>
    <s v="Large Order"/>
    <s v="Weekday"/>
  </r>
  <r>
    <s v="ORD-3380"/>
    <d v="2024-07-08T00:00:00"/>
    <n v="2024"/>
    <s v="Jul"/>
    <s v="Mon"/>
    <s v="CUST-174"/>
    <s v="PROD-022"/>
    <s v="Home Office"/>
    <s v="South"/>
    <x v="2"/>
    <x v="0"/>
    <n v="1"/>
    <n v="120"/>
    <n v="120"/>
    <n v="12"/>
    <s v="Standard Order"/>
    <s v="Weekday"/>
  </r>
  <r>
    <s v="ORD-3381"/>
    <d v="2024-06-14T00:00:00"/>
    <n v="2024"/>
    <s v="Jun"/>
    <s v="Fri"/>
    <s v="CUST-188"/>
    <s v="PROD-013"/>
    <s v="Home Office"/>
    <s v="North"/>
    <x v="4"/>
    <x v="1"/>
    <n v="14"/>
    <n v="120"/>
    <n v="1680"/>
    <n v="168"/>
    <s v="Large Order"/>
    <s v="Weekday"/>
  </r>
  <r>
    <s v="ORD-3382"/>
    <d v="2024-05-11T00:00:00"/>
    <n v="2024"/>
    <s v="May"/>
    <s v="Sat"/>
    <s v="CUST-109"/>
    <s v="PROD-004"/>
    <s v="Home Office"/>
    <s v="Central"/>
    <x v="0"/>
    <x v="0"/>
    <n v="11"/>
    <n v="120"/>
    <n v="1320"/>
    <n v="132"/>
    <s v="Large Order"/>
    <s v="Weekend"/>
  </r>
  <r>
    <s v="ORD-3383"/>
    <d v="2024-08-29T00:00:00"/>
    <n v="2024"/>
    <s v="Aug"/>
    <s v="Thu"/>
    <s v="CUST-145"/>
    <s v="PROD-020"/>
    <s v="Home Office"/>
    <s v="East"/>
    <x v="5"/>
    <x v="0"/>
    <n v="1"/>
    <n v="120"/>
    <n v="120"/>
    <n v="12"/>
    <s v="Standard Order"/>
    <s v="Weekday"/>
  </r>
  <r>
    <s v="ORD-3384"/>
    <d v="2024-11-13T00:00:00"/>
    <n v="2024"/>
    <s v="Nov"/>
    <s v="Wed"/>
    <s v="CUST-148"/>
    <s v="PROD-010"/>
    <s v="Corporate"/>
    <s v="West"/>
    <x v="3"/>
    <x v="2"/>
    <n v="18"/>
    <n v="120"/>
    <n v="2160"/>
    <n v="216"/>
    <s v="Large Order"/>
    <s v="Weekday"/>
  </r>
  <r>
    <s v="ORD-3385"/>
    <d v="2024-04-01T00:00:00"/>
    <n v="2024"/>
    <s v="Apr"/>
    <s v="Mon"/>
    <s v="CUST-133"/>
    <s v="PROD-006"/>
    <s v="Home Office"/>
    <s v="South"/>
    <x v="2"/>
    <x v="3"/>
    <n v="15"/>
    <n v="120"/>
    <n v="1800"/>
    <n v="180"/>
    <s v="Large Order"/>
    <s v="Weekday"/>
  </r>
  <r>
    <s v="ORD-3386"/>
    <d v="2024-06-11T00:00:00"/>
    <n v="2024"/>
    <s v="Jun"/>
    <s v="Tue"/>
    <s v="CUST-190"/>
    <s v="PROD-017"/>
    <s v="Corporate"/>
    <s v="East"/>
    <x v="4"/>
    <x v="3"/>
    <n v="4"/>
    <n v="120"/>
    <n v="480"/>
    <n v="48"/>
    <s v="Standard Order"/>
    <s v="Weekday"/>
  </r>
  <r>
    <s v="ORD-3387"/>
    <d v="2024-03-06T00:00:00"/>
    <n v="2024"/>
    <s v="Mar"/>
    <s v="Wed"/>
    <s v="CUST-163"/>
    <s v="PROD-009"/>
    <s v="Home Office"/>
    <s v="Central"/>
    <x v="3"/>
    <x v="1"/>
    <n v="10"/>
    <n v="120"/>
    <n v="1200"/>
    <n v="120"/>
    <s v="Large Order"/>
    <s v="Weekday"/>
  </r>
  <r>
    <s v="ORD-3388"/>
    <d v="2024-05-14T00:00:00"/>
    <n v="2024"/>
    <s v="May"/>
    <s v="Tue"/>
    <s v="CUST-178"/>
    <s v="PROD-025"/>
    <s v="Corporate"/>
    <s v="Central"/>
    <x v="5"/>
    <x v="3"/>
    <n v="14"/>
    <n v="120"/>
    <n v="1680"/>
    <n v="168"/>
    <s v="Large Order"/>
    <s v="Weekday"/>
  </r>
  <r>
    <s v="ORD-3389"/>
    <d v="2024-06-10T00:00:00"/>
    <n v="2024"/>
    <s v="Jun"/>
    <s v="Mon"/>
    <s v="CUST-194"/>
    <s v="PROD-016"/>
    <s v="Consumer"/>
    <s v="West"/>
    <x v="5"/>
    <x v="1"/>
    <n v="2"/>
    <n v="120"/>
    <n v="240"/>
    <n v="24"/>
    <s v="Standard Order"/>
    <s v="Weekday"/>
  </r>
  <r>
    <s v="ORD-3390"/>
    <d v="2024-01-28T00:00:00"/>
    <n v="2024"/>
    <s v="Jan"/>
    <s v="Sun"/>
    <s v="CUST-129"/>
    <s v="PROD-006"/>
    <s v="Consumer"/>
    <s v="West"/>
    <x v="2"/>
    <x v="3"/>
    <n v="6"/>
    <n v="120"/>
    <n v="720"/>
    <n v="72"/>
    <s v="Large Order"/>
    <s v="Weekend"/>
  </r>
  <r>
    <s v="ORD-3391"/>
    <d v="2024-08-11T00:00:00"/>
    <n v="2024"/>
    <s v="Aug"/>
    <s v="Sun"/>
    <s v="CUST-114"/>
    <s v="PROD-016"/>
    <s v="Consumer"/>
    <s v="North"/>
    <x v="2"/>
    <x v="3"/>
    <n v="18"/>
    <n v="120"/>
    <n v="2160"/>
    <n v="216"/>
    <s v="Large Order"/>
    <s v="Weekend"/>
  </r>
  <r>
    <s v="ORD-3392"/>
    <d v="2024-09-09T00:00:00"/>
    <n v="2024"/>
    <s v="Sep"/>
    <s v="Mon"/>
    <s v="CUST-114"/>
    <s v="PROD-024"/>
    <s v="Consumer"/>
    <s v="Central"/>
    <x v="0"/>
    <x v="3"/>
    <n v="3"/>
    <n v="120"/>
    <n v="360"/>
    <n v="36"/>
    <s v="Standard Order"/>
    <s v="Weekday"/>
  </r>
  <r>
    <s v="ORD-3393"/>
    <d v="2024-05-25T00:00:00"/>
    <n v="2024"/>
    <s v="May"/>
    <s v="Sat"/>
    <s v="CUST-123"/>
    <s v="PROD-006"/>
    <s v="Home Office"/>
    <s v="Central"/>
    <x v="5"/>
    <x v="3"/>
    <n v="19"/>
    <n v="120"/>
    <n v="2280"/>
    <n v="228"/>
    <s v="Large Order"/>
    <s v="Weekend"/>
  </r>
  <r>
    <s v="ORD-3394"/>
    <d v="2024-10-26T00:00:00"/>
    <n v="2024"/>
    <s v="Oct"/>
    <s v="Sat"/>
    <s v="CUST-127"/>
    <s v="PROD-019"/>
    <s v="Consumer"/>
    <s v="North"/>
    <x v="5"/>
    <x v="4"/>
    <n v="6"/>
    <n v="120"/>
    <n v="720"/>
    <n v="72"/>
    <s v="Large Order"/>
    <s v="Weekend"/>
  </r>
  <r>
    <s v="ORD-3395"/>
    <d v="2024-02-09T00:00:00"/>
    <n v="2024"/>
    <s v="Feb"/>
    <s v="Fri"/>
    <s v="CUST-131"/>
    <s v="PROD-025"/>
    <s v="Corporate"/>
    <s v="Central"/>
    <x v="0"/>
    <x v="3"/>
    <n v="1"/>
    <n v="120"/>
    <n v="120"/>
    <n v="12"/>
    <s v="Standard Order"/>
    <s v="Weekday"/>
  </r>
  <r>
    <s v="ORD-3396"/>
    <d v="2024-12-14T00:00:00"/>
    <n v="2024"/>
    <s v="Dec"/>
    <s v="Sat"/>
    <s v="CUST-115"/>
    <s v="PROD-013"/>
    <s v="Corporate"/>
    <s v="West"/>
    <x v="5"/>
    <x v="0"/>
    <n v="11"/>
    <n v="120"/>
    <n v="1320"/>
    <n v="132"/>
    <s v="Large Order"/>
    <s v="Weekend"/>
  </r>
  <r>
    <s v="ORD-3397"/>
    <d v="2024-02-11T00:00:00"/>
    <n v="2024"/>
    <s v="Feb"/>
    <s v="Sun"/>
    <s v="CUST-158"/>
    <s v="PROD-023"/>
    <s v="Home Office"/>
    <s v="Central"/>
    <x v="2"/>
    <x v="1"/>
    <n v="9"/>
    <n v="120"/>
    <n v="1080"/>
    <n v="108"/>
    <s v="Large Order"/>
    <s v="Weekend"/>
  </r>
  <r>
    <s v="ORD-3398"/>
    <d v="2024-01-03T00:00:00"/>
    <n v="2024"/>
    <s v="Jan"/>
    <s v="Wed"/>
    <s v="CUST-142"/>
    <s v="PROD-002"/>
    <s v="Home Office"/>
    <s v="East"/>
    <x v="5"/>
    <x v="1"/>
    <n v="11"/>
    <n v="120"/>
    <n v="1320"/>
    <n v="132"/>
    <s v="Large Order"/>
    <s v="Weekday"/>
  </r>
  <r>
    <s v="ORD-3399"/>
    <d v="2024-10-18T00:00:00"/>
    <n v="2024"/>
    <s v="Oct"/>
    <s v="Fri"/>
    <s v="CUST-116"/>
    <s v="PROD-007"/>
    <s v="Consumer"/>
    <s v="West"/>
    <x v="3"/>
    <x v="3"/>
    <n v="2"/>
    <n v="120"/>
    <n v="240"/>
    <n v="24"/>
    <s v="Standard Order"/>
    <s v="Weekday"/>
  </r>
  <r>
    <s v="ORD-3400"/>
    <d v="2024-10-07T00:00:00"/>
    <n v="2024"/>
    <s v="Oct"/>
    <s v="Mon"/>
    <s v="CUST-177"/>
    <s v="PROD-013"/>
    <s v="Consumer"/>
    <s v="South"/>
    <x v="2"/>
    <x v="3"/>
    <n v="6"/>
    <n v="120"/>
    <n v="720"/>
    <n v="72"/>
    <s v="Large Order"/>
    <s v="Weekday"/>
  </r>
  <r>
    <s v="ORD-3401"/>
    <d v="2024-07-23T00:00:00"/>
    <n v="2024"/>
    <s v="Jul"/>
    <s v="Tue"/>
    <s v="CUST-111"/>
    <s v="PROD-001"/>
    <s v="Consumer"/>
    <s v="West"/>
    <x v="4"/>
    <x v="1"/>
    <n v="13"/>
    <n v="120"/>
    <n v="1560"/>
    <n v="156"/>
    <s v="Large Order"/>
    <s v="Weekday"/>
  </r>
  <r>
    <s v="ORD-3402"/>
    <d v="2024-11-30T00:00:00"/>
    <n v="2024"/>
    <s v="Nov"/>
    <s v="Sat"/>
    <s v="CUST-119"/>
    <s v="PROD-004"/>
    <s v="Corporate"/>
    <s v="North"/>
    <x v="2"/>
    <x v="1"/>
    <n v="10"/>
    <n v="120"/>
    <n v="1200"/>
    <n v="120"/>
    <s v="Large Order"/>
    <s v="Weekend"/>
  </r>
  <r>
    <s v="ORD-3403"/>
    <d v="2024-11-04T00:00:00"/>
    <n v="2024"/>
    <s v="Nov"/>
    <s v="Mon"/>
    <s v="CUST-116"/>
    <s v="PROD-012"/>
    <s v="Home Office"/>
    <s v="Central"/>
    <x v="0"/>
    <x v="3"/>
    <n v="17"/>
    <n v="120"/>
    <n v="2040"/>
    <n v="204"/>
    <s v="Large Order"/>
    <s v="Weekday"/>
  </r>
  <r>
    <s v="ORD-3404"/>
    <d v="2024-08-16T00:00:00"/>
    <n v="2024"/>
    <s v="Aug"/>
    <s v="Fri"/>
    <s v="CUST-149"/>
    <s v="PROD-016"/>
    <s v="Corporate"/>
    <s v="West"/>
    <x v="5"/>
    <x v="4"/>
    <n v="14"/>
    <n v="120"/>
    <n v="1680"/>
    <n v="168"/>
    <s v="Large Order"/>
    <s v="Weekday"/>
  </r>
  <r>
    <s v="ORD-3405"/>
    <d v="2024-08-04T00:00:00"/>
    <n v="2024"/>
    <s v="Aug"/>
    <s v="Sun"/>
    <s v="CUST-147"/>
    <s v="PROD-020"/>
    <s v="Consumer"/>
    <s v="South"/>
    <x v="2"/>
    <x v="1"/>
    <n v="3"/>
    <n v="120"/>
    <n v="360"/>
    <n v="36"/>
    <s v="Standard Order"/>
    <s v="Weekend"/>
  </r>
  <r>
    <s v="ORD-3406"/>
    <d v="2024-06-23T00:00:00"/>
    <n v="2024"/>
    <s v="Jun"/>
    <s v="Sun"/>
    <s v="CUST-159"/>
    <s v="PROD-022"/>
    <s v="Consumer"/>
    <s v="West"/>
    <x v="4"/>
    <x v="1"/>
    <n v="17"/>
    <n v="120"/>
    <n v="2040"/>
    <n v="204"/>
    <s v="Large Order"/>
    <s v="Weekend"/>
  </r>
  <r>
    <s v="ORD-3407"/>
    <d v="2024-09-25T00:00:00"/>
    <n v="2024"/>
    <s v="Sep"/>
    <s v="Wed"/>
    <s v="CUST-110"/>
    <s v="PROD-010"/>
    <s v="Corporate"/>
    <s v="Central"/>
    <x v="2"/>
    <x v="0"/>
    <n v="16"/>
    <n v="120"/>
    <n v="1920"/>
    <n v="192"/>
    <s v="Large Order"/>
    <s v="Weekday"/>
  </r>
  <r>
    <s v="ORD-3408"/>
    <d v="2024-03-06T00:00:00"/>
    <n v="2024"/>
    <s v="Mar"/>
    <s v="Wed"/>
    <s v="CUST-187"/>
    <s v="PROD-010"/>
    <s v="Consumer"/>
    <s v="North"/>
    <x v="5"/>
    <x v="1"/>
    <n v="10"/>
    <n v="120"/>
    <n v="1200"/>
    <n v="120"/>
    <s v="Large Order"/>
    <s v="Weekday"/>
  </r>
  <r>
    <s v="ORD-3409"/>
    <d v="2024-10-09T00:00:00"/>
    <n v="2024"/>
    <s v="Oct"/>
    <s v="Wed"/>
    <s v="CUST-109"/>
    <s v="PROD-002"/>
    <s v="Home Office"/>
    <s v="East"/>
    <x v="0"/>
    <x v="4"/>
    <n v="14"/>
    <n v="120"/>
    <n v="1680"/>
    <n v="168"/>
    <s v="Large Order"/>
    <s v="Weekday"/>
  </r>
  <r>
    <s v="ORD-3410"/>
    <d v="2024-08-25T00:00:00"/>
    <n v="2024"/>
    <s v="Aug"/>
    <s v="Sun"/>
    <s v="CUST-184"/>
    <s v="PROD-024"/>
    <s v="Home Office"/>
    <s v="West"/>
    <x v="3"/>
    <x v="3"/>
    <n v="9"/>
    <n v="120"/>
    <n v="1080"/>
    <n v="108"/>
    <s v="Large Order"/>
    <s v="Weekend"/>
  </r>
  <r>
    <s v="ORD-3411"/>
    <d v="2024-09-14T00:00:00"/>
    <n v="2024"/>
    <s v="Sep"/>
    <s v="Sat"/>
    <s v="CUST-102"/>
    <s v="PROD-004"/>
    <s v="Home Office"/>
    <s v="East"/>
    <x v="2"/>
    <x v="2"/>
    <n v="6"/>
    <n v="120"/>
    <n v="720"/>
    <n v="72"/>
    <s v="Large Order"/>
    <s v="Weekend"/>
  </r>
  <r>
    <s v="ORD-3412"/>
    <d v="2024-01-24T00:00:00"/>
    <n v="2024"/>
    <s v="Jan"/>
    <s v="Wed"/>
    <s v="CUST-110"/>
    <s v="PROD-014"/>
    <s v="Home Office"/>
    <s v="East"/>
    <x v="3"/>
    <x v="3"/>
    <n v="19"/>
    <n v="120"/>
    <n v="2280"/>
    <n v="228"/>
    <s v="Large Order"/>
    <s v="Weekday"/>
  </r>
  <r>
    <s v="ORD-3413"/>
    <d v="2024-12-09T00:00:00"/>
    <n v="2024"/>
    <s v="Dec"/>
    <s v="Mon"/>
    <s v="CUST-157"/>
    <s v="PROD-020"/>
    <s v="Corporate"/>
    <s v="West"/>
    <x v="3"/>
    <x v="2"/>
    <n v="7"/>
    <n v="120"/>
    <n v="840"/>
    <n v="84"/>
    <s v="Large Order"/>
    <s v="Weekday"/>
  </r>
  <r>
    <s v="ORD-3414"/>
    <d v="2024-11-05T00:00:00"/>
    <n v="2024"/>
    <s v="Nov"/>
    <s v="Tue"/>
    <s v="CUST-133"/>
    <s v="PROD-022"/>
    <s v="Consumer"/>
    <s v="West"/>
    <x v="2"/>
    <x v="4"/>
    <n v="1"/>
    <n v="120"/>
    <n v="120"/>
    <n v="12"/>
    <s v="Standard Order"/>
    <s v="Weekday"/>
  </r>
  <r>
    <s v="ORD-3415"/>
    <d v="2024-02-29T00:00:00"/>
    <n v="2024"/>
    <s v="Feb"/>
    <s v="Thu"/>
    <s v="CUST-101"/>
    <s v="PROD-006"/>
    <s v="Home Office"/>
    <s v="Central"/>
    <x v="2"/>
    <x v="1"/>
    <n v="13"/>
    <n v="120"/>
    <n v="1560"/>
    <n v="156"/>
    <s v="Large Order"/>
    <s v="Weekday"/>
  </r>
  <r>
    <s v="ORD-3416"/>
    <d v="2024-11-04T00:00:00"/>
    <n v="2024"/>
    <s v="Nov"/>
    <s v="Mon"/>
    <s v="CUST-192"/>
    <s v="PROD-016"/>
    <s v="Corporate"/>
    <s v="North"/>
    <x v="5"/>
    <x v="4"/>
    <n v="12"/>
    <n v="120"/>
    <n v="1440"/>
    <n v="144"/>
    <s v="Large Order"/>
    <s v="Weekday"/>
  </r>
  <r>
    <s v="ORD-3417"/>
    <d v="2024-12-19T00:00:00"/>
    <n v="2024"/>
    <s v="Dec"/>
    <s v="Thu"/>
    <s v="CUST-186"/>
    <s v="PROD-013"/>
    <s v="Corporate"/>
    <s v="North"/>
    <x v="0"/>
    <x v="2"/>
    <n v="5"/>
    <n v="120"/>
    <n v="600"/>
    <n v="60"/>
    <s v="Large Order"/>
    <s v="Weekday"/>
  </r>
  <r>
    <s v="ORD-3418"/>
    <d v="2024-02-27T00:00:00"/>
    <n v="2024"/>
    <s v="Feb"/>
    <s v="Tue"/>
    <s v="CUST-102"/>
    <s v="PROD-023"/>
    <s v="Consumer"/>
    <s v="Central"/>
    <x v="0"/>
    <x v="2"/>
    <n v="16"/>
    <n v="120"/>
    <n v="1920"/>
    <n v="192"/>
    <s v="Large Order"/>
    <s v="Weekday"/>
  </r>
  <r>
    <s v="ORD-3419"/>
    <d v="2024-11-28T00:00:00"/>
    <n v="2024"/>
    <s v="Nov"/>
    <s v="Thu"/>
    <s v="CUST-130"/>
    <s v="PROD-014"/>
    <s v="Home Office"/>
    <s v="North"/>
    <x v="5"/>
    <x v="2"/>
    <n v="3"/>
    <n v="120"/>
    <n v="360"/>
    <n v="36"/>
    <s v="Standard Order"/>
    <s v="Weekday"/>
  </r>
  <r>
    <s v="ORD-3420"/>
    <d v="2024-08-25T00:00:00"/>
    <n v="2024"/>
    <s v="Aug"/>
    <s v="Sun"/>
    <s v="CUST-118"/>
    <s v="PROD-016"/>
    <s v="Corporate"/>
    <s v="North"/>
    <x v="0"/>
    <x v="0"/>
    <n v="6"/>
    <n v="120"/>
    <n v="720"/>
    <n v="72"/>
    <s v="Large Order"/>
    <s v="Weekend"/>
  </r>
  <r>
    <s v="ORD-3421"/>
    <d v="2024-12-25T00:00:00"/>
    <n v="2024"/>
    <s v="Dec"/>
    <s v="Wed"/>
    <s v="CUST-156"/>
    <s v="PROD-016"/>
    <s v="Corporate"/>
    <s v="East"/>
    <x v="0"/>
    <x v="1"/>
    <n v="19"/>
    <n v="120"/>
    <n v="2280"/>
    <n v="228"/>
    <s v="Large Order"/>
    <s v="Weekday"/>
  </r>
  <r>
    <s v="ORD-3422"/>
    <d v="2024-05-30T00:00:00"/>
    <n v="2024"/>
    <s v="May"/>
    <s v="Thu"/>
    <s v="CUST-172"/>
    <s v="PROD-013"/>
    <s v="Consumer"/>
    <s v="Central"/>
    <x v="3"/>
    <x v="0"/>
    <n v="4"/>
    <n v="120"/>
    <n v="480"/>
    <n v="48"/>
    <s v="Standard Order"/>
    <s v="Weekday"/>
  </r>
  <r>
    <s v="ORD-3423"/>
    <d v="2024-08-09T00:00:00"/>
    <n v="2024"/>
    <s v="Aug"/>
    <s v="Fri"/>
    <s v="CUST-153"/>
    <s v="PROD-016"/>
    <s v="Home Office"/>
    <s v="Central"/>
    <x v="5"/>
    <x v="4"/>
    <n v="18"/>
    <n v="120"/>
    <n v="2160"/>
    <n v="216"/>
    <s v="Large Order"/>
    <s v="Weekday"/>
  </r>
  <r>
    <s v="ORD-3424"/>
    <d v="2024-01-19T00:00:00"/>
    <n v="2024"/>
    <s v="Jan"/>
    <s v="Fri"/>
    <s v="CUST-162"/>
    <s v="PROD-013"/>
    <s v="Corporate"/>
    <s v="Central"/>
    <x v="5"/>
    <x v="4"/>
    <n v="20"/>
    <n v="120"/>
    <n v="2400"/>
    <n v="240"/>
    <s v="Large Order"/>
    <s v="Weekday"/>
  </r>
  <r>
    <s v="ORD-3425"/>
    <d v="2024-09-06T00:00:00"/>
    <n v="2024"/>
    <s v="Sep"/>
    <s v="Fri"/>
    <s v="CUST-129"/>
    <s v="PROD-023"/>
    <s v="Consumer"/>
    <s v="West"/>
    <x v="5"/>
    <x v="0"/>
    <n v="14"/>
    <n v="120"/>
    <n v="1680"/>
    <n v="168"/>
    <s v="Large Order"/>
    <s v="Weekday"/>
  </r>
  <r>
    <s v="ORD-3426"/>
    <d v="2024-10-10T00:00:00"/>
    <n v="2024"/>
    <s v="Oct"/>
    <s v="Thu"/>
    <s v="CUST-108"/>
    <s v="PROD-009"/>
    <s v="Home Office"/>
    <s v="West"/>
    <x v="2"/>
    <x v="1"/>
    <n v="4"/>
    <n v="120"/>
    <n v="480"/>
    <n v="48"/>
    <s v="Standard Order"/>
    <s v="Weekday"/>
  </r>
  <r>
    <s v="ORD-3427"/>
    <d v="2024-11-26T00:00:00"/>
    <n v="2024"/>
    <s v="Nov"/>
    <s v="Tue"/>
    <s v="CUST-144"/>
    <s v="PROD-015"/>
    <s v="Home Office"/>
    <s v="South"/>
    <x v="2"/>
    <x v="0"/>
    <n v="6"/>
    <n v="120"/>
    <n v="720"/>
    <n v="72"/>
    <s v="Large Order"/>
    <s v="Weekday"/>
  </r>
  <r>
    <s v="ORD-3428"/>
    <d v="2024-04-08T00:00:00"/>
    <n v="2024"/>
    <s v="Apr"/>
    <s v="Mon"/>
    <s v="CUST-160"/>
    <s v="PROD-012"/>
    <s v="Corporate"/>
    <s v="West"/>
    <x v="4"/>
    <x v="4"/>
    <n v="8"/>
    <n v="120"/>
    <n v="960"/>
    <n v="96"/>
    <s v="Large Order"/>
    <s v="Weekday"/>
  </r>
  <r>
    <s v="ORD-3429"/>
    <d v="2024-12-16T00:00:00"/>
    <n v="2024"/>
    <s v="Dec"/>
    <s v="Mon"/>
    <s v="CUST-143"/>
    <s v="PROD-020"/>
    <s v="Home Office"/>
    <s v="East"/>
    <x v="2"/>
    <x v="2"/>
    <n v="10"/>
    <n v="120"/>
    <n v="1200"/>
    <n v="120"/>
    <s v="Large Order"/>
    <s v="Weekday"/>
  </r>
  <r>
    <s v="ORD-3430"/>
    <d v="2024-07-18T00:00:00"/>
    <n v="2024"/>
    <s v="Jul"/>
    <s v="Thu"/>
    <s v="CUST-153"/>
    <s v="PROD-022"/>
    <s v="Home Office"/>
    <s v="West"/>
    <x v="3"/>
    <x v="1"/>
    <n v="6"/>
    <n v="120"/>
    <n v="720"/>
    <n v="72"/>
    <s v="Large Order"/>
    <s v="Weekday"/>
  </r>
  <r>
    <s v="ORD-3431"/>
    <d v="2024-05-24T00:00:00"/>
    <n v="2024"/>
    <s v="May"/>
    <s v="Fri"/>
    <s v="CUST-188"/>
    <s v="PROD-024"/>
    <s v="Consumer"/>
    <s v="West"/>
    <x v="2"/>
    <x v="2"/>
    <n v="6"/>
    <n v="120"/>
    <n v="720"/>
    <n v="72"/>
    <s v="Large Order"/>
    <s v="Weekday"/>
  </r>
  <r>
    <s v="ORD-3432"/>
    <d v="2024-11-06T00:00:00"/>
    <n v="2024"/>
    <s v="Nov"/>
    <s v="Wed"/>
    <s v="CUST-162"/>
    <s v="PROD-004"/>
    <s v="Corporate"/>
    <s v="East"/>
    <x v="2"/>
    <x v="3"/>
    <n v="8"/>
    <n v="120"/>
    <n v="960"/>
    <n v="96"/>
    <s v="Large Order"/>
    <s v="Weekday"/>
  </r>
  <r>
    <s v="ORD-3433"/>
    <d v="2024-01-25T00:00:00"/>
    <n v="2024"/>
    <s v="Jan"/>
    <s v="Thu"/>
    <s v="CUST-102"/>
    <s v="PROD-012"/>
    <s v="Corporate"/>
    <s v="West"/>
    <x v="3"/>
    <x v="2"/>
    <n v="6"/>
    <n v="120"/>
    <n v="720"/>
    <n v="72"/>
    <s v="Large Order"/>
    <s v="Weekday"/>
  </r>
  <r>
    <s v="ORD-3434"/>
    <d v="2024-09-14T00:00:00"/>
    <n v="2024"/>
    <s v="Sep"/>
    <s v="Sat"/>
    <s v="CUST-104"/>
    <s v="PROD-003"/>
    <s v="Corporate"/>
    <s v="East"/>
    <x v="2"/>
    <x v="0"/>
    <n v="20"/>
    <n v="120"/>
    <n v="2400"/>
    <n v="240"/>
    <s v="Large Order"/>
    <s v="Weekend"/>
  </r>
  <r>
    <s v="ORD-3435"/>
    <d v="2024-10-14T00:00:00"/>
    <n v="2024"/>
    <s v="Oct"/>
    <s v="Mon"/>
    <s v="CUST-128"/>
    <s v="PROD-016"/>
    <s v="Corporate"/>
    <s v="Central"/>
    <x v="3"/>
    <x v="3"/>
    <n v="2"/>
    <n v="120"/>
    <n v="240"/>
    <n v="24"/>
    <s v="Standard Order"/>
    <s v="Weekday"/>
  </r>
  <r>
    <s v="ORD-3436"/>
    <d v="2024-10-12T00:00:00"/>
    <n v="2024"/>
    <s v="Oct"/>
    <s v="Sat"/>
    <s v="CUST-134"/>
    <s v="PROD-005"/>
    <s v="Home Office"/>
    <s v="North"/>
    <x v="5"/>
    <x v="4"/>
    <n v="4"/>
    <n v="120"/>
    <n v="480"/>
    <n v="48"/>
    <s v="Standard Order"/>
    <s v="Weekend"/>
  </r>
  <r>
    <s v="ORD-3437"/>
    <d v="2024-08-12T00:00:00"/>
    <n v="2024"/>
    <s v="Aug"/>
    <s v="Mon"/>
    <s v="CUST-158"/>
    <s v="PROD-025"/>
    <s v="Consumer"/>
    <s v="North"/>
    <x v="0"/>
    <x v="4"/>
    <n v="20"/>
    <n v="120"/>
    <n v="2400"/>
    <n v="240"/>
    <s v="Large Order"/>
    <s v="Weekday"/>
  </r>
  <r>
    <s v="ORD-3438"/>
    <d v="2024-02-22T00:00:00"/>
    <n v="2024"/>
    <s v="Feb"/>
    <s v="Thu"/>
    <s v="CUST-171"/>
    <s v="PROD-002"/>
    <s v="Home Office"/>
    <s v="West"/>
    <x v="0"/>
    <x v="2"/>
    <n v="4"/>
    <n v="120"/>
    <n v="480"/>
    <n v="48"/>
    <s v="Standard Order"/>
    <s v="Weekday"/>
  </r>
  <r>
    <s v="ORD-3439"/>
    <d v="2024-07-04T00:00:00"/>
    <n v="2024"/>
    <s v="Jul"/>
    <s v="Thu"/>
    <s v="CUST-120"/>
    <s v="PROD-024"/>
    <s v="Corporate"/>
    <s v="East"/>
    <x v="2"/>
    <x v="4"/>
    <n v="16"/>
    <n v="120"/>
    <n v="1920"/>
    <n v="192"/>
    <s v="Large Order"/>
    <s v="Weekday"/>
  </r>
  <r>
    <s v="ORD-3440"/>
    <d v="2024-02-20T00:00:00"/>
    <n v="2024"/>
    <s v="Feb"/>
    <s v="Tue"/>
    <s v="CUST-119"/>
    <s v="PROD-021"/>
    <s v="Corporate"/>
    <s v="South"/>
    <x v="3"/>
    <x v="2"/>
    <n v="4"/>
    <n v="120"/>
    <n v="480"/>
    <n v="48"/>
    <s v="Standard Order"/>
    <s v="Weekday"/>
  </r>
  <r>
    <s v="ORD-3441"/>
    <d v="2024-08-12T00:00:00"/>
    <n v="2024"/>
    <s v="Aug"/>
    <s v="Mon"/>
    <s v="CUST-153"/>
    <s v="PROD-025"/>
    <s v="Consumer"/>
    <s v="West"/>
    <x v="4"/>
    <x v="1"/>
    <n v="11"/>
    <n v="120"/>
    <n v="1320"/>
    <n v="132"/>
    <s v="Large Order"/>
    <s v="Weekday"/>
  </r>
  <r>
    <s v="ORD-3442"/>
    <d v="2024-03-28T00:00:00"/>
    <n v="2024"/>
    <s v="Mar"/>
    <s v="Thu"/>
    <s v="CUST-110"/>
    <s v="PROD-009"/>
    <s v="Corporate"/>
    <s v="West"/>
    <x v="2"/>
    <x v="3"/>
    <n v="8"/>
    <n v="120"/>
    <n v="960"/>
    <n v="96"/>
    <s v="Large Order"/>
    <s v="Weekday"/>
  </r>
  <r>
    <s v="ORD-3443"/>
    <d v="2024-09-28T00:00:00"/>
    <n v="2024"/>
    <s v="Sep"/>
    <s v="Sat"/>
    <s v="CUST-153"/>
    <s v="PROD-008"/>
    <s v="Consumer"/>
    <s v="West"/>
    <x v="2"/>
    <x v="1"/>
    <n v="14"/>
    <n v="120"/>
    <n v="1680"/>
    <n v="168"/>
    <s v="Large Order"/>
    <s v="Weekend"/>
  </r>
  <r>
    <s v="ORD-3444"/>
    <d v="2024-09-21T00:00:00"/>
    <n v="2024"/>
    <s v="Sep"/>
    <s v="Sat"/>
    <s v="CUST-187"/>
    <s v="PROD-012"/>
    <s v="Consumer"/>
    <s v="East"/>
    <x v="2"/>
    <x v="2"/>
    <n v="1"/>
    <n v="120"/>
    <n v="120"/>
    <n v="12"/>
    <s v="Standard Order"/>
    <s v="Weekend"/>
  </r>
  <r>
    <s v="ORD-3445"/>
    <d v="2024-09-21T00:00:00"/>
    <n v="2024"/>
    <s v="Sep"/>
    <s v="Sat"/>
    <s v="CUST-108"/>
    <s v="PROD-003"/>
    <s v="Corporate"/>
    <s v="South"/>
    <x v="3"/>
    <x v="1"/>
    <n v="6"/>
    <n v="120"/>
    <n v="720"/>
    <n v="72"/>
    <s v="Large Order"/>
    <s v="Weekend"/>
  </r>
  <r>
    <s v="ORD-3446"/>
    <d v="2024-07-20T00:00:00"/>
    <n v="2024"/>
    <s v="Jul"/>
    <s v="Sat"/>
    <s v="CUST-197"/>
    <s v="PROD-002"/>
    <s v="Home Office"/>
    <s v="West"/>
    <x v="4"/>
    <x v="4"/>
    <n v="2"/>
    <n v="120"/>
    <n v="240"/>
    <n v="24"/>
    <s v="Standard Order"/>
    <s v="Weekend"/>
  </r>
  <r>
    <s v="ORD-3447"/>
    <d v="2024-12-04T00:00:00"/>
    <n v="2024"/>
    <s v="Dec"/>
    <s v="Wed"/>
    <s v="CUST-166"/>
    <s v="PROD-010"/>
    <s v="Corporate"/>
    <s v="Central"/>
    <x v="2"/>
    <x v="4"/>
    <n v="10"/>
    <n v="120"/>
    <n v="1200"/>
    <n v="120"/>
    <s v="Large Order"/>
    <s v="Weekday"/>
  </r>
  <r>
    <s v="ORD-3448"/>
    <d v="2024-06-09T00:00:00"/>
    <n v="2024"/>
    <s v="Jun"/>
    <s v="Sun"/>
    <s v="CUST-144"/>
    <s v="PROD-001"/>
    <s v="Corporate"/>
    <s v="Central"/>
    <x v="5"/>
    <x v="4"/>
    <n v="5"/>
    <n v="120"/>
    <n v="600"/>
    <n v="60"/>
    <s v="Large Order"/>
    <s v="Weekend"/>
  </r>
  <r>
    <s v="ORD-3449"/>
    <d v="2024-08-16T00:00:00"/>
    <n v="2024"/>
    <s v="Aug"/>
    <s v="Fri"/>
    <s v="CUST-182"/>
    <s v="PROD-007"/>
    <s v="Home Office"/>
    <s v="East"/>
    <x v="5"/>
    <x v="4"/>
    <n v="15"/>
    <n v="120"/>
    <n v="1800"/>
    <n v="180"/>
    <s v="Large Order"/>
    <s v="Weekday"/>
  </r>
  <r>
    <s v="ORD-3450"/>
    <d v="2024-11-28T00:00:00"/>
    <n v="2024"/>
    <s v="Nov"/>
    <s v="Thu"/>
    <s v="CUST-151"/>
    <s v="PROD-025"/>
    <s v="Consumer"/>
    <s v="South"/>
    <x v="3"/>
    <x v="0"/>
    <n v="2"/>
    <n v="120"/>
    <n v="240"/>
    <n v="24"/>
    <s v="Standard Order"/>
    <s v="Weekday"/>
  </r>
  <r>
    <s v="ORD-3451"/>
    <d v="2024-07-18T00:00:00"/>
    <n v="2024"/>
    <s v="Jul"/>
    <s v="Thu"/>
    <s v="CUST-192"/>
    <s v="PROD-024"/>
    <s v="Home Office"/>
    <s v="Central"/>
    <x v="4"/>
    <x v="4"/>
    <n v="18"/>
    <n v="120"/>
    <n v="2160"/>
    <n v="216"/>
    <s v="Large Order"/>
    <s v="Weekday"/>
  </r>
  <r>
    <s v="ORD-3452"/>
    <d v="2024-02-17T00:00:00"/>
    <n v="2024"/>
    <s v="Feb"/>
    <s v="Sat"/>
    <s v="CUST-165"/>
    <s v="PROD-018"/>
    <s v="Corporate"/>
    <s v="East"/>
    <x v="5"/>
    <x v="3"/>
    <n v="6"/>
    <n v="120"/>
    <n v="720"/>
    <n v="72"/>
    <s v="Large Order"/>
    <s v="Weekend"/>
  </r>
  <r>
    <s v="ORD-3453"/>
    <d v="2024-10-03T00:00:00"/>
    <n v="2024"/>
    <s v="Oct"/>
    <s v="Thu"/>
    <s v="CUST-175"/>
    <s v="PROD-009"/>
    <s v="Consumer"/>
    <s v="Central"/>
    <x v="3"/>
    <x v="1"/>
    <n v="17"/>
    <n v="120"/>
    <n v="2040"/>
    <n v="204"/>
    <s v="Large Order"/>
    <s v="Weekday"/>
  </r>
  <r>
    <s v="ORD-3454"/>
    <d v="2024-01-31T00:00:00"/>
    <n v="2024"/>
    <s v="Jan"/>
    <s v="Wed"/>
    <s v="CUST-147"/>
    <s v="PROD-009"/>
    <s v="Home Office"/>
    <s v="Central"/>
    <x v="5"/>
    <x v="3"/>
    <n v="4"/>
    <n v="120"/>
    <n v="480"/>
    <n v="48"/>
    <s v="Standard Order"/>
    <s v="Weekday"/>
  </r>
  <r>
    <s v="ORD-3455"/>
    <d v="2024-11-29T00:00:00"/>
    <n v="2024"/>
    <s v="Nov"/>
    <s v="Fri"/>
    <s v="CUST-115"/>
    <s v="PROD-015"/>
    <s v="Corporate"/>
    <s v="Central"/>
    <x v="5"/>
    <x v="0"/>
    <n v="15"/>
    <n v="120"/>
    <n v="1800"/>
    <n v="180"/>
    <s v="Large Order"/>
    <s v="Weekday"/>
  </r>
  <r>
    <s v="ORD-3456"/>
    <d v="2024-04-30T00:00:00"/>
    <n v="2024"/>
    <s v="Apr"/>
    <s v="Tue"/>
    <s v="CUST-195"/>
    <s v="PROD-019"/>
    <s v="Home Office"/>
    <s v="South"/>
    <x v="5"/>
    <x v="4"/>
    <n v="8"/>
    <n v="120"/>
    <n v="960"/>
    <n v="96"/>
    <s v="Large Order"/>
    <s v="Weekday"/>
  </r>
  <r>
    <s v="ORD-3457"/>
    <d v="2024-05-25T00:00:00"/>
    <n v="2024"/>
    <s v="May"/>
    <s v="Sat"/>
    <s v="CUST-185"/>
    <s v="PROD-023"/>
    <s v="Home Office"/>
    <s v="South"/>
    <x v="4"/>
    <x v="1"/>
    <n v="17"/>
    <n v="120"/>
    <n v="2040"/>
    <n v="204"/>
    <s v="Large Order"/>
    <s v="Weekend"/>
  </r>
  <r>
    <s v="ORD-3458"/>
    <d v="2024-02-23T00:00:00"/>
    <n v="2024"/>
    <s v="Feb"/>
    <s v="Fri"/>
    <s v="CUST-141"/>
    <s v="PROD-017"/>
    <s v="Home Office"/>
    <s v="North"/>
    <x v="4"/>
    <x v="3"/>
    <n v="15"/>
    <n v="120"/>
    <n v="1800"/>
    <n v="180"/>
    <s v="Large Order"/>
    <s v="Weekday"/>
  </r>
  <r>
    <s v="ORD-3459"/>
    <d v="2024-12-30T00:00:00"/>
    <n v="2024"/>
    <s v="Dec"/>
    <s v="Mon"/>
    <s v="CUST-154"/>
    <s v="PROD-014"/>
    <s v="Consumer"/>
    <s v="East"/>
    <x v="0"/>
    <x v="0"/>
    <n v="14"/>
    <n v="120"/>
    <n v="1680"/>
    <n v="168"/>
    <s v="Large Order"/>
    <s v="Weekday"/>
  </r>
  <r>
    <s v="ORD-3460"/>
    <d v="2024-08-31T00:00:00"/>
    <n v="2024"/>
    <s v="Aug"/>
    <s v="Sat"/>
    <s v="CUST-127"/>
    <s v="PROD-015"/>
    <s v="Consumer"/>
    <s v="Central"/>
    <x v="3"/>
    <x v="4"/>
    <n v="13"/>
    <n v="120"/>
    <n v="1560"/>
    <n v="156"/>
    <s v="Large Order"/>
    <s v="Weekend"/>
  </r>
  <r>
    <s v="ORD-3461"/>
    <d v="2024-09-22T00:00:00"/>
    <n v="2024"/>
    <s v="Sep"/>
    <s v="Sun"/>
    <s v="CUST-199"/>
    <s v="PROD-013"/>
    <s v="Corporate"/>
    <s v="South"/>
    <x v="5"/>
    <x v="1"/>
    <n v="14"/>
    <n v="120"/>
    <n v="1680"/>
    <n v="168"/>
    <s v="Large Order"/>
    <s v="Weekend"/>
  </r>
  <r>
    <s v="ORD-3462"/>
    <d v="2024-12-18T00:00:00"/>
    <n v="2024"/>
    <s v="Dec"/>
    <s v="Wed"/>
    <s v="CUST-162"/>
    <s v="PROD-024"/>
    <s v="Corporate"/>
    <s v="Central"/>
    <x v="4"/>
    <x v="2"/>
    <n v="17"/>
    <n v="120"/>
    <n v="2040"/>
    <n v="204"/>
    <s v="Large Order"/>
    <s v="Weekday"/>
  </r>
  <r>
    <s v="ORD-3463"/>
    <d v="2024-12-30T00:00:00"/>
    <n v="2024"/>
    <s v="Dec"/>
    <s v="Mon"/>
    <s v="CUST-158"/>
    <s v="PROD-005"/>
    <s v="Home Office"/>
    <s v="South"/>
    <x v="5"/>
    <x v="4"/>
    <n v="4"/>
    <n v="120"/>
    <n v="480"/>
    <n v="48"/>
    <s v="Standard Order"/>
    <s v="Weekday"/>
  </r>
  <r>
    <s v="ORD-3464"/>
    <d v="2024-08-21T00:00:00"/>
    <n v="2024"/>
    <s v="Aug"/>
    <s v="Wed"/>
    <s v="CUST-160"/>
    <s v="PROD-002"/>
    <s v="Home Office"/>
    <s v="North"/>
    <x v="4"/>
    <x v="4"/>
    <n v="12"/>
    <n v="120"/>
    <n v="1440"/>
    <n v="144"/>
    <s v="Large Order"/>
    <s v="Weekday"/>
  </r>
  <r>
    <s v="ORD-3465"/>
    <d v="2024-03-01T00:00:00"/>
    <n v="2024"/>
    <s v="Mar"/>
    <s v="Fri"/>
    <s v="CUST-177"/>
    <s v="PROD-014"/>
    <s v="Consumer"/>
    <s v="East"/>
    <x v="0"/>
    <x v="3"/>
    <n v="19"/>
    <n v="120"/>
    <n v="2280"/>
    <n v="228"/>
    <s v="Large Order"/>
    <s v="Weekday"/>
  </r>
  <r>
    <s v="ORD-3466"/>
    <d v="2024-09-24T00:00:00"/>
    <n v="2024"/>
    <s v="Sep"/>
    <s v="Tue"/>
    <s v="CUST-119"/>
    <s v="PROD-004"/>
    <s v="Corporate"/>
    <s v="West"/>
    <x v="3"/>
    <x v="3"/>
    <n v="10"/>
    <n v="120"/>
    <n v="1200"/>
    <n v="120"/>
    <s v="Large Order"/>
    <s v="Weekday"/>
  </r>
  <r>
    <s v="ORD-3467"/>
    <d v="2024-01-15T00:00:00"/>
    <n v="2024"/>
    <s v="Jan"/>
    <s v="Mon"/>
    <s v="CUST-118"/>
    <s v="PROD-005"/>
    <s v="Home Office"/>
    <s v="North"/>
    <x v="2"/>
    <x v="0"/>
    <n v="10"/>
    <n v="120"/>
    <n v="1200"/>
    <n v="120"/>
    <s v="Large Order"/>
    <s v="Weekday"/>
  </r>
  <r>
    <s v="ORD-3468"/>
    <d v="2024-04-20T00:00:00"/>
    <n v="2024"/>
    <s v="Apr"/>
    <s v="Sat"/>
    <s v="CUST-123"/>
    <s v="PROD-024"/>
    <s v="Corporate"/>
    <s v="East"/>
    <x v="0"/>
    <x v="0"/>
    <n v="18"/>
    <n v="120"/>
    <n v="2160"/>
    <n v="216"/>
    <s v="Large Order"/>
    <s v="Weekend"/>
  </r>
  <r>
    <s v="ORD-3469"/>
    <d v="2024-01-23T00:00:00"/>
    <n v="2024"/>
    <s v="Jan"/>
    <s v="Tue"/>
    <s v="CUST-153"/>
    <s v="PROD-016"/>
    <s v="Home Office"/>
    <s v="South"/>
    <x v="3"/>
    <x v="4"/>
    <n v="15"/>
    <n v="120"/>
    <n v="1800"/>
    <n v="180"/>
    <s v="Large Order"/>
    <s v="Weekday"/>
  </r>
  <r>
    <s v="ORD-3470"/>
    <d v="2024-07-12T00:00:00"/>
    <n v="2024"/>
    <s v="Jul"/>
    <s v="Fri"/>
    <s v="CUST-160"/>
    <s v="PROD-024"/>
    <s v="Home Office"/>
    <s v="East"/>
    <x v="4"/>
    <x v="2"/>
    <n v="17"/>
    <n v="120"/>
    <n v="2040"/>
    <n v="204"/>
    <s v="Large Order"/>
    <s v="Weekday"/>
  </r>
  <r>
    <s v="ORD-3471"/>
    <d v="2024-08-18T00:00:00"/>
    <n v="2024"/>
    <s v="Aug"/>
    <s v="Sun"/>
    <s v="CUST-185"/>
    <s v="PROD-015"/>
    <s v="Consumer"/>
    <s v="East"/>
    <x v="3"/>
    <x v="0"/>
    <n v="20"/>
    <n v="120"/>
    <n v="2400"/>
    <n v="240"/>
    <s v="Large Order"/>
    <s v="Weekend"/>
  </r>
  <r>
    <s v="ORD-3472"/>
    <d v="2024-07-28T00:00:00"/>
    <n v="2024"/>
    <s v="Jul"/>
    <s v="Sun"/>
    <s v="CUST-149"/>
    <s v="PROD-008"/>
    <s v="Corporate"/>
    <s v="North"/>
    <x v="3"/>
    <x v="4"/>
    <n v="2"/>
    <n v="120"/>
    <n v="240"/>
    <n v="24"/>
    <s v="Standard Order"/>
    <s v="Weekend"/>
  </r>
  <r>
    <s v="ORD-3473"/>
    <d v="2024-08-14T00:00:00"/>
    <n v="2024"/>
    <s v="Aug"/>
    <s v="Wed"/>
    <s v="CUST-194"/>
    <s v="PROD-009"/>
    <s v="Home Office"/>
    <s v="North"/>
    <x v="0"/>
    <x v="2"/>
    <n v="1"/>
    <n v="120"/>
    <n v="120"/>
    <n v="12"/>
    <s v="Standard Order"/>
    <s v="Weekday"/>
  </r>
  <r>
    <s v="ORD-3474"/>
    <d v="2024-12-28T00:00:00"/>
    <n v="2024"/>
    <s v="Dec"/>
    <s v="Sat"/>
    <s v="CUST-139"/>
    <s v="PROD-018"/>
    <s v="Home Office"/>
    <s v="Central"/>
    <x v="0"/>
    <x v="4"/>
    <n v="3"/>
    <n v="120"/>
    <n v="360"/>
    <n v="36"/>
    <s v="Standard Order"/>
    <s v="Weekend"/>
  </r>
  <r>
    <s v="ORD-3475"/>
    <d v="2024-11-12T00:00:00"/>
    <n v="2024"/>
    <s v="Nov"/>
    <s v="Tue"/>
    <s v="CUST-169"/>
    <s v="PROD-019"/>
    <s v="Consumer"/>
    <s v="Central"/>
    <x v="5"/>
    <x v="4"/>
    <n v="7"/>
    <n v="120"/>
    <n v="840"/>
    <n v="84"/>
    <s v="Large Order"/>
    <s v="Weekday"/>
  </r>
  <r>
    <s v="ORD-3476"/>
    <d v="2024-09-14T00:00:00"/>
    <n v="2024"/>
    <s v="Sep"/>
    <s v="Sat"/>
    <s v="CUST-102"/>
    <s v="PROD-004"/>
    <s v="Home Office"/>
    <s v="West"/>
    <x v="5"/>
    <x v="2"/>
    <n v="1"/>
    <n v="120"/>
    <n v="120"/>
    <n v="12"/>
    <s v="Standard Order"/>
    <s v="Weekend"/>
  </r>
  <r>
    <s v="ORD-3477"/>
    <d v="2024-04-15T00:00:00"/>
    <n v="2024"/>
    <s v="Apr"/>
    <s v="Mon"/>
    <s v="CUST-131"/>
    <s v="PROD-023"/>
    <s v="Home Office"/>
    <s v="North"/>
    <x v="2"/>
    <x v="0"/>
    <n v="18"/>
    <n v="120"/>
    <n v="2160"/>
    <n v="216"/>
    <s v="Large Order"/>
    <s v="Weekday"/>
  </r>
  <r>
    <s v="ORD-3478"/>
    <d v="2024-07-24T00:00:00"/>
    <n v="2024"/>
    <s v="Jul"/>
    <s v="Wed"/>
    <s v="CUST-175"/>
    <s v="PROD-002"/>
    <s v="Corporate"/>
    <s v="East"/>
    <x v="0"/>
    <x v="3"/>
    <n v="14"/>
    <n v="120"/>
    <n v="1680"/>
    <n v="168"/>
    <s v="Large Order"/>
    <s v="Weekday"/>
  </r>
  <r>
    <s v="ORD-3479"/>
    <d v="2024-01-13T00:00:00"/>
    <n v="2024"/>
    <s v="Jan"/>
    <s v="Sat"/>
    <s v="CUST-167"/>
    <s v="PROD-011"/>
    <s v="Corporate"/>
    <s v="South"/>
    <x v="3"/>
    <x v="0"/>
    <n v="4"/>
    <n v="120"/>
    <n v="480"/>
    <n v="48"/>
    <s v="Standard Order"/>
    <s v="Weekend"/>
  </r>
  <r>
    <s v="ORD-3480"/>
    <d v="2024-10-04T00:00:00"/>
    <n v="2024"/>
    <s v="Oct"/>
    <s v="Fri"/>
    <s v="CUST-121"/>
    <s v="PROD-010"/>
    <s v="Consumer"/>
    <s v="Central"/>
    <x v="4"/>
    <x v="3"/>
    <n v="3"/>
    <n v="120"/>
    <n v="360"/>
    <n v="36"/>
    <s v="Standard Order"/>
    <s v="Weekday"/>
  </r>
  <r>
    <s v="ORD-3481"/>
    <d v="2024-07-27T00:00:00"/>
    <n v="2024"/>
    <s v="Jul"/>
    <s v="Sat"/>
    <s v="CUST-186"/>
    <s v="PROD-006"/>
    <s v="Consumer"/>
    <s v="East"/>
    <x v="5"/>
    <x v="3"/>
    <n v="6"/>
    <n v="120"/>
    <n v="720"/>
    <n v="72"/>
    <s v="Large Order"/>
    <s v="Weekend"/>
  </r>
  <r>
    <s v="ORD-3482"/>
    <d v="2024-01-30T00:00:00"/>
    <n v="2024"/>
    <s v="Jan"/>
    <s v="Tue"/>
    <s v="CUST-138"/>
    <s v="PROD-013"/>
    <s v="Consumer"/>
    <s v="South"/>
    <x v="3"/>
    <x v="2"/>
    <n v="14"/>
    <n v="120"/>
    <n v="1680"/>
    <n v="168"/>
    <s v="Large Order"/>
    <s v="Weekday"/>
  </r>
  <r>
    <s v="ORD-3483"/>
    <d v="2024-05-12T00:00:00"/>
    <n v="2024"/>
    <s v="May"/>
    <s v="Sun"/>
    <s v="CUST-148"/>
    <s v="PROD-004"/>
    <s v="Consumer"/>
    <s v="West"/>
    <x v="4"/>
    <x v="2"/>
    <n v="20"/>
    <n v="120"/>
    <n v="2400"/>
    <n v="240"/>
    <s v="Large Order"/>
    <s v="Weekend"/>
  </r>
  <r>
    <s v="ORD-3484"/>
    <d v="2024-09-09T00:00:00"/>
    <n v="2024"/>
    <s v="Sep"/>
    <s v="Mon"/>
    <s v="CUST-165"/>
    <s v="PROD-025"/>
    <s v="Home Office"/>
    <s v="West"/>
    <x v="2"/>
    <x v="0"/>
    <n v="9"/>
    <n v="120"/>
    <n v="1080"/>
    <n v="108"/>
    <s v="Large Order"/>
    <s v="Weekday"/>
  </r>
  <r>
    <s v="ORD-3485"/>
    <d v="2024-08-25T00:00:00"/>
    <n v="2024"/>
    <s v="Aug"/>
    <s v="Sun"/>
    <s v="CUST-170"/>
    <s v="PROD-014"/>
    <s v="Consumer"/>
    <s v="North"/>
    <x v="2"/>
    <x v="0"/>
    <n v="14"/>
    <n v="120"/>
    <n v="1680"/>
    <n v="168"/>
    <s v="Large Order"/>
    <s v="Weekend"/>
  </r>
  <r>
    <s v="ORD-3486"/>
    <d v="2024-01-10T00:00:00"/>
    <n v="2024"/>
    <s v="Jan"/>
    <s v="Wed"/>
    <s v="CUST-134"/>
    <s v="PROD-018"/>
    <s v="Home Office"/>
    <s v="West"/>
    <x v="0"/>
    <x v="2"/>
    <n v="18"/>
    <n v="120"/>
    <n v="2160"/>
    <n v="216"/>
    <s v="Large Order"/>
    <s v="Weekday"/>
  </r>
  <r>
    <s v="ORD-3487"/>
    <d v="2024-03-05T00:00:00"/>
    <n v="2024"/>
    <s v="Mar"/>
    <s v="Tue"/>
    <s v="CUST-138"/>
    <s v="PROD-019"/>
    <s v="Corporate"/>
    <s v="South"/>
    <x v="2"/>
    <x v="0"/>
    <n v="17"/>
    <n v="120"/>
    <n v="2040"/>
    <n v="204"/>
    <s v="Large Order"/>
    <s v="Weekday"/>
  </r>
  <r>
    <s v="ORD-3488"/>
    <d v="2024-03-13T00:00:00"/>
    <n v="2024"/>
    <s v="Mar"/>
    <s v="Wed"/>
    <s v="CUST-147"/>
    <s v="PROD-018"/>
    <s v="Consumer"/>
    <s v="West"/>
    <x v="4"/>
    <x v="4"/>
    <n v="14"/>
    <n v="120"/>
    <n v="1680"/>
    <n v="168"/>
    <s v="Large Order"/>
    <s v="Weekday"/>
  </r>
  <r>
    <s v="ORD-3489"/>
    <d v="2024-10-11T00:00:00"/>
    <n v="2024"/>
    <s v="Oct"/>
    <s v="Fri"/>
    <s v="CUST-157"/>
    <s v="PROD-002"/>
    <s v="Consumer"/>
    <s v="East"/>
    <x v="2"/>
    <x v="4"/>
    <n v="10"/>
    <n v="120"/>
    <n v="1200"/>
    <n v="120"/>
    <s v="Large Order"/>
    <s v="Weekday"/>
  </r>
  <r>
    <s v="ORD-3490"/>
    <d v="2024-03-26T00:00:00"/>
    <n v="2024"/>
    <s v="Mar"/>
    <s v="Tue"/>
    <s v="CUST-100"/>
    <s v="PROD-002"/>
    <s v="Corporate"/>
    <s v="Central"/>
    <x v="3"/>
    <x v="4"/>
    <n v="9"/>
    <n v="120"/>
    <n v="1080"/>
    <n v="108"/>
    <s v="Large Order"/>
    <s v="Weekday"/>
  </r>
  <r>
    <s v="ORD-3491"/>
    <d v="2024-07-13T00:00:00"/>
    <n v="2024"/>
    <s v="Jul"/>
    <s v="Sat"/>
    <s v="CUST-144"/>
    <s v="PROD-021"/>
    <s v="Consumer"/>
    <s v="North"/>
    <x v="5"/>
    <x v="4"/>
    <n v="10"/>
    <n v="120"/>
    <n v="1200"/>
    <n v="120"/>
    <s v="Large Order"/>
    <s v="Weekend"/>
  </r>
  <r>
    <s v="ORD-3492"/>
    <d v="2024-09-30T00:00:00"/>
    <n v="2024"/>
    <s v="Sep"/>
    <s v="Mon"/>
    <s v="CUST-172"/>
    <s v="PROD-003"/>
    <s v="Corporate"/>
    <s v="Central"/>
    <x v="0"/>
    <x v="1"/>
    <n v="4"/>
    <n v="120"/>
    <n v="480"/>
    <n v="48"/>
    <s v="Standard Order"/>
    <s v="Weekday"/>
  </r>
  <r>
    <s v="ORD-3493"/>
    <d v="2024-10-11T00:00:00"/>
    <n v="2024"/>
    <s v="Oct"/>
    <s v="Fri"/>
    <s v="CUST-135"/>
    <s v="PROD-014"/>
    <s v="Consumer"/>
    <s v="West"/>
    <x v="5"/>
    <x v="4"/>
    <n v="11"/>
    <n v="120"/>
    <n v="1320"/>
    <n v="132"/>
    <s v="Large Order"/>
    <s v="Weekday"/>
  </r>
  <r>
    <s v="ORD-3494"/>
    <d v="2024-06-24T00:00:00"/>
    <n v="2024"/>
    <s v="Jun"/>
    <s v="Mon"/>
    <s v="CUST-181"/>
    <s v="PROD-009"/>
    <s v="Home Office"/>
    <s v="Central"/>
    <x v="2"/>
    <x v="3"/>
    <n v="8"/>
    <n v="120"/>
    <n v="960"/>
    <n v="96"/>
    <s v="Large Order"/>
    <s v="Weekday"/>
  </r>
  <r>
    <s v="ORD-3495"/>
    <d v="2024-06-13T00:00:00"/>
    <n v="2024"/>
    <s v="Jun"/>
    <s v="Thu"/>
    <s v="CUST-143"/>
    <s v="PROD-007"/>
    <s v="Corporate"/>
    <s v="West"/>
    <x v="5"/>
    <x v="3"/>
    <n v="1"/>
    <n v="120"/>
    <n v="120"/>
    <n v="12"/>
    <s v="Standard Order"/>
    <s v="Weekday"/>
  </r>
  <r>
    <s v="ORD-3496"/>
    <d v="2024-03-09T00:00:00"/>
    <n v="2024"/>
    <s v="Mar"/>
    <s v="Sat"/>
    <s v="CUST-182"/>
    <s v="PROD-001"/>
    <s v="Home Office"/>
    <s v="West"/>
    <x v="2"/>
    <x v="0"/>
    <n v="1"/>
    <n v="120"/>
    <n v="120"/>
    <n v="12"/>
    <s v="Standard Order"/>
    <s v="Weekend"/>
  </r>
  <r>
    <s v="ORD-3497"/>
    <d v="2024-07-30T00:00:00"/>
    <n v="2024"/>
    <s v="Jul"/>
    <s v="Tue"/>
    <s v="CUST-171"/>
    <s v="PROD-023"/>
    <s v="Home Office"/>
    <s v="North"/>
    <x v="2"/>
    <x v="1"/>
    <n v="18"/>
    <n v="120"/>
    <n v="2160"/>
    <n v="216"/>
    <s v="Large Order"/>
    <s v="Weekday"/>
  </r>
  <r>
    <s v="ORD-3498"/>
    <d v="2024-11-28T00:00:00"/>
    <n v="2024"/>
    <s v="Nov"/>
    <s v="Thu"/>
    <s v="CUST-183"/>
    <s v="PROD-003"/>
    <s v="Home Office"/>
    <s v="South"/>
    <x v="0"/>
    <x v="1"/>
    <n v="4"/>
    <n v="120"/>
    <n v="480"/>
    <n v="48"/>
    <s v="Standard Order"/>
    <s v="Weekday"/>
  </r>
  <r>
    <s v="ORD-3499"/>
    <d v="2024-07-11T00:00:00"/>
    <n v="2024"/>
    <s v="Jul"/>
    <s v="Thu"/>
    <s v="CUST-176"/>
    <s v="PROD-012"/>
    <s v="Corporate"/>
    <s v="North"/>
    <x v="4"/>
    <x v="0"/>
    <n v="4"/>
    <n v="120"/>
    <n v="480"/>
    <n v="48"/>
    <s v="Standard Order"/>
    <s v="Weekday"/>
  </r>
  <r>
    <s v="ORD-3500"/>
    <d v="2024-04-08T00:00:00"/>
    <n v="2024"/>
    <s v="Apr"/>
    <s v="Mon"/>
    <s v="CUST-156"/>
    <s v="PROD-001"/>
    <s v="Consumer"/>
    <s v="South"/>
    <x v="0"/>
    <x v="3"/>
    <n v="12"/>
    <n v="120"/>
    <n v="1440"/>
    <n v="144"/>
    <s v="Large Order"/>
    <s v="Weekday"/>
  </r>
  <r>
    <s v="ORD-3501"/>
    <d v="2024-11-10T00:00:00"/>
    <n v="2024"/>
    <s v="Nov"/>
    <s v="Sun"/>
    <s v="CUST-180"/>
    <s v="PROD-010"/>
    <s v="Home Office"/>
    <s v="Central"/>
    <x v="4"/>
    <x v="2"/>
    <n v="16"/>
    <n v="120"/>
    <n v="1920"/>
    <n v="192"/>
    <s v="Large Order"/>
    <s v="Weekend"/>
  </r>
  <r>
    <s v="ORD-3502"/>
    <d v="2024-01-19T00:00:00"/>
    <n v="2024"/>
    <s v="Jan"/>
    <s v="Fri"/>
    <s v="CUST-135"/>
    <s v="PROD-016"/>
    <s v="Home Office"/>
    <s v="Central"/>
    <x v="5"/>
    <x v="2"/>
    <n v="1"/>
    <n v="120"/>
    <n v="120"/>
    <n v="12"/>
    <s v="Standard Order"/>
    <s v="Weekday"/>
  </r>
  <r>
    <s v="ORD-3503"/>
    <d v="2024-11-22T00:00:00"/>
    <n v="2024"/>
    <s v="Nov"/>
    <s v="Fri"/>
    <s v="CUST-150"/>
    <s v="PROD-004"/>
    <s v="Corporate"/>
    <s v="Central"/>
    <x v="5"/>
    <x v="4"/>
    <n v="16"/>
    <n v="120"/>
    <n v="1920"/>
    <n v="192"/>
    <s v="Large Order"/>
    <s v="Weekday"/>
  </r>
  <r>
    <s v="ORD-3504"/>
    <d v="2024-04-09T00:00:00"/>
    <n v="2024"/>
    <s v="Apr"/>
    <s v="Tue"/>
    <s v="CUST-184"/>
    <s v="PROD-024"/>
    <s v="Home Office"/>
    <s v="East"/>
    <x v="5"/>
    <x v="4"/>
    <n v="6"/>
    <n v="120"/>
    <n v="720"/>
    <n v="72"/>
    <s v="Large Order"/>
    <s v="Weekday"/>
  </r>
  <r>
    <s v="ORD-3505"/>
    <d v="2024-03-06T00:00:00"/>
    <n v="2024"/>
    <s v="Mar"/>
    <s v="Wed"/>
    <s v="CUST-195"/>
    <s v="PROD-003"/>
    <s v="Consumer"/>
    <s v="Central"/>
    <x v="3"/>
    <x v="4"/>
    <n v="8"/>
    <n v="120"/>
    <n v="960"/>
    <n v="96"/>
    <s v="Large Order"/>
    <s v="Weekday"/>
  </r>
  <r>
    <s v="ORD-3506"/>
    <d v="2024-05-20T00:00:00"/>
    <n v="2024"/>
    <s v="May"/>
    <s v="Mon"/>
    <s v="CUST-124"/>
    <s v="PROD-022"/>
    <s v="Consumer"/>
    <s v="North"/>
    <x v="5"/>
    <x v="4"/>
    <n v="9"/>
    <n v="120"/>
    <n v="1080"/>
    <n v="108"/>
    <s v="Large Order"/>
    <s v="Weekday"/>
  </r>
  <r>
    <s v="ORD-3507"/>
    <d v="2024-08-20T00:00:00"/>
    <n v="2024"/>
    <s v="Aug"/>
    <s v="Tue"/>
    <s v="CUST-100"/>
    <s v="PROD-014"/>
    <s v="Home Office"/>
    <s v="Central"/>
    <x v="0"/>
    <x v="3"/>
    <n v="14"/>
    <n v="120"/>
    <n v="1680"/>
    <n v="168"/>
    <s v="Large Order"/>
    <s v="Weekday"/>
  </r>
  <r>
    <s v="ORD-3508"/>
    <d v="2024-07-27T00:00:00"/>
    <n v="2024"/>
    <s v="Jul"/>
    <s v="Sat"/>
    <s v="CUST-135"/>
    <s v="PROD-004"/>
    <s v="Home Office"/>
    <s v="East"/>
    <x v="5"/>
    <x v="1"/>
    <n v="16"/>
    <n v="120"/>
    <n v="1920"/>
    <n v="192"/>
    <s v="Large Order"/>
    <s v="Weekend"/>
  </r>
  <r>
    <s v="ORD-3509"/>
    <d v="2024-01-23T00:00:00"/>
    <n v="2024"/>
    <s v="Jan"/>
    <s v="Tue"/>
    <s v="CUST-192"/>
    <s v="PROD-008"/>
    <s v="Consumer"/>
    <s v="North"/>
    <x v="3"/>
    <x v="1"/>
    <n v="18"/>
    <n v="120"/>
    <n v="2160"/>
    <n v="216"/>
    <s v="Large Order"/>
    <s v="Weekday"/>
  </r>
  <r>
    <s v="ORD-3510"/>
    <d v="2024-01-03T00:00:00"/>
    <n v="2024"/>
    <s v="Jan"/>
    <s v="Wed"/>
    <s v="CUST-150"/>
    <s v="PROD-007"/>
    <s v="Corporate"/>
    <s v="South"/>
    <x v="0"/>
    <x v="4"/>
    <n v="1"/>
    <n v="120"/>
    <n v="120"/>
    <n v="12"/>
    <s v="Standard Order"/>
    <s v="Weekday"/>
  </r>
  <r>
    <s v="ORD-3511"/>
    <d v="2024-04-25T00:00:00"/>
    <n v="2024"/>
    <s v="Apr"/>
    <s v="Thu"/>
    <s v="CUST-188"/>
    <s v="PROD-014"/>
    <s v="Consumer"/>
    <s v="North"/>
    <x v="4"/>
    <x v="2"/>
    <n v="6"/>
    <n v="120"/>
    <n v="720"/>
    <n v="72"/>
    <s v="Large Order"/>
    <s v="Weekday"/>
  </r>
  <r>
    <s v="ORD-3512"/>
    <d v="2024-02-02T00:00:00"/>
    <n v="2024"/>
    <s v="Feb"/>
    <s v="Fri"/>
    <s v="CUST-180"/>
    <s v="PROD-021"/>
    <s v="Consumer"/>
    <s v="South"/>
    <x v="0"/>
    <x v="1"/>
    <n v="14"/>
    <n v="120"/>
    <n v="1680"/>
    <n v="168"/>
    <s v="Large Order"/>
    <s v="Weekday"/>
  </r>
  <r>
    <s v="ORD-3513"/>
    <d v="2024-10-30T00:00:00"/>
    <n v="2024"/>
    <s v="Oct"/>
    <s v="Wed"/>
    <s v="CUST-180"/>
    <s v="PROD-011"/>
    <s v="Corporate"/>
    <s v="South"/>
    <x v="4"/>
    <x v="0"/>
    <n v="16"/>
    <n v="120"/>
    <n v="1920"/>
    <n v="192"/>
    <s v="Large Order"/>
    <s v="Weekday"/>
  </r>
  <r>
    <s v="ORD-3514"/>
    <d v="2024-06-23T00:00:00"/>
    <n v="2024"/>
    <s v="Jun"/>
    <s v="Sun"/>
    <s v="CUST-106"/>
    <s v="PROD-011"/>
    <s v="Home Office"/>
    <s v="North"/>
    <x v="4"/>
    <x v="0"/>
    <n v="20"/>
    <n v="120"/>
    <n v="2400"/>
    <n v="240"/>
    <s v="Large Order"/>
    <s v="Weekend"/>
  </r>
  <r>
    <s v="ORD-3515"/>
    <d v="2024-02-18T00:00:00"/>
    <n v="2024"/>
    <s v="Feb"/>
    <s v="Sun"/>
    <s v="CUST-180"/>
    <s v="PROD-015"/>
    <s v="Home Office"/>
    <s v="South"/>
    <x v="0"/>
    <x v="0"/>
    <n v="2"/>
    <n v="120"/>
    <n v="240"/>
    <n v="24"/>
    <s v="Standard Order"/>
    <s v="Weekend"/>
  </r>
  <r>
    <s v="ORD-3516"/>
    <d v="2024-07-12T00:00:00"/>
    <n v="2024"/>
    <s v="Jul"/>
    <s v="Fri"/>
    <s v="CUST-140"/>
    <s v="PROD-023"/>
    <s v="Consumer"/>
    <s v="North"/>
    <x v="4"/>
    <x v="0"/>
    <n v="15"/>
    <n v="120"/>
    <n v="1800"/>
    <n v="180"/>
    <s v="Large Order"/>
    <s v="Weekday"/>
  </r>
  <r>
    <s v="ORD-3517"/>
    <d v="2024-11-08T00:00:00"/>
    <n v="2024"/>
    <s v="Nov"/>
    <s v="Fri"/>
    <s v="CUST-180"/>
    <s v="PROD-014"/>
    <s v="Consumer"/>
    <s v="West"/>
    <x v="0"/>
    <x v="0"/>
    <n v="18"/>
    <n v="120"/>
    <n v="2160"/>
    <n v="216"/>
    <s v="Large Order"/>
    <s v="Weekday"/>
  </r>
  <r>
    <s v="ORD-3518"/>
    <d v="2024-07-14T00:00:00"/>
    <n v="2024"/>
    <s v="Jul"/>
    <s v="Sun"/>
    <s v="CUST-151"/>
    <s v="PROD-004"/>
    <s v="Home Office"/>
    <s v="West"/>
    <x v="2"/>
    <x v="2"/>
    <n v="20"/>
    <n v="120"/>
    <n v="2400"/>
    <n v="240"/>
    <s v="Large Order"/>
    <s v="Weekend"/>
  </r>
  <r>
    <s v="ORD-3519"/>
    <d v="2024-11-15T00:00:00"/>
    <n v="2024"/>
    <s v="Nov"/>
    <s v="Fri"/>
    <s v="CUST-101"/>
    <s v="PROD-015"/>
    <s v="Corporate"/>
    <s v="West"/>
    <x v="2"/>
    <x v="1"/>
    <n v="20"/>
    <n v="120"/>
    <n v="2400"/>
    <n v="240"/>
    <s v="Large Order"/>
    <s v="Weekday"/>
  </r>
  <r>
    <s v="ORD-3520"/>
    <d v="2024-06-22T00:00:00"/>
    <n v="2024"/>
    <s v="Jun"/>
    <s v="Sat"/>
    <s v="CUST-183"/>
    <s v="PROD-022"/>
    <s v="Consumer"/>
    <s v="North"/>
    <x v="2"/>
    <x v="4"/>
    <n v="11"/>
    <n v="120"/>
    <n v="1320"/>
    <n v="132"/>
    <s v="Large Order"/>
    <s v="Weekend"/>
  </r>
  <r>
    <s v="ORD-3521"/>
    <d v="2024-02-25T00:00:00"/>
    <n v="2024"/>
    <s v="Feb"/>
    <s v="Sun"/>
    <s v="CUST-113"/>
    <s v="PROD-001"/>
    <s v="Home Office"/>
    <s v="East"/>
    <x v="0"/>
    <x v="4"/>
    <n v="7"/>
    <n v="120"/>
    <n v="840"/>
    <n v="84"/>
    <s v="Large Order"/>
    <s v="Weekend"/>
  </r>
  <r>
    <s v="ORD-3522"/>
    <d v="2024-03-05T00:00:00"/>
    <n v="2024"/>
    <s v="Mar"/>
    <s v="Tue"/>
    <s v="CUST-181"/>
    <s v="PROD-017"/>
    <s v="Corporate"/>
    <s v="North"/>
    <x v="3"/>
    <x v="1"/>
    <n v="16"/>
    <n v="120"/>
    <n v="1920"/>
    <n v="192"/>
    <s v="Large Order"/>
    <s v="Weekday"/>
  </r>
  <r>
    <s v="ORD-3523"/>
    <d v="2024-08-15T00:00:00"/>
    <n v="2024"/>
    <s v="Aug"/>
    <s v="Thu"/>
    <s v="CUST-123"/>
    <s v="PROD-008"/>
    <s v="Consumer"/>
    <s v="East"/>
    <x v="0"/>
    <x v="0"/>
    <n v="5"/>
    <n v="120"/>
    <n v="600"/>
    <n v="60"/>
    <s v="Large Order"/>
    <s v="Weekday"/>
  </r>
  <r>
    <s v="ORD-3524"/>
    <d v="2024-08-11T00:00:00"/>
    <n v="2024"/>
    <s v="Aug"/>
    <s v="Sun"/>
    <s v="CUST-165"/>
    <s v="PROD-021"/>
    <s v="Corporate"/>
    <s v="East"/>
    <x v="3"/>
    <x v="4"/>
    <n v="18"/>
    <n v="120"/>
    <n v="2160"/>
    <n v="216"/>
    <s v="Large Order"/>
    <s v="Weekend"/>
  </r>
  <r>
    <s v="ORD-3525"/>
    <d v="2024-03-16T00:00:00"/>
    <n v="2024"/>
    <s v="Mar"/>
    <s v="Sat"/>
    <s v="CUST-160"/>
    <s v="PROD-010"/>
    <s v="Home Office"/>
    <s v="South"/>
    <x v="3"/>
    <x v="3"/>
    <n v="12"/>
    <n v="120"/>
    <n v="1440"/>
    <n v="144"/>
    <s v="Large Order"/>
    <s v="Weekend"/>
  </r>
  <r>
    <s v="ORD-3526"/>
    <d v="2024-09-22T00:00:00"/>
    <n v="2024"/>
    <s v="Sep"/>
    <s v="Sun"/>
    <s v="CUST-175"/>
    <s v="PROD-022"/>
    <s v="Home Office"/>
    <s v="South"/>
    <x v="4"/>
    <x v="0"/>
    <n v="8"/>
    <n v="120"/>
    <n v="960"/>
    <n v="96"/>
    <s v="Large Order"/>
    <s v="Weekend"/>
  </r>
  <r>
    <s v="ORD-3527"/>
    <d v="2024-10-13T00:00:00"/>
    <n v="2024"/>
    <s v="Oct"/>
    <s v="Sun"/>
    <s v="CUST-106"/>
    <s v="PROD-014"/>
    <s v="Corporate"/>
    <s v="West"/>
    <x v="4"/>
    <x v="2"/>
    <n v="7"/>
    <n v="120"/>
    <n v="840"/>
    <n v="84"/>
    <s v="Large Order"/>
    <s v="Weekend"/>
  </r>
  <r>
    <s v="ORD-3528"/>
    <d v="2024-06-23T00:00:00"/>
    <n v="2024"/>
    <s v="Jun"/>
    <s v="Sun"/>
    <s v="CUST-124"/>
    <s v="PROD-022"/>
    <s v="Corporate"/>
    <s v="West"/>
    <x v="2"/>
    <x v="4"/>
    <n v="11"/>
    <n v="120"/>
    <n v="1320"/>
    <n v="132"/>
    <s v="Large Order"/>
    <s v="Weekend"/>
  </r>
  <r>
    <s v="ORD-3529"/>
    <d v="2024-10-16T00:00:00"/>
    <n v="2024"/>
    <s v="Oct"/>
    <s v="Wed"/>
    <s v="CUST-142"/>
    <s v="PROD-020"/>
    <s v="Corporate"/>
    <s v="South"/>
    <x v="2"/>
    <x v="3"/>
    <n v="6"/>
    <n v="120"/>
    <n v="720"/>
    <n v="72"/>
    <s v="Large Order"/>
    <s v="Weekday"/>
  </r>
  <r>
    <s v="ORD-3530"/>
    <d v="2024-01-22T00:00:00"/>
    <n v="2024"/>
    <s v="Jan"/>
    <s v="Mon"/>
    <s v="CUST-163"/>
    <s v="PROD-008"/>
    <s v="Consumer"/>
    <s v="West"/>
    <x v="4"/>
    <x v="2"/>
    <n v="15"/>
    <n v="120"/>
    <n v="1800"/>
    <n v="180"/>
    <s v="Large Order"/>
    <s v="Weekday"/>
  </r>
  <r>
    <s v="ORD-3531"/>
    <d v="2024-05-02T00:00:00"/>
    <n v="2024"/>
    <s v="May"/>
    <s v="Thu"/>
    <s v="CUST-161"/>
    <s v="PROD-024"/>
    <s v="Corporate"/>
    <s v="East"/>
    <x v="2"/>
    <x v="2"/>
    <n v="13"/>
    <n v="120"/>
    <n v="1560"/>
    <n v="156"/>
    <s v="Large Order"/>
    <s v="Weekday"/>
  </r>
  <r>
    <s v="ORD-3532"/>
    <d v="2024-01-04T00:00:00"/>
    <n v="2024"/>
    <s v="Jan"/>
    <s v="Thu"/>
    <s v="CUST-146"/>
    <s v="PROD-001"/>
    <s v="Consumer"/>
    <s v="Central"/>
    <x v="3"/>
    <x v="0"/>
    <n v="18"/>
    <n v="120"/>
    <n v="2160"/>
    <n v="216"/>
    <s v="Large Order"/>
    <s v="Weekday"/>
  </r>
  <r>
    <s v="ORD-3533"/>
    <d v="2024-05-28T00:00:00"/>
    <n v="2024"/>
    <s v="May"/>
    <s v="Tue"/>
    <s v="CUST-156"/>
    <s v="PROD-007"/>
    <s v="Home Office"/>
    <s v="South"/>
    <x v="5"/>
    <x v="3"/>
    <n v="2"/>
    <n v="120"/>
    <n v="240"/>
    <n v="24"/>
    <s v="Standard Order"/>
    <s v="Weekday"/>
  </r>
  <r>
    <s v="ORD-3534"/>
    <d v="2024-04-11T00:00:00"/>
    <n v="2024"/>
    <s v="Apr"/>
    <s v="Thu"/>
    <s v="CUST-125"/>
    <s v="PROD-010"/>
    <s v="Consumer"/>
    <s v="North"/>
    <x v="4"/>
    <x v="3"/>
    <n v="6"/>
    <n v="120"/>
    <n v="720"/>
    <n v="72"/>
    <s v="Large Order"/>
    <s v="Weekday"/>
  </r>
  <r>
    <s v="ORD-3535"/>
    <d v="2024-10-10T00:00:00"/>
    <n v="2024"/>
    <s v="Oct"/>
    <s v="Thu"/>
    <s v="CUST-131"/>
    <s v="PROD-006"/>
    <s v="Consumer"/>
    <s v="North"/>
    <x v="0"/>
    <x v="2"/>
    <n v="9"/>
    <n v="120"/>
    <n v="1080"/>
    <n v="108"/>
    <s v="Large Order"/>
    <s v="Weekday"/>
  </r>
  <r>
    <s v="ORD-3536"/>
    <d v="2024-01-11T00:00:00"/>
    <n v="2024"/>
    <s v="Jan"/>
    <s v="Thu"/>
    <s v="CUST-186"/>
    <s v="PROD-005"/>
    <s v="Corporate"/>
    <s v="South"/>
    <x v="0"/>
    <x v="3"/>
    <n v="7"/>
    <n v="120"/>
    <n v="840"/>
    <n v="84"/>
    <s v="Large Order"/>
    <s v="Weekday"/>
  </r>
  <r>
    <s v="ORD-3537"/>
    <d v="2024-05-02T00:00:00"/>
    <n v="2024"/>
    <s v="May"/>
    <s v="Thu"/>
    <s v="CUST-147"/>
    <s v="PROD-012"/>
    <s v="Home Office"/>
    <s v="South"/>
    <x v="4"/>
    <x v="4"/>
    <n v="20"/>
    <n v="120"/>
    <n v="2400"/>
    <n v="240"/>
    <s v="Large Order"/>
    <s v="Weekday"/>
  </r>
  <r>
    <s v="ORD-3538"/>
    <d v="2024-12-30T00:00:00"/>
    <n v="2024"/>
    <s v="Dec"/>
    <s v="Mon"/>
    <s v="CUST-108"/>
    <s v="PROD-004"/>
    <s v="Consumer"/>
    <s v="West"/>
    <x v="4"/>
    <x v="2"/>
    <n v="7"/>
    <n v="120"/>
    <n v="840"/>
    <n v="84"/>
    <s v="Large Order"/>
    <s v="Weekday"/>
  </r>
  <r>
    <s v="ORD-3539"/>
    <d v="2024-12-21T00:00:00"/>
    <n v="2024"/>
    <s v="Dec"/>
    <s v="Sat"/>
    <s v="CUST-147"/>
    <s v="PROD-011"/>
    <s v="Home Office"/>
    <s v="South"/>
    <x v="2"/>
    <x v="2"/>
    <n v="2"/>
    <n v="120"/>
    <n v="240"/>
    <n v="24"/>
    <s v="Standard Order"/>
    <s v="Weekend"/>
  </r>
  <r>
    <s v="ORD-3540"/>
    <d v="2024-10-27T00:00:00"/>
    <n v="2024"/>
    <s v="Oct"/>
    <s v="Sun"/>
    <s v="CUST-124"/>
    <s v="PROD-018"/>
    <s v="Corporate"/>
    <s v="West"/>
    <x v="4"/>
    <x v="3"/>
    <n v="8"/>
    <n v="120"/>
    <n v="960"/>
    <n v="96"/>
    <s v="Large Order"/>
    <s v="Weekend"/>
  </r>
  <r>
    <s v="ORD-3541"/>
    <d v="2024-05-23T00:00:00"/>
    <n v="2024"/>
    <s v="May"/>
    <s v="Thu"/>
    <s v="CUST-116"/>
    <s v="PROD-017"/>
    <s v="Home Office"/>
    <s v="Central"/>
    <x v="2"/>
    <x v="2"/>
    <n v="3"/>
    <n v="120"/>
    <n v="360"/>
    <n v="36"/>
    <s v="Standard Order"/>
    <s v="Weekday"/>
  </r>
  <r>
    <s v="ORD-3542"/>
    <d v="2024-12-05T00:00:00"/>
    <n v="2024"/>
    <s v="Dec"/>
    <s v="Thu"/>
    <s v="CUST-178"/>
    <s v="PROD-003"/>
    <s v="Consumer"/>
    <s v="East"/>
    <x v="5"/>
    <x v="1"/>
    <n v="17"/>
    <n v="120"/>
    <n v="2040"/>
    <n v="204"/>
    <s v="Large Order"/>
    <s v="Weekday"/>
  </r>
  <r>
    <s v="ORD-3543"/>
    <d v="2024-09-22T00:00:00"/>
    <n v="2024"/>
    <s v="Sep"/>
    <s v="Sun"/>
    <s v="CUST-159"/>
    <s v="PROD-006"/>
    <s v="Corporate"/>
    <s v="West"/>
    <x v="3"/>
    <x v="4"/>
    <n v="16"/>
    <n v="120"/>
    <n v="1920"/>
    <n v="192"/>
    <s v="Large Order"/>
    <s v="Weekend"/>
  </r>
  <r>
    <s v="ORD-3544"/>
    <d v="2024-09-10T00:00:00"/>
    <n v="2024"/>
    <s v="Sep"/>
    <s v="Tue"/>
    <s v="CUST-160"/>
    <s v="PROD-009"/>
    <s v="Home Office"/>
    <s v="South"/>
    <x v="2"/>
    <x v="4"/>
    <n v="2"/>
    <n v="120"/>
    <n v="240"/>
    <n v="24"/>
    <s v="Standard Order"/>
    <s v="Weekday"/>
  </r>
  <r>
    <s v="ORD-3545"/>
    <d v="2024-04-13T00:00:00"/>
    <n v="2024"/>
    <s v="Apr"/>
    <s v="Sat"/>
    <s v="CUST-157"/>
    <s v="PROD-008"/>
    <s v="Corporate"/>
    <s v="Central"/>
    <x v="4"/>
    <x v="3"/>
    <n v="14"/>
    <n v="120"/>
    <n v="1680"/>
    <n v="168"/>
    <s v="Large Order"/>
    <s v="Weekend"/>
  </r>
  <r>
    <s v="ORD-3546"/>
    <d v="2024-10-19T00:00:00"/>
    <n v="2024"/>
    <s v="Oct"/>
    <s v="Sat"/>
    <s v="CUST-120"/>
    <s v="PROD-012"/>
    <s v="Corporate"/>
    <s v="South"/>
    <x v="5"/>
    <x v="0"/>
    <n v="5"/>
    <n v="120"/>
    <n v="600"/>
    <n v="60"/>
    <s v="Large Order"/>
    <s v="Weekend"/>
  </r>
  <r>
    <s v="ORD-3547"/>
    <d v="2024-05-31T00:00:00"/>
    <n v="2024"/>
    <s v="May"/>
    <s v="Fri"/>
    <s v="CUST-156"/>
    <s v="PROD-017"/>
    <s v="Corporate"/>
    <s v="West"/>
    <x v="4"/>
    <x v="4"/>
    <n v="2"/>
    <n v="120"/>
    <n v="240"/>
    <n v="24"/>
    <s v="Standard Order"/>
    <s v="Weekday"/>
  </r>
  <r>
    <s v="ORD-3548"/>
    <d v="2024-11-14T00:00:00"/>
    <n v="2024"/>
    <s v="Nov"/>
    <s v="Thu"/>
    <s v="CUST-143"/>
    <s v="PROD-014"/>
    <s v="Corporate"/>
    <s v="North"/>
    <x v="2"/>
    <x v="1"/>
    <n v="14"/>
    <n v="120"/>
    <n v="1680"/>
    <n v="168"/>
    <s v="Large Order"/>
    <s v="Weekday"/>
  </r>
  <r>
    <s v="ORD-3549"/>
    <d v="2024-09-11T00:00:00"/>
    <n v="2024"/>
    <s v="Sep"/>
    <s v="Wed"/>
    <s v="CUST-140"/>
    <s v="PROD-009"/>
    <s v="Corporate"/>
    <s v="East"/>
    <x v="0"/>
    <x v="2"/>
    <n v="15"/>
    <n v="120"/>
    <n v="1800"/>
    <n v="180"/>
    <s v="Large Order"/>
    <s v="Weekday"/>
  </r>
  <r>
    <s v="ORD-3550"/>
    <d v="2024-11-26T00:00:00"/>
    <n v="2024"/>
    <s v="Nov"/>
    <s v="Tue"/>
    <s v="CUST-109"/>
    <s v="PROD-012"/>
    <s v="Consumer"/>
    <s v="North"/>
    <x v="3"/>
    <x v="4"/>
    <n v="17"/>
    <n v="120"/>
    <n v="2040"/>
    <n v="204"/>
    <s v="Large Order"/>
    <s v="Weekday"/>
  </r>
  <r>
    <s v="ORD-3551"/>
    <d v="2024-02-10T00:00:00"/>
    <n v="2024"/>
    <s v="Feb"/>
    <s v="Sat"/>
    <s v="CUST-200"/>
    <s v="PROD-009"/>
    <s v="Consumer"/>
    <s v="East"/>
    <x v="0"/>
    <x v="0"/>
    <n v="3"/>
    <n v="120"/>
    <n v="360"/>
    <n v="36"/>
    <s v="Standard Order"/>
    <s v="Weekend"/>
  </r>
  <r>
    <s v="ORD-3552"/>
    <d v="2024-10-06T00:00:00"/>
    <n v="2024"/>
    <s v="Oct"/>
    <s v="Sun"/>
    <s v="CUST-125"/>
    <s v="PROD-011"/>
    <s v="Consumer"/>
    <s v="Central"/>
    <x v="3"/>
    <x v="3"/>
    <n v="10"/>
    <n v="120"/>
    <n v="1200"/>
    <n v="120"/>
    <s v="Large Order"/>
    <s v="Weekend"/>
  </r>
  <r>
    <s v="ORD-3553"/>
    <d v="2024-12-15T00:00:00"/>
    <n v="2024"/>
    <s v="Dec"/>
    <s v="Sun"/>
    <s v="CUST-135"/>
    <s v="PROD-007"/>
    <s v="Home Office"/>
    <s v="East"/>
    <x v="5"/>
    <x v="2"/>
    <n v="18"/>
    <n v="120"/>
    <n v="2160"/>
    <n v="216"/>
    <s v="Large Order"/>
    <s v="Weekend"/>
  </r>
  <r>
    <s v="ORD-3554"/>
    <d v="2024-01-05T00:00:00"/>
    <n v="2024"/>
    <s v="Jan"/>
    <s v="Fri"/>
    <s v="CUST-198"/>
    <s v="PROD-010"/>
    <s v="Corporate"/>
    <s v="Central"/>
    <x v="3"/>
    <x v="1"/>
    <n v="13"/>
    <n v="120"/>
    <n v="1560"/>
    <n v="156"/>
    <s v="Large Order"/>
    <s v="Weekday"/>
  </r>
  <r>
    <s v="ORD-3555"/>
    <d v="2024-12-01T00:00:00"/>
    <n v="2024"/>
    <s v="Dec"/>
    <s v="Sun"/>
    <s v="CUST-101"/>
    <s v="PROD-016"/>
    <s v="Home Office"/>
    <s v="Central"/>
    <x v="5"/>
    <x v="2"/>
    <n v="13"/>
    <n v="120"/>
    <n v="1560"/>
    <n v="156"/>
    <s v="Large Order"/>
    <s v="Weekend"/>
  </r>
  <r>
    <s v="ORD-3556"/>
    <d v="2024-04-17T00:00:00"/>
    <n v="2024"/>
    <s v="Apr"/>
    <s v="Wed"/>
    <s v="CUST-160"/>
    <s v="PROD-008"/>
    <s v="Home Office"/>
    <s v="South"/>
    <x v="5"/>
    <x v="4"/>
    <n v="15"/>
    <n v="120"/>
    <n v="1800"/>
    <n v="180"/>
    <s v="Large Order"/>
    <s v="Weekday"/>
  </r>
  <r>
    <s v="ORD-3557"/>
    <d v="2024-08-24T00:00:00"/>
    <n v="2024"/>
    <s v="Aug"/>
    <s v="Sat"/>
    <s v="CUST-143"/>
    <s v="PROD-003"/>
    <s v="Corporate"/>
    <s v="South"/>
    <x v="4"/>
    <x v="1"/>
    <n v="14"/>
    <n v="120"/>
    <n v="1680"/>
    <n v="168"/>
    <s v="Large Order"/>
    <s v="Weekend"/>
  </r>
  <r>
    <s v="ORD-3558"/>
    <d v="2024-08-18T00:00:00"/>
    <n v="2024"/>
    <s v="Aug"/>
    <s v="Sun"/>
    <s v="CUST-171"/>
    <s v="PROD-001"/>
    <s v="Corporate"/>
    <s v="East"/>
    <x v="4"/>
    <x v="4"/>
    <n v="5"/>
    <n v="120"/>
    <n v="600"/>
    <n v="60"/>
    <s v="Large Order"/>
    <s v="Weekend"/>
  </r>
  <r>
    <s v="ORD-3559"/>
    <d v="2024-01-05T00:00:00"/>
    <n v="2024"/>
    <s v="Jan"/>
    <s v="Fri"/>
    <s v="CUST-163"/>
    <s v="PROD-022"/>
    <s v="Corporate"/>
    <s v="Central"/>
    <x v="3"/>
    <x v="2"/>
    <n v="14"/>
    <n v="120"/>
    <n v="1680"/>
    <n v="168"/>
    <s v="Large Order"/>
    <s v="Weekday"/>
  </r>
  <r>
    <s v="ORD-3560"/>
    <d v="2024-07-25T00:00:00"/>
    <n v="2024"/>
    <s v="Jul"/>
    <s v="Thu"/>
    <s v="CUST-197"/>
    <s v="PROD-025"/>
    <s v="Home Office"/>
    <s v="South"/>
    <x v="5"/>
    <x v="3"/>
    <n v="11"/>
    <n v="120"/>
    <n v="1320"/>
    <n v="132"/>
    <s v="Large Order"/>
    <s v="Weekday"/>
  </r>
  <r>
    <s v="ORD-3561"/>
    <d v="2024-10-17T00:00:00"/>
    <n v="2024"/>
    <s v="Oct"/>
    <s v="Thu"/>
    <s v="CUST-200"/>
    <s v="PROD-002"/>
    <s v="Consumer"/>
    <s v="West"/>
    <x v="4"/>
    <x v="3"/>
    <n v="19"/>
    <n v="120"/>
    <n v="2280"/>
    <n v="228"/>
    <s v="Large Order"/>
    <s v="Weekday"/>
  </r>
  <r>
    <s v="ORD-3562"/>
    <d v="2024-11-04T00:00:00"/>
    <n v="2024"/>
    <s v="Nov"/>
    <s v="Mon"/>
    <s v="CUST-177"/>
    <s v="PROD-019"/>
    <s v="Corporate"/>
    <s v="East"/>
    <x v="2"/>
    <x v="2"/>
    <n v="13"/>
    <n v="120"/>
    <n v="1560"/>
    <n v="156"/>
    <s v="Large Order"/>
    <s v="Weekday"/>
  </r>
  <r>
    <s v="ORD-3563"/>
    <d v="2024-07-16T00:00:00"/>
    <n v="2024"/>
    <s v="Jul"/>
    <s v="Tue"/>
    <s v="CUST-124"/>
    <s v="PROD-016"/>
    <s v="Consumer"/>
    <s v="Central"/>
    <x v="3"/>
    <x v="4"/>
    <n v="15"/>
    <n v="120"/>
    <n v="1800"/>
    <n v="180"/>
    <s v="Large Order"/>
    <s v="Weekday"/>
  </r>
  <r>
    <s v="ORD-3564"/>
    <d v="2024-06-04T00:00:00"/>
    <n v="2024"/>
    <s v="Jun"/>
    <s v="Tue"/>
    <s v="CUST-111"/>
    <s v="PROD-006"/>
    <s v="Consumer"/>
    <s v="South"/>
    <x v="5"/>
    <x v="2"/>
    <n v="2"/>
    <n v="120"/>
    <n v="240"/>
    <n v="24"/>
    <s v="Standard Order"/>
    <s v="Weekday"/>
  </r>
  <r>
    <s v="ORD-3565"/>
    <d v="2024-11-04T00:00:00"/>
    <n v="2024"/>
    <s v="Nov"/>
    <s v="Mon"/>
    <s v="CUST-162"/>
    <s v="PROD-001"/>
    <s v="Consumer"/>
    <s v="North"/>
    <x v="4"/>
    <x v="0"/>
    <n v="13"/>
    <n v="120"/>
    <n v="1560"/>
    <n v="156"/>
    <s v="Large Order"/>
    <s v="Weekday"/>
  </r>
  <r>
    <s v="ORD-3566"/>
    <d v="2024-04-29T00:00:00"/>
    <n v="2024"/>
    <s v="Apr"/>
    <s v="Mon"/>
    <s v="CUST-137"/>
    <s v="PROD-022"/>
    <s v="Home Office"/>
    <s v="West"/>
    <x v="0"/>
    <x v="1"/>
    <n v="2"/>
    <n v="120"/>
    <n v="240"/>
    <n v="24"/>
    <s v="Standard Order"/>
    <s v="Weekday"/>
  </r>
  <r>
    <s v="ORD-3567"/>
    <d v="2024-01-06T00:00:00"/>
    <n v="2024"/>
    <s v="Jan"/>
    <s v="Sat"/>
    <s v="CUST-121"/>
    <s v="PROD-011"/>
    <s v="Corporate"/>
    <s v="West"/>
    <x v="2"/>
    <x v="2"/>
    <n v="4"/>
    <n v="120"/>
    <n v="480"/>
    <n v="48"/>
    <s v="Standard Order"/>
    <s v="Weekend"/>
  </r>
  <r>
    <s v="ORD-3568"/>
    <d v="2024-08-02T00:00:00"/>
    <n v="2024"/>
    <s v="Aug"/>
    <s v="Fri"/>
    <s v="CUST-161"/>
    <s v="PROD-024"/>
    <s v="Consumer"/>
    <s v="West"/>
    <x v="2"/>
    <x v="2"/>
    <n v="5"/>
    <n v="120"/>
    <n v="600"/>
    <n v="60"/>
    <s v="Large Order"/>
    <s v="Weekday"/>
  </r>
  <r>
    <s v="ORD-3569"/>
    <d v="2024-06-07T00:00:00"/>
    <n v="2024"/>
    <s v="Jun"/>
    <s v="Fri"/>
    <s v="CUST-155"/>
    <s v="PROD-023"/>
    <s v="Home Office"/>
    <s v="West"/>
    <x v="2"/>
    <x v="2"/>
    <n v="20"/>
    <n v="120"/>
    <n v="2400"/>
    <n v="240"/>
    <s v="Large Order"/>
    <s v="Weekday"/>
  </r>
  <r>
    <s v="ORD-3570"/>
    <d v="2024-06-07T00:00:00"/>
    <n v="2024"/>
    <s v="Jun"/>
    <s v="Fri"/>
    <s v="CUST-175"/>
    <s v="PROD-007"/>
    <s v="Home Office"/>
    <s v="Central"/>
    <x v="2"/>
    <x v="3"/>
    <n v="7"/>
    <n v="120"/>
    <n v="840"/>
    <n v="84"/>
    <s v="Large Order"/>
    <s v="Weekday"/>
  </r>
  <r>
    <s v="ORD-3571"/>
    <d v="2024-03-14T00:00:00"/>
    <n v="2024"/>
    <s v="Mar"/>
    <s v="Thu"/>
    <s v="CUST-157"/>
    <s v="PROD-003"/>
    <s v="Corporate"/>
    <s v="Central"/>
    <x v="5"/>
    <x v="2"/>
    <n v="17"/>
    <n v="120"/>
    <n v="2040"/>
    <n v="204"/>
    <s v="Large Order"/>
    <s v="Weekday"/>
  </r>
  <r>
    <s v="ORD-3572"/>
    <d v="2024-10-18T00:00:00"/>
    <n v="2024"/>
    <s v="Oct"/>
    <s v="Fri"/>
    <s v="CUST-162"/>
    <s v="PROD-015"/>
    <s v="Corporate"/>
    <s v="East"/>
    <x v="5"/>
    <x v="0"/>
    <n v="3"/>
    <n v="120"/>
    <n v="360"/>
    <n v="36"/>
    <s v="Standard Order"/>
    <s v="Weekday"/>
  </r>
  <r>
    <s v="ORD-3573"/>
    <d v="2024-08-21T00:00:00"/>
    <n v="2024"/>
    <s v="Aug"/>
    <s v="Wed"/>
    <s v="CUST-144"/>
    <s v="PROD-023"/>
    <s v="Home Office"/>
    <s v="Central"/>
    <x v="3"/>
    <x v="1"/>
    <n v="20"/>
    <n v="120"/>
    <n v="2400"/>
    <n v="240"/>
    <s v="Large Order"/>
    <s v="Weekday"/>
  </r>
  <r>
    <s v="ORD-3574"/>
    <d v="2024-03-30T00:00:00"/>
    <n v="2024"/>
    <s v="Mar"/>
    <s v="Sat"/>
    <s v="CUST-153"/>
    <s v="PROD-008"/>
    <s v="Consumer"/>
    <s v="North"/>
    <x v="5"/>
    <x v="1"/>
    <n v="15"/>
    <n v="120"/>
    <n v="1800"/>
    <n v="180"/>
    <s v="Large Order"/>
    <s v="Weekend"/>
  </r>
  <r>
    <s v="ORD-3575"/>
    <d v="2024-12-03T00:00:00"/>
    <n v="2024"/>
    <s v="Dec"/>
    <s v="Tue"/>
    <s v="CUST-123"/>
    <s v="PROD-023"/>
    <s v="Home Office"/>
    <s v="East"/>
    <x v="0"/>
    <x v="1"/>
    <n v="2"/>
    <n v="120"/>
    <n v="240"/>
    <n v="24"/>
    <s v="Standard Order"/>
    <s v="Weekday"/>
  </r>
  <r>
    <s v="ORD-3576"/>
    <d v="2024-03-21T00:00:00"/>
    <n v="2024"/>
    <s v="Mar"/>
    <s v="Thu"/>
    <s v="CUST-135"/>
    <s v="PROD-021"/>
    <s v="Home Office"/>
    <s v="East"/>
    <x v="3"/>
    <x v="0"/>
    <n v="7"/>
    <n v="120"/>
    <n v="840"/>
    <n v="84"/>
    <s v="Large Order"/>
    <s v="Weekday"/>
  </r>
  <r>
    <s v="ORD-3577"/>
    <d v="2024-07-29T00:00:00"/>
    <n v="2024"/>
    <s v="Jul"/>
    <s v="Mon"/>
    <s v="CUST-197"/>
    <s v="PROD-018"/>
    <s v="Consumer"/>
    <s v="East"/>
    <x v="3"/>
    <x v="0"/>
    <n v="4"/>
    <n v="120"/>
    <n v="480"/>
    <n v="48"/>
    <s v="Standard Order"/>
    <s v="Weekday"/>
  </r>
  <r>
    <s v="ORD-3578"/>
    <d v="2024-06-15T00:00:00"/>
    <n v="2024"/>
    <s v="Jun"/>
    <s v="Sat"/>
    <s v="CUST-152"/>
    <s v="PROD-015"/>
    <s v="Consumer"/>
    <s v="West"/>
    <x v="3"/>
    <x v="2"/>
    <n v="17"/>
    <n v="120"/>
    <n v="2040"/>
    <n v="204"/>
    <s v="Large Order"/>
    <s v="Weekend"/>
  </r>
  <r>
    <s v="ORD-3579"/>
    <d v="2024-01-14T00:00:00"/>
    <n v="2024"/>
    <s v="Jan"/>
    <s v="Sun"/>
    <s v="CUST-109"/>
    <s v="PROD-021"/>
    <s v="Home Office"/>
    <s v="East"/>
    <x v="2"/>
    <x v="1"/>
    <n v="11"/>
    <n v="120"/>
    <n v="1320"/>
    <n v="132"/>
    <s v="Large Order"/>
    <s v="Weekend"/>
  </r>
  <r>
    <s v="ORD-3580"/>
    <d v="2024-04-09T00:00:00"/>
    <n v="2024"/>
    <s v="Apr"/>
    <s v="Tue"/>
    <s v="CUST-150"/>
    <s v="PROD-002"/>
    <s v="Consumer"/>
    <s v="North"/>
    <x v="3"/>
    <x v="0"/>
    <n v="5"/>
    <n v="120"/>
    <n v="600"/>
    <n v="60"/>
    <s v="Large Order"/>
    <s v="Weekday"/>
  </r>
  <r>
    <s v="ORD-3581"/>
    <d v="2024-08-25T00:00:00"/>
    <n v="2024"/>
    <s v="Aug"/>
    <s v="Sun"/>
    <s v="CUST-162"/>
    <s v="PROD-015"/>
    <s v="Consumer"/>
    <s v="South"/>
    <x v="0"/>
    <x v="4"/>
    <n v="8"/>
    <n v="120"/>
    <n v="960"/>
    <n v="96"/>
    <s v="Large Order"/>
    <s v="Weekend"/>
  </r>
  <r>
    <s v="ORD-3582"/>
    <d v="2024-08-12T00:00:00"/>
    <n v="2024"/>
    <s v="Aug"/>
    <s v="Mon"/>
    <s v="CUST-117"/>
    <s v="PROD-016"/>
    <s v="Corporate"/>
    <s v="West"/>
    <x v="4"/>
    <x v="2"/>
    <n v="1"/>
    <n v="120"/>
    <n v="120"/>
    <n v="12"/>
    <s v="Standard Order"/>
    <s v="Weekday"/>
  </r>
  <r>
    <s v="ORD-3583"/>
    <d v="2024-03-31T00:00:00"/>
    <n v="2024"/>
    <s v="Mar"/>
    <s v="Sun"/>
    <s v="CUST-137"/>
    <s v="PROD-004"/>
    <s v="Home Office"/>
    <s v="West"/>
    <x v="2"/>
    <x v="2"/>
    <n v="3"/>
    <n v="120"/>
    <n v="360"/>
    <n v="36"/>
    <s v="Standard Order"/>
    <s v="Weekend"/>
  </r>
  <r>
    <s v="ORD-3584"/>
    <d v="2024-01-06T00:00:00"/>
    <n v="2024"/>
    <s v="Jan"/>
    <s v="Sat"/>
    <s v="CUST-186"/>
    <s v="PROD-009"/>
    <s v="Consumer"/>
    <s v="West"/>
    <x v="2"/>
    <x v="3"/>
    <n v="6"/>
    <n v="120"/>
    <n v="720"/>
    <n v="72"/>
    <s v="Large Order"/>
    <s v="Weekend"/>
  </r>
  <r>
    <s v="ORD-3585"/>
    <d v="2024-01-18T00:00:00"/>
    <n v="2024"/>
    <s v="Jan"/>
    <s v="Thu"/>
    <s v="CUST-186"/>
    <s v="PROD-018"/>
    <s v="Consumer"/>
    <s v="East"/>
    <x v="2"/>
    <x v="0"/>
    <n v="17"/>
    <n v="120"/>
    <n v="2040"/>
    <n v="204"/>
    <s v="Large Order"/>
    <s v="Weekday"/>
  </r>
  <r>
    <s v="ORD-3586"/>
    <d v="2024-12-03T00:00:00"/>
    <n v="2024"/>
    <s v="Dec"/>
    <s v="Tue"/>
    <s v="CUST-113"/>
    <s v="PROD-013"/>
    <s v="Home Office"/>
    <s v="South"/>
    <x v="3"/>
    <x v="1"/>
    <n v="2"/>
    <n v="120"/>
    <n v="240"/>
    <n v="24"/>
    <s v="Standard Order"/>
    <s v="Weekday"/>
  </r>
  <r>
    <s v="ORD-3587"/>
    <d v="2024-01-25T00:00:00"/>
    <n v="2024"/>
    <s v="Jan"/>
    <s v="Thu"/>
    <s v="CUST-198"/>
    <s v="PROD-013"/>
    <s v="Consumer"/>
    <s v="East"/>
    <x v="4"/>
    <x v="3"/>
    <n v="8"/>
    <n v="120"/>
    <n v="960"/>
    <n v="96"/>
    <s v="Large Order"/>
    <s v="Weekday"/>
  </r>
  <r>
    <s v="ORD-3588"/>
    <d v="2024-01-09T00:00:00"/>
    <n v="2024"/>
    <s v="Jan"/>
    <s v="Tue"/>
    <s v="CUST-153"/>
    <s v="PROD-001"/>
    <s v="Consumer"/>
    <s v="South"/>
    <x v="3"/>
    <x v="2"/>
    <n v="3"/>
    <n v="120"/>
    <n v="360"/>
    <n v="36"/>
    <s v="Standard Order"/>
    <s v="Weekday"/>
  </r>
  <r>
    <s v="ORD-3589"/>
    <d v="2024-02-19T00:00:00"/>
    <n v="2024"/>
    <s v="Feb"/>
    <s v="Mon"/>
    <s v="CUST-185"/>
    <s v="PROD-006"/>
    <s v="Home Office"/>
    <s v="South"/>
    <x v="4"/>
    <x v="0"/>
    <n v="14"/>
    <n v="120"/>
    <n v="1680"/>
    <n v="168"/>
    <s v="Large Order"/>
    <s v="Weekday"/>
  </r>
  <r>
    <s v="ORD-3590"/>
    <d v="2024-06-16T00:00:00"/>
    <n v="2024"/>
    <s v="Jun"/>
    <s v="Sun"/>
    <s v="CUST-141"/>
    <s v="PROD-018"/>
    <s v="Home Office"/>
    <s v="South"/>
    <x v="4"/>
    <x v="4"/>
    <n v="7"/>
    <n v="120"/>
    <n v="840"/>
    <n v="84"/>
    <s v="Large Order"/>
    <s v="Weekend"/>
  </r>
  <r>
    <s v="ORD-3591"/>
    <d v="2024-07-21T00:00:00"/>
    <n v="2024"/>
    <s v="Jul"/>
    <s v="Sun"/>
    <s v="CUST-154"/>
    <s v="PROD-004"/>
    <s v="Consumer"/>
    <s v="North"/>
    <x v="4"/>
    <x v="0"/>
    <n v="12"/>
    <n v="120"/>
    <n v="1440"/>
    <n v="144"/>
    <s v="Large Order"/>
    <s v="Weekend"/>
  </r>
  <r>
    <s v="ORD-3592"/>
    <d v="2024-01-08T00:00:00"/>
    <n v="2024"/>
    <s v="Jan"/>
    <s v="Mon"/>
    <s v="CUST-151"/>
    <s v="PROD-021"/>
    <s v="Corporate"/>
    <s v="Central"/>
    <x v="0"/>
    <x v="1"/>
    <n v="7"/>
    <n v="120"/>
    <n v="840"/>
    <n v="84"/>
    <s v="Large Order"/>
    <s v="Weekday"/>
  </r>
  <r>
    <s v="ORD-3593"/>
    <d v="2024-02-03T00:00:00"/>
    <n v="2024"/>
    <s v="Feb"/>
    <s v="Sat"/>
    <s v="CUST-184"/>
    <s v="PROD-009"/>
    <s v="Home Office"/>
    <s v="West"/>
    <x v="5"/>
    <x v="3"/>
    <n v="2"/>
    <n v="120"/>
    <n v="240"/>
    <n v="24"/>
    <s v="Standard Order"/>
    <s v="Weekend"/>
  </r>
  <r>
    <s v="ORD-3594"/>
    <d v="2024-04-21T00:00:00"/>
    <n v="2024"/>
    <s v="Apr"/>
    <s v="Sun"/>
    <s v="CUST-152"/>
    <s v="PROD-010"/>
    <s v="Home Office"/>
    <s v="Central"/>
    <x v="2"/>
    <x v="0"/>
    <n v="18"/>
    <n v="120"/>
    <n v="2160"/>
    <n v="216"/>
    <s v="Large Order"/>
    <s v="Weekend"/>
  </r>
  <r>
    <s v="ORD-3595"/>
    <d v="2024-10-18T00:00:00"/>
    <n v="2024"/>
    <s v="Oct"/>
    <s v="Fri"/>
    <s v="CUST-121"/>
    <s v="PROD-009"/>
    <s v="Consumer"/>
    <s v="East"/>
    <x v="5"/>
    <x v="3"/>
    <n v="13"/>
    <n v="120"/>
    <n v="1560"/>
    <n v="156"/>
    <s v="Large Order"/>
    <s v="Weekday"/>
  </r>
  <r>
    <s v="ORD-3596"/>
    <d v="2024-12-21T00:00:00"/>
    <n v="2024"/>
    <s v="Dec"/>
    <s v="Sat"/>
    <s v="CUST-117"/>
    <s v="PROD-011"/>
    <s v="Consumer"/>
    <s v="Central"/>
    <x v="3"/>
    <x v="1"/>
    <n v="3"/>
    <n v="120"/>
    <n v="360"/>
    <n v="36"/>
    <s v="Standard Order"/>
    <s v="Weekend"/>
  </r>
  <r>
    <s v="ORD-3597"/>
    <d v="2024-11-07T00:00:00"/>
    <n v="2024"/>
    <s v="Nov"/>
    <s v="Thu"/>
    <s v="CUST-174"/>
    <s v="PROD-015"/>
    <s v="Corporate"/>
    <s v="North"/>
    <x v="5"/>
    <x v="2"/>
    <n v="17"/>
    <n v="120"/>
    <n v="2040"/>
    <n v="204"/>
    <s v="Large Order"/>
    <s v="Weekday"/>
  </r>
  <r>
    <s v="ORD-3598"/>
    <d v="2024-01-07T00:00:00"/>
    <n v="2024"/>
    <s v="Jan"/>
    <s v="Sun"/>
    <s v="CUST-129"/>
    <s v="PROD-001"/>
    <s v="Home Office"/>
    <s v="South"/>
    <x v="0"/>
    <x v="3"/>
    <n v="8"/>
    <n v="120"/>
    <n v="960"/>
    <n v="96"/>
    <s v="Large Order"/>
    <s v="Weekend"/>
  </r>
  <r>
    <s v="ORD-3599"/>
    <d v="2024-05-04T00:00:00"/>
    <n v="2024"/>
    <s v="May"/>
    <s v="Sat"/>
    <s v="CUST-179"/>
    <s v="PROD-003"/>
    <s v="Consumer"/>
    <s v="North"/>
    <x v="4"/>
    <x v="3"/>
    <n v="16"/>
    <n v="120"/>
    <n v="1920"/>
    <n v="192"/>
    <s v="Large Order"/>
    <s v="Weekend"/>
  </r>
  <r>
    <s v="ORD-3600"/>
    <d v="2024-03-18T00:00:00"/>
    <n v="2024"/>
    <s v="Mar"/>
    <s v="Mon"/>
    <s v="CUST-148"/>
    <s v="PROD-007"/>
    <s v="Home Office"/>
    <s v="East"/>
    <x v="0"/>
    <x v="2"/>
    <n v="20"/>
    <n v="120"/>
    <n v="2400"/>
    <n v="240"/>
    <s v="Large Order"/>
    <s v="Weekday"/>
  </r>
  <r>
    <s v="ORD-3601"/>
    <d v="2024-08-15T00:00:00"/>
    <n v="2024"/>
    <s v="Aug"/>
    <s v="Thu"/>
    <s v="CUST-194"/>
    <s v="PROD-011"/>
    <s v="Consumer"/>
    <s v="South"/>
    <x v="3"/>
    <x v="3"/>
    <n v="2"/>
    <n v="120"/>
    <n v="240"/>
    <n v="24"/>
    <s v="Standard Order"/>
    <s v="Weekday"/>
  </r>
  <r>
    <s v="ORD-3602"/>
    <d v="2024-07-31T00:00:00"/>
    <n v="2024"/>
    <s v="Jul"/>
    <s v="Wed"/>
    <s v="CUST-182"/>
    <s v="PROD-010"/>
    <s v="Consumer"/>
    <s v="South"/>
    <x v="4"/>
    <x v="3"/>
    <n v="11"/>
    <n v="120"/>
    <n v="1320"/>
    <n v="132"/>
    <s v="Large Order"/>
    <s v="Weekday"/>
  </r>
  <r>
    <s v="ORD-3603"/>
    <d v="2024-10-03T00:00:00"/>
    <n v="2024"/>
    <s v="Oct"/>
    <s v="Thu"/>
    <s v="CUST-106"/>
    <s v="PROD-022"/>
    <s v="Consumer"/>
    <s v="North"/>
    <x v="4"/>
    <x v="4"/>
    <n v="13"/>
    <n v="120"/>
    <n v="1560"/>
    <n v="156"/>
    <s v="Large Order"/>
    <s v="Weekday"/>
  </r>
  <r>
    <s v="ORD-3604"/>
    <d v="2024-04-03T00:00:00"/>
    <n v="2024"/>
    <s v="Apr"/>
    <s v="Wed"/>
    <s v="CUST-156"/>
    <s v="PROD-021"/>
    <s v="Consumer"/>
    <s v="South"/>
    <x v="0"/>
    <x v="1"/>
    <n v="3"/>
    <n v="120"/>
    <n v="360"/>
    <n v="36"/>
    <s v="Standard Order"/>
    <s v="Weekday"/>
  </r>
  <r>
    <s v="ORD-3605"/>
    <d v="2024-01-27T00:00:00"/>
    <n v="2024"/>
    <s v="Jan"/>
    <s v="Sat"/>
    <s v="CUST-181"/>
    <s v="PROD-005"/>
    <s v="Consumer"/>
    <s v="West"/>
    <x v="4"/>
    <x v="0"/>
    <n v="6"/>
    <n v="120"/>
    <n v="720"/>
    <n v="72"/>
    <s v="Large Order"/>
    <s v="Weekend"/>
  </r>
  <r>
    <s v="ORD-3606"/>
    <d v="2024-04-14T00:00:00"/>
    <n v="2024"/>
    <s v="Apr"/>
    <s v="Sun"/>
    <s v="CUST-130"/>
    <s v="PROD-017"/>
    <s v="Consumer"/>
    <s v="Central"/>
    <x v="2"/>
    <x v="1"/>
    <n v="10"/>
    <n v="120"/>
    <n v="1200"/>
    <n v="120"/>
    <s v="Large Order"/>
    <s v="Weekend"/>
  </r>
  <r>
    <s v="ORD-3607"/>
    <d v="2024-04-11T00:00:00"/>
    <n v="2024"/>
    <s v="Apr"/>
    <s v="Thu"/>
    <s v="CUST-131"/>
    <s v="PROD-014"/>
    <s v="Consumer"/>
    <s v="West"/>
    <x v="5"/>
    <x v="2"/>
    <n v="10"/>
    <n v="120"/>
    <n v="1200"/>
    <n v="120"/>
    <s v="Large Order"/>
    <s v="Weekday"/>
  </r>
  <r>
    <s v="ORD-3608"/>
    <d v="2024-08-17T00:00:00"/>
    <n v="2024"/>
    <s v="Aug"/>
    <s v="Sat"/>
    <s v="CUST-181"/>
    <s v="PROD-007"/>
    <s v="Corporate"/>
    <s v="Central"/>
    <x v="2"/>
    <x v="0"/>
    <n v="12"/>
    <n v="120"/>
    <n v="1440"/>
    <n v="144"/>
    <s v="Large Order"/>
    <s v="Weekend"/>
  </r>
  <r>
    <s v="ORD-3609"/>
    <d v="2024-03-26T00:00:00"/>
    <n v="2024"/>
    <s v="Mar"/>
    <s v="Tue"/>
    <s v="CUST-160"/>
    <s v="PROD-015"/>
    <s v="Corporate"/>
    <s v="West"/>
    <x v="5"/>
    <x v="4"/>
    <n v="14"/>
    <n v="120"/>
    <n v="1680"/>
    <n v="168"/>
    <s v="Large Order"/>
    <s v="Weekday"/>
  </r>
  <r>
    <s v="ORD-3610"/>
    <d v="2024-09-03T00:00:00"/>
    <n v="2024"/>
    <s v="Sep"/>
    <s v="Tue"/>
    <s v="CUST-102"/>
    <s v="PROD-025"/>
    <s v="Corporate"/>
    <s v="East"/>
    <x v="2"/>
    <x v="0"/>
    <n v="10"/>
    <n v="120"/>
    <n v="1200"/>
    <n v="120"/>
    <s v="Large Order"/>
    <s v="Weekday"/>
  </r>
  <r>
    <s v="ORD-3611"/>
    <d v="2024-03-19T00:00:00"/>
    <n v="2024"/>
    <s v="Mar"/>
    <s v="Tue"/>
    <s v="CUST-170"/>
    <s v="PROD-024"/>
    <s v="Consumer"/>
    <s v="West"/>
    <x v="3"/>
    <x v="1"/>
    <n v="15"/>
    <n v="120"/>
    <n v="1800"/>
    <n v="180"/>
    <s v="Large Order"/>
    <s v="Weekday"/>
  </r>
  <r>
    <s v="ORD-3612"/>
    <d v="2024-05-25T00:00:00"/>
    <n v="2024"/>
    <s v="May"/>
    <s v="Sat"/>
    <s v="CUST-148"/>
    <s v="PROD-018"/>
    <s v="Home Office"/>
    <s v="North"/>
    <x v="2"/>
    <x v="0"/>
    <n v="11"/>
    <n v="120"/>
    <n v="1320"/>
    <n v="132"/>
    <s v="Large Order"/>
    <s v="Weekend"/>
  </r>
  <r>
    <s v="ORD-3613"/>
    <d v="2024-08-28T00:00:00"/>
    <n v="2024"/>
    <s v="Aug"/>
    <s v="Wed"/>
    <s v="CUST-125"/>
    <s v="PROD-005"/>
    <s v="Consumer"/>
    <s v="West"/>
    <x v="0"/>
    <x v="0"/>
    <n v="17"/>
    <n v="120"/>
    <n v="2040"/>
    <n v="204"/>
    <s v="Large Order"/>
    <s v="Weekday"/>
  </r>
  <r>
    <s v="ORD-3614"/>
    <d v="2024-07-10T00:00:00"/>
    <n v="2024"/>
    <s v="Jul"/>
    <s v="Wed"/>
    <s v="CUST-162"/>
    <s v="PROD-013"/>
    <s v="Corporate"/>
    <s v="North"/>
    <x v="2"/>
    <x v="3"/>
    <n v="13"/>
    <n v="120"/>
    <n v="1560"/>
    <n v="156"/>
    <s v="Large Order"/>
    <s v="Weekday"/>
  </r>
  <r>
    <s v="ORD-3615"/>
    <d v="2024-11-24T00:00:00"/>
    <n v="2024"/>
    <s v="Nov"/>
    <s v="Sun"/>
    <s v="CUST-175"/>
    <s v="PROD-003"/>
    <s v="Corporate"/>
    <s v="East"/>
    <x v="0"/>
    <x v="0"/>
    <n v="13"/>
    <n v="120"/>
    <n v="1560"/>
    <n v="156"/>
    <s v="Large Order"/>
    <s v="Weekend"/>
  </r>
  <r>
    <s v="ORD-3616"/>
    <d v="2024-03-24T00:00:00"/>
    <n v="2024"/>
    <s v="Mar"/>
    <s v="Sun"/>
    <s v="CUST-124"/>
    <s v="PROD-025"/>
    <s v="Corporate"/>
    <s v="North"/>
    <x v="3"/>
    <x v="3"/>
    <n v="17"/>
    <n v="120"/>
    <n v="2040"/>
    <n v="204"/>
    <s v="Large Order"/>
    <s v="Weekend"/>
  </r>
  <r>
    <s v="ORD-3617"/>
    <d v="2024-11-21T00:00:00"/>
    <n v="2024"/>
    <s v="Nov"/>
    <s v="Thu"/>
    <s v="CUST-188"/>
    <s v="PROD-012"/>
    <s v="Home Office"/>
    <s v="North"/>
    <x v="0"/>
    <x v="1"/>
    <n v="14"/>
    <n v="120"/>
    <n v="1680"/>
    <n v="168"/>
    <s v="Large Order"/>
    <s v="Weekday"/>
  </r>
  <r>
    <s v="ORD-3618"/>
    <d v="2024-05-04T00:00:00"/>
    <n v="2024"/>
    <s v="May"/>
    <s v="Sat"/>
    <s v="CUST-161"/>
    <s v="PROD-002"/>
    <s v="Corporate"/>
    <s v="Central"/>
    <x v="0"/>
    <x v="2"/>
    <n v="9"/>
    <n v="120"/>
    <n v="1080"/>
    <n v="108"/>
    <s v="Large Order"/>
    <s v="Weekend"/>
  </r>
  <r>
    <s v="ORD-3619"/>
    <d v="2024-12-14T00:00:00"/>
    <n v="2024"/>
    <s v="Dec"/>
    <s v="Sat"/>
    <s v="CUST-118"/>
    <s v="PROD-009"/>
    <s v="Consumer"/>
    <s v="West"/>
    <x v="5"/>
    <x v="4"/>
    <n v="6"/>
    <n v="120"/>
    <n v="720"/>
    <n v="72"/>
    <s v="Large Order"/>
    <s v="Weekend"/>
  </r>
  <r>
    <s v="ORD-3620"/>
    <d v="2024-02-17T00:00:00"/>
    <n v="2024"/>
    <s v="Feb"/>
    <s v="Sat"/>
    <s v="CUST-182"/>
    <s v="PROD-023"/>
    <s v="Corporate"/>
    <s v="East"/>
    <x v="2"/>
    <x v="4"/>
    <n v="3"/>
    <n v="120"/>
    <n v="360"/>
    <n v="36"/>
    <s v="Standard Order"/>
    <s v="Weekend"/>
  </r>
  <r>
    <s v="ORD-3621"/>
    <d v="2024-04-06T00:00:00"/>
    <n v="2024"/>
    <s v="Apr"/>
    <s v="Sat"/>
    <s v="CUST-154"/>
    <s v="PROD-006"/>
    <s v="Corporate"/>
    <s v="West"/>
    <x v="3"/>
    <x v="3"/>
    <n v="17"/>
    <n v="120"/>
    <n v="2040"/>
    <n v="204"/>
    <s v="Large Order"/>
    <s v="Weekend"/>
  </r>
  <r>
    <s v="ORD-3622"/>
    <d v="2024-12-03T00:00:00"/>
    <n v="2024"/>
    <s v="Dec"/>
    <s v="Tue"/>
    <s v="CUST-148"/>
    <s v="PROD-019"/>
    <s v="Corporate"/>
    <s v="South"/>
    <x v="2"/>
    <x v="0"/>
    <n v="4"/>
    <n v="120"/>
    <n v="480"/>
    <n v="48"/>
    <s v="Standard Order"/>
    <s v="Weekday"/>
  </r>
  <r>
    <s v="ORD-3623"/>
    <d v="2024-06-25T00:00:00"/>
    <n v="2024"/>
    <s v="Jun"/>
    <s v="Tue"/>
    <s v="CUST-118"/>
    <s v="PROD-009"/>
    <s v="Home Office"/>
    <s v="North"/>
    <x v="4"/>
    <x v="1"/>
    <n v="10"/>
    <n v="120"/>
    <n v="1200"/>
    <n v="120"/>
    <s v="Large Order"/>
    <s v="Weekday"/>
  </r>
  <r>
    <s v="ORD-3624"/>
    <d v="2024-03-27T00:00:00"/>
    <n v="2024"/>
    <s v="Mar"/>
    <s v="Wed"/>
    <s v="CUST-162"/>
    <s v="PROD-001"/>
    <s v="Consumer"/>
    <s v="South"/>
    <x v="0"/>
    <x v="1"/>
    <n v="17"/>
    <n v="120"/>
    <n v="2040"/>
    <n v="204"/>
    <s v="Large Order"/>
    <s v="Weekday"/>
  </r>
  <r>
    <s v="ORD-3625"/>
    <d v="2024-05-27T00:00:00"/>
    <n v="2024"/>
    <s v="May"/>
    <s v="Mon"/>
    <s v="CUST-193"/>
    <s v="PROD-014"/>
    <s v="Consumer"/>
    <s v="North"/>
    <x v="4"/>
    <x v="3"/>
    <n v="6"/>
    <n v="120"/>
    <n v="720"/>
    <n v="72"/>
    <s v="Large Order"/>
    <s v="Weekday"/>
  </r>
  <r>
    <s v="ORD-3626"/>
    <d v="2024-04-11T00:00:00"/>
    <n v="2024"/>
    <s v="Apr"/>
    <s v="Thu"/>
    <s v="CUST-162"/>
    <s v="PROD-006"/>
    <s v="Home Office"/>
    <s v="South"/>
    <x v="0"/>
    <x v="1"/>
    <n v="19"/>
    <n v="120"/>
    <n v="2280"/>
    <n v="228"/>
    <s v="Large Order"/>
    <s v="Weekday"/>
  </r>
  <r>
    <s v="ORD-3627"/>
    <d v="2024-04-05T00:00:00"/>
    <n v="2024"/>
    <s v="Apr"/>
    <s v="Fri"/>
    <s v="CUST-125"/>
    <s v="PROD-002"/>
    <s v="Home Office"/>
    <s v="North"/>
    <x v="4"/>
    <x v="2"/>
    <n v="9"/>
    <n v="120"/>
    <n v="1080"/>
    <n v="108"/>
    <s v="Large Order"/>
    <s v="Weekday"/>
  </r>
  <r>
    <s v="ORD-3628"/>
    <d v="2024-07-28T00:00:00"/>
    <n v="2024"/>
    <s v="Jul"/>
    <s v="Sun"/>
    <s v="CUST-156"/>
    <s v="PROD-021"/>
    <s v="Home Office"/>
    <s v="East"/>
    <x v="0"/>
    <x v="2"/>
    <n v="3"/>
    <n v="120"/>
    <n v="360"/>
    <n v="36"/>
    <s v="Standard Order"/>
    <s v="Weekend"/>
  </r>
  <r>
    <s v="ORD-3629"/>
    <d v="2024-07-12T00:00:00"/>
    <n v="2024"/>
    <s v="Jul"/>
    <s v="Fri"/>
    <s v="CUST-115"/>
    <s v="PROD-009"/>
    <s v="Consumer"/>
    <s v="North"/>
    <x v="3"/>
    <x v="0"/>
    <n v="19"/>
    <n v="120"/>
    <n v="2280"/>
    <n v="228"/>
    <s v="Large Order"/>
    <s v="Weekday"/>
  </r>
  <r>
    <s v="ORD-3630"/>
    <d v="2024-09-05T00:00:00"/>
    <n v="2024"/>
    <s v="Sep"/>
    <s v="Thu"/>
    <s v="CUST-186"/>
    <s v="PROD-025"/>
    <s v="Consumer"/>
    <s v="North"/>
    <x v="0"/>
    <x v="0"/>
    <n v="9"/>
    <n v="120"/>
    <n v="1080"/>
    <n v="108"/>
    <s v="Large Order"/>
    <s v="Weekday"/>
  </r>
  <r>
    <s v="ORD-3631"/>
    <d v="2024-01-04T00:00:00"/>
    <n v="2024"/>
    <s v="Jan"/>
    <s v="Thu"/>
    <s v="CUST-185"/>
    <s v="PROD-019"/>
    <s v="Consumer"/>
    <s v="West"/>
    <x v="0"/>
    <x v="2"/>
    <n v="17"/>
    <n v="120"/>
    <n v="2040"/>
    <n v="204"/>
    <s v="Large Order"/>
    <s v="Weekday"/>
  </r>
  <r>
    <s v="ORD-3632"/>
    <d v="2024-07-11T00:00:00"/>
    <n v="2024"/>
    <s v="Jul"/>
    <s v="Thu"/>
    <s v="CUST-177"/>
    <s v="PROD-017"/>
    <s v="Corporate"/>
    <s v="East"/>
    <x v="2"/>
    <x v="1"/>
    <n v="11"/>
    <n v="120"/>
    <n v="1320"/>
    <n v="132"/>
    <s v="Large Order"/>
    <s v="Weekday"/>
  </r>
  <r>
    <s v="ORD-3633"/>
    <d v="2024-06-21T00:00:00"/>
    <n v="2024"/>
    <s v="Jun"/>
    <s v="Fri"/>
    <s v="CUST-147"/>
    <s v="PROD-022"/>
    <s v="Corporate"/>
    <s v="East"/>
    <x v="3"/>
    <x v="2"/>
    <n v="12"/>
    <n v="120"/>
    <n v="1440"/>
    <n v="144"/>
    <s v="Large Order"/>
    <s v="Weekday"/>
  </r>
  <r>
    <s v="ORD-3634"/>
    <d v="2024-07-12T00:00:00"/>
    <n v="2024"/>
    <s v="Jul"/>
    <s v="Fri"/>
    <s v="CUST-178"/>
    <s v="PROD-002"/>
    <s v="Corporate"/>
    <s v="North"/>
    <x v="3"/>
    <x v="0"/>
    <n v="1"/>
    <n v="120"/>
    <n v="120"/>
    <n v="12"/>
    <s v="Standard Order"/>
    <s v="Weekday"/>
  </r>
  <r>
    <s v="ORD-3635"/>
    <d v="2024-12-23T00:00:00"/>
    <n v="2024"/>
    <s v="Dec"/>
    <s v="Mon"/>
    <s v="CUST-151"/>
    <s v="PROD-024"/>
    <s v="Consumer"/>
    <s v="East"/>
    <x v="0"/>
    <x v="4"/>
    <n v="4"/>
    <n v="120"/>
    <n v="480"/>
    <n v="48"/>
    <s v="Standard Order"/>
    <s v="Weekday"/>
  </r>
  <r>
    <s v="ORD-3636"/>
    <d v="2024-05-23T00:00:00"/>
    <n v="2024"/>
    <s v="May"/>
    <s v="Thu"/>
    <s v="CUST-189"/>
    <s v="PROD-025"/>
    <s v="Consumer"/>
    <s v="South"/>
    <x v="3"/>
    <x v="1"/>
    <n v="20"/>
    <n v="120"/>
    <n v="2400"/>
    <n v="240"/>
    <s v="Large Order"/>
    <s v="Weekday"/>
  </r>
  <r>
    <s v="ORD-3637"/>
    <d v="2024-08-31T00:00:00"/>
    <n v="2024"/>
    <s v="Aug"/>
    <s v="Sat"/>
    <s v="CUST-165"/>
    <s v="PROD-014"/>
    <s v="Home Office"/>
    <s v="West"/>
    <x v="4"/>
    <x v="0"/>
    <n v="11"/>
    <n v="120"/>
    <n v="1320"/>
    <n v="132"/>
    <s v="Large Order"/>
    <s v="Weekend"/>
  </r>
  <r>
    <s v="ORD-3638"/>
    <d v="2024-07-03T00:00:00"/>
    <n v="2024"/>
    <s v="Jul"/>
    <s v="Wed"/>
    <s v="CUST-105"/>
    <s v="PROD-024"/>
    <s v="Corporate"/>
    <s v="West"/>
    <x v="2"/>
    <x v="2"/>
    <n v="20"/>
    <n v="120"/>
    <n v="2400"/>
    <n v="240"/>
    <s v="Large Order"/>
    <s v="Weekday"/>
  </r>
  <r>
    <s v="ORD-3639"/>
    <d v="2024-11-09T00:00:00"/>
    <n v="2024"/>
    <s v="Nov"/>
    <s v="Sat"/>
    <s v="CUST-110"/>
    <s v="PROD-012"/>
    <s v="Corporate"/>
    <s v="Central"/>
    <x v="2"/>
    <x v="0"/>
    <n v="13"/>
    <n v="120"/>
    <n v="1560"/>
    <n v="156"/>
    <s v="Large Order"/>
    <s v="Weekend"/>
  </r>
  <r>
    <s v="ORD-3640"/>
    <d v="2024-04-09T00:00:00"/>
    <n v="2024"/>
    <s v="Apr"/>
    <s v="Tue"/>
    <s v="CUST-191"/>
    <s v="PROD-005"/>
    <s v="Home Office"/>
    <s v="West"/>
    <x v="5"/>
    <x v="4"/>
    <n v="2"/>
    <n v="120"/>
    <n v="240"/>
    <n v="24"/>
    <s v="Standard Order"/>
    <s v="Weekday"/>
  </r>
  <r>
    <s v="ORD-3641"/>
    <d v="2024-02-14T00:00:00"/>
    <n v="2024"/>
    <s v="Feb"/>
    <s v="Wed"/>
    <s v="CUST-138"/>
    <s v="PROD-022"/>
    <s v="Home Office"/>
    <s v="South"/>
    <x v="2"/>
    <x v="2"/>
    <n v="15"/>
    <n v="120"/>
    <n v="1800"/>
    <n v="180"/>
    <s v="Large Order"/>
    <s v="Weekday"/>
  </r>
  <r>
    <s v="ORD-3642"/>
    <d v="2024-09-03T00:00:00"/>
    <n v="2024"/>
    <s v="Sep"/>
    <s v="Tue"/>
    <s v="CUST-184"/>
    <s v="PROD-018"/>
    <s v="Consumer"/>
    <s v="West"/>
    <x v="4"/>
    <x v="2"/>
    <n v="6"/>
    <n v="120"/>
    <n v="720"/>
    <n v="72"/>
    <s v="Large Order"/>
    <s v="Weekday"/>
  </r>
  <r>
    <s v="ORD-3643"/>
    <d v="2024-12-03T00:00:00"/>
    <n v="2024"/>
    <s v="Dec"/>
    <s v="Tue"/>
    <s v="CUST-189"/>
    <s v="PROD-003"/>
    <s v="Consumer"/>
    <s v="South"/>
    <x v="2"/>
    <x v="0"/>
    <n v="6"/>
    <n v="120"/>
    <n v="720"/>
    <n v="72"/>
    <s v="Large Order"/>
    <s v="Weekday"/>
  </r>
  <r>
    <s v="ORD-3644"/>
    <d v="2024-06-16T00:00:00"/>
    <n v="2024"/>
    <s v="Jun"/>
    <s v="Sun"/>
    <s v="CUST-149"/>
    <s v="PROD-025"/>
    <s v="Corporate"/>
    <s v="Central"/>
    <x v="4"/>
    <x v="3"/>
    <n v="16"/>
    <n v="120"/>
    <n v="1920"/>
    <n v="192"/>
    <s v="Large Order"/>
    <s v="Weekend"/>
  </r>
  <r>
    <s v="ORD-3645"/>
    <d v="2024-12-09T00:00:00"/>
    <n v="2024"/>
    <s v="Dec"/>
    <s v="Mon"/>
    <s v="CUST-115"/>
    <s v="PROD-022"/>
    <s v="Consumer"/>
    <s v="North"/>
    <x v="5"/>
    <x v="1"/>
    <n v="3"/>
    <n v="120"/>
    <n v="360"/>
    <n v="36"/>
    <s v="Standard Order"/>
    <s v="Weekday"/>
  </r>
  <r>
    <s v="ORD-3646"/>
    <d v="2024-06-19T00:00:00"/>
    <n v="2024"/>
    <s v="Jun"/>
    <s v="Wed"/>
    <s v="CUST-128"/>
    <s v="PROD-019"/>
    <s v="Home Office"/>
    <s v="West"/>
    <x v="0"/>
    <x v="3"/>
    <n v="13"/>
    <n v="120"/>
    <n v="1560"/>
    <n v="156"/>
    <s v="Large Order"/>
    <s v="Weekday"/>
  </r>
  <r>
    <s v="ORD-3647"/>
    <d v="2024-07-14T00:00:00"/>
    <n v="2024"/>
    <s v="Jul"/>
    <s v="Sun"/>
    <s v="CUST-183"/>
    <s v="PROD-021"/>
    <s v="Home Office"/>
    <s v="East"/>
    <x v="2"/>
    <x v="2"/>
    <n v="8"/>
    <n v="120"/>
    <n v="960"/>
    <n v="96"/>
    <s v="Large Order"/>
    <s v="Weekend"/>
  </r>
  <r>
    <s v="ORD-3648"/>
    <d v="2024-05-28T00:00:00"/>
    <n v="2024"/>
    <s v="May"/>
    <s v="Tue"/>
    <s v="CUST-111"/>
    <s v="PROD-004"/>
    <s v="Consumer"/>
    <s v="East"/>
    <x v="3"/>
    <x v="4"/>
    <n v="7"/>
    <n v="120"/>
    <n v="840"/>
    <n v="84"/>
    <s v="Large Order"/>
    <s v="Weekday"/>
  </r>
  <r>
    <s v="ORD-3649"/>
    <d v="2024-02-29T00:00:00"/>
    <n v="2024"/>
    <s v="Feb"/>
    <s v="Thu"/>
    <s v="CUST-173"/>
    <s v="PROD-012"/>
    <s v="Consumer"/>
    <s v="South"/>
    <x v="3"/>
    <x v="1"/>
    <n v="19"/>
    <n v="120"/>
    <n v="2280"/>
    <n v="228"/>
    <s v="Large Order"/>
    <s v="Weekday"/>
  </r>
  <r>
    <s v="ORD-3650"/>
    <d v="2024-06-08T00:00:00"/>
    <n v="2024"/>
    <s v="Jun"/>
    <s v="Sat"/>
    <s v="CUST-107"/>
    <s v="PROD-019"/>
    <s v="Home Office"/>
    <s v="Central"/>
    <x v="4"/>
    <x v="1"/>
    <n v="14"/>
    <n v="120"/>
    <n v="1680"/>
    <n v="168"/>
    <s v="Large Order"/>
    <s v="Weekend"/>
  </r>
  <r>
    <s v="ORD-3651"/>
    <d v="2024-07-05T00:00:00"/>
    <n v="2024"/>
    <s v="Jul"/>
    <s v="Fri"/>
    <s v="CUST-186"/>
    <s v="PROD-005"/>
    <s v="Home Office"/>
    <s v="South"/>
    <x v="5"/>
    <x v="4"/>
    <n v="8"/>
    <n v="120"/>
    <n v="960"/>
    <n v="96"/>
    <s v="Large Order"/>
    <s v="Weekday"/>
  </r>
  <r>
    <s v="ORD-3652"/>
    <d v="2024-01-05T00:00:00"/>
    <n v="2024"/>
    <s v="Jan"/>
    <s v="Fri"/>
    <s v="CUST-168"/>
    <s v="PROD-015"/>
    <s v="Corporate"/>
    <s v="South"/>
    <x v="4"/>
    <x v="3"/>
    <n v="8"/>
    <n v="120"/>
    <n v="960"/>
    <n v="96"/>
    <s v="Large Order"/>
    <s v="Weekday"/>
  </r>
  <r>
    <s v="ORD-3653"/>
    <d v="2024-08-21T00:00:00"/>
    <n v="2024"/>
    <s v="Aug"/>
    <s v="Wed"/>
    <s v="CUST-118"/>
    <s v="PROD-020"/>
    <s v="Corporate"/>
    <s v="Central"/>
    <x v="4"/>
    <x v="0"/>
    <n v="20"/>
    <n v="120"/>
    <n v="2400"/>
    <n v="240"/>
    <s v="Large Order"/>
    <s v="Weekday"/>
  </r>
  <r>
    <s v="ORD-3654"/>
    <d v="2024-09-14T00:00:00"/>
    <n v="2024"/>
    <s v="Sep"/>
    <s v="Sat"/>
    <s v="CUST-188"/>
    <s v="PROD-004"/>
    <s v="Corporate"/>
    <s v="South"/>
    <x v="5"/>
    <x v="1"/>
    <n v="7"/>
    <n v="120"/>
    <n v="840"/>
    <n v="84"/>
    <s v="Large Order"/>
    <s v="Weekend"/>
  </r>
  <r>
    <s v="ORD-3655"/>
    <d v="2024-12-26T00:00:00"/>
    <n v="2024"/>
    <s v="Dec"/>
    <s v="Thu"/>
    <s v="CUST-148"/>
    <s v="PROD-002"/>
    <s v="Corporate"/>
    <s v="West"/>
    <x v="4"/>
    <x v="2"/>
    <n v="8"/>
    <n v="120"/>
    <n v="960"/>
    <n v="96"/>
    <s v="Large Order"/>
    <s v="Weekday"/>
  </r>
  <r>
    <s v="ORD-3656"/>
    <d v="2024-01-27T00:00:00"/>
    <n v="2024"/>
    <s v="Jan"/>
    <s v="Sat"/>
    <s v="CUST-199"/>
    <s v="PROD-006"/>
    <s v="Corporate"/>
    <s v="West"/>
    <x v="2"/>
    <x v="3"/>
    <n v="6"/>
    <n v="120"/>
    <n v="720"/>
    <n v="72"/>
    <s v="Large Order"/>
    <s v="Weekend"/>
  </r>
  <r>
    <s v="ORD-3657"/>
    <d v="2024-10-07T00:00:00"/>
    <n v="2024"/>
    <s v="Oct"/>
    <s v="Mon"/>
    <s v="CUST-150"/>
    <s v="PROD-011"/>
    <s v="Corporate"/>
    <s v="South"/>
    <x v="2"/>
    <x v="3"/>
    <n v="13"/>
    <n v="120"/>
    <n v="1560"/>
    <n v="156"/>
    <s v="Large Order"/>
    <s v="Weekday"/>
  </r>
  <r>
    <s v="ORD-3658"/>
    <d v="2024-09-27T00:00:00"/>
    <n v="2024"/>
    <s v="Sep"/>
    <s v="Fri"/>
    <s v="CUST-193"/>
    <s v="PROD-010"/>
    <s v="Corporate"/>
    <s v="East"/>
    <x v="4"/>
    <x v="4"/>
    <n v="13"/>
    <n v="120"/>
    <n v="1560"/>
    <n v="156"/>
    <s v="Large Order"/>
    <s v="Weekday"/>
  </r>
  <r>
    <s v="ORD-3659"/>
    <d v="2024-06-14T00:00:00"/>
    <n v="2024"/>
    <s v="Jun"/>
    <s v="Fri"/>
    <s v="CUST-196"/>
    <s v="PROD-019"/>
    <s v="Consumer"/>
    <s v="South"/>
    <x v="3"/>
    <x v="1"/>
    <n v="6"/>
    <n v="120"/>
    <n v="720"/>
    <n v="72"/>
    <s v="Large Order"/>
    <s v="Weekday"/>
  </r>
  <r>
    <s v="ORD-3660"/>
    <d v="2024-08-14T00:00:00"/>
    <n v="2024"/>
    <s v="Aug"/>
    <s v="Wed"/>
    <s v="CUST-189"/>
    <s v="PROD-016"/>
    <s v="Corporate"/>
    <s v="East"/>
    <x v="4"/>
    <x v="2"/>
    <n v="7"/>
    <n v="120"/>
    <n v="840"/>
    <n v="84"/>
    <s v="Large Order"/>
    <s v="Weekday"/>
  </r>
  <r>
    <s v="ORD-3661"/>
    <d v="2024-04-10T00:00:00"/>
    <n v="2024"/>
    <s v="Apr"/>
    <s v="Wed"/>
    <s v="CUST-194"/>
    <s v="PROD-021"/>
    <s v="Consumer"/>
    <s v="South"/>
    <x v="3"/>
    <x v="4"/>
    <n v="4"/>
    <n v="120"/>
    <n v="480"/>
    <n v="48"/>
    <s v="Standard Order"/>
    <s v="Weekday"/>
  </r>
  <r>
    <s v="ORD-3662"/>
    <d v="2024-03-16T00:00:00"/>
    <n v="2024"/>
    <s v="Mar"/>
    <s v="Sat"/>
    <s v="CUST-148"/>
    <s v="PROD-014"/>
    <s v="Home Office"/>
    <s v="Central"/>
    <x v="4"/>
    <x v="0"/>
    <n v="4"/>
    <n v="120"/>
    <n v="480"/>
    <n v="48"/>
    <s v="Standard Order"/>
    <s v="Weekend"/>
  </r>
  <r>
    <s v="ORD-3663"/>
    <d v="2024-08-30T00:00:00"/>
    <n v="2024"/>
    <s v="Aug"/>
    <s v="Fri"/>
    <s v="CUST-122"/>
    <s v="PROD-002"/>
    <s v="Consumer"/>
    <s v="South"/>
    <x v="5"/>
    <x v="3"/>
    <n v="19"/>
    <n v="120"/>
    <n v="2280"/>
    <n v="228"/>
    <s v="Large Order"/>
    <s v="Weekday"/>
  </r>
  <r>
    <s v="ORD-3664"/>
    <d v="2024-03-17T00:00:00"/>
    <n v="2024"/>
    <s v="Mar"/>
    <s v="Sun"/>
    <s v="CUST-180"/>
    <s v="PROD-024"/>
    <s v="Corporate"/>
    <s v="South"/>
    <x v="4"/>
    <x v="0"/>
    <n v="4"/>
    <n v="120"/>
    <n v="480"/>
    <n v="48"/>
    <s v="Standard Order"/>
    <s v="Weekend"/>
  </r>
  <r>
    <s v="ORD-3665"/>
    <d v="2024-09-07T00:00:00"/>
    <n v="2024"/>
    <s v="Sep"/>
    <s v="Sat"/>
    <s v="CUST-138"/>
    <s v="PROD-023"/>
    <s v="Home Office"/>
    <s v="West"/>
    <x v="4"/>
    <x v="1"/>
    <n v="3"/>
    <n v="120"/>
    <n v="360"/>
    <n v="36"/>
    <s v="Standard Order"/>
    <s v="Weekend"/>
  </r>
  <r>
    <s v="ORD-3666"/>
    <d v="2024-11-28T00:00:00"/>
    <n v="2024"/>
    <s v="Nov"/>
    <s v="Thu"/>
    <s v="CUST-148"/>
    <s v="PROD-009"/>
    <s v="Home Office"/>
    <s v="Central"/>
    <x v="2"/>
    <x v="3"/>
    <n v="1"/>
    <n v="120"/>
    <n v="120"/>
    <n v="12"/>
    <s v="Standard Order"/>
    <s v="Weekday"/>
  </r>
  <r>
    <s v="ORD-3667"/>
    <d v="2024-02-12T00:00:00"/>
    <n v="2024"/>
    <s v="Feb"/>
    <s v="Mon"/>
    <s v="CUST-115"/>
    <s v="PROD-016"/>
    <s v="Home Office"/>
    <s v="North"/>
    <x v="5"/>
    <x v="2"/>
    <n v="1"/>
    <n v="120"/>
    <n v="120"/>
    <n v="12"/>
    <s v="Standard Order"/>
    <s v="Weekday"/>
  </r>
  <r>
    <s v="ORD-3668"/>
    <d v="2024-10-20T00:00:00"/>
    <n v="2024"/>
    <s v="Oct"/>
    <s v="Sun"/>
    <s v="CUST-161"/>
    <s v="PROD-009"/>
    <s v="Home Office"/>
    <s v="Central"/>
    <x v="0"/>
    <x v="4"/>
    <n v="6"/>
    <n v="120"/>
    <n v="720"/>
    <n v="72"/>
    <s v="Large Order"/>
    <s v="Weekend"/>
  </r>
  <r>
    <s v="ORD-3669"/>
    <d v="2024-11-26T00:00:00"/>
    <n v="2024"/>
    <s v="Nov"/>
    <s v="Tue"/>
    <s v="CUST-189"/>
    <s v="PROD-014"/>
    <s v="Corporate"/>
    <s v="North"/>
    <x v="5"/>
    <x v="2"/>
    <n v="4"/>
    <n v="120"/>
    <n v="480"/>
    <n v="48"/>
    <s v="Standard Order"/>
    <s v="Weekday"/>
  </r>
  <r>
    <s v="ORD-3670"/>
    <d v="2024-10-02T00:00:00"/>
    <n v="2024"/>
    <s v="Oct"/>
    <s v="Wed"/>
    <s v="CUST-123"/>
    <s v="PROD-013"/>
    <s v="Home Office"/>
    <s v="Central"/>
    <x v="0"/>
    <x v="1"/>
    <n v="18"/>
    <n v="120"/>
    <n v="2160"/>
    <n v="216"/>
    <s v="Large Order"/>
    <s v="Weekday"/>
  </r>
  <r>
    <s v="ORD-3671"/>
    <d v="2024-09-28T00:00:00"/>
    <n v="2024"/>
    <s v="Sep"/>
    <s v="Sat"/>
    <s v="CUST-162"/>
    <s v="PROD-003"/>
    <s v="Home Office"/>
    <s v="Central"/>
    <x v="5"/>
    <x v="4"/>
    <n v="4"/>
    <n v="120"/>
    <n v="480"/>
    <n v="48"/>
    <s v="Standard Order"/>
    <s v="Weekend"/>
  </r>
  <r>
    <s v="ORD-3672"/>
    <d v="2024-04-16T00:00:00"/>
    <n v="2024"/>
    <s v="Apr"/>
    <s v="Tue"/>
    <s v="CUST-184"/>
    <s v="PROD-004"/>
    <s v="Consumer"/>
    <s v="Central"/>
    <x v="5"/>
    <x v="2"/>
    <n v="1"/>
    <n v="120"/>
    <n v="120"/>
    <n v="12"/>
    <s v="Standard Order"/>
    <s v="Weekday"/>
  </r>
  <r>
    <s v="ORD-3673"/>
    <d v="2024-06-09T00:00:00"/>
    <n v="2024"/>
    <s v="Jun"/>
    <s v="Sun"/>
    <s v="CUST-115"/>
    <s v="PROD-002"/>
    <s v="Consumer"/>
    <s v="North"/>
    <x v="5"/>
    <x v="2"/>
    <n v="6"/>
    <n v="120"/>
    <n v="720"/>
    <n v="72"/>
    <s v="Large Order"/>
    <s v="Weekend"/>
  </r>
  <r>
    <s v="ORD-3674"/>
    <d v="2024-05-11T00:00:00"/>
    <n v="2024"/>
    <s v="May"/>
    <s v="Sat"/>
    <s v="CUST-196"/>
    <s v="PROD-002"/>
    <s v="Consumer"/>
    <s v="North"/>
    <x v="0"/>
    <x v="4"/>
    <n v="10"/>
    <n v="120"/>
    <n v="1200"/>
    <n v="120"/>
    <s v="Large Order"/>
    <s v="Weekend"/>
  </r>
  <r>
    <s v="ORD-3675"/>
    <d v="2024-10-05T00:00:00"/>
    <n v="2024"/>
    <s v="Oct"/>
    <s v="Sat"/>
    <s v="CUST-121"/>
    <s v="PROD-014"/>
    <s v="Home Office"/>
    <s v="Central"/>
    <x v="0"/>
    <x v="2"/>
    <n v="10"/>
    <n v="120"/>
    <n v="1200"/>
    <n v="120"/>
    <s v="Large Order"/>
    <s v="Weekend"/>
  </r>
  <r>
    <s v="ORD-3676"/>
    <d v="2024-09-22T00:00:00"/>
    <n v="2024"/>
    <s v="Sep"/>
    <s v="Sun"/>
    <s v="CUST-200"/>
    <s v="PROD-010"/>
    <s v="Home Office"/>
    <s v="Central"/>
    <x v="5"/>
    <x v="1"/>
    <n v="5"/>
    <n v="120"/>
    <n v="600"/>
    <n v="60"/>
    <s v="Large Order"/>
    <s v="Weekend"/>
  </r>
  <r>
    <s v="ORD-3677"/>
    <d v="2024-12-21T00:00:00"/>
    <n v="2024"/>
    <s v="Dec"/>
    <s v="Sat"/>
    <s v="CUST-140"/>
    <s v="PROD-017"/>
    <s v="Corporate"/>
    <s v="North"/>
    <x v="5"/>
    <x v="4"/>
    <n v="17"/>
    <n v="120"/>
    <n v="2040"/>
    <n v="204"/>
    <s v="Large Order"/>
    <s v="Weekend"/>
  </r>
  <r>
    <s v="ORD-3678"/>
    <d v="2024-02-20T00:00:00"/>
    <n v="2024"/>
    <s v="Feb"/>
    <s v="Tue"/>
    <s v="CUST-184"/>
    <s v="PROD-002"/>
    <s v="Consumer"/>
    <s v="South"/>
    <x v="0"/>
    <x v="2"/>
    <n v="5"/>
    <n v="120"/>
    <n v="600"/>
    <n v="60"/>
    <s v="Large Order"/>
    <s v="Weekday"/>
  </r>
  <r>
    <s v="ORD-3679"/>
    <d v="2024-04-20T00:00:00"/>
    <n v="2024"/>
    <s v="Apr"/>
    <s v="Sat"/>
    <s v="CUST-117"/>
    <s v="PROD-020"/>
    <s v="Home Office"/>
    <s v="East"/>
    <x v="4"/>
    <x v="4"/>
    <n v="12"/>
    <n v="120"/>
    <n v="1440"/>
    <n v="144"/>
    <s v="Large Order"/>
    <s v="Weekend"/>
  </r>
  <r>
    <s v="ORD-3680"/>
    <d v="2024-11-14T00:00:00"/>
    <n v="2024"/>
    <s v="Nov"/>
    <s v="Thu"/>
    <s v="CUST-154"/>
    <s v="PROD-003"/>
    <s v="Home Office"/>
    <s v="East"/>
    <x v="3"/>
    <x v="3"/>
    <n v="13"/>
    <n v="120"/>
    <n v="1560"/>
    <n v="156"/>
    <s v="Large Order"/>
    <s v="Weekday"/>
  </r>
  <r>
    <s v="ORD-3681"/>
    <d v="2024-03-24T00:00:00"/>
    <n v="2024"/>
    <s v="Mar"/>
    <s v="Sun"/>
    <s v="CUST-151"/>
    <s v="PROD-015"/>
    <s v="Consumer"/>
    <s v="South"/>
    <x v="3"/>
    <x v="1"/>
    <n v="5"/>
    <n v="120"/>
    <n v="600"/>
    <n v="60"/>
    <s v="Large Order"/>
    <s v="Weekend"/>
  </r>
  <r>
    <s v="ORD-3682"/>
    <d v="2024-02-06T00:00:00"/>
    <n v="2024"/>
    <s v="Feb"/>
    <s v="Tue"/>
    <s v="CUST-180"/>
    <s v="PROD-024"/>
    <s v="Corporate"/>
    <s v="South"/>
    <x v="4"/>
    <x v="3"/>
    <n v="19"/>
    <n v="120"/>
    <n v="2280"/>
    <n v="228"/>
    <s v="Large Order"/>
    <s v="Weekday"/>
  </r>
  <r>
    <s v="ORD-3683"/>
    <d v="2024-09-18T00:00:00"/>
    <n v="2024"/>
    <s v="Sep"/>
    <s v="Wed"/>
    <s v="CUST-177"/>
    <s v="PROD-006"/>
    <s v="Corporate"/>
    <s v="North"/>
    <x v="4"/>
    <x v="3"/>
    <n v="14"/>
    <n v="120"/>
    <n v="1680"/>
    <n v="168"/>
    <s v="Large Order"/>
    <s v="Weekday"/>
  </r>
  <r>
    <s v="ORD-3684"/>
    <d v="2024-11-05T00:00:00"/>
    <n v="2024"/>
    <s v="Nov"/>
    <s v="Tue"/>
    <s v="CUST-131"/>
    <s v="PROD-003"/>
    <s v="Corporate"/>
    <s v="North"/>
    <x v="0"/>
    <x v="4"/>
    <n v="4"/>
    <n v="120"/>
    <n v="480"/>
    <n v="48"/>
    <s v="Standard Order"/>
    <s v="Weekday"/>
  </r>
  <r>
    <s v="ORD-3685"/>
    <d v="2024-07-27T00:00:00"/>
    <n v="2024"/>
    <s v="Jul"/>
    <s v="Sat"/>
    <s v="CUST-108"/>
    <s v="PROD-011"/>
    <s v="Home Office"/>
    <s v="North"/>
    <x v="0"/>
    <x v="3"/>
    <n v="11"/>
    <n v="120"/>
    <n v="1320"/>
    <n v="132"/>
    <s v="Large Order"/>
    <s v="Weekend"/>
  </r>
  <r>
    <s v="ORD-3686"/>
    <d v="2024-03-15T00:00:00"/>
    <n v="2024"/>
    <s v="Mar"/>
    <s v="Fri"/>
    <s v="CUST-128"/>
    <s v="PROD-009"/>
    <s v="Consumer"/>
    <s v="Central"/>
    <x v="0"/>
    <x v="1"/>
    <n v="8"/>
    <n v="120"/>
    <n v="960"/>
    <n v="96"/>
    <s v="Large Order"/>
    <s v="Weekday"/>
  </r>
  <r>
    <s v="ORD-3687"/>
    <d v="2024-02-23T00:00:00"/>
    <n v="2024"/>
    <s v="Feb"/>
    <s v="Fri"/>
    <s v="CUST-200"/>
    <s v="PROD-004"/>
    <s v="Consumer"/>
    <s v="Central"/>
    <x v="5"/>
    <x v="3"/>
    <n v="19"/>
    <n v="120"/>
    <n v="2280"/>
    <n v="228"/>
    <s v="Large Order"/>
    <s v="Weekday"/>
  </r>
  <r>
    <s v="ORD-3688"/>
    <d v="2024-09-07T00:00:00"/>
    <n v="2024"/>
    <s v="Sep"/>
    <s v="Sat"/>
    <s v="CUST-112"/>
    <s v="PROD-017"/>
    <s v="Corporate"/>
    <s v="West"/>
    <x v="5"/>
    <x v="3"/>
    <n v="18"/>
    <n v="120"/>
    <n v="2160"/>
    <n v="216"/>
    <s v="Large Order"/>
    <s v="Weekend"/>
  </r>
  <r>
    <s v="ORD-3689"/>
    <d v="2024-02-20T00:00:00"/>
    <n v="2024"/>
    <s v="Feb"/>
    <s v="Tue"/>
    <s v="CUST-106"/>
    <s v="PROD-006"/>
    <s v="Corporate"/>
    <s v="Central"/>
    <x v="2"/>
    <x v="2"/>
    <n v="12"/>
    <n v="120"/>
    <n v="1440"/>
    <n v="144"/>
    <s v="Large Order"/>
    <s v="Weekday"/>
  </r>
  <r>
    <s v="ORD-3690"/>
    <d v="2024-12-13T00:00:00"/>
    <n v="2024"/>
    <s v="Dec"/>
    <s v="Fri"/>
    <s v="CUST-200"/>
    <s v="PROD-018"/>
    <s v="Home Office"/>
    <s v="South"/>
    <x v="5"/>
    <x v="1"/>
    <n v="16"/>
    <n v="120"/>
    <n v="1920"/>
    <n v="192"/>
    <s v="Large Order"/>
    <s v="Weekday"/>
  </r>
  <r>
    <s v="ORD-3691"/>
    <d v="2024-05-12T00:00:00"/>
    <n v="2024"/>
    <s v="May"/>
    <s v="Sun"/>
    <s v="CUST-101"/>
    <s v="PROD-022"/>
    <s v="Home Office"/>
    <s v="East"/>
    <x v="4"/>
    <x v="2"/>
    <n v="5"/>
    <n v="120"/>
    <n v="600"/>
    <n v="60"/>
    <s v="Large Order"/>
    <s v="Weekend"/>
  </r>
  <r>
    <s v="ORD-3692"/>
    <d v="2024-05-16T00:00:00"/>
    <n v="2024"/>
    <s v="May"/>
    <s v="Thu"/>
    <s v="CUST-106"/>
    <s v="PROD-024"/>
    <s v="Home Office"/>
    <s v="West"/>
    <x v="3"/>
    <x v="2"/>
    <n v="20"/>
    <n v="120"/>
    <n v="2400"/>
    <n v="240"/>
    <s v="Large Order"/>
    <s v="Weekday"/>
  </r>
  <r>
    <s v="ORD-3693"/>
    <d v="2024-08-22T00:00:00"/>
    <n v="2024"/>
    <s v="Aug"/>
    <s v="Thu"/>
    <s v="CUST-123"/>
    <s v="PROD-015"/>
    <s v="Corporate"/>
    <s v="East"/>
    <x v="2"/>
    <x v="4"/>
    <n v="10"/>
    <n v="120"/>
    <n v="1200"/>
    <n v="120"/>
    <s v="Large Order"/>
    <s v="Weekday"/>
  </r>
  <r>
    <s v="ORD-3694"/>
    <d v="2024-08-07T00:00:00"/>
    <n v="2024"/>
    <s v="Aug"/>
    <s v="Wed"/>
    <s v="CUST-166"/>
    <s v="PROD-023"/>
    <s v="Consumer"/>
    <s v="North"/>
    <x v="3"/>
    <x v="0"/>
    <n v="10"/>
    <n v="120"/>
    <n v="1200"/>
    <n v="120"/>
    <s v="Large Order"/>
    <s v="Weekday"/>
  </r>
  <r>
    <s v="ORD-3695"/>
    <d v="2024-06-09T00:00:00"/>
    <n v="2024"/>
    <s v="Jun"/>
    <s v="Sun"/>
    <s v="CUST-111"/>
    <s v="PROD-021"/>
    <s v="Consumer"/>
    <s v="Central"/>
    <x v="0"/>
    <x v="2"/>
    <n v="3"/>
    <n v="120"/>
    <n v="360"/>
    <n v="36"/>
    <s v="Standard Order"/>
    <s v="Weekend"/>
  </r>
  <r>
    <s v="ORD-3696"/>
    <d v="2024-01-30T00:00:00"/>
    <n v="2024"/>
    <s v="Jan"/>
    <s v="Tue"/>
    <s v="CUST-110"/>
    <s v="PROD-024"/>
    <s v="Corporate"/>
    <s v="South"/>
    <x v="5"/>
    <x v="1"/>
    <n v="1"/>
    <n v="120"/>
    <n v="120"/>
    <n v="12"/>
    <s v="Standard Order"/>
    <s v="Weekday"/>
  </r>
  <r>
    <s v="ORD-3697"/>
    <d v="2024-08-05T00:00:00"/>
    <n v="2024"/>
    <s v="Aug"/>
    <s v="Mon"/>
    <s v="CUST-186"/>
    <s v="PROD-017"/>
    <s v="Home Office"/>
    <s v="West"/>
    <x v="4"/>
    <x v="1"/>
    <n v="16"/>
    <n v="120"/>
    <n v="1920"/>
    <n v="192"/>
    <s v="Large Order"/>
    <s v="Weekday"/>
  </r>
  <r>
    <s v="ORD-3698"/>
    <d v="2024-12-12T00:00:00"/>
    <n v="2024"/>
    <s v="Dec"/>
    <s v="Thu"/>
    <s v="CUST-168"/>
    <s v="PROD-023"/>
    <s v="Consumer"/>
    <s v="Central"/>
    <x v="2"/>
    <x v="0"/>
    <n v="20"/>
    <n v="120"/>
    <n v="2400"/>
    <n v="240"/>
    <s v="Large Order"/>
    <s v="Weekday"/>
  </r>
  <r>
    <s v="ORD-3699"/>
    <d v="2024-01-04T00:00:00"/>
    <n v="2024"/>
    <s v="Jan"/>
    <s v="Thu"/>
    <s v="CUST-191"/>
    <s v="PROD-014"/>
    <s v="Home Office"/>
    <s v="North"/>
    <x v="5"/>
    <x v="3"/>
    <n v="8"/>
    <n v="120"/>
    <n v="960"/>
    <n v="96"/>
    <s v="Large Order"/>
    <s v="Weekday"/>
  </r>
  <r>
    <s v="ORD-3700"/>
    <d v="2024-12-04T00:00:00"/>
    <n v="2024"/>
    <s v="Dec"/>
    <s v="Wed"/>
    <s v="CUST-167"/>
    <s v="PROD-022"/>
    <s v="Home Office"/>
    <s v="South"/>
    <x v="0"/>
    <x v="4"/>
    <n v="15"/>
    <n v="120"/>
    <n v="1800"/>
    <n v="180"/>
    <s v="Large Order"/>
    <s v="Weekday"/>
  </r>
  <r>
    <s v="ORD-3701"/>
    <d v="2024-12-11T00:00:00"/>
    <n v="2024"/>
    <s v="Dec"/>
    <s v="Wed"/>
    <s v="CUST-197"/>
    <s v="PROD-017"/>
    <s v="Consumer"/>
    <s v="West"/>
    <x v="4"/>
    <x v="0"/>
    <n v="12"/>
    <n v="120"/>
    <n v="1440"/>
    <n v="144"/>
    <s v="Large Order"/>
    <s v="Weekday"/>
  </r>
  <r>
    <s v="ORD-3702"/>
    <d v="2024-09-20T00:00:00"/>
    <n v="2024"/>
    <s v="Sep"/>
    <s v="Fri"/>
    <s v="CUST-145"/>
    <s v="PROD-002"/>
    <s v="Corporate"/>
    <s v="Central"/>
    <x v="2"/>
    <x v="1"/>
    <n v="6"/>
    <n v="120"/>
    <n v="720"/>
    <n v="72"/>
    <s v="Large Order"/>
    <s v="Weekday"/>
  </r>
  <r>
    <s v="ORD-3703"/>
    <d v="2024-02-27T00:00:00"/>
    <n v="2024"/>
    <s v="Feb"/>
    <s v="Tue"/>
    <s v="CUST-143"/>
    <s v="PROD-022"/>
    <s v="Consumer"/>
    <s v="Central"/>
    <x v="5"/>
    <x v="0"/>
    <n v="10"/>
    <n v="120"/>
    <n v="1200"/>
    <n v="120"/>
    <s v="Large Order"/>
    <s v="Weekday"/>
  </r>
  <r>
    <s v="ORD-3704"/>
    <d v="2024-05-30T00:00:00"/>
    <n v="2024"/>
    <s v="May"/>
    <s v="Thu"/>
    <s v="CUST-133"/>
    <s v="PROD-007"/>
    <s v="Consumer"/>
    <s v="Central"/>
    <x v="5"/>
    <x v="1"/>
    <n v="7"/>
    <n v="120"/>
    <n v="840"/>
    <n v="84"/>
    <s v="Large Order"/>
    <s v="Weekday"/>
  </r>
  <r>
    <s v="ORD-3705"/>
    <d v="2024-11-25T00:00:00"/>
    <n v="2024"/>
    <s v="Nov"/>
    <s v="Mon"/>
    <s v="CUST-165"/>
    <s v="PROD-002"/>
    <s v="Corporate"/>
    <s v="East"/>
    <x v="5"/>
    <x v="1"/>
    <n v="2"/>
    <n v="120"/>
    <n v="240"/>
    <n v="24"/>
    <s v="Standard Order"/>
    <s v="Weekday"/>
  </r>
  <r>
    <s v="ORD-3706"/>
    <d v="2024-11-11T00:00:00"/>
    <n v="2024"/>
    <s v="Nov"/>
    <s v="Mon"/>
    <s v="CUST-158"/>
    <s v="PROD-011"/>
    <s v="Corporate"/>
    <s v="North"/>
    <x v="3"/>
    <x v="0"/>
    <n v="1"/>
    <n v="120"/>
    <n v="120"/>
    <n v="12"/>
    <s v="Standard Order"/>
    <s v="Weekday"/>
  </r>
  <r>
    <s v="ORD-3707"/>
    <d v="2024-04-05T00:00:00"/>
    <n v="2024"/>
    <s v="Apr"/>
    <s v="Fri"/>
    <s v="CUST-151"/>
    <s v="PROD-012"/>
    <s v="Consumer"/>
    <s v="North"/>
    <x v="0"/>
    <x v="1"/>
    <n v="16"/>
    <n v="120"/>
    <n v="1920"/>
    <n v="192"/>
    <s v="Large Order"/>
    <s v="Weekday"/>
  </r>
  <r>
    <s v="ORD-3708"/>
    <d v="2024-09-27T00:00:00"/>
    <n v="2024"/>
    <s v="Sep"/>
    <s v="Fri"/>
    <s v="CUST-165"/>
    <s v="PROD-005"/>
    <s v="Corporate"/>
    <s v="West"/>
    <x v="0"/>
    <x v="1"/>
    <n v="1"/>
    <n v="120"/>
    <n v="120"/>
    <n v="12"/>
    <s v="Standard Order"/>
    <s v="Weekday"/>
  </r>
  <r>
    <s v="ORD-3709"/>
    <d v="2024-12-02T00:00:00"/>
    <n v="2024"/>
    <s v="Dec"/>
    <s v="Mon"/>
    <s v="CUST-132"/>
    <s v="PROD-008"/>
    <s v="Corporate"/>
    <s v="West"/>
    <x v="2"/>
    <x v="3"/>
    <n v="10"/>
    <n v="120"/>
    <n v="1200"/>
    <n v="120"/>
    <s v="Large Order"/>
    <s v="Weekday"/>
  </r>
  <r>
    <s v="ORD-3710"/>
    <d v="2024-04-03T00:00:00"/>
    <n v="2024"/>
    <s v="Apr"/>
    <s v="Wed"/>
    <s v="CUST-168"/>
    <s v="PROD-009"/>
    <s v="Consumer"/>
    <s v="South"/>
    <x v="2"/>
    <x v="1"/>
    <n v="6"/>
    <n v="120"/>
    <n v="720"/>
    <n v="72"/>
    <s v="Large Order"/>
    <s v="Weekday"/>
  </r>
  <r>
    <s v="ORD-3711"/>
    <d v="2024-08-10T00:00:00"/>
    <n v="2024"/>
    <s v="Aug"/>
    <s v="Sat"/>
    <s v="CUST-100"/>
    <s v="PROD-012"/>
    <s v="Home Office"/>
    <s v="East"/>
    <x v="4"/>
    <x v="0"/>
    <n v="7"/>
    <n v="120"/>
    <n v="840"/>
    <n v="84"/>
    <s v="Large Order"/>
    <s v="Weekend"/>
  </r>
  <r>
    <s v="ORD-3712"/>
    <d v="2024-03-09T00:00:00"/>
    <n v="2024"/>
    <s v="Mar"/>
    <s v="Sat"/>
    <s v="CUST-150"/>
    <s v="PROD-014"/>
    <s v="Home Office"/>
    <s v="West"/>
    <x v="3"/>
    <x v="0"/>
    <n v="6"/>
    <n v="120"/>
    <n v="720"/>
    <n v="72"/>
    <s v="Large Order"/>
    <s v="Weekend"/>
  </r>
  <r>
    <s v="ORD-3713"/>
    <d v="2024-09-02T00:00:00"/>
    <n v="2024"/>
    <s v="Sep"/>
    <s v="Mon"/>
    <s v="CUST-185"/>
    <s v="PROD-009"/>
    <s v="Consumer"/>
    <s v="West"/>
    <x v="2"/>
    <x v="1"/>
    <n v="18"/>
    <n v="120"/>
    <n v="2160"/>
    <n v="216"/>
    <s v="Large Order"/>
    <s v="Weekday"/>
  </r>
  <r>
    <s v="ORD-3714"/>
    <d v="2024-12-15T00:00:00"/>
    <n v="2024"/>
    <s v="Dec"/>
    <s v="Sun"/>
    <s v="CUST-191"/>
    <s v="PROD-005"/>
    <s v="Corporate"/>
    <s v="East"/>
    <x v="2"/>
    <x v="4"/>
    <n v="13"/>
    <n v="120"/>
    <n v="1560"/>
    <n v="156"/>
    <s v="Large Order"/>
    <s v="Weekend"/>
  </r>
  <r>
    <s v="ORD-3715"/>
    <d v="2024-02-25T00:00:00"/>
    <n v="2024"/>
    <s v="Feb"/>
    <s v="Sun"/>
    <s v="CUST-102"/>
    <s v="PROD-005"/>
    <s v="Consumer"/>
    <s v="West"/>
    <x v="3"/>
    <x v="4"/>
    <n v="1"/>
    <n v="120"/>
    <n v="120"/>
    <n v="12"/>
    <s v="Standard Order"/>
    <s v="Weekend"/>
  </r>
  <r>
    <s v="ORD-3716"/>
    <d v="2024-05-01T00:00:00"/>
    <n v="2024"/>
    <s v="May"/>
    <s v="Wed"/>
    <s v="CUST-106"/>
    <s v="PROD-022"/>
    <s v="Corporate"/>
    <s v="West"/>
    <x v="2"/>
    <x v="4"/>
    <n v="1"/>
    <n v="120"/>
    <n v="120"/>
    <n v="12"/>
    <s v="Standard Order"/>
    <s v="Weekday"/>
  </r>
  <r>
    <s v="ORD-3717"/>
    <d v="2024-05-28T00:00:00"/>
    <n v="2024"/>
    <s v="May"/>
    <s v="Tue"/>
    <s v="CUST-136"/>
    <s v="PROD-016"/>
    <s v="Consumer"/>
    <s v="North"/>
    <x v="2"/>
    <x v="2"/>
    <n v="20"/>
    <n v="120"/>
    <n v="2400"/>
    <n v="240"/>
    <s v="Large Order"/>
    <s v="Weekday"/>
  </r>
  <r>
    <s v="ORD-3718"/>
    <d v="2024-09-18T00:00:00"/>
    <n v="2024"/>
    <s v="Sep"/>
    <s v="Wed"/>
    <s v="CUST-123"/>
    <s v="PROD-008"/>
    <s v="Corporate"/>
    <s v="North"/>
    <x v="0"/>
    <x v="3"/>
    <n v="8"/>
    <n v="120"/>
    <n v="960"/>
    <n v="96"/>
    <s v="Large Order"/>
    <s v="Weekday"/>
  </r>
  <r>
    <s v="ORD-3719"/>
    <d v="2024-08-07T00:00:00"/>
    <n v="2024"/>
    <s v="Aug"/>
    <s v="Wed"/>
    <s v="CUST-125"/>
    <s v="PROD-016"/>
    <s v="Home Office"/>
    <s v="South"/>
    <x v="0"/>
    <x v="4"/>
    <n v="20"/>
    <n v="120"/>
    <n v="2400"/>
    <n v="240"/>
    <s v="Large Order"/>
    <s v="Weekday"/>
  </r>
  <r>
    <s v="ORD-3720"/>
    <d v="2024-10-29T00:00:00"/>
    <n v="2024"/>
    <s v="Oct"/>
    <s v="Tue"/>
    <s v="CUST-180"/>
    <s v="PROD-021"/>
    <s v="Consumer"/>
    <s v="North"/>
    <x v="4"/>
    <x v="0"/>
    <n v="5"/>
    <n v="120"/>
    <n v="600"/>
    <n v="60"/>
    <s v="Large Order"/>
    <s v="Weekday"/>
  </r>
  <r>
    <s v="ORD-3721"/>
    <d v="2024-05-20T00:00:00"/>
    <n v="2024"/>
    <s v="May"/>
    <s v="Mon"/>
    <s v="CUST-124"/>
    <s v="PROD-005"/>
    <s v="Corporate"/>
    <s v="East"/>
    <x v="0"/>
    <x v="4"/>
    <n v="7"/>
    <n v="120"/>
    <n v="840"/>
    <n v="84"/>
    <s v="Large Order"/>
    <s v="Weekday"/>
  </r>
  <r>
    <s v="ORD-3722"/>
    <d v="2024-01-27T00:00:00"/>
    <n v="2024"/>
    <s v="Jan"/>
    <s v="Sat"/>
    <s v="CUST-148"/>
    <s v="PROD-014"/>
    <s v="Home Office"/>
    <s v="North"/>
    <x v="3"/>
    <x v="2"/>
    <n v="8"/>
    <n v="120"/>
    <n v="960"/>
    <n v="96"/>
    <s v="Large Order"/>
    <s v="Weekend"/>
  </r>
  <r>
    <s v="ORD-3723"/>
    <d v="2024-09-02T00:00:00"/>
    <n v="2024"/>
    <s v="Sep"/>
    <s v="Mon"/>
    <s v="CUST-107"/>
    <s v="PROD-017"/>
    <s v="Corporate"/>
    <s v="South"/>
    <x v="0"/>
    <x v="3"/>
    <n v="4"/>
    <n v="120"/>
    <n v="480"/>
    <n v="48"/>
    <s v="Standard Order"/>
    <s v="Weekday"/>
  </r>
  <r>
    <s v="ORD-3724"/>
    <d v="2024-05-23T00:00:00"/>
    <n v="2024"/>
    <s v="May"/>
    <s v="Thu"/>
    <s v="CUST-144"/>
    <s v="PROD-023"/>
    <s v="Corporate"/>
    <s v="East"/>
    <x v="4"/>
    <x v="3"/>
    <n v="2"/>
    <n v="120"/>
    <n v="240"/>
    <n v="24"/>
    <s v="Standard Order"/>
    <s v="Weekday"/>
  </r>
  <r>
    <s v="ORD-3725"/>
    <d v="2024-01-01T00:00:00"/>
    <n v="2024"/>
    <s v="Jan"/>
    <s v="Mon"/>
    <s v="CUST-106"/>
    <s v="PROD-022"/>
    <s v="Home Office"/>
    <s v="East"/>
    <x v="3"/>
    <x v="2"/>
    <n v="10"/>
    <n v="120"/>
    <n v="1200"/>
    <n v="120"/>
    <s v="Large Order"/>
    <s v="Weekday"/>
  </r>
  <r>
    <s v="ORD-3726"/>
    <d v="2024-11-06T00:00:00"/>
    <n v="2024"/>
    <s v="Nov"/>
    <s v="Wed"/>
    <s v="CUST-112"/>
    <s v="PROD-014"/>
    <s v="Consumer"/>
    <s v="Central"/>
    <x v="3"/>
    <x v="1"/>
    <n v="12"/>
    <n v="120"/>
    <n v="1440"/>
    <n v="144"/>
    <s v="Large Order"/>
    <s v="Weekday"/>
  </r>
  <r>
    <s v="ORD-3727"/>
    <d v="2024-02-27T00:00:00"/>
    <n v="2024"/>
    <s v="Feb"/>
    <s v="Tue"/>
    <s v="CUST-112"/>
    <s v="PROD-022"/>
    <s v="Consumer"/>
    <s v="Central"/>
    <x v="5"/>
    <x v="2"/>
    <n v="11"/>
    <n v="120"/>
    <n v="1320"/>
    <n v="132"/>
    <s v="Large Order"/>
    <s v="Weekday"/>
  </r>
  <r>
    <s v="ORD-3728"/>
    <d v="2024-07-04T00:00:00"/>
    <n v="2024"/>
    <s v="Jul"/>
    <s v="Thu"/>
    <s v="CUST-195"/>
    <s v="PROD-025"/>
    <s v="Home Office"/>
    <s v="North"/>
    <x v="5"/>
    <x v="4"/>
    <n v="12"/>
    <n v="120"/>
    <n v="1440"/>
    <n v="144"/>
    <s v="Large Order"/>
    <s v="Weekday"/>
  </r>
  <r>
    <s v="ORD-3729"/>
    <d v="2024-05-21T00:00:00"/>
    <n v="2024"/>
    <s v="May"/>
    <s v="Tue"/>
    <s v="CUST-126"/>
    <s v="PROD-019"/>
    <s v="Corporate"/>
    <s v="South"/>
    <x v="0"/>
    <x v="0"/>
    <n v="5"/>
    <n v="120"/>
    <n v="600"/>
    <n v="60"/>
    <s v="Large Order"/>
    <s v="Weekday"/>
  </r>
  <r>
    <s v="ORD-3730"/>
    <d v="2024-11-04T00:00:00"/>
    <n v="2024"/>
    <s v="Nov"/>
    <s v="Mon"/>
    <s v="CUST-115"/>
    <s v="PROD-002"/>
    <s v="Home Office"/>
    <s v="East"/>
    <x v="4"/>
    <x v="2"/>
    <n v="15"/>
    <n v="120"/>
    <n v="1800"/>
    <n v="180"/>
    <s v="Large Order"/>
    <s v="Weekday"/>
  </r>
  <r>
    <s v="ORD-3731"/>
    <d v="2024-02-08T00:00:00"/>
    <n v="2024"/>
    <s v="Feb"/>
    <s v="Thu"/>
    <s v="CUST-169"/>
    <s v="PROD-020"/>
    <s v="Corporate"/>
    <s v="West"/>
    <x v="3"/>
    <x v="1"/>
    <n v="7"/>
    <n v="120"/>
    <n v="840"/>
    <n v="84"/>
    <s v="Large Order"/>
    <s v="Weekday"/>
  </r>
  <r>
    <s v="ORD-3732"/>
    <d v="2024-03-19T00:00:00"/>
    <n v="2024"/>
    <s v="Mar"/>
    <s v="Tue"/>
    <s v="CUST-105"/>
    <s v="PROD-005"/>
    <s v="Consumer"/>
    <s v="North"/>
    <x v="2"/>
    <x v="4"/>
    <n v="9"/>
    <n v="120"/>
    <n v="1080"/>
    <n v="108"/>
    <s v="Large Order"/>
    <s v="Weekday"/>
  </r>
  <r>
    <s v="ORD-3733"/>
    <d v="2024-10-13T00:00:00"/>
    <n v="2024"/>
    <s v="Oct"/>
    <s v="Sun"/>
    <s v="CUST-144"/>
    <s v="PROD-012"/>
    <s v="Corporate"/>
    <s v="Central"/>
    <x v="0"/>
    <x v="1"/>
    <n v="3"/>
    <n v="120"/>
    <n v="360"/>
    <n v="36"/>
    <s v="Standard Order"/>
    <s v="Weekend"/>
  </r>
  <r>
    <s v="ORD-3734"/>
    <d v="2024-09-25T00:00:00"/>
    <n v="2024"/>
    <s v="Sep"/>
    <s v="Wed"/>
    <s v="CUST-164"/>
    <s v="PROD-001"/>
    <s v="Consumer"/>
    <s v="West"/>
    <x v="5"/>
    <x v="3"/>
    <n v="5"/>
    <n v="120"/>
    <n v="600"/>
    <n v="60"/>
    <s v="Large Order"/>
    <s v="Weekday"/>
  </r>
  <r>
    <s v="ORD-3735"/>
    <d v="2024-10-16T00:00:00"/>
    <n v="2024"/>
    <s v="Oct"/>
    <s v="Wed"/>
    <s v="CUST-107"/>
    <s v="PROD-023"/>
    <s v="Consumer"/>
    <s v="West"/>
    <x v="2"/>
    <x v="1"/>
    <n v="18"/>
    <n v="120"/>
    <n v="2160"/>
    <n v="216"/>
    <s v="Large Order"/>
    <s v="Weekday"/>
  </r>
  <r>
    <s v="ORD-3736"/>
    <d v="2024-02-08T00:00:00"/>
    <n v="2024"/>
    <s v="Feb"/>
    <s v="Thu"/>
    <s v="CUST-121"/>
    <s v="PROD-015"/>
    <s v="Home Office"/>
    <s v="South"/>
    <x v="2"/>
    <x v="4"/>
    <n v="13"/>
    <n v="120"/>
    <n v="1560"/>
    <n v="156"/>
    <s v="Large Order"/>
    <s v="Weekday"/>
  </r>
  <r>
    <s v="ORD-3737"/>
    <d v="2024-05-19T00:00:00"/>
    <n v="2024"/>
    <s v="May"/>
    <s v="Sun"/>
    <s v="CUST-126"/>
    <s v="PROD-006"/>
    <s v="Consumer"/>
    <s v="Central"/>
    <x v="4"/>
    <x v="4"/>
    <n v="7"/>
    <n v="120"/>
    <n v="840"/>
    <n v="84"/>
    <s v="Large Order"/>
    <s v="Weekend"/>
  </r>
  <r>
    <s v="ORD-3738"/>
    <d v="2024-01-05T00:00:00"/>
    <n v="2024"/>
    <s v="Jan"/>
    <s v="Fri"/>
    <s v="CUST-165"/>
    <s v="PROD-015"/>
    <s v="Home Office"/>
    <s v="North"/>
    <x v="5"/>
    <x v="3"/>
    <n v="10"/>
    <n v="120"/>
    <n v="1200"/>
    <n v="120"/>
    <s v="Large Order"/>
    <s v="Weekday"/>
  </r>
  <r>
    <s v="ORD-3739"/>
    <d v="2024-05-31T00:00:00"/>
    <n v="2024"/>
    <s v="May"/>
    <s v="Fri"/>
    <s v="CUST-190"/>
    <s v="PROD-009"/>
    <s v="Home Office"/>
    <s v="South"/>
    <x v="0"/>
    <x v="2"/>
    <n v="8"/>
    <n v="120"/>
    <n v="960"/>
    <n v="96"/>
    <s v="Large Order"/>
    <s v="Weekday"/>
  </r>
  <r>
    <s v="ORD-3740"/>
    <d v="2024-05-01T00:00:00"/>
    <n v="2024"/>
    <s v="May"/>
    <s v="Wed"/>
    <s v="CUST-137"/>
    <s v="PROD-002"/>
    <s v="Home Office"/>
    <s v="Central"/>
    <x v="4"/>
    <x v="3"/>
    <n v="5"/>
    <n v="120"/>
    <n v="600"/>
    <n v="60"/>
    <s v="Large Order"/>
    <s v="Weekday"/>
  </r>
  <r>
    <s v="ORD-3741"/>
    <d v="2024-01-27T00:00:00"/>
    <n v="2024"/>
    <s v="Jan"/>
    <s v="Sat"/>
    <s v="CUST-182"/>
    <s v="PROD-008"/>
    <s v="Consumer"/>
    <s v="North"/>
    <x v="5"/>
    <x v="0"/>
    <n v="1"/>
    <n v="120"/>
    <n v="120"/>
    <n v="12"/>
    <s v="Standard Order"/>
    <s v="Weekend"/>
  </r>
  <r>
    <s v="ORD-3742"/>
    <d v="2024-11-19T00:00:00"/>
    <n v="2024"/>
    <s v="Nov"/>
    <s v="Tue"/>
    <s v="CUST-177"/>
    <s v="PROD-012"/>
    <s v="Corporate"/>
    <s v="North"/>
    <x v="0"/>
    <x v="4"/>
    <n v="9"/>
    <n v="120"/>
    <n v="1080"/>
    <n v="108"/>
    <s v="Large Order"/>
    <s v="Weekday"/>
  </r>
  <r>
    <s v="ORD-3743"/>
    <d v="2024-07-28T00:00:00"/>
    <n v="2024"/>
    <s v="Jul"/>
    <s v="Sun"/>
    <s v="CUST-178"/>
    <s v="PROD-010"/>
    <s v="Corporate"/>
    <s v="Central"/>
    <x v="0"/>
    <x v="0"/>
    <n v="12"/>
    <n v="120"/>
    <n v="1440"/>
    <n v="144"/>
    <s v="Large Order"/>
    <s v="Weekend"/>
  </r>
  <r>
    <s v="ORD-3744"/>
    <d v="2024-05-23T00:00:00"/>
    <n v="2024"/>
    <s v="May"/>
    <s v="Thu"/>
    <s v="CUST-122"/>
    <s v="PROD-009"/>
    <s v="Consumer"/>
    <s v="Central"/>
    <x v="5"/>
    <x v="4"/>
    <n v="4"/>
    <n v="120"/>
    <n v="480"/>
    <n v="48"/>
    <s v="Standard Order"/>
    <s v="Weekday"/>
  </r>
  <r>
    <s v="ORD-3745"/>
    <d v="2024-12-18T00:00:00"/>
    <n v="2024"/>
    <s v="Dec"/>
    <s v="Wed"/>
    <s v="CUST-148"/>
    <s v="PROD-021"/>
    <s v="Corporate"/>
    <s v="Central"/>
    <x v="5"/>
    <x v="4"/>
    <n v="7"/>
    <n v="120"/>
    <n v="840"/>
    <n v="84"/>
    <s v="Large Order"/>
    <s v="Weekday"/>
  </r>
  <r>
    <s v="ORD-3746"/>
    <d v="2024-04-22T00:00:00"/>
    <n v="2024"/>
    <s v="Apr"/>
    <s v="Mon"/>
    <s v="CUST-141"/>
    <s v="PROD-009"/>
    <s v="Consumer"/>
    <s v="North"/>
    <x v="5"/>
    <x v="1"/>
    <n v="5"/>
    <n v="120"/>
    <n v="600"/>
    <n v="60"/>
    <s v="Large Order"/>
    <s v="Weekday"/>
  </r>
  <r>
    <s v="ORD-3747"/>
    <d v="2024-08-10T00:00:00"/>
    <n v="2024"/>
    <s v="Aug"/>
    <s v="Sat"/>
    <s v="CUST-147"/>
    <s v="PROD-005"/>
    <s v="Corporate"/>
    <s v="South"/>
    <x v="0"/>
    <x v="1"/>
    <n v="6"/>
    <n v="120"/>
    <n v="720"/>
    <n v="72"/>
    <s v="Large Order"/>
    <s v="Weekend"/>
  </r>
  <r>
    <s v="ORD-3748"/>
    <d v="2024-03-31T00:00:00"/>
    <n v="2024"/>
    <s v="Mar"/>
    <s v="Sun"/>
    <s v="CUST-124"/>
    <s v="PROD-019"/>
    <s v="Corporate"/>
    <s v="South"/>
    <x v="4"/>
    <x v="3"/>
    <n v="1"/>
    <n v="120"/>
    <n v="120"/>
    <n v="12"/>
    <s v="Standard Order"/>
    <s v="Weekend"/>
  </r>
  <r>
    <s v="ORD-3749"/>
    <d v="2024-03-31T00:00:00"/>
    <n v="2024"/>
    <s v="Mar"/>
    <s v="Sun"/>
    <s v="CUST-150"/>
    <s v="PROD-022"/>
    <s v="Home Office"/>
    <s v="North"/>
    <x v="4"/>
    <x v="0"/>
    <n v="5"/>
    <n v="120"/>
    <n v="600"/>
    <n v="60"/>
    <s v="Large Order"/>
    <s v="Weekend"/>
  </r>
  <r>
    <s v="ORD-3750"/>
    <d v="2024-05-05T00:00:00"/>
    <n v="2024"/>
    <s v="May"/>
    <s v="Sun"/>
    <s v="CUST-158"/>
    <s v="PROD-021"/>
    <s v="Corporate"/>
    <s v="West"/>
    <x v="0"/>
    <x v="4"/>
    <n v="5"/>
    <n v="120"/>
    <n v="600"/>
    <n v="60"/>
    <s v="Large Order"/>
    <s v="Weekend"/>
  </r>
  <r>
    <s v="ORD-3751"/>
    <d v="2024-01-07T00:00:00"/>
    <n v="2024"/>
    <s v="Jan"/>
    <s v="Sun"/>
    <s v="CUST-177"/>
    <s v="PROD-004"/>
    <s v="Corporate"/>
    <s v="North"/>
    <x v="2"/>
    <x v="0"/>
    <n v="4"/>
    <n v="120"/>
    <n v="480"/>
    <n v="48"/>
    <s v="Standard Order"/>
    <s v="Weekend"/>
  </r>
  <r>
    <s v="ORD-3752"/>
    <d v="2024-11-25T00:00:00"/>
    <n v="2024"/>
    <s v="Nov"/>
    <s v="Mon"/>
    <s v="CUST-105"/>
    <s v="PROD-005"/>
    <s v="Consumer"/>
    <s v="Central"/>
    <x v="0"/>
    <x v="3"/>
    <n v="5"/>
    <n v="120"/>
    <n v="600"/>
    <n v="60"/>
    <s v="Large Order"/>
    <s v="Weekday"/>
  </r>
  <r>
    <s v="ORD-3753"/>
    <d v="2024-11-03T00:00:00"/>
    <n v="2024"/>
    <s v="Nov"/>
    <s v="Sun"/>
    <s v="CUST-101"/>
    <s v="PROD-001"/>
    <s v="Consumer"/>
    <s v="South"/>
    <x v="5"/>
    <x v="3"/>
    <n v="3"/>
    <n v="120"/>
    <n v="360"/>
    <n v="36"/>
    <s v="Standard Order"/>
    <s v="Weekend"/>
  </r>
  <r>
    <s v="ORD-3754"/>
    <d v="2024-09-02T00:00:00"/>
    <n v="2024"/>
    <s v="Sep"/>
    <s v="Mon"/>
    <s v="CUST-197"/>
    <s v="PROD-019"/>
    <s v="Corporate"/>
    <s v="East"/>
    <x v="4"/>
    <x v="3"/>
    <n v="11"/>
    <n v="120"/>
    <n v="1320"/>
    <n v="132"/>
    <s v="Large Order"/>
    <s v="Weekday"/>
  </r>
  <r>
    <s v="ORD-3755"/>
    <d v="2024-05-04T00:00:00"/>
    <n v="2024"/>
    <s v="May"/>
    <s v="Sat"/>
    <s v="CUST-107"/>
    <s v="PROD-018"/>
    <s v="Home Office"/>
    <s v="North"/>
    <x v="3"/>
    <x v="4"/>
    <n v="4"/>
    <n v="120"/>
    <n v="480"/>
    <n v="48"/>
    <s v="Standard Order"/>
    <s v="Weekend"/>
  </r>
  <r>
    <s v="ORD-3756"/>
    <d v="2024-01-23T00:00:00"/>
    <n v="2024"/>
    <s v="Jan"/>
    <s v="Tue"/>
    <s v="CUST-113"/>
    <s v="PROD-018"/>
    <s v="Corporate"/>
    <s v="West"/>
    <x v="0"/>
    <x v="4"/>
    <n v="14"/>
    <n v="120"/>
    <n v="1680"/>
    <n v="168"/>
    <s v="Large Order"/>
    <s v="Weekday"/>
  </r>
  <r>
    <s v="ORD-3757"/>
    <d v="2024-04-24T00:00:00"/>
    <n v="2024"/>
    <s v="Apr"/>
    <s v="Wed"/>
    <s v="CUST-103"/>
    <s v="PROD-008"/>
    <s v="Corporate"/>
    <s v="North"/>
    <x v="2"/>
    <x v="2"/>
    <n v="12"/>
    <n v="120"/>
    <n v="1440"/>
    <n v="144"/>
    <s v="Large Order"/>
    <s v="Weekday"/>
  </r>
  <r>
    <s v="ORD-3758"/>
    <d v="2024-04-25T00:00:00"/>
    <n v="2024"/>
    <s v="Apr"/>
    <s v="Thu"/>
    <s v="CUST-187"/>
    <s v="PROD-013"/>
    <s v="Home Office"/>
    <s v="North"/>
    <x v="0"/>
    <x v="1"/>
    <n v="6"/>
    <n v="120"/>
    <n v="720"/>
    <n v="72"/>
    <s v="Large Order"/>
    <s v="Weekday"/>
  </r>
  <r>
    <s v="ORD-3759"/>
    <d v="2024-04-24T00:00:00"/>
    <n v="2024"/>
    <s v="Apr"/>
    <s v="Wed"/>
    <s v="CUST-113"/>
    <s v="PROD-010"/>
    <s v="Corporate"/>
    <s v="South"/>
    <x v="0"/>
    <x v="4"/>
    <n v="11"/>
    <n v="120"/>
    <n v="1320"/>
    <n v="132"/>
    <s v="Large Order"/>
    <s v="Weekday"/>
  </r>
  <r>
    <s v="ORD-3760"/>
    <d v="2024-02-13T00:00:00"/>
    <n v="2024"/>
    <s v="Feb"/>
    <s v="Tue"/>
    <s v="CUST-105"/>
    <s v="PROD-020"/>
    <s v="Consumer"/>
    <s v="East"/>
    <x v="4"/>
    <x v="1"/>
    <n v="17"/>
    <n v="120"/>
    <n v="2040"/>
    <n v="204"/>
    <s v="Large Order"/>
    <s v="Weekday"/>
  </r>
  <r>
    <s v="ORD-3761"/>
    <d v="2024-04-02T00:00:00"/>
    <n v="2024"/>
    <s v="Apr"/>
    <s v="Tue"/>
    <s v="CUST-186"/>
    <s v="PROD-014"/>
    <s v="Consumer"/>
    <s v="East"/>
    <x v="3"/>
    <x v="4"/>
    <n v="10"/>
    <n v="120"/>
    <n v="1200"/>
    <n v="120"/>
    <s v="Large Order"/>
    <s v="Weekday"/>
  </r>
  <r>
    <s v="ORD-3762"/>
    <d v="2024-02-23T00:00:00"/>
    <n v="2024"/>
    <s v="Feb"/>
    <s v="Fri"/>
    <s v="CUST-134"/>
    <s v="PROD-016"/>
    <s v="Home Office"/>
    <s v="East"/>
    <x v="3"/>
    <x v="3"/>
    <n v="3"/>
    <n v="120"/>
    <n v="360"/>
    <n v="36"/>
    <s v="Standard Order"/>
    <s v="Weekday"/>
  </r>
  <r>
    <s v="ORD-3763"/>
    <d v="2024-03-17T00:00:00"/>
    <n v="2024"/>
    <s v="Mar"/>
    <s v="Sun"/>
    <s v="CUST-199"/>
    <s v="PROD-021"/>
    <s v="Consumer"/>
    <s v="West"/>
    <x v="3"/>
    <x v="2"/>
    <n v="13"/>
    <n v="120"/>
    <n v="1560"/>
    <n v="156"/>
    <s v="Large Order"/>
    <s v="Weekend"/>
  </r>
  <r>
    <s v="ORD-3764"/>
    <d v="2024-09-01T00:00:00"/>
    <n v="2024"/>
    <s v="Sep"/>
    <s v="Sun"/>
    <s v="CUST-108"/>
    <s v="PROD-004"/>
    <s v="Home Office"/>
    <s v="East"/>
    <x v="2"/>
    <x v="3"/>
    <n v="5"/>
    <n v="120"/>
    <n v="600"/>
    <n v="60"/>
    <s v="Large Order"/>
    <s v="Weekend"/>
  </r>
  <r>
    <s v="ORD-3765"/>
    <d v="2024-03-06T00:00:00"/>
    <n v="2024"/>
    <s v="Mar"/>
    <s v="Wed"/>
    <s v="CUST-123"/>
    <s v="PROD-025"/>
    <s v="Corporate"/>
    <s v="East"/>
    <x v="3"/>
    <x v="3"/>
    <n v="16"/>
    <n v="120"/>
    <n v="1920"/>
    <n v="192"/>
    <s v="Large Order"/>
    <s v="Weekday"/>
  </r>
  <r>
    <s v="ORD-3766"/>
    <d v="2024-12-21T00:00:00"/>
    <n v="2024"/>
    <s v="Dec"/>
    <s v="Sat"/>
    <s v="CUST-152"/>
    <s v="PROD-020"/>
    <s v="Home Office"/>
    <s v="West"/>
    <x v="3"/>
    <x v="2"/>
    <n v="8"/>
    <n v="120"/>
    <n v="960"/>
    <n v="96"/>
    <s v="Large Order"/>
    <s v="Weekend"/>
  </r>
  <r>
    <s v="ORD-3767"/>
    <d v="2024-10-08T00:00:00"/>
    <n v="2024"/>
    <s v="Oct"/>
    <s v="Tue"/>
    <s v="CUST-163"/>
    <s v="PROD-018"/>
    <s v="Home Office"/>
    <s v="West"/>
    <x v="2"/>
    <x v="4"/>
    <n v="18"/>
    <n v="120"/>
    <n v="2160"/>
    <n v="216"/>
    <s v="Large Order"/>
    <s v="Weekday"/>
  </r>
  <r>
    <s v="ORD-3768"/>
    <d v="2024-07-15T00:00:00"/>
    <n v="2024"/>
    <s v="Jul"/>
    <s v="Mon"/>
    <s v="CUST-110"/>
    <s v="PROD-019"/>
    <s v="Home Office"/>
    <s v="East"/>
    <x v="2"/>
    <x v="4"/>
    <n v="19"/>
    <n v="120"/>
    <n v="2280"/>
    <n v="228"/>
    <s v="Large Order"/>
    <s v="Weekday"/>
  </r>
  <r>
    <s v="ORD-3769"/>
    <d v="2024-04-22T00:00:00"/>
    <n v="2024"/>
    <s v="Apr"/>
    <s v="Mon"/>
    <s v="CUST-189"/>
    <s v="PROD-003"/>
    <s v="Consumer"/>
    <s v="South"/>
    <x v="3"/>
    <x v="0"/>
    <n v="7"/>
    <n v="120"/>
    <n v="840"/>
    <n v="84"/>
    <s v="Large Order"/>
    <s v="Weekday"/>
  </r>
  <r>
    <s v="ORD-3770"/>
    <d v="2024-01-09T00:00:00"/>
    <n v="2024"/>
    <s v="Jan"/>
    <s v="Tue"/>
    <s v="CUST-146"/>
    <s v="PROD-018"/>
    <s v="Corporate"/>
    <s v="West"/>
    <x v="4"/>
    <x v="0"/>
    <n v="2"/>
    <n v="120"/>
    <n v="240"/>
    <n v="24"/>
    <s v="Standard Order"/>
    <s v="Weekday"/>
  </r>
  <r>
    <s v="ORD-3771"/>
    <d v="2024-07-03T00:00:00"/>
    <n v="2024"/>
    <s v="Jul"/>
    <s v="Wed"/>
    <s v="CUST-199"/>
    <s v="PROD-005"/>
    <s v="Corporate"/>
    <s v="North"/>
    <x v="2"/>
    <x v="2"/>
    <n v="18"/>
    <n v="120"/>
    <n v="2160"/>
    <n v="216"/>
    <s v="Large Order"/>
    <s v="Weekday"/>
  </r>
  <r>
    <s v="ORD-3772"/>
    <d v="2024-08-03T00:00:00"/>
    <n v="2024"/>
    <s v="Aug"/>
    <s v="Sat"/>
    <s v="CUST-131"/>
    <s v="PROD-007"/>
    <s v="Consumer"/>
    <s v="North"/>
    <x v="0"/>
    <x v="2"/>
    <n v="4"/>
    <n v="120"/>
    <n v="480"/>
    <n v="48"/>
    <s v="Standard Order"/>
    <s v="Weekend"/>
  </r>
  <r>
    <s v="ORD-3773"/>
    <d v="2024-12-26T00:00:00"/>
    <n v="2024"/>
    <s v="Dec"/>
    <s v="Thu"/>
    <s v="CUST-118"/>
    <s v="PROD-013"/>
    <s v="Home Office"/>
    <s v="West"/>
    <x v="0"/>
    <x v="1"/>
    <n v="12"/>
    <n v="120"/>
    <n v="1440"/>
    <n v="144"/>
    <s v="Large Order"/>
    <s v="Weekday"/>
  </r>
  <r>
    <s v="ORD-3774"/>
    <d v="2024-02-24T00:00:00"/>
    <n v="2024"/>
    <s v="Feb"/>
    <s v="Sat"/>
    <s v="CUST-184"/>
    <s v="PROD-019"/>
    <s v="Consumer"/>
    <s v="North"/>
    <x v="2"/>
    <x v="4"/>
    <n v="6"/>
    <n v="120"/>
    <n v="720"/>
    <n v="72"/>
    <s v="Large Order"/>
    <s v="Weekend"/>
  </r>
  <r>
    <s v="ORD-3775"/>
    <d v="2024-07-06T00:00:00"/>
    <n v="2024"/>
    <s v="Jul"/>
    <s v="Sat"/>
    <s v="CUST-118"/>
    <s v="PROD-003"/>
    <s v="Consumer"/>
    <s v="West"/>
    <x v="0"/>
    <x v="0"/>
    <n v="19"/>
    <n v="120"/>
    <n v="2280"/>
    <n v="228"/>
    <s v="Large Order"/>
    <s v="Weekend"/>
  </r>
  <r>
    <s v="ORD-3776"/>
    <d v="2024-08-01T00:00:00"/>
    <n v="2024"/>
    <s v="Aug"/>
    <s v="Thu"/>
    <s v="CUST-119"/>
    <s v="PROD-025"/>
    <s v="Consumer"/>
    <s v="East"/>
    <x v="2"/>
    <x v="2"/>
    <n v="17"/>
    <n v="120"/>
    <n v="2040"/>
    <n v="204"/>
    <s v="Large Order"/>
    <s v="Weekday"/>
  </r>
  <r>
    <s v="ORD-3777"/>
    <d v="2024-06-02T00:00:00"/>
    <n v="2024"/>
    <s v="Jun"/>
    <s v="Sun"/>
    <s v="CUST-160"/>
    <s v="PROD-014"/>
    <s v="Home Office"/>
    <s v="Central"/>
    <x v="3"/>
    <x v="1"/>
    <n v="1"/>
    <n v="120"/>
    <n v="120"/>
    <n v="12"/>
    <s v="Standard Order"/>
    <s v="Weekend"/>
  </r>
  <r>
    <s v="ORD-3778"/>
    <d v="2024-03-20T00:00:00"/>
    <n v="2024"/>
    <s v="Mar"/>
    <s v="Wed"/>
    <s v="CUST-107"/>
    <s v="PROD-021"/>
    <s v="Consumer"/>
    <s v="Central"/>
    <x v="5"/>
    <x v="2"/>
    <n v="17"/>
    <n v="120"/>
    <n v="2040"/>
    <n v="204"/>
    <s v="Large Order"/>
    <s v="Weekday"/>
  </r>
  <r>
    <s v="ORD-3779"/>
    <d v="2024-07-21T00:00:00"/>
    <n v="2024"/>
    <s v="Jul"/>
    <s v="Sun"/>
    <s v="CUST-154"/>
    <s v="PROD-022"/>
    <s v="Corporate"/>
    <s v="East"/>
    <x v="5"/>
    <x v="3"/>
    <n v="19"/>
    <n v="120"/>
    <n v="2280"/>
    <n v="228"/>
    <s v="Large Order"/>
    <s v="Weekend"/>
  </r>
  <r>
    <s v="ORD-3780"/>
    <d v="2024-12-29T00:00:00"/>
    <n v="2024"/>
    <s v="Dec"/>
    <s v="Sun"/>
    <s v="CUST-129"/>
    <s v="PROD-014"/>
    <s v="Consumer"/>
    <s v="Central"/>
    <x v="3"/>
    <x v="0"/>
    <n v="17"/>
    <n v="120"/>
    <n v="2040"/>
    <n v="204"/>
    <s v="Large Order"/>
    <s v="Weekend"/>
  </r>
  <r>
    <s v="ORD-3781"/>
    <d v="2024-03-05T00:00:00"/>
    <n v="2024"/>
    <s v="Mar"/>
    <s v="Tue"/>
    <s v="CUST-195"/>
    <s v="PROD-007"/>
    <s v="Corporate"/>
    <s v="West"/>
    <x v="5"/>
    <x v="0"/>
    <n v="8"/>
    <n v="120"/>
    <n v="960"/>
    <n v="96"/>
    <s v="Large Order"/>
    <s v="Weekday"/>
  </r>
  <r>
    <s v="ORD-3782"/>
    <d v="2024-10-13T00:00:00"/>
    <n v="2024"/>
    <s v="Oct"/>
    <s v="Sun"/>
    <s v="CUST-177"/>
    <s v="PROD-003"/>
    <s v="Home Office"/>
    <s v="East"/>
    <x v="2"/>
    <x v="1"/>
    <n v="11"/>
    <n v="120"/>
    <n v="1320"/>
    <n v="132"/>
    <s v="Large Order"/>
    <s v="Weekend"/>
  </r>
  <r>
    <s v="ORD-3783"/>
    <d v="2024-07-26T00:00:00"/>
    <n v="2024"/>
    <s v="Jul"/>
    <s v="Fri"/>
    <s v="CUST-148"/>
    <s v="PROD-006"/>
    <s v="Consumer"/>
    <s v="East"/>
    <x v="3"/>
    <x v="1"/>
    <n v="7"/>
    <n v="120"/>
    <n v="840"/>
    <n v="84"/>
    <s v="Large Order"/>
    <s v="Weekday"/>
  </r>
  <r>
    <s v="ORD-3784"/>
    <d v="2024-02-23T00:00:00"/>
    <n v="2024"/>
    <s v="Feb"/>
    <s v="Fri"/>
    <s v="CUST-109"/>
    <s v="PROD-012"/>
    <s v="Home Office"/>
    <s v="Central"/>
    <x v="3"/>
    <x v="0"/>
    <n v="8"/>
    <n v="120"/>
    <n v="960"/>
    <n v="96"/>
    <s v="Large Order"/>
    <s v="Weekday"/>
  </r>
  <r>
    <s v="ORD-3785"/>
    <d v="2024-10-04T00:00:00"/>
    <n v="2024"/>
    <s v="Oct"/>
    <s v="Fri"/>
    <s v="CUST-113"/>
    <s v="PROD-003"/>
    <s v="Consumer"/>
    <s v="East"/>
    <x v="5"/>
    <x v="0"/>
    <n v="10"/>
    <n v="120"/>
    <n v="1200"/>
    <n v="120"/>
    <s v="Large Order"/>
    <s v="Weekday"/>
  </r>
  <r>
    <s v="ORD-3786"/>
    <d v="2024-04-13T00:00:00"/>
    <n v="2024"/>
    <s v="Apr"/>
    <s v="Sat"/>
    <s v="CUST-181"/>
    <s v="PROD-002"/>
    <s v="Consumer"/>
    <s v="East"/>
    <x v="3"/>
    <x v="0"/>
    <n v="19"/>
    <n v="120"/>
    <n v="2280"/>
    <n v="228"/>
    <s v="Large Order"/>
    <s v="Weekend"/>
  </r>
  <r>
    <s v="ORD-3787"/>
    <d v="2024-10-15T00:00:00"/>
    <n v="2024"/>
    <s v="Oct"/>
    <s v="Tue"/>
    <s v="CUST-161"/>
    <s v="PROD-002"/>
    <s v="Consumer"/>
    <s v="Central"/>
    <x v="3"/>
    <x v="0"/>
    <n v="10"/>
    <n v="120"/>
    <n v="1200"/>
    <n v="120"/>
    <s v="Large Order"/>
    <s v="Weekday"/>
  </r>
  <r>
    <s v="ORD-3788"/>
    <d v="2024-07-01T00:00:00"/>
    <n v="2024"/>
    <s v="Jul"/>
    <s v="Mon"/>
    <s v="CUST-196"/>
    <s v="PROD-010"/>
    <s v="Corporate"/>
    <s v="North"/>
    <x v="5"/>
    <x v="2"/>
    <n v="11"/>
    <n v="120"/>
    <n v="1320"/>
    <n v="132"/>
    <s v="Large Order"/>
    <s v="Weekday"/>
  </r>
  <r>
    <s v="ORD-3789"/>
    <d v="2024-07-01T00:00:00"/>
    <n v="2024"/>
    <s v="Jul"/>
    <s v="Mon"/>
    <s v="CUST-116"/>
    <s v="PROD-023"/>
    <s v="Home Office"/>
    <s v="North"/>
    <x v="0"/>
    <x v="3"/>
    <n v="14"/>
    <n v="120"/>
    <n v="1680"/>
    <n v="168"/>
    <s v="Large Order"/>
    <s v="Weekday"/>
  </r>
  <r>
    <s v="ORD-3790"/>
    <d v="2024-09-14T00:00:00"/>
    <n v="2024"/>
    <s v="Sep"/>
    <s v="Sat"/>
    <s v="CUST-112"/>
    <s v="PROD-017"/>
    <s v="Consumer"/>
    <s v="West"/>
    <x v="0"/>
    <x v="4"/>
    <n v="13"/>
    <n v="120"/>
    <n v="1560"/>
    <n v="156"/>
    <s v="Large Order"/>
    <s v="Weekend"/>
  </r>
  <r>
    <s v="ORD-3791"/>
    <d v="2024-01-20T00:00:00"/>
    <n v="2024"/>
    <s v="Jan"/>
    <s v="Sat"/>
    <s v="CUST-137"/>
    <s v="PROD-006"/>
    <s v="Consumer"/>
    <s v="South"/>
    <x v="2"/>
    <x v="0"/>
    <n v="3"/>
    <n v="120"/>
    <n v="360"/>
    <n v="36"/>
    <s v="Standard Order"/>
    <s v="Weekend"/>
  </r>
  <r>
    <s v="ORD-3792"/>
    <d v="2024-04-28T00:00:00"/>
    <n v="2024"/>
    <s v="Apr"/>
    <s v="Sun"/>
    <s v="CUST-127"/>
    <s v="PROD-022"/>
    <s v="Home Office"/>
    <s v="West"/>
    <x v="4"/>
    <x v="2"/>
    <n v="17"/>
    <n v="120"/>
    <n v="2040"/>
    <n v="204"/>
    <s v="Large Order"/>
    <s v="Weekend"/>
  </r>
  <r>
    <s v="ORD-3793"/>
    <d v="2024-11-07T00:00:00"/>
    <n v="2024"/>
    <s v="Nov"/>
    <s v="Thu"/>
    <s v="CUST-183"/>
    <s v="PROD-017"/>
    <s v="Corporate"/>
    <s v="West"/>
    <x v="2"/>
    <x v="2"/>
    <n v="11"/>
    <n v="120"/>
    <n v="1320"/>
    <n v="132"/>
    <s v="Large Order"/>
    <s v="Weekday"/>
  </r>
  <r>
    <s v="ORD-3794"/>
    <d v="2024-11-15T00:00:00"/>
    <n v="2024"/>
    <s v="Nov"/>
    <s v="Fri"/>
    <s v="CUST-155"/>
    <s v="PROD-002"/>
    <s v="Home Office"/>
    <s v="West"/>
    <x v="2"/>
    <x v="2"/>
    <n v="7"/>
    <n v="120"/>
    <n v="840"/>
    <n v="84"/>
    <s v="Large Order"/>
    <s v="Weekday"/>
  </r>
  <r>
    <s v="ORD-3795"/>
    <d v="2024-11-06T00:00:00"/>
    <n v="2024"/>
    <s v="Nov"/>
    <s v="Wed"/>
    <s v="CUST-109"/>
    <s v="PROD-005"/>
    <s v="Home Office"/>
    <s v="North"/>
    <x v="2"/>
    <x v="0"/>
    <n v="1"/>
    <n v="120"/>
    <n v="120"/>
    <n v="12"/>
    <s v="Standard Order"/>
    <s v="Weekday"/>
  </r>
  <r>
    <s v="ORD-3796"/>
    <d v="2024-06-07T00:00:00"/>
    <n v="2024"/>
    <s v="Jun"/>
    <s v="Fri"/>
    <s v="CUST-170"/>
    <s v="PROD-003"/>
    <s v="Corporate"/>
    <s v="Central"/>
    <x v="0"/>
    <x v="1"/>
    <n v="11"/>
    <n v="120"/>
    <n v="1320"/>
    <n v="132"/>
    <s v="Large Order"/>
    <s v="Weekday"/>
  </r>
  <r>
    <s v="ORD-3797"/>
    <d v="2024-05-31T00:00:00"/>
    <n v="2024"/>
    <s v="May"/>
    <s v="Fri"/>
    <s v="CUST-120"/>
    <s v="PROD-003"/>
    <s v="Corporate"/>
    <s v="East"/>
    <x v="5"/>
    <x v="3"/>
    <n v="12"/>
    <n v="120"/>
    <n v="1440"/>
    <n v="144"/>
    <s v="Large Order"/>
    <s v="Weekday"/>
  </r>
  <r>
    <s v="ORD-3798"/>
    <d v="2024-04-01T00:00:00"/>
    <n v="2024"/>
    <s v="Apr"/>
    <s v="Mon"/>
    <s v="CUST-190"/>
    <s v="PROD-025"/>
    <s v="Corporate"/>
    <s v="Central"/>
    <x v="3"/>
    <x v="1"/>
    <n v="9"/>
    <n v="120"/>
    <n v="1080"/>
    <n v="108"/>
    <s v="Large Order"/>
    <s v="Weekday"/>
  </r>
  <r>
    <s v="ORD-3799"/>
    <d v="2024-08-14T00:00:00"/>
    <n v="2024"/>
    <s v="Aug"/>
    <s v="Wed"/>
    <s v="CUST-183"/>
    <s v="PROD-005"/>
    <s v="Consumer"/>
    <s v="South"/>
    <x v="5"/>
    <x v="1"/>
    <n v="2"/>
    <n v="120"/>
    <n v="240"/>
    <n v="24"/>
    <s v="Standard Order"/>
    <s v="Weekday"/>
  </r>
  <r>
    <s v="ORD-3800"/>
    <d v="2024-05-26T00:00:00"/>
    <n v="2024"/>
    <s v="May"/>
    <s v="Sun"/>
    <s v="CUST-151"/>
    <s v="PROD-014"/>
    <s v="Home Office"/>
    <s v="West"/>
    <x v="4"/>
    <x v="1"/>
    <n v="12"/>
    <n v="120"/>
    <n v="1440"/>
    <n v="144"/>
    <s v="Large Order"/>
    <s v="Weekend"/>
  </r>
  <r>
    <s v="ORD-3801"/>
    <d v="2024-11-15T00:00:00"/>
    <n v="2024"/>
    <s v="Nov"/>
    <s v="Fri"/>
    <s v="CUST-140"/>
    <s v="PROD-012"/>
    <s v="Consumer"/>
    <s v="North"/>
    <x v="2"/>
    <x v="4"/>
    <n v="15"/>
    <n v="120"/>
    <n v="1800"/>
    <n v="180"/>
    <s v="Large Order"/>
    <s v="Weekday"/>
  </r>
  <r>
    <s v="ORD-3802"/>
    <d v="2024-12-15T00:00:00"/>
    <n v="2024"/>
    <s v="Dec"/>
    <s v="Sun"/>
    <s v="CUST-105"/>
    <s v="PROD-020"/>
    <s v="Home Office"/>
    <s v="Central"/>
    <x v="0"/>
    <x v="2"/>
    <n v="18"/>
    <n v="120"/>
    <n v="2160"/>
    <n v="216"/>
    <s v="Large Order"/>
    <s v="Weekend"/>
  </r>
  <r>
    <s v="ORD-3803"/>
    <d v="2024-02-23T00:00:00"/>
    <n v="2024"/>
    <s v="Feb"/>
    <s v="Fri"/>
    <s v="CUST-137"/>
    <s v="PROD-013"/>
    <s v="Consumer"/>
    <s v="West"/>
    <x v="5"/>
    <x v="1"/>
    <n v="3"/>
    <n v="120"/>
    <n v="360"/>
    <n v="36"/>
    <s v="Standard Order"/>
    <s v="Weekday"/>
  </r>
  <r>
    <s v="ORD-3804"/>
    <d v="2024-08-24T00:00:00"/>
    <n v="2024"/>
    <s v="Aug"/>
    <s v="Sat"/>
    <s v="CUST-185"/>
    <s v="PROD-003"/>
    <s v="Corporate"/>
    <s v="North"/>
    <x v="2"/>
    <x v="1"/>
    <n v="18"/>
    <n v="120"/>
    <n v="2160"/>
    <n v="216"/>
    <s v="Large Order"/>
    <s v="Weekend"/>
  </r>
  <r>
    <s v="ORD-3805"/>
    <d v="2024-08-26T00:00:00"/>
    <n v="2024"/>
    <s v="Aug"/>
    <s v="Mon"/>
    <s v="CUST-113"/>
    <s v="PROD-003"/>
    <s v="Consumer"/>
    <s v="Central"/>
    <x v="0"/>
    <x v="1"/>
    <n v="14"/>
    <n v="120"/>
    <n v="1680"/>
    <n v="168"/>
    <s v="Large Order"/>
    <s v="Weekday"/>
  </r>
  <r>
    <s v="ORD-3806"/>
    <d v="2024-06-17T00:00:00"/>
    <n v="2024"/>
    <s v="Jun"/>
    <s v="Mon"/>
    <s v="CUST-108"/>
    <s v="PROD-011"/>
    <s v="Corporate"/>
    <s v="North"/>
    <x v="5"/>
    <x v="1"/>
    <n v="7"/>
    <n v="120"/>
    <n v="840"/>
    <n v="84"/>
    <s v="Large Order"/>
    <s v="Weekday"/>
  </r>
  <r>
    <s v="ORD-3807"/>
    <d v="2024-08-31T00:00:00"/>
    <n v="2024"/>
    <s v="Aug"/>
    <s v="Sat"/>
    <s v="CUST-114"/>
    <s v="PROD-009"/>
    <s v="Corporate"/>
    <s v="Central"/>
    <x v="0"/>
    <x v="4"/>
    <n v="5"/>
    <n v="120"/>
    <n v="600"/>
    <n v="60"/>
    <s v="Large Order"/>
    <s v="Weekend"/>
  </r>
  <r>
    <s v="ORD-3808"/>
    <d v="2024-03-15T00:00:00"/>
    <n v="2024"/>
    <s v="Mar"/>
    <s v="Fri"/>
    <s v="CUST-181"/>
    <s v="PROD-007"/>
    <s v="Corporate"/>
    <s v="South"/>
    <x v="5"/>
    <x v="0"/>
    <n v="20"/>
    <n v="120"/>
    <n v="2400"/>
    <n v="240"/>
    <s v="Large Order"/>
    <s v="Weekday"/>
  </r>
  <r>
    <s v="ORD-3809"/>
    <d v="2024-02-01T00:00:00"/>
    <n v="2024"/>
    <s v="Feb"/>
    <s v="Thu"/>
    <s v="CUST-146"/>
    <s v="PROD-014"/>
    <s v="Corporate"/>
    <s v="South"/>
    <x v="4"/>
    <x v="0"/>
    <n v="7"/>
    <n v="120"/>
    <n v="840"/>
    <n v="84"/>
    <s v="Large Order"/>
    <s v="Weekday"/>
  </r>
  <r>
    <s v="ORD-3810"/>
    <d v="2024-12-16T00:00:00"/>
    <n v="2024"/>
    <s v="Dec"/>
    <s v="Mon"/>
    <s v="CUST-154"/>
    <s v="PROD-009"/>
    <s v="Corporate"/>
    <s v="West"/>
    <x v="4"/>
    <x v="0"/>
    <n v="5"/>
    <n v="120"/>
    <n v="600"/>
    <n v="60"/>
    <s v="Large Order"/>
    <s v="Weekday"/>
  </r>
  <r>
    <s v="ORD-3811"/>
    <d v="2024-07-26T00:00:00"/>
    <n v="2024"/>
    <s v="Jul"/>
    <s v="Fri"/>
    <s v="CUST-110"/>
    <s v="PROD-010"/>
    <s v="Home Office"/>
    <s v="West"/>
    <x v="2"/>
    <x v="1"/>
    <n v="17"/>
    <n v="120"/>
    <n v="2040"/>
    <n v="204"/>
    <s v="Large Order"/>
    <s v="Weekday"/>
  </r>
  <r>
    <s v="ORD-3812"/>
    <d v="2024-05-12T00:00:00"/>
    <n v="2024"/>
    <s v="May"/>
    <s v="Sun"/>
    <s v="CUST-123"/>
    <s v="PROD-002"/>
    <s v="Consumer"/>
    <s v="Central"/>
    <x v="2"/>
    <x v="3"/>
    <n v="10"/>
    <n v="120"/>
    <n v="1200"/>
    <n v="120"/>
    <s v="Large Order"/>
    <s v="Weekend"/>
  </r>
  <r>
    <s v="ORD-3813"/>
    <d v="2024-06-27T00:00:00"/>
    <n v="2024"/>
    <s v="Jun"/>
    <s v="Thu"/>
    <s v="CUST-153"/>
    <s v="PROD-016"/>
    <s v="Corporate"/>
    <s v="Central"/>
    <x v="5"/>
    <x v="2"/>
    <n v="14"/>
    <n v="120"/>
    <n v="1680"/>
    <n v="168"/>
    <s v="Large Order"/>
    <s v="Weekday"/>
  </r>
  <r>
    <s v="ORD-3814"/>
    <d v="2024-12-20T00:00:00"/>
    <n v="2024"/>
    <s v="Dec"/>
    <s v="Fri"/>
    <s v="CUST-173"/>
    <s v="PROD-013"/>
    <s v="Consumer"/>
    <s v="East"/>
    <x v="5"/>
    <x v="4"/>
    <n v="7"/>
    <n v="120"/>
    <n v="840"/>
    <n v="84"/>
    <s v="Large Order"/>
    <s v="Weekday"/>
  </r>
  <r>
    <s v="ORD-3815"/>
    <d v="2024-12-07T00:00:00"/>
    <n v="2024"/>
    <s v="Dec"/>
    <s v="Sat"/>
    <s v="CUST-174"/>
    <s v="PROD-020"/>
    <s v="Consumer"/>
    <s v="North"/>
    <x v="3"/>
    <x v="3"/>
    <n v="1"/>
    <n v="120"/>
    <n v="120"/>
    <n v="12"/>
    <s v="Standard Order"/>
    <s v="Weekend"/>
  </r>
  <r>
    <s v="ORD-3816"/>
    <d v="2024-08-22T00:00:00"/>
    <n v="2024"/>
    <s v="Aug"/>
    <s v="Thu"/>
    <s v="CUST-118"/>
    <s v="PROD-016"/>
    <s v="Corporate"/>
    <s v="West"/>
    <x v="0"/>
    <x v="1"/>
    <n v="9"/>
    <n v="120"/>
    <n v="1080"/>
    <n v="108"/>
    <s v="Large Order"/>
    <s v="Weekday"/>
  </r>
  <r>
    <s v="ORD-3817"/>
    <d v="2024-01-02T00:00:00"/>
    <n v="2024"/>
    <s v="Jan"/>
    <s v="Tue"/>
    <s v="CUST-157"/>
    <s v="PROD-005"/>
    <s v="Home Office"/>
    <s v="South"/>
    <x v="2"/>
    <x v="4"/>
    <n v="4"/>
    <n v="120"/>
    <n v="480"/>
    <n v="48"/>
    <s v="Standard Order"/>
    <s v="Weekday"/>
  </r>
  <r>
    <s v="ORD-3818"/>
    <d v="2024-04-06T00:00:00"/>
    <n v="2024"/>
    <s v="Apr"/>
    <s v="Sat"/>
    <s v="CUST-153"/>
    <s v="PROD-023"/>
    <s v="Home Office"/>
    <s v="North"/>
    <x v="4"/>
    <x v="4"/>
    <n v="13"/>
    <n v="120"/>
    <n v="1560"/>
    <n v="156"/>
    <s v="Large Order"/>
    <s v="Weekend"/>
  </r>
  <r>
    <s v="ORD-3819"/>
    <d v="2024-04-17T00:00:00"/>
    <n v="2024"/>
    <s v="Apr"/>
    <s v="Wed"/>
    <s v="CUST-124"/>
    <s v="PROD-022"/>
    <s v="Home Office"/>
    <s v="West"/>
    <x v="0"/>
    <x v="3"/>
    <n v="12"/>
    <n v="120"/>
    <n v="1440"/>
    <n v="144"/>
    <s v="Large Order"/>
    <s v="Weekday"/>
  </r>
  <r>
    <s v="ORD-3820"/>
    <d v="2024-06-06T00:00:00"/>
    <n v="2024"/>
    <s v="Jun"/>
    <s v="Thu"/>
    <s v="CUST-164"/>
    <s v="PROD-004"/>
    <s v="Home Office"/>
    <s v="East"/>
    <x v="2"/>
    <x v="1"/>
    <n v="14"/>
    <n v="120"/>
    <n v="1680"/>
    <n v="168"/>
    <s v="Large Order"/>
    <s v="Weekday"/>
  </r>
  <r>
    <s v="ORD-3821"/>
    <d v="2024-06-29T00:00:00"/>
    <n v="2024"/>
    <s v="Jun"/>
    <s v="Sat"/>
    <s v="CUST-169"/>
    <s v="PROD-014"/>
    <s v="Home Office"/>
    <s v="South"/>
    <x v="3"/>
    <x v="0"/>
    <n v="6"/>
    <n v="120"/>
    <n v="720"/>
    <n v="72"/>
    <s v="Large Order"/>
    <s v="Weekend"/>
  </r>
  <r>
    <s v="ORD-3822"/>
    <d v="2024-07-10T00:00:00"/>
    <n v="2024"/>
    <s v="Jul"/>
    <s v="Wed"/>
    <s v="CUST-122"/>
    <s v="PROD-018"/>
    <s v="Home Office"/>
    <s v="East"/>
    <x v="4"/>
    <x v="4"/>
    <n v="14"/>
    <n v="120"/>
    <n v="1680"/>
    <n v="168"/>
    <s v="Large Order"/>
    <s v="Weekday"/>
  </r>
  <r>
    <s v="ORD-3823"/>
    <d v="2024-12-03T00:00:00"/>
    <n v="2024"/>
    <s v="Dec"/>
    <s v="Tue"/>
    <s v="CUST-188"/>
    <s v="PROD-022"/>
    <s v="Corporate"/>
    <s v="Central"/>
    <x v="3"/>
    <x v="4"/>
    <n v="4"/>
    <n v="120"/>
    <n v="480"/>
    <n v="48"/>
    <s v="Standard Order"/>
    <s v="Weekday"/>
  </r>
  <r>
    <s v="ORD-3824"/>
    <d v="2024-02-23T00:00:00"/>
    <n v="2024"/>
    <s v="Feb"/>
    <s v="Fri"/>
    <s v="CUST-111"/>
    <s v="PROD-021"/>
    <s v="Consumer"/>
    <s v="West"/>
    <x v="5"/>
    <x v="1"/>
    <n v="4"/>
    <n v="120"/>
    <n v="480"/>
    <n v="48"/>
    <s v="Standard Order"/>
    <s v="Weekday"/>
  </r>
  <r>
    <s v="ORD-3825"/>
    <d v="2024-11-15T00:00:00"/>
    <n v="2024"/>
    <s v="Nov"/>
    <s v="Fri"/>
    <s v="CUST-169"/>
    <s v="PROD-004"/>
    <s v="Home Office"/>
    <s v="South"/>
    <x v="2"/>
    <x v="4"/>
    <n v="19"/>
    <n v="120"/>
    <n v="2280"/>
    <n v="228"/>
    <s v="Large Order"/>
    <s v="Weekday"/>
  </r>
  <r>
    <s v="ORD-3826"/>
    <d v="2024-12-07T00:00:00"/>
    <n v="2024"/>
    <s v="Dec"/>
    <s v="Sat"/>
    <s v="CUST-137"/>
    <s v="PROD-014"/>
    <s v="Consumer"/>
    <s v="West"/>
    <x v="4"/>
    <x v="1"/>
    <n v="18"/>
    <n v="120"/>
    <n v="2160"/>
    <n v="216"/>
    <s v="Large Order"/>
    <s v="Weekend"/>
  </r>
  <r>
    <s v="ORD-3827"/>
    <d v="2024-04-10T00:00:00"/>
    <n v="2024"/>
    <s v="Apr"/>
    <s v="Wed"/>
    <s v="CUST-160"/>
    <s v="PROD-004"/>
    <s v="Corporate"/>
    <s v="East"/>
    <x v="2"/>
    <x v="1"/>
    <n v="13"/>
    <n v="120"/>
    <n v="1560"/>
    <n v="156"/>
    <s v="Large Order"/>
    <s v="Weekday"/>
  </r>
  <r>
    <s v="ORD-3828"/>
    <d v="2024-07-10T00:00:00"/>
    <n v="2024"/>
    <s v="Jul"/>
    <s v="Wed"/>
    <s v="CUST-200"/>
    <s v="PROD-008"/>
    <s v="Home Office"/>
    <s v="West"/>
    <x v="3"/>
    <x v="3"/>
    <n v="9"/>
    <n v="120"/>
    <n v="1080"/>
    <n v="108"/>
    <s v="Large Order"/>
    <s v="Weekday"/>
  </r>
  <r>
    <s v="ORD-3829"/>
    <d v="2024-07-31T00:00:00"/>
    <n v="2024"/>
    <s v="Jul"/>
    <s v="Wed"/>
    <s v="CUST-186"/>
    <s v="PROD-008"/>
    <s v="Consumer"/>
    <s v="East"/>
    <x v="2"/>
    <x v="0"/>
    <n v="1"/>
    <n v="120"/>
    <n v="120"/>
    <n v="12"/>
    <s v="Standard Order"/>
    <s v="Weekday"/>
  </r>
  <r>
    <s v="ORD-3830"/>
    <d v="2024-07-10T00:00:00"/>
    <n v="2024"/>
    <s v="Jul"/>
    <s v="Wed"/>
    <s v="CUST-166"/>
    <s v="PROD-024"/>
    <s v="Home Office"/>
    <s v="South"/>
    <x v="3"/>
    <x v="3"/>
    <n v="6"/>
    <n v="120"/>
    <n v="720"/>
    <n v="72"/>
    <s v="Large Order"/>
    <s v="Weekday"/>
  </r>
  <r>
    <s v="ORD-3831"/>
    <d v="2024-08-08T00:00:00"/>
    <n v="2024"/>
    <s v="Aug"/>
    <s v="Thu"/>
    <s v="CUST-130"/>
    <s v="PROD-018"/>
    <s v="Corporate"/>
    <s v="West"/>
    <x v="4"/>
    <x v="4"/>
    <n v="13"/>
    <n v="120"/>
    <n v="1560"/>
    <n v="156"/>
    <s v="Large Order"/>
    <s v="Weekday"/>
  </r>
  <r>
    <s v="ORD-3832"/>
    <d v="2024-10-22T00:00:00"/>
    <n v="2024"/>
    <s v="Oct"/>
    <s v="Tue"/>
    <s v="CUST-154"/>
    <s v="PROD-005"/>
    <s v="Home Office"/>
    <s v="North"/>
    <x v="2"/>
    <x v="2"/>
    <n v="13"/>
    <n v="120"/>
    <n v="1560"/>
    <n v="156"/>
    <s v="Large Order"/>
    <s v="Weekday"/>
  </r>
  <r>
    <s v="ORD-3833"/>
    <d v="2024-09-21T00:00:00"/>
    <n v="2024"/>
    <s v="Sep"/>
    <s v="Sat"/>
    <s v="CUST-120"/>
    <s v="PROD-014"/>
    <s v="Consumer"/>
    <s v="East"/>
    <x v="0"/>
    <x v="2"/>
    <n v="17"/>
    <n v="120"/>
    <n v="2040"/>
    <n v="204"/>
    <s v="Large Order"/>
    <s v="Weekend"/>
  </r>
  <r>
    <s v="ORD-3834"/>
    <d v="2024-10-22T00:00:00"/>
    <n v="2024"/>
    <s v="Oct"/>
    <s v="Tue"/>
    <s v="CUST-200"/>
    <s v="PROD-013"/>
    <s v="Home Office"/>
    <s v="West"/>
    <x v="3"/>
    <x v="4"/>
    <n v="6"/>
    <n v="120"/>
    <n v="720"/>
    <n v="72"/>
    <s v="Large Order"/>
    <s v="Weekday"/>
  </r>
  <r>
    <s v="ORD-3835"/>
    <d v="2024-04-14T00:00:00"/>
    <n v="2024"/>
    <s v="Apr"/>
    <s v="Sun"/>
    <s v="CUST-111"/>
    <s v="PROD-003"/>
    <s v="Consumer"/>
    <s v="Central"/>
    <x v="2"/>
    <x v="0"/>
    <n v="19"/>
    <n v="120"/>
    <n v="2280"/>
    <n v="228"/>
    <s v="Large Order"/>
    <s v="Weekend"/>
  </r>
  <r>
    <s v="ORD-3836"/>
    <d v="2024-11-12T00:00:00"/>
    <n v="2024"/>
    <s v="Nov"/>
    <s v="Tue"/>
    <s v="CUST-190"/>
    <s v="PROD-018"/>
    <s v="Consumer"/>
    <s v="East"/>
    <x v="5"/>
    <x v="1"/>
    <n v="1"/>
    <n v="120"/>
    <n v="120"/>
    <n v="12"/>
    <s v="Standard Order"/>
    <s v="Weekday"/>
  </r>
  <r>
    <s v="ORD-3837"/>
    <d v="2024-03-07T00:00:00"/>
    <n v="2024"/>
    <s v="Mar"/>
    <s v="Thu"/>
    <s v="CUST-158"/>
    <s v="PROD-021"/>
    <s v="Home Office"/>
    <s v="South"/>
    <x v="3"/>
    <x v="2"/>
    <n v="8"/>
    <n v="120"/>
    <n v="960"/>
    <n v="96"/>
    <s v="Large Order"/>
    <s v="Weekday"/>
  </r>
  <r>
    <s v="ORD-3838"/>
    <d v="2024-04-23T00:00:00"/>
    <n v="2024"/>
    <s v="Apr"/>
    <s v="Tue"/>
    <s v="CUST-138"/>
    <s v="PROD-007"/>
    <s v="Home Office"/>
    <s v="North"/>
    <x v="4"/>
    <x v="1"/>
    <n v="9"/>
    <n v="120"/>
    <n v="1080"/>
    <n v="108"/>
    <s v="Large Order"/>
    <s v="Weekday"/>
  </r>
  <r>
    <s v="ORD-3839"/>
    <d v="2024-05-20T00:00:00"/>
    <n v="2024"/>
    <s v="May"/>
    <s v="Mon"/>
    <s v="CUST-110"/>
    <s v="PROD-005"/>
    <s v="Home Office"/>
    <s v="East"/>
    <x v="0"/>
    <x v="4"/>
    <n v="4"/>
    <n v="120"/>
    <n v="480"/>
    <n v="48"/>
    <s v="Standard Order"/>
    <s v="Weekday"/>
  </r>
  <r>
    <s v="ORD-3840"/>
    <d v="2024-11-01T00:00:00"/>
    <n v="2024"/>
    <s v="Nov"/>
    <s v="Fri"/>
    <s v="CUST-115"/>
    <s v="PROD-004"/>
    <s v="Consumer"/>
    <s v="North"/>
    <x v="3"/>
    <x v="3"/>
    <n v="6"/>
    <n v="120"/>
    <n v="720"/>
    <n v="72"/>
    <s v="Large Order"/>
    <s v="Weekday"/>
  </r>
  <r>
    <s v="ORD-3841"/>
    <d v="2024-09-10T00:00:00"/>
    <n v="2024"/>
    <s v="Sep"/>
    <s v="Tue"/>
    <s v="CUST-146"/>
    <s v="PROD-007"/>
    <s v="Corporate"/>
    <s v="West"/>
    <x v="0"/>
    <x v="1"/>
    <n v="1"/>
    <n v="120"/>
    <n v="120"/>
    <n v="12"/>
    <s v="Standard Order"/>
    <s v="Weekday"/>
  </r>
  <r>
    <s v="ORD-3842"/>
    <d v="2024-09-06T00:00:00"/>
    <n v="2024"/>
    <s v="Sep"/>
    <s v="Fri"/>
    <s v="CUST-180"/>
    <s v="PROD-003"/>
    <s v="Consumer"/>
    <s v="North"/>
    <x v="2"/>
    <x v="1"/>
    <n v="11"/>
    <n v="120"/>
    <n v="1320"/>
    <n v="132"/>
    <s v="Large Order"/>
    <s v="Weekday"/>
  </r>
  <r>
    <s v="ORD-3843"/>
    <d v="2024-08-18T00:00:00"/>
    <n v="2024"/>
    <s v="Aug"/>
    <s v="Sun"/>
    <s v="CUST-120"/>
    <s v="PROD-006"/>
    <s v="Corporate"/>
    <s v="West"/>
    <x v="0"/>
    <x v="2"/>
    <n v="19"/>
    <n v="120"/>
    <n v="2280"/>
    <n v="228"/>
    <s v="Large Order"/>
    <s v="Weekend"/>
  </r>
  <r>
    <s v="ORD-3844"/>
    <d v="2024-01-17T00:00:00"/>
    <n v="2024"/>
    <s v="Jan"/>
    <s v="Wed"/>
    <s v="CUST-115"/>
    <s v="PROD-011"/>
    <s v="Corporate"/>
    <s v="North"/>
    <x v="2"/>
    <x v="4"/>
    <n v="20"/>
    <n v="120"/>
    <n v="2400"/>
    <n v="240"/>
    <s v="Large Order"/>
    <s v="Weekday"/>
  </r>
  <r>
    <s v="ORD-3845"/>
    <d v="2024-03-22T00:00:00"/>
    <n v="2024"/>
    <s v="Mar"/>
    <s v="Fri"/>
    <s v="CUST-166"/>
    <s v="PROD-024"/>
    <s v="Corporate"/>
    <s v="South"/>
    <x v="0"/>
    <x v="2"/>
    <n v="20"/>
    <n v="120"/>
    <n v="2400"/>
    <n v="240"/>
    <s v="Large Order"/>
    <s v="Weekday"/>
  </r>
  <r>
    <s v="ORD-3846"/>
    <d v="2024-01-12T00:00:00"/>
    <n v="2024"/>
    <s v="Jan"/>
    <s v="Fri"/>
    <s v="CUST-166"/>
    <s v="PROD-017"/>
    <s v="Consumer"/>
    <s v="North"/>
    <x v="4"/>
    <x v="3"/>
    <n v="4"/>
    <n v="120"/>
    <n v="480"/>
    <n v="48"/>
    <s v="Standard Order"/>
    <s v="Weekday"/>
  </r>
  <r>
    <s v="ORD-3847"/>
    <d v="2024-01-16T00:00:00"/>
    <n v="2024"/>
    <s v="Jan"/>
    <s v="Tue"/>
    <s v="CUST-141"/>
    <s v="PROD-005"/>
    <s v="Consumer"/>
    <s v="Central"/>
    <x v="0"/>
    <x v="2"/>
    <n v="9"/>
    <n v="120"/>
    <n v="1080"/>
    <n v="108"/>
    <s v="Large Order"/>
    <s v="Weekday"/>
  </r>
  <r>
    <s v="ORD-3848"/>
    <d v="2024-04-12T00:00:00"/>
    <n v="2024"/>
    <s v="Apr"/>
    <s v="Fri"/>
    <s v="CUST-111"/>
    <s v="PROD-012"/>
    <s v="Home Office"/>
    <s v="South"/>
    <x v="5"/>
    <x v="3"/>
    <n v="15"/>
    <n v="120"/>
    <n v="1800"/>
    <n v="180"/>
    <s v="Large Order"/>
    <s v="Weekday"/>
  </r>
  <r>
    <s v="ORD-3849"/>
    <d v="2024-09-10T00:00:00"/>
    <n v="2024"/>
    <s v="Sep"/>
    <s v="Tue"/>
    <s v="CUST-155"/>
    <s v="PROD-017"/>
    <s v="Corporate"/>
    <s v="Central"/>
    <x v="4"/>
    <x v="3"/>
    <n v="6"/>
    <n v="120"/>
    <n v="720"/>
    <n v="72"/>
    <s v="Large Order"/>
    <s v="Weekday"/>
  </r>
  <r>
    <s v="ORD-3850"/>
    <d v="2024-05-23T00:00:00"/>
    <n v="2024"/>
    <s v="May"/>
    <s v="Thu"/>
    <s v="CUST-150"/>
    <s v="PROD-004"/>
    <s v="Home Office"/>
    <s v="Central"/>
    <x v="5"/>
    <x v="3"/>
    <n v="6"/>
    <n v="120"/>
    <n v="720"/>
    <n v="72"/>
    <s v="Large Order"/>
    <s v="Weekday"/>
  </r>
  <r>
    <s v="ORD-3851"/>
    <d v="2024-09-06T00:00:00"/>
    <n v="2024"/>
    <s v="Sep"/>
    <s v="Fri"/>
    <s v="CUST-155"/>
    <s v="PROD-015"/>
    <s v="Corporate"/>
    <s v="Central"/>
    <x v="5"/>
    <x v="3"/>
    <n v="11"/>
    <n v="120"/>
    <n v="1320"/>
    <n v="132"/>
    <s v="Large Order"/>
    <s v="Weekday"/>
  </r>
  <r>
    <s v="ORD-3852"/>
    <d v="2024-11-06T00:00:00"/>
    <n v="2024"/>
    <s v="Nov"/>
    <s v="Wed"/>
    <s v="CUST-149"/>
    <s v="PROD-014"/>
    <s v="Consumer"/>
    <s v="Central"/>
    <x v="5"/>
    <x v="3"/>
    <n v="12"/>
    <n v="120"/>
    <n v="1440"/>
    <n v="144"/>
    <s v="Large Order"/>
    <s v="Weekday"/>
  </r>
  <r>
    <s v="ORD-3853"/>
    <d v="2024-02-02T00:00:00"/>
    <n v="2024"/>
    <s v="Feb"/>
    <s v="Fri"/>
    <s v="CUST-157"/>
    <s v="PROD-006"/>
    <s v="Consumer"/>
    <s v="West"/>
    <x v="5"/>
    <x v="3"/>
    <n v="19"/>
    <n v="120"/>
    <n v="2280"/>
    <n v="228"/>
    <s v="Large Order"/>
    <s v="Weekday"/>
  </r>
  <r>
    <s v="ORD-3854"/>
    <d v="2024-11-05T00:00:00"/>
    <n v="2024"/>
    <s v="Nov"/>
    <s v="Tue"/>
    <s v="CUST-182"/>
    <s v="PROD-017"/>
    <s v="Corporate"/>
    <s v="South"/>
    <x v="2"/>
    <x v="0"/>
    <n v="4"/>
    <n v="120"/>
    <n v="480"/>
    <n v="48"/>
    <s v="Standard Order"/>
    <s v="Weekday"/>
  </r>
  <r>
    <s v="ORD-3855"/>
    <d v="2024-06-14T00:00:00"/>
    <n v="2024"/>
    <s v="Jun"/>
    <s v="Fri"/>
    <s v="CUST-154"/>
    <s v="PROD-006"/>
    <s v="Corporate"/>
    <s v="North"/>
    <x v="4"/>
    <x v="0"/>
    <n v="7"/>
    <n v="120"/>
    <n v="840"/>
    <n v="84"/>
    <s v="Large Order"/>
    <s v="Weekday"/>
  </r>
  <r>
    <s v="ORD-3856"/>
    <d v="2024-07-09T00:00:00"/>
    <n v="2024"/>
    <s v="Jul"/>
    <s v="Tue"/>
    <s v="CUST-118"/>
    <s v="PROD-025"/>
    <s v="Corporate"/>
    <s v="East"/>
    <x v="0"/>
    <x v="0"/>
    <n v="11"/>
    <n v="120"/>
    <n v="1320"/>
    <n v="132"/>
    <s v="Large Order"/>
    <s v="Weekday"/>
  </r>
  <r>
    <s v="ORD-3857"/>
    <d v="2024-06-17T00:00:00"/>
    <n v="2024"/>
    <s v="Jun"/>
    <s v="Mon"/>
    <s v="CUST-127"/>
    <s v="PROD-015"/>
    <s v="Home Office"/>
    <s v="South"/>
    <x v="3"/>
    <x v="2"/>
    <n v="18"/>
    <n v="120"/>
    <n v="2160"/>
    <n v="216"/>
    <s v="Large Order"/>
    <s v="Weekday"/>
  </r>
  <r>
    <s v="ORD-3858"/>
    <d v="2024-05-25T00:00:00"/>
    <n v="2024"/>
    <s v="May"/>
    <s v="Sat"/>
    <s v="CUST-177"/>
    <s v="PROD-007"/>
    <s v="Home Office"/>
    <s v="West"/>
    <x v="4"/>
    <x v="0"/>
    <n v="18"/>
    <n v="120"/>
    <n v="2160"/>
    <n v="216"/>
    <s v="Large Order"/>
    <s v="Weekend"/>
  </r>
  <r>
    <s v="ORD-3859"/>
    <d v="2024-11-07T00:00:00"/>
    <n v="2024"/>
    <s v="Nov"/>
    <s v="Thu"/>
    <s v="CUST-185"/>
    <s v="PROD-003"/>
    <s v="Home Office"/>
    <s v="West"/>
    <x v="2"/>
    <x v="1"/>
    <n v="11"/>
    <n v="120"/>
    <n v="1320"/>
    <n v="132"/>
    <s v="Large Order"/>
    <s v="Weekday"/>
  </r>
  <r>
    <s v="ORD-3860"/>
    <d v="2024-04-11T00:00:00"/>
    <n v="2024"/>
    <s v="Apr"/>
    <s v="Thu"/>
    <s v="CUST-125"/>
    <s v="PROD-002"/>
    <s v="Corporate"/>
    <s v="East"/>
    <x v="2"/>
    <x v="0"/>
    <n v="9"/>
    <n v="120"/>
    <n v="1080"/>
    <n v="108"/>
    <s v="Large Order"/>
    <s v="Weekday"/>
  </r>
  <r>
    <s v="ORD-3861"/>
    <d v="2024-03-04T00:00:00"/>
    <n v="2024"/>
    <s v="Mar"/>
    <s v="Mon"/>
    <s v="CUST-157"/>
    <s v="PROD-006"/>
    <s v="Home Office"/>
    <s v="Central"/>
    <x v="3"/>
    <x v="4"/>
    <n v="13"/>
    <n v="120"/>
    <n v="1560"/>
    <n v="156"/>
    <s v="Large Order"/>
    <s v="Weekday"/>
  </r>
  <r>
    <s v="ORD-3862"/>
    <d v="2024-01-11T00:00:00"/>
    <n v="2024"/>
    <s v="Jan"/>
    <s v="Thu"/>
    <s v="CUST-136"/>
    <s v="PROD-001"/>
    <s v="Home Office"/>
    <s v="North"/>
    <x v="5"/>
    <x v="0"/>
    <n v="15"/>
    <n v="120"/>
    <n v="1800"/>
    <n v="180"/>
    <s v="Large Order"/>
    <s v="Weekday"/>
  </r>
  <r>
    <s v="ORD-3863"/>
    <d v="2024-07-25T00:00:00"/>
    <n v="2024"/>
    <s v="Jul"/>
    <s v="Thu"/>
    <s v="CUST-104"/>
    <s v="PROD-018"/>
    <s v="Home Office"/>
    <s v="East"/>
    <x v="0"/>
    <x v="3"/>
    <n v="1"/>
    <n v="120"/>
    <n v="120"/>
    <n v="12"/>
    <s v="Standard Order"/>
    <s v="Weekday"/>
  </r>
  <r>
    <s v="ORD-3864"/>
    <d v="2024-02-18T00:00:00"/>
    <n v="2024"/>
    <s v="Feb"/>
    <s v="Sun"/>
    <s v="CUST-153"/>
    <s v="PROD-024"/>
    <s v="Corporate"/>
    <s v="Central"/>
    <x v="3"/>
    <x v="3"/>
    <n v="12"/>
    <n v="120"/>
    <n v="1440"/>
    <n v="144"/>
    <s v="Large Order"/>
    <s v="Weekend"/>
  </r>
  <r>
    <s v="ORD-3865"/>
    <d v="2024-10-11T00:00:00"/>
    <n v="2024"/>
    <s v="Oct"/>
    <s v="Fri"/>
    <s v="CUST-199"/>
    <s v="PROD-011"/>
    <s v="Corporate"/>
    <s v="East"/>
    <x v="5"/>
    <x v="0"/>
    <n v="13"/>
    <n v="120"/>
    <n v="1560"/>
    <n v="156"/>
    <s v="Large Order"/>
    <s v="Weekday"/>
  </r>
  <r>
    <s v="ORD-3866"/>
    <d v="2024-08-20T00:00:00"/>
    <n v="2024"/>
    <s v="Aug"/>
    <s v="Tue"/>
    <s v="CUST-163"/>
    <s v="PROD-021"/>
    <s v="Consumer"/>
    <s v="East"/>
    <x v="3"/>
    <x v="4"/>
    <n v="4"/>
    <n v="120"/>
    <n v="480"/>
    <n v="48"/>
    <s v="Standard Order"/>
    <s v="Weekday"/>
  </r>
  <r>
    <s v="ORD-3867"/>
    <d v="2024-01-25T00:00:00"/>
    <n v="2024"/>
    <s v="Jan"/>
    <s v="Thu"/>
    <s v="CUST-101"/>
    <s v="PROD-005"/>
    <s v="Consumer"/>
    <s v="North"/>
    <x v="3"/>
    <x v="1"/>
    <n v="8"/>
    <n v="120"/>
    <n v="960"/>
    <n v="96"/>
    <s v="Large Order"/>
    <s v="Weekday"/>
  </r>
  <r>
    <s v="ORD-3868"/>
    <d v="2024-04-07T00:00:00"/>
    <n v="2024"/>
    <s v="Apr"/>
    <s v="Sun"/>
    <s v="CUST-192"/>
    <s v="PROD-012"/>
    <s v="Home Office"/>
    <s v="North"/>
    <x v="0"/>
    <x v="0"/>
    <n v="9"/>
    <n v="120"/>
    <n v="1080"/>
    <n v="108"/>
    <s v="Large Order"/>
    <s v="Weekend"/>
  </r>
  <r>
    <s v="ORD-3869"/>
    <d v="2024-01-23T00:00:00"/>
    <n v="2024"/>
    <s v="Jan"/>
    <s v="Tue"/>
    <s v="CUST-114"/>
    <s v="PROD-002"/>
    <s v="Corporate"/>
    <s v="South"/>
    <x v="0"/>
    <x v="3"/>
    <n v="11"/>
    <n v="120"/>
    <n v="1320"/>
    <n v="132"/>
    <s v="Large Order"/>
    <s v="Weekday"/>
  </r>
  <r>
    <s v="ORD-3870"/>
    <d v="2024-07-13T00:00:00"/>
    <n v="2024"/>
    <s v="Jul"/>
    <s v="Sat"/>
    <s v="CUST-134"/>
    <s v="PROD-023"/>
    <s v="Consumer"/>
    <s v="West"/>
    <x v="4"/>
    <x v="4"/>
    <n v="15"/>
    <n v="120"/>
    <n v="1800"/>
    <n v="180"/>
    <s v="Large Order"/>
    <s v="Weekend"/>
  </r>
  <r>
    <s v="ORD-3871"/>
    <d v="2024-06-12T00:00:00"/>
    <n v="2024"/>
    <s v="Jun"/>
    <s v="Wed"/>
    <s v="CUST-118"/>
    <s v="PROD-025"/>
    <s v="Home Office"/>
    <s v="West"/>
    <x v="2"/>
    <x v="1"/>
    <n v="4"/>
    <n v="120"/>
    <n v="480"/>
    <n v="48"/>
    <s v="Standard Order"/>
    <s v="Weekday"/>
  </r>
  <r>
    <s v="ORD-3872"/>
    <d v="2024-05-03T00:00:00"/>
    <n v="2024"/>
    <s v="May"/>
    <s v="Fri"/>
    <s v="CUST-173"/>
    <s v="PROD-016"/>
    <s v="Home Office"/>
    <s v="East"/>
    <x v="2"/>
    <x v="3"/>
    <n v="11"/>
    <n v="120"/>
    <n v="1320"/>
    <n v="132"/>
    <s v="Large Order"/>
    <s v="Weekday"/>
  </r>
  <r>
    <s v="ORD-3873"/>
    <d v="2024-09-04T00:00:00"/>
    <n v="2024"/>
    <s v="Sep"/>
    <s v="Wed"/>
    <s v="CUST-128"/>
    <s v="PROD-003"/>
    <s v="Corporate"/>
    <s v="South"/>
    <x v="3"/>
    <x v="0"/>
    <n v="12"/>
    <n v="120"/>
    <n v="1440"/>
    <n v="144"/>
    <s v="Large Order"/>
    <s v="Weekday"/>
  </r>
  <r>
    <s v="ORD-3874"/>
    <d v="2024-05-04T00:00:00"/>
    <n v="2024"/>
    <s v="May"/>
    <s v="Sat"/>
    <s v="CUST-184"/>
    <s v="PROD-021"/>
    <s v="Home Office"/>
    <s v="South"/>
    <x v="4"/>
    <x v="0"/>
    <n v="3"/>
    <n v="120"/>
    <n v="360"/>
    <n v="36"/>
    <s v="Standard Order"/>
    <s v="Weekend"/>
  </r>
  <r>
    <s v="ORD-3875"/>
    <d v="2024-01-31T00:00:00"/>
    <n v="2024"/>
    <s v="Jan"/>
    <s v="Wed"/>
    <s v="CUST-127"/>
    <s v="PROD-001"/>
    <s v="Home Office"/>
    <s v="Central"/>
    <x v="4"/>
    <x v="1"/>
    <n v="13"/>
    <n v="120"/>
    <n v="1560"/>
    <n v="156"/>
    <s v="Large Order"/>
    <s v="Weekday"/>
  </r>
  <r>
    <s v="ORD-3876"/>
    <d v="2024-02-23T00:00:00"/>
    <n v="2024"/>
    <s v="Feb"/>
    <s v="Fri"/>
    <s v="CUST-143"/>
    <s v="PROD-007"/>
    <s v="Home Office"/>
    <s v="South"/>
    <x v="5"/>
    <x v="4"/>
    <n v="11"/>
    <n v="120"/>
    <n v="1320"/>
    <n v="132"/>
    <s v="Large Order"/>
    <s v="Weekday"/>
  </r>
  <r>
    <s v="ORD-3877"/>
    <d v="2024-06-08T00:00:00"/>
    <n v="2024"/>
    <s v="Jun"/>
    <s v="Sat"/>
    <s v="CUST-190"/>
    <s v="PROD-015"/>
    <s v="Home Office"/>
    <s v="Central"/>
    <x v="4"/>
    <x v="4"/>
    <n v="4"/>
    <n v="120"/>
    <n v="480"/>
    <n v="48"/>
    <s v="Standard Order"/>
    <s v="Weekend"/>
  </r>
  <r>
    <s v="ORD-3878"/>
    <d v="2024-04-22T00:00:00"/>
    <n v="2024"/>
    <s v="Apr"/>
    <s v="Mon"/>
    <s v="CUST-146"/>
    <s v="PROD-013"/>
    <s v="Corporate"/>
    <s v="South"/>
    <x v="5"/>
    <x v="4"/>
    <n v="7"/>
    <n v="120"/>
    <n v="840"/>
    <n v="84"/>
    <s v="Large Order"/>
    <s v="Weekday"/>
  </r>
  <r>
    <s v="ORD-3879"/>
    <d v="2024-04-06T00:00:00"/>
    <n v="2024"/>
    <s v="Apr"/>
    <s v="Sat"/>
    <s v="CUST-108"/>
    <s v="PROD-009"/>
    <s v="Corporate"/>
    <s v="North"/>
    <x v="4"/>
    <x v="3"/>
    <n v="19"/>
    <n v="120"/>
    <n v="2280"/>
    <n v="228"/>
    <s v="Large Order"/>
    <s v="Weekend"/>
  </r>
  <r>
    <s v="ORD-3880"/>
    <d v="2024-03-16T00:00:00"/>
    <n v="2024"/>
    <s v="Mar"/>
    <s v="Sat"/>
    <s v="CUST-159"/>
    <s v="PROD-004"/>
    <s v="Home Office"/>
    <s v="Central"/>
    <x v="0"/>
    <x v="2"/>
    <n v="1"/>
    <n v="120"/>
    <n v="120"/>
    <n v="12"/>
    <s v="Standard Order"/>
    <s v="Weekend"/>
  </r>
  <r>
    <s v="ORD-3881"/>
    <d v="2024-04-05T00:00:00"/>
    <n v="2024"/>
    <s v="Apr"/>
    <s v="Fri"/>
    <s v="CUST-134"/>
    <s v="PROD-001"/>
    <s v="Corporate"/>
    <s v="South"/>
    <x v="5"/>
    <x v="1"/>
    <n v="12"/>
    <n v="120"/>
    <n v="1440"/>
    <n v="144"/>
    <s v="Large Order"/>
    <s v="Weekday"/>
  </r>
  <r>
    <s v="ORD-3882"/>
    <d v="2024-10-08T00:00:00"/>
    <n v="2024"/>
    <s v="Oct"/>
    <s v="Tue"/>
    <s v="CUST-110"/>
    <s v="PROD-012"/>
    <s v="Corporate"/>
    <s v="East"/>
    <x v="4"/>
    <x v="2"/>
    <n v="13"/>
    <n v="120"/>
    <n v="1560"/>
    <n v="156"/>
    <s v="Large Order"/>
    <s v="Weekday"/>
  </r>
  <r>
    <s v="ORD-3883"/>
    <d v="2024-09-17T00:00:00"/>
    <n v="2024"/>
    <s v="Sep"/>
    <s v="Tue"/>
    <s v="CUST-142"/>
    <s v="PROD-002"/>
    <s v="Corporate"/>
    <s v="East"/>
    <x v="3"/>
    <x v="3"/>
    <n v="4"/>
    <n v="120"/>
    <n v="480"/>
    <n v="48"/>
    <s v="Standard Order"/>
    <s v="Weekday"/>
  </r>
  <r>
    <s v="ORD-3884"/>
    <d v="2024-07-14T00:00:00"/>
    <n v="2024"/>
    <s v="Jul"/>
    <s v="Sun"/>
    <s v="CUST-193"/>
    <s v="PROD-014"/>
    <s v="Consumer"/>
    <s v="Central"/>
    <x v="3"/>
    <x v="2"/>
    <n v="13"/>
    <n v="120"/>
    <n v="1560"/>
    <n v="156"/>
    <s v="Large Order"/>
    <s v="Weekend"/>
  </r>
  <r>
    <s v="ORD-3885"/>
    <d v="2024-05-21T00:00:00"/>
    <n v="2024"/>
    <s v="May"/>
    <s v="Tue"/>
    <s v="CUST-167"/>
    <s v="PROD-020"/>
    <s v="Corporate"/>
    <s v="North"/>
    <x v="5"/>
    <x v="1"/>
    <n v="4"/>
    <n v="120"/>
    <n v="480"/>
    <n v="48"/>
    <s v="Standard Order"/>
    <s v="Weekday"/>
  </r>
  <r>
    <s v="ORD-3886"/>
    <d v="2024-11-26T00:00:00"/>
    <n v="2024"/>
    <s v="Nov"/>
    <s v="Tue"/>
    <s v="CUST-131"/>
    <s v="PROD-004"/>
    <s v="Consumer"/>
    <s v="East"/>
    <x v="0"/>
    <x v="0"/>
    <n v="2"/>
    <n v="120"/>
    <n v="240"/>
    <n v="24"/>
    <s v="Standard Order"/>
    <s v="Weekday"/>
  </r>
  <r>
    <s v="ORD-3887"/>
    <d v="2024-05-02T00:00:00"/>
    <n v="2024"/>
    <s v="May"/>
    <s v="Thu"/>
    <s v="CUST-108"/>
    <s v="PROD-018"/>
    <s v="Consumer"/>
    <s v="South"/>
    <x v="3"/>
    <x v="2"/>
    <n v="20"/>
    <n v="120"/>
    <n v="2400"/>
    <n v="240"/>
    <s v="Large Order"/>
    <s v="Weekday"/>
  </r>
  <r>
    <s v="ORD-3888"/>
    <d v="2024-07-26T00:00:00"/>
    <n v="2024"/>
    <s v="Jul"/>
    <s v="Fri"/>
    <s v="CUST-150"/>
    <s v="PROD-013"/>
    <s v="Consumer"/>
    <s v="Central"/>
    <x v="4"/>
    <x v="3"/>
    <n v="16"/>
    <n v="120"/>
    <n v="1920"/>
    <n v="192"/>
    <s v="Large Order"/>
    <s v="Weekday"/>
  </r>
  <r>
    <s v="ORD-3889"/>
    <d v="2024-04-14T00:00:00"/>
    <n v="2024"/>
    <s v="Apr"/>
    <s v="Sun"/>
    <s v="CUST-144"/>
    <s v="PROD-021"/>
    <s v="Corporate"/>
    <s v="East"/>
    <x v="5"/>
    <x v="3"/>
    <n v="1"/>
    <n v="120"/>
    <n v="120"/>
    <n v="12"/>
    <s v="Standard Order"/>
    <s v="Weekend"/>
  </r>
  <r>
    <s v="ORD-3890"/>
    <d v="2024-09-14T00:00:00"/>
    <n v="2024"/>
    <s v="Sep"/>
    <s v="Sat"/>
    <s v="CUST-189"/>
    <s v="PROD-020"/>
    <s v="Corporate"/>
    <s v="West"/>
    <x v="3"/>
    <x v="2"/>
    <n v="6"/>
    <n v="120"/>
    <n v="720"/>
    <n v="72"/>
    <s v="Large Order"/>
    <s v="Weekend"/>
  </r>
  <r>
    <s v="ORD-3891"/>
    <d v="2024-02-05T00:00:00"/>
    <n v="2024"/>
    <s v="Feb"/>
    <s v="Mon"/>
    <s v="CUST-121"/>
    <s v="PROD-006"/>
    <s v="Corporate"/>
    <s v="East"/>
    <x v="2"/>
    <x v="2"/>
    <n v="1"/>
    <n v="120"/>
    <n v="120"/>
    <n v="12"/>
    <s v="Standard Order"/>
    <s v="Weekday"/>
  </r>
  <r>
    <s v="ORD-3892"/>
    <d v="2024-08-07T00:00:00"/>
    <n v="2024"/>
    <s v="Aug"/>
    <s v="Wed"/>
    <s v="CUST-142"/>
    <s v="PROD-001"/>
    <s v="Consumer"/>
    <s v="Central"/>
    <x v="3"/>
    <x v="0"/>
    <n v="6"/>
    <n v="120"/>
    <n v="720"/>
    <n v="72"/>
    <s v="Large Order"/>
    <s v="Weekday"/>
  </r>
  <r>
    <s v="ORD-3893"/>
    <d v="2024-01-05T00:00:00"/>
    <n v="2024"/>
    <s v="Jan"/>
    <s v="Fri"/>
    <s v="CUST-176"/>
    <s v="PROD-012"/>
    <s v="Corporate"/>
    <s v="Central"/>
    <x v="5"/>
    <x v="0"/>
    <n v="16"/>
    <n v="120"/>
    <n v="1920"/>
    <n v="192"/>
    <s v="Large Order"/>
    <s v="Weekday"/>
  </r>
  <r>
    <s v="ORD-3894"/>
    <d v="2024-08-29T00:00:00"/>
    <n v="2024"/>
    <s v="Aug"/>
    <s v="Thu"/>
    <s v="CUST-114"/>
    <s v="PROD-002"/>
    <s v="Consumer"/>
    <s v="North"/>
    <x v="5"/>
    <x v="3"/>
    <n v="8"/>
    <n v="120"/>
    <n v="960"/>
    <n v="96"/>
    <s v="Large Order"/>
    <s v="Weekday"/>
  </r>
  <r>
    <s v="ORD-3895"/>
    <d v="2024-03-26T00:00:00"/>
    <n v="2024"/>
    <s v="Mar"/>
    <s v="Tue"/>
    <s v="CUST-196"/>
    <s v="PROD-005"/>
    <s v="Consumer"/>
    <s v="West"/>
    <x v="0"/>
    <x v="3"/>
    <n v="11"/>
    <n v="120"/>
    <n v="1320"/>
    <n v="132"/>
    <s v="Large Order"/>
    <s v="Weekday"/>
  </r>
  <r>
    <s v="ORD-3896"/>
    <d v="2024-06-28T00:00:00"/>
    <n v="2024"/>
    <s v="Jun"/>
    <s v="Fri"/>
    <s v="CUST-169"/>
    <s v="PROD-009"/>
    <s v="Home Office"/>
    <s v="Central"/>
    <x v="2"/>
    <x v="3"/>
    <n v="12"/>
    <n v="120"/>
    <n v="1440"/>
    <n v="144"/>
    <s v="Large Order"/>
    <s v="Weekday"/>
  </r>
  <r>
    <s v="ORD-3897"/>
    <d v="2024-06-29T00:00:00"/>
    <n v="2024"/>
    <s v="Jun"/>
    <s v="Sat"/>
    <s v="CUST-138"/>
    <s v="PROD-023"/>
    <s v="Corporate"/>
    <s v="North"/>
    <x v="5"/>
    <x v="4"/>
    <n v="16"/>
    <n v="120"/>
    <n v="1920"/>
    <n v="192"/>
    <s v="Large Order"/>
    <s v="Weekend"/>
  </r>
  <r>
    <s v="ORD-3898"/>
    <d v="2024-12-17T00:00:00"/>
    <n v="2024"/>
    <s v="Dec"/>
    <s v="Tue"/>
    <s v="CUST-166"/>
    <s v="PROD-024"/>
    <s v="Home Office"/>
    <s v="North"/>
    <x v="0"/>
    <x v="2"/>
    <n v="14"/>
    <n v="120"/>
    <n v="1680"/>
    <n v="168"/>
    <s v="Large Order"/>
    <s v="Weekday"/>
  </r>
  <r>
    <s v="ORD-3899"/>
    <d v="2024-12-03T00:00:00"/>
    <n v="2024"/>
    <s v="Dec"/>
    <s v="Tue"/>
    <s v="CUST-118"/>
    <s v="PROD-012"/>
    <s v="Corporate"/>
    <s v="North"/>
    <x v="0"/>
    <x v="2"/>
    <n v="19"/>
    <n v="120"/>
    <n v="2280"/>
    <n v="228"/>
    <s v="Large Order"/>
    <s v="Weekday"/>
  </r>
  <r>
    <s v="ORD-3900"/>
    <d v="2024-08-08T00:00:00"/>
    <n v="2024"/>
    <s v="Aug"/>
    <s v="Thu"/>
    <s v="CUST-146"/>
    <s v="PROD-007"/>
    <s v="Home Office"/>
    <s v="West"/>
    <x v="0"/>
    <x v="2"/>
    <n v="13"/>
    <n v="120"/>
    <n v="1560"/>
    <n v="156"/>
    <s v="Large Order"/>
    <s v="Weekday"/>
  </r>
  <r>
    <s v="ORD-3901"/>
    <d v="2024-05-20T00:00:00"/>
    <n v="2024"/>
    <s v="May"/>
    <s v="Mon"/>
    <s v="CUST-180"/>
    <s v="PROD-022"/>
    <s v="Home Office"/>
    <s v="Central"/>
    <x v="2"/>
    <x v="4"/>
    <n v="6"/>
    <n v="120"/>
    <n v="720"/>
    <n v="72"/>
    <s v="Large Order"/>
    <s v="Weekday"/>
  </r>
  <r>
    <s v="ORD-3902"/>
    <d v="2024-12-13T00:00:00"/>
    <n v="2024"/>
    <s v="Dec"/>
    <s v="Fri"/>
    <s v="CUST-144"/>
    <s v="PROD-011"/>
    <s v="Corporate"/>
    <s v="East"/>
    <x v="5"/>
    <x v="1"/>
    <n v="9"/>
    <n v="120"/>
    <n v="1080"/>
    <n v="108"/>
    <s v="Large Order"/>
    <s v="Weekday"/>
  </r>
  <r>
    <s v="ORD-3903"/>
    <d v="2024-01-22T00:00:00"/>
    <n v="2024"/>
    <s v="Jan"/>
    <s v="Mon"/>
    <s v="CUST-174"/>
    <s v="PROD-017"/>
    <s v="Home Office"/>
    <s v="North"/>
    <x v="3"/>
    <x v="4"/>
    <n v="4"/>
    <n v="120"/>
    <n v="480"/>
    <n v="48"/>
    <s v="Standard Order"/>
    <s v="Weekday"/>
  </r>
  <r>
    <s v="ORD-3904"/>
    <d v="2024-08-20T00:00:00"/>
    <n v="2024"/>
    <s v="Aug"/>
    <s v="Tue"/>
    <s v="CUST-172"/>
    <s v="PROD-012"/>
    <s v="Corporate"/>
    <s v="Central"/>
    <x v="0"/>
    <x v="0"/>
    <n v="16"/>
    <n v="120"/>
    <n v="1920"/>
    <n v="192"/>
    <s v="Large Order"/>
    <s v="Weekday"/>
  </r>
  <r>
    <s v="ORD-3905"/>
    <d v="2024-03-16T00:00:00"/>
    <n v="2024"/>
    <s v="Mar"/>
    <s v="Sat"/>
    <s v="CUST-159"/>
    <s v="PROD-022"/>
    <s v="Consumer"/>
    <s v="North"/>
    <x v="5"/>
    <x v="3"/>
    <n v="20"/>
    <n v="120"/>
    <n v="2400"/>
    <n v="240"/>
    <s v="Large Order"/>
    <s v="Weekend"/>
  </r>
  <r>
    <s v="ORD-3906"/>
    <d v="2024-03-24T00:00:00"/>
    <n v="2024"/>
    <s v="Mar"/>
    <s v="Sun"/>
    <s v="CUST-138"/>
    <s v="PROD-016"/>
    <s v="Corporate"/>
    <s v="North"/>
    <x v="0"/>
    <x v="3"/>
    <n v="1"/>
    <n v="120"/>
    <n v="120"/>
    <n v="12"/>
    <s v="Standard Order"/>
    <s v="Weekend"/>
  </r>
  <r>
    <s v="ORD-3907"/>
    <d v="2024-04-21T00:00:00"/>
    <n v="2024"/>
    <s v="Apr"/>
    <s v="Sun"/>
    <s v="CUST-136"/>
    <s v="PROD-019"/>
    <s v="Consumer"/>
    <s v="East"/>
    <x v="0"/>
    <x v="1"/>
    <n v="10"/>
    <n v="120"/>
    <n v="1200"/>
    <n v="120"/>
    <s v="Large Order"/>
    <s v="Weekend"/>
  </r>
  <r>
    <s v="ORD-3908"/>
    <d v="2024-06-29T00:00:00"/>
    <n v="2024"/>
    <s v="Jun"/>
    <s v="Sat"/>
    <s v="CUST-184"/>
    <s v="PROD-001"/>
    <s v="Consumer"/>
    <s v="South"/>
    <x v="3"/>
    <x v="2"/>
    <n v="12"/>
    <n v="120"/>
    <n v="1440"/>
    <n v="144"/>
    <s v="Large Order"/>
    <s v="Weekend"/>
  </r>
  <r>
    <s v="ORD-3909"/>
    <d v="2024-09-14T00:00:00"/>
    <n v="2024"/>
    <s v="Sep"/>
    <s v="Sat"/>
    <s v="CUST-185"/>
    <s v="PROD-025"/>
    <s v="Home Office"/>
    <s v="East"/>
    <x v="4"/>
    <x v="0"/>
    <n v="9"/>
    <n v="120"/>
    <n v="1080"/>
    <n v="108"/>
    <s v="Large Order"/>
    <s v="Weekend"/>
  </r>
  <r>
    <s v="ORD-3910"/>
    <d v="2024-04-10T00:00:00"/>
    <n v="2024"/>
    <s v="Apr"/>
    <s v="Wed"/>
    <s v="CUST-155"/>
    <s v="PROD-019"/>
    <s v="Consumer"/>
    <s v="West"/>
    <x v="3"/>
    <x v="2"/>
    <n v="2"/>
    <n v="120"/>
    <n v="240"/>
    <n v="24"/>
    <s v="Standard Order"/>
    <s v="Weekday"/>
  </r>
  <r>
    <s v="ORD-3911"/>
    <d v="2024-06-30T00:00:00"/>
    <n v="2024"/>
    <s v="Jun"/>
    <s v="Sun"/>
    <s v="CUST-131"/>
    <s v="PROD-022"/>
    <s v="Home Office"/>
    <s v="East"/>
    <x v="2"/>
    <x v="1"/>
    <n v="13"/>
    <n v="120"/>
    <n v="1560"/>
    <n v="156"/>
    <s v="Large Order"/>
    <s v="Weekend"/>
  </r>
  <r>
    <s v="ORD-3912"/>
    <d v="2024-02-20T00:00:00"/>
    <n v="2024"/>
    <s v="Feb"/>
    <s v="Tue"/>
    <s v="CUST-133"/>
    <s v="PROD-010"/>
    <s v="Home Office"/>
    <s v="South"/>
    <x v="3"/>
    <x v="2"/>
    <n v="19"/>
    <n v="120"/>
    <n v="2280"/>
    <n v="228"/>
    <s v="Large Order"/>
    <s v="Weekday"/>
  </r>
  <r>
    <s v="ORD-3913"/>
    <d v="2024-06-14T00:00:00"/>
    <n v="2024"/>
    <s v="Jun"/>
    <s v="Fri"/>
    <s v="CUST-174"/>
    <s v="PROD-005"/>
    <s v="Home Office"/>
    <s v="East"/>
    <x v="4"/>
    <x v="3"/>
    <n v="5"/>
    <n v="120"/>
    <n v="600"/>
    <n v="60"/>
    <s v="Large Order"/>
    <s v="Weekday"/>
  </r>
  <r>
    <s v="ORD-3914"/>
    <d v="2024-04-12T00:00:00"/>
    <n v="2024"/>
    <s v="Apr"/>
    <s v="Fri"/>
    <s v="CUST-138"/>
    <s v="PROD-010"/>
    <s v="Consumer"/>
    <s v="South"/>
    <x v="3"/>
    <x v="4"/>
    <n v="15"/>
    <n v="120"/>
    <n v="1800"/>
    <n v="180"/>
    <s v="Large Order"/>
    <s v="Weekday"/>
  </r>
  <r>
    <s v="ORD-3915"/>
    <d v="2024-07-11T00:00:00"/>
    <n v="2024"/>
    <s v="Jul"/>
    <s v="Thu"/>
    <s v="CUST-200"/>
    <s v="PROD-014"/>
    <s v="Consumer"/>
    <s v="West"/>
    <x v="4"/>
    <x v="4"/>
    <n v="15"/>
    <n v="120"/>
    <n v="1800"/>
    <n v="180"/>
    <s v="Large Order"/>
    <s v="Weekday"/>
  </r>
  <r>
    <s v="ORD-3916"/>
    <d v="2024-09-14T00:00:00"/>
    <n v="2024"/>
    <s v="Sep"/>
    <s v="Sat"/>
    <s v="CUST-187"/>
    <s v="PROD-023"/>
    <s v="Corporate"/>
    <s v="North"/>
    <x v="2"/>
    <x v="3"/>
    <n v="14"/>
    <n v="120"/>
    <n v="1680"/>
    <n v="168"/>
    <s v="Large Order"/>
    <s v="Weekend"/>
  </r>
  <r>
    <s v="ORD-3917"/>
    <d v="2024-07-29T00:00:00"/>
    <n v="2024"/>
    <s v="Jul"/>
    <s v="Mon"/>
    <s v="CUST-159"/>
    <s v="PROD-001"/>
    <s v="Home Office"/>
    <s v="Central"/>
    <x v="0"/>
    <x v="1"/>
    <n v="3"/>
    <n v="120"/>
    <n v="360"/>
    <n v="36"/>
    <s v="Standard Order"/>
    <s v="Weekday"/>
  </r>
  <r>
    <s v="ORD-3918"/>
    <d v="2024-11-10T00:00:00"/>
    <n v="2024"/>
    <s v="Nov"/>
    <s v="Sun"/>
    <s v="CUST-138"/>
    <s v="PROD-008"/>
    <s v="Home Office"/>
    <s v="South"/>
    <x v="5"/>
    <x v="3"/>
    <n v="5"/>
    <n v="120"/>
    <n v="600"/>
    <n v="60"/>
    <s v="Large Order"/>
    <s v="Weekend"/>
  </r>
  <r>
    <s v="ORD-3919"/>
    <d v="2024-10-16T00:00:00"/>
    <n v="2024"/>
    <s v="Oct"/>
    <s v="Wed"/>
    <s v="CUST-137"/>
    <s v="PROD-002"/>
    <s v="Corporate"/>
    <s v="North"/>
    <x v="4"/>
    <x v="1"/>
    <n v="1"/>
    <n v="120"/>
    <n v="120"/>
    <n v="12"/>
    <s v="Standard Order"/>
    <s v="Weekday"/>
  </r>
  <r>
    <s v="ORD-3920"/>
    <d v="2024-09-22T00:00:00"/>
    <n v="2024"/>
    <s v="Sep"/>
    <s v="Sun"/>
    <s v="CUST-158"/>
    <s v="PROD-002"/>
    <s v="Consumer"/>
    <s v="East"/>
    <x v="0"/>
    <x v="3"/>
    <n v="4"/>
    <n v="120"/>
    <n v="480"/>
    <n v="48"/>
    <s v="Standard Order"/>
    <s v="Weekend"/>
  </r>
  <r>
    <s v="ORD-3921"/>
    <d v="2024-02-19T00:00:00"/>
    <n v="2024"/>
    <s v="Feb"/>
    <s v="Mon"/>
    <s v="CUST-137"/>
    <s v="PROD-019"/>
    <s v="Corporate"/>
    <s v="North"/>
    <x v="3"/>
    <x v="0"/>
    <n v="4"/>
    <n v="120"/>
    <n v="480"/>
    <n v="48"/>
    <s v="Standard Order"/>
    <s v="Weekday"/>
  </r>
  <r>
    <s v="ORD-3922"/>
    <d v="2024-12-11T00:00:00"/>
    <n v="2024"/>
    <s v="Dec"/>
    <s v="Wed"/>
    <s v="CUST-165"/>
    <s v="PROD-024"/>
    <s v="Home Office"/>
    <s v="South"/>
    <x v="0"/>
    <x v="2"/>
    <n v="17"/>
    <n v="120"/>
    <n v="2040"/>
    <n v="204"/>
    <s v="Large Order"/>
    <s v="Weekday"/>
  </r>
  <r>
    <s v="ORD-3923"/>
    <d v="2024-09-10T00:00:00"/>
    <n v="2024"/>
    <s v="Sep"/>
    <s v="Tue"/>
    <s v="CUST-117"/>
    <s v="PROD-008"/>
    <s v="Home Office"/>
    <s v="South"/>
    <x v="4"/>
    <x v="3"/>
    <n v="10"/>
    <n v="120"/>
    <n v="1200"/>
    <n v="120"/>
    <s v="Large Order"/>
    <s v="Weekday"/>
  </r>
  <r>
    <s v="ORD-3924"/>
    <d v="2024-01-04T00:00:00"/>
    <n v="2024"/>
    <s v="Jan"/>
    <s v="Thu"/>
    <s v="CUST-162"/>
    <s v="PROD-020"/>
    <s v="Home Office"/>
    <s v="South"/>
    <x v="4"/>
    <x v="0"/>
    <n v="3"/>
    <n v="120"/>
    <n v="360"/>
    <n v="36"/>
    <s v="Standard Order"/>
    <s v="Weekday"/>
  </r>
  <r>
    <s v="ORD-3925"/>
    <d v="2024-11-05T00:00:00"/>
    <n v="2024"/>
    <s v="Nov"/>
    <s v="Tue"/>
    <s v="CUST-115"/>
    <s v="PROD-017"/>
    <s v="Consumer"/>
    <s v="North"/>
    <x v="4"/>
    <x v="2"/>
    <n v="4"/>
    <n v="120"/>
    <n v="480"/>
    <n v="48"/>
    <s v="Standard Order"/>
    <s v="Weekday"/>
  </r>
  <r>
    <s v="ORD-3926"/>
    <d v="2024-09-15T00:00:00"/>
    <n v="2024"/>
    <s v="Sep"/>
    <s v="Sun"/>
    <s v="CUST-156"/>
    <s v="PROD-013"/>
    <s v="Consumer"/>
    <s v="Central"/>
    <x v="0"/>
    <x v="3"/>
    <n v="13"/>
    <n v="120"/>
    <n v="1560"/>
    <n v="156"/>
    <s v="Large Order"/>
    <s v="Weekend"/>
  </r>
  <r>
    <s v="ORD-3927"/>
    <d v="2024-04-04T00:00:00"/>
    <n v="2024"/>
    <s v="Apr"/>
    <s v="Thu"/>
    <s v="CUST-130"/>
    <s v="PROD-018"/>
    <s v="Corporate"/>
    <s v="South"/>
    <x v="5"/>
    <x v="1"/>
    <n v="20"/>
    <n v="120"/>
    <n v="2400"/>
    <n v="240"/>
    <s v="Large Order"/>
    <s v="Weekday"/>
  </r>
  <r>
    <s v="ORD-3928"/>
    <d v="2024-03-15T00:00:00"/>
    <n v="2024"/>
    <s v="Mar"/>
    <s v="Fri"/>
    <s v="CUST-181"/>
    <s v="PROD-001"/>
    <s v="Consumer"/>
    <s v="West"/>
    <x v="4"/>
    <x v="2"/>
    <n v="6"/>
    <n v="120"/>
    <n v="720"/>
    <n v="72"/>
    <s v="Large Order"/>
    <s v="Weekday"/>
  </r>
  <r>
    <s v="ORD-3929"/>
    <d v="2024-12-24T00:00:00"/>
    <n v="2024"/>
    <s v="Dec"/>
    <s v="Tue"/>
    <s v="CUST-169"/>
    <s v="PROD-007"/>
    <s v="Corporate"/>
    <s v="East"/>
    <x v="2"/>
    <x v="3"/>
    <n v="10"/>
    <n v="120"/>
    <n v="1200"/>
    <n v="120"/>
    <s v="Large Order"/>
    <s v="Weekday"/>
  </r>
  <r>
    <s v="ORD-3930"/>
    <d v="2024-10-28T00:00:00"/>
    <n v="2024"/>
    <s v="Oct"/>
    <s v="Mon"/>
    <s v="CUST-163"/>
    <s v="PROD-012"/>
    <s v="Home Office"/>
    <s v="South"/>
    <x v="3"/>
    <x v="1"/>
    <n v="13"/>
    <n v="120"/>
    <n v="1560"/>
    <n v="156"/>
    <s v="Large Order"/>
    <s v="Weekday"/>
  </r>
  <r>
    <s v="ORD-3931"/>
    <d v="2024-02-24T00:00:00"/>
    <n v="2024"/>
    <s v="Feb"/>
    <s v="Sat"/>
    <s v="CUST-159"/>
    <s v="PROD-014"/>
    <s v="Corporate"/>
    <s v="East"/>
    <x v="4"/>
    <x v="0"/>
    <n v="10"/>
    <n v="120"/>
    <n v="1200"/>
    <n v="120"/>
    <s v="Large Order"/>
    <s v="Weekend"/>
  </r>
  <r>
    <s v="ORD-3932"/>
    <d v="2024-10-15T00:00:00"/>
    <n v="2024"/>
    <s v="Oct"/>
    <s v="Tue"/>
    <s v="CUST-149"/>
    <s v="PROD-001"/>
    <s v="Home Office"/>
    <s v="West"/>
    <x v="3"/>
    <x v="0"/>
    <n v="20"/>
    <n v="120"/>
    <n v="2400"/>
    <n v="240"/>
    <s v="Large Order"/>
    <s v="Weekday"/>
  </r>
  <r>
    <s v="ORD-3933"/>
    <d v="2024-06-30T00:00:00"/>
    <n v="2024"/>
    <s v="Jun"/>
    <s v="Sun"/>
    <s v="CUST-117"/>
    <s v="PROD-015"/>
    <s v="Home Office"/>
    <s v="East"/>
    <x v="2"/>
    <x v="3"/>
    <n v="1"/>
    <n v="120"/>
    <n v="120"/>
    <n v="12"/>
    <s v="Standard Order"/>
    <s v="Weekend"/>
  </r>
  <r>
    <s v="ORD-3934"/>
    <d v="2024-07-02T00:00:00"/>
    <n v="2024"/>
    <s v="Jul"/>
    <s v="Tue"/>
    <s v="CUST-164"/>
    <s v="PROD-017"/>
    <s v="Consumer"/>
    <s v="Central"/>
    <x v="3"/>
    <x v="4"/>
    <n v="13"/>
    <n v="120"/>
    <n v="1560"/>
    <n v="156"/>
    <s v="Large Order"/>
    <s v="Weekday"/>
  </r>
  <r>
    <s v="ORD-3935"/>
    <d v="2024-03-30T00:00:00"/>
    <n v="2024"/>
    <s v="Mar"/>
    <s v="Sat"/>
    <s v="CUST-183"/>
    <s v="PROD-005"/>
    <s v="Corporate"/>
    <s v="East"/>
    <x v="5"/>
    <x v="3"/>
    <n v="15"/>
    <n v="120"/>
    <n v="1800"/>
    <n v="180"/>
    <s v="Large Order"/>
    <s v="Weekend"/>
  </r>
  <r>
    <s v="ORD-3936"/>
    <d v="2024-03-12T00:00:00"/>
    <n v="2024"/>
    <s v="Mar"/>
    <s v="Tue"/>
    <s v="CUST-135"/>
    <s v="PROD-025"/>
    <s v="Home Office"/>
    <s v="Central"/>
    <x v="3"/>
    <x v="1"/>
    <n v="3"/>
    <n v="120"/>
    <n v="360"/>
    <n v="36"/>
    <s v="Standard Order"/>
    <s v="Weekday"/>
  </r>
  <r>
    <s v="ORD-3937"/>
    <d v="2024-11-26T00:00:00"/>
    <n v="2024"/>
    <s v="Nov"/>
    <s v="Tue"/>
    <s v="CUST-161"/>
    <s v="PROD-013"/>
    <s v="Corporate"/>
    <s v="East"/>
    <x v="5"/>
    <x v="2"/>
    <n v="19"/>
    <n v="120"/>
    <n v="2280"/>
    <n v="228"/>
    <s v="Large Order"/>
    <s v="Weekday"/>
  </r>
  <r>
    <s v="ORD-3938"/>
    <d v="2024-09-16T00:00:00"/>
    <n v="2024"/>
    <s v="Sep"/>
    <s v="Mon"/>
    <s v="CUST-199"/>
    <s v="PROD-022"/>
    <s v="Home Office"/>
    <s v="West"/>
    <x v="3"/>
    <x v="2"/>
    <n v="11"/>
    <n v="120"/>
    <n v="1320"/>
    <n v="132"/>
    <s v="Large Order"/>
    <s v="Weekday"/>
  </r>
  <r>
    <s v="ORD-3939"/>
    <d v="2024-10-24T00:00:00"/>
    <n v="2024"/>
    <s v="Oct"/>
    <s v="Thu"/>
    <s v="CUST-144"/>
    <s v="PROD-019"/>
    <s v="Home Office"/>
    <s v="North"/>
    <x v="2"/>
    <x v="0"/>
    <n v="2"/>
    <n v="120"/>
    <n v="240"/>
    <n v="24"/>
    <s v="Standard Order"/>
    <s v="Weekday"/>
  </r>
  <r>
    <s v="ORD-3940"/>
    <d v="2024-03-22T00:00:00"/>
    <n v="2024"/>
    <s v="Mar"/>
    <s v="Fri"/>
    <s v="CUST-129"/>
    <s v="PROD-004"/>
    <s v="Home Office"/>
    <s v="North"/>
    <x v="0"/>
    <x v="1"/>
    <n v="16"/>
    <n v="120"/>
    <n v="1920"/>
    <n v="192"/>
    <s v="Large Order"/>
    <s v="Weekday"/>
  </r>
  <r>
    <s v="ORD-3941"/>
    <d v="2024-04-28T00:00:00"/>
    <n v="2024"/>
    <s v="Apr"/>
    <s v="Sun"/>
    <s v="CUST-198"/>
    <s v="PROD-024"/>
    <s v="Consumer"/>
    <s v="East"/>
    <x v="0"/>
    <x v="2"/>
    <n v="13"/>
    <n v="120"/>
    <n v="1560"/>
    <n v="156"/>
    <s v="Large Order"/>
    <s v="Weekend"/>
  </r>
  <r>
    <s v="ORD-3942"/>
    <d v="2024-08-03T00:00:00"/>
    <n v="2024"/>
    <s v="Aug"/>
    <s v="Sat"/>
    <s v="CUST-108"/>
    <s v="PROD-002"/>
    <s v="Home Office"/>
    <s v="Central"/>
    <x v="3"/>
    <x v="0"/>
    <n v="2"/>
    <n v="120"/>
    <n v="240"/>
    <n v="24"/>
    <s v="Standard Order"/>
    <s v="Weekend"/>
  </r>
  <r>
    <s v="ORD-3943"/>
    <d v="2024-02-07T00:00:00"/>
    <n v="2024"/>
    <s v="Feb"/>
    <s v="Wed"/>
    <s v="CUST-156"/>
    <s v="PROD-025"/>
    <s v="Corporate"/>
    <s v="Central"/>
    <x v="5"/>
    <x v="0"/>
    <n v="6"/>
    <n v="120"/>
    <n v="720"/>
    <n v="72"/>
    <s v="Large Order"/>
    <s v="Weekday"/>
  </r>
  <r>
    <s v="ORD-3944"/>
    <d v="2024-12-23T00:00:00"/>
    <n v="2024"/>
    <s v="Dec"/>
    <s v="Mon"/>
    <s v="CUST-157"/>
    <s v="PROD-013"/>
    <s v="Consumer"/>
    <s v="South"/>
    <x v="5"/>
    <x v="4"/>
    <n v="7"/>
    <n v="120"/>
    <n v="840"/>
    <n v="84"/>
    <s v="Large Order"/>
    <s v="Weekday"/>
  </r>
  <r>
    <s v="ORD-3945"/>
    <d v="2024-09-08T00:00:00"/>
    <n v="2024"/>
    <s v="Sep"/>
    <s v="Sun"/>
    <s v="CUST-156"/>
    <s v="PROD-022"/>
    <s v="Corporate"/>
    <s v="North"/>
    <x v="4"/>
    <x v="2"/>
    <n v="6"/>
    <n v="120"/>
    <n v="720"/>
    <n v="72"/>
    <s v="Large Order"/>
    <s v="Weekend"/>
  </r>
  <r>
    <s v="ORD-3946"/>
    <d v="2024-09-27T00:00:00"/>
    <n v="2024"/>
    <s v="Sep"/>
    <s v="Fri"/>
    <s v="CUST-124"/>
    <s v="PROD-003"/>
    <s v="Home Office"/>
    <s v="Central"/>
    <x v="0"/>
    <x v="0"/>
    <n v="7"/>
    <n v="120"/>
    <n v="840"/>
    <n v="84"/>
    <s v="Large Order"/>
    <s v="Weekday"/>
  </r>
  <r>
    <s v="ORD-3947"/>
    <d v="2024-03-12T00:00:00"/>
    <n v="2024"/>
    <s v="Mar"/>
    <s v="Tue"/>
    <s v="CUST-100"/>
    <s v="PROD-012"/>
    <s v="Corporate"/>
    <s v="Central"/>
    <x v="5"/>
    <x v="4"/>
    <n v="3"/>
    <n v="120"/>
    <n v="360"/>
    <n v="36"/>
    <s v="Standard Order"/>
    <s v="Weekday"/>
  </r>
  <r>
    <s v="ORD-3948"/>
    <d v="2024-12-15T00:00:00"/>
    <n v="2024"/>
    <s v="Dec"/>
    <s v="Sun"/>
    <s v="CUST-193"/>
    <s v="PROD-024"/>
    <s v="Home Office"/>
    <s v="East"/>
    <x v="5"/>
    <x v="1"/>
    <n v="7"/>
    <n v="120"/>
    <n v="840"/>
    <n v="84"/>
    <s v="Large Order"/>
    <s v="Weekend"/>
  </r>
  <r>
    <s v="ORD-3949"/>
    <d v="2024-10-19T00:00:00"/>
    <n v="2024"/>
    <s v="Oct"/>
    <s v="Sat"/>
    <s v="CUST-160"/>
    <s v="PROD-017"/>
    <s v="Corporate"/>
    <s v="West"/>
    <x v="3"/>
    <x v="4"/>
    <n v="18"/>
    <n v="120"/>
    <n v="2160"/>
    <n v="216"/>
    <s v="Large Order"/>
    <s v="Weekend"/>
  </r>
  <r>
    <s v="ORD-3950"/>
    <d v="2024-02-04T00:00:00"/>
    <n v="2024"/>
    <s v="Feb"/>
    <s v="Sun"/>
    <s v="CUST-156"/>
    <s v="PROD-014"/>
    <s v="Home Office"/>
    <s v="West"/>
    <x v="2"/>
    <x v="0"/>
    <n v="19"/>
    <n v="120"/>
    <n v="2280"/>
    <n v="228"/>
    <s v="Large Order"/>
    <s v="Weekend"/>
  </r>
  <r>
    <s v="ORD-3951"/>
    <d v="2024-09-21T00:00:00"/>
    <n v="2024"/>
    <s v="Sep"/>
    <s v="Sat"/>
    <s v="CUST-138"/>
    <s v="PROD-004"/>
    <s v="Consumer"/>
    <s v="East"/>
    <x v="2"/>
    <x v="2"/>
    <n v="2"/>
    <n v="120"/>
    <n v="240"/>
    <n v="24"/>
    <s v="Standard Order"/>
    <s v="Weekend"/>
  </r>
  <r>
    <s v="ORD-3952"/>
    <d v="2024-06-18T00:00:00"/>
    <n v="2024"/>
    <s v="Jun"/>
    <s v="Tue"/>
    <s v="CUST-102"/>
    <s v="PROD-008"/>
    <s v="Corporate"/>
    <s v="Central"/>
    <x v="3"/>
    <x v="1"/>
    <n v="12"/>
    <n v="120"/>
    <n v="1440"/>
    <n v="144"/>
    <s v="Large Order"/>
    <s v="Weekday"/>
  </r>
  <r>
    <s v="ORD-3953"/>
    <d v="2024-03-21T00:00:00"/>
    <n v="2024"/>
    <s v="Mar"/>
    <s v="Thu"/>
    <s v="CUST-136"/>
    <s v="PROD-003"/>
    <s v="Home Office"/>
    <s v="North"/>
    <x v="5"/>
    <x v="2"/>
    <n v="17"/>
    <n v="120"/>
    <n v="2040"/>
    <n v="204"/>
    <s v="Large Order"/>
    <s v="Weekday"/>
  </r>
  <r>
    <s v="ORD-3954"/>
    <d v="2024-09-13T00:00:00"/>
    <n v="2024"/>
    <s v="Sep"/>
    <s v="Fri"/>
    <s v="CUST-139"/>
    <s v="PROD-013"/>
    <s v="Home Office"/>
    <s v="East"/>
    <x v="0"/>
    <x v="4"/>
    <n v="4"/>
    <n v="120"/>
    <n v="480"/>
    <n v="48"/>
    <s v="Standard Order"/>
    <s v="Weekday"/>
  </r>
  <r>
    <s v="ORD-3955"/>
    <d v="2024-05-14T00:00:00"/>
    <n v="2024"/>
    <s v="May"/>
    <s v="Tue"/>
    <s v="CUST-183"/>
    <s v="PROD-001"/>
    <s v="Consumer"/>
    <s v="East"/>
    <x v="3"/>
    <x v="1"/>
    <n v="9"/>
    <n v="120"/>
    <n v="1080"/>
    <n v="108"/>
    <s v="Large Order"/>
    <s v="Weekday"/>
  </r>
  <r>
    <s v="ORD-3956"/>
    <d v="2024-01-31T00:00:00"/>
    <n v="2024"/>
    <s v="Jan"/>
    <s v="Wed"/>
    <s v="CUST-117"/>
    <s v="PROD-007"/>
    <s v="Home Office"/>
    <s v="East"/>
    <x v="3"/>
    <x v="0"/>
    <n v="8"/>
    <n v="120"/>
    <n v="960"/>
    <n v="96"/>
    <s v="Large Order"/>
    <s v="Weekday"/>
  </r>
  <r>
    <s v="ORD-3957"/>
    <d v="2024-10-15T00:00:00"/>
    <n v="2024"/>
    <s v="Oct"/>
    <s v="Tue"/>
    <s v="CUST-178"/>
    <s v="PROD-023"/>
    <s v="Consumer"/>
    <s v="South"/>
    <x v="3"/>
    <x v="0"/>
    <n v="14"/>
    <n v="120"/>
    <n v="1680"/>
    <n v="168"/>
    <s v="Large Order"/>
    <s v="Weekday"/>
  </r>
  <r>
    <s v="ORD-3958"/>
    <d v="2024-11-09T00:00:00"/>
    <n v="2024"/>
    <s v="Nov"/>
    <s v="Sat"/>
    <s v="CUST-110"/>
    <s v="PROD-018"/>
    <s v="Corporate"/>
    <s v="East"/>
    <x v="4"/>
    <x v="3"/>
    <n v="2"/>
    <n v="120"/>
    <n v="240"/>
    <n v="24"/>
    <s v="Standard Order"/>
    <s v="Weekend"/>
  </r>
  <r>
    <s v="ORD-3959"/>
    <d v="2024-09-11T00:00:00"/>
    <n v="2024"/>
    <s v="Sep"/>
    <s v="Wed"/>
    <s v="CUST-164"/>
    <s v="PROD-008"/>
    <s v="Home Office"/>
    <s v="South"/>
    <x v="3"/>
    <x v="1"/>
    <n v="16"/>
    <n v="120"/>
    <n v="1920"/>
    <n v="192"/>
    <s v="Large Order"/>
    <s v="Weekday"/>
  </r>
  <r>
    <s v="ORD-3960"/>
    <d v="2024-04-26T00:00:00"/>
    <n v="2024"/>
    <s v="Apr"/>
    <s v="Fri"/>
    <s v="CUST-102"/>
    <s v="PROD-002"/>
    <s v="Consumer"/>
    <s v="Central"/>
    <x v="4"/>
    <x v="4"/>
    <n v="20"/>
    <n v="120"/>
    <n v="2400"/>
    <n v="240"/>
    <s v="Large Order"/>
    <s v="Weekday"/>
  </r>
  <r>
    <s v="ORD-3961"/>
    <d v="2024-12-15T00:00:00"/>
    <n v="2024"/>
    <s v="Dec"/>
    <s v="Sun"/>
    <s v="CUST-187"/>
    <s v="PROD-024"/>
    <s v="Consumer"/>
    <s v="West"/>
    <x v="5"/>
    <x v="1"/>
    <n v="2"/>
    <n v="120"/>
    <n v="240"/>
    <n v="24"/>
    <s v="Standard Order"/>
    <s v="Weekend"/>
  </r>
  <r>
    <s v="ORD-3962"/>
    <d v="2024-07-12T00:00:00"/>
    <n v="2024"/>
    <s v="Jul"/>
    <s v="Fri"/>
    <s v="CUST-189"/>
    <s v="PROD-005"/>
    <s v="Corporate"/>
    <s v="South"/>
    <x v="2"/>
    <x v="4"/>
    <n v="5"/>
    <n v="120"/>
    <n v="600"/>
    <n v="60"/>
    <s v="Large Order"/>
    <s v="Weekday"/>
  </r>
  <r>
    <s v="ORD-3963"/>
    <d v="2024-03-01T00:00:00"/>
    <n v="2024"/>
    <s v="Mar"/>
    <s v="Fri"/>
    <s v="CUST-178"/>
    <s v="PROD-012"/>
    <s v="Corporate"/>
    <s v="North"/>
    <x v="4"/>
    <x v="3"/>
    <n v="14"/>
    <n v="120"/>
    <n v="1680"/>
    <n v="168"/>
    <s v="Large Order"/>
    <s v="Weekday"/>
  </r>
  <r>
    <s v="ORD-3964"/>
    <d v="2024-05-01T00:00:00"/>
    <n v="2024"/>
    <s v="May"/>
    <s v="Wed"/>
    <s v="CUST-129"/>
    <s v="PROD-003"/>
    <s v="Home Office"/>
    <s v="South"/>
    <x v="0"/>
    <x v="2"/>
    <n v="14"/>
    <n v="120"/>
    <n v="1680"/>
    <n v="168"/>
    <s v="Large Order"/>
    <s v="Weekday"/>
  </r>
  <r>
    <s v="ORD-3965"/>
    <d v="2024-10-01T00:00:00"/>
    <n v="2024"/>
    <s v="Oct"/>
    <s v="Tue"/>
    <s v="CUST-172"/>
    <s v="PROD-002"/>
    <s v="Consumer"/>
    <s v="East"/>
    <x v="4"/>
    <x v="0"/>
    <n v="3"/>
    <n v="120"/>
    <n v="360"/>
    <n v="36"/>
    <s v="Standard Order"/>
    <s v="Weekday"/>
  </r>
  <r>
    <s v="ORD-3966"/>
    <d v="2024-08-12T00:00:00"/>
    <n v="2024"/>
    <s v="Aug"/>
    <s v="Mon"/>
    <s v="CUST-123"/>
    <s v="PROD-010"/>
    <s v="Consumer"/>
    <s v="West"/>
    <x v="3"/>
    <x v="3"/>
    <n v="20"/>
    <n v="120"/>
    <n v="2400"/>
    <n v="240"/>
    <s v="Large Order"/>
    <s v="Weekday"/>
  </r>
  <r>
    <s v="ORD-3967"/>
    <d v="2024-05-05T00:00:00"/>
    <n v="2024"/>
    <s v="May"/>
    <s v="Sun"/>
    <s v="CUST-137"/>
    <s v="PROD-005"/>
    <s v="Home Office"/>
    <s v="West"/>
    <x v="2"/>
    <x v="1"/>
    <n v="4"/>
    <n v="120"/>
    <n v="480"/>
    <n v="48"/>
    <s v="Standard Order"/>
    <s v="Weekend"/>
  </r>
  <r>
    <s v="ORD-3968"/>
    <d v="2024-02-09T00:00:00"/>
    <n v="2024"/>
    <s v="Feb"/>
    <s v="Fri"/>
    <s v="CUST-132"/>
    <s v="PROD-018"/>
    <s v="Consumer"/>
    <s v="East"/>
    <x v="2"/>
    <x v="3"/>
    <n v="8"/>
    <n v="120"/>
    <n v="960"/>
    <n v="96"/>
    <s v="Large Order"/>
    <s v="Weekday"/>
  </r>
  <r>
    <s v="ORD-3969"/>
    <d v="2024-06-03T00:00:00"/>
    <n v="2024"/>
    <s v="Jun"/>
    <s v="Mon"/>
    <s v="CUST-146"/>
    <s v="PROD-025"/>
    <s v="Home Office"/>
    <s v="North"/>
    <x v="3"/>
    <x v="2"/>
    <n v="17"/>
    <n v="120"/>
    <n v="2040"/>
    <n v="204"/>
    <s v="Large Order"/>
    <s v="Weekday"/>
  </r>
  <r>
    <s v="ORD-3970"/>
    <d v="2024-06-12T00:00:00"/>
    <n v="2024"/>
    <s v="Jun"/>
    <s v="Wed"/>
    <s v="CUST-189"/>
    <s v="PROD-018"/>
    <s v="Home Office"/>
    <s v="North"/>
    <x v="0"/>
    <x v="0"/>
    <n v="12"/>
    <n v="120"/>
    <n v="1440"/>
    <n v="144"/>
    <s v="Large Order"/>
    <s v="Weekday"/>
  </r>
  <r>
    <s v="ORD-3971"/>
    <d v="2024-12-27T00:00:00"/>
    <n v="2024"/>
    <s v="Dec"/>
    <s v="Fri"/>
    <s v="CUST-179"/>
    <s v="PROD-016"/>
    <s v="Corporate"/>
    <s v="Central"/>
    <x v="0"/>
    <x v="2"/>
    <n v="5"/>
    <n v="120"/>
    <n v="600"/>
    <n v="60"/>
    <s v="Large Order"/>
    <s v="Weekday"/>
  </r>
  <r>
    <s v="ORD-3972"/>
    <d v="2024-09-23T00:00:00"/>
    <n v="2024"/>
    <s v="Sep"/>
    <s v="Mon"/>
    <s v="CUST-129"/>
    <s v="PROD-010"/>
    <s v="Home Office"/>
    <s v="West"/>
    <x v="5"/>
    <x v="2"/>
    <n v="4"/>
    <n v="120"/>
    <n v="480"/>
    <n v="48"/>
    <s v="Standard Order"/>
    <s v="Weekday"/>
  </r>
  <r>
    <s v="ORD-3973"/>
    <d v="2024-03-13T00:00:00"/>
    <n v="2024"/>
    <s v="Mar"/>
    <s v="Wed"/>
    <s v="CUST-104"/>
    <s v="PROD-008"/>
    <s v="Home Office"/>
    <s v="West"/>
    <x v="2"/>
    <x v="1"/>
    <n v="4"/>
    <n v="120"/>
    <n v="480"/>
    <n v="48"/>
    <s v="Standard Order"/>
    <s v="Weekday"/>
  </r>
  <r>
    <s v="ORD-3974"/>
    <d v="2024-01-18T00:00:00"/>
    <n v="2024"/>
    <s v="Jan"/>
    <s v="Thu"/>
    <s v="CUST-134"/>
    <s v="PROD-009"/>
    <s v="Home Office"/>
    <s v="West"/>
    <x v="2"/>
    <x v="3"/>
    <n v="3"/>
    <n v="120"/>
    <n v="360"/>
    <n v="36"/>
    <s v="Standard Order"/>
    <s v="Weekday"/>
  </r>
  <r>
    <s v="ORD-3975"/>
    <d v="2024-11-08T00:00:00"/>
    <n v="2024"/>
    <s v="Nov"/>
    <s v="Fri"/>
    <s v="CUST-149"/>
    <s v="PROD-016"/>
    <s v="Consumer"/>
    <s v="West"/>
    <x v="2"/>
    <x v="1"/>
    <n v="15"/>
    <n v="120"/>
    <n v="1800"/>
    <n v="180"/>
    <s v="Large Order"/>
    <s v="Weekday"/>
  </r>
  <r>
    <s v="ORD-3976"/>
    <d v="2024-04-15T00:00:00"/>
    <n v="2024"/>
    <s v="Apr"/>
    <s v="Mon"/>
    <s v="CUST-148"/>
    <s v="PROD-006"/>
    <s v="Home Office"/>
    <s v="North"/>
    <x v="2"/>
    <x v="4"/>
    <n v="2"/>
    <n v="120"/>
    <n v="240"/>
    <n v="24"/>
    <s v="Standard Order"/>
    <s v="Weekday"/>
  </r>
  <r>
    <s v="ORD-3977"/>
    <d v="2024-01-17T00:00:00"/>
    <n v="2024"/>
    <s v="Jan"/>
    <s v="Wed"/>
    <s v="CUST-169"/>
    <s v="PROD-025"/>
    <s v="Corporate"/>
    <s v="North"/>
    <x v="0"/>
    <x v="4"/>
    <n v="11"/>
    <n v="120"/>
    <n v="1320"/>
    <n v="132"/>
    <s v="Large Order"/>
    <s v="Weekday"/>
  </r>
  <r>
    <s v="ORD-3978"/>
    <d v="2024-05-14T00:00:00"/>
    <n v="2024"/>
    <s v="May"/>
    <s v="Tue"/>
    <s v="CUST-196"/>
    <s v="PROD-019"/>
    <s v="Consumer"/>
    <s v="North"/>
    <x v="0"/>
    <x v="3"/>
    <n v="20"/>
    <n v="120"/>
    <n v="2400"/>
    <n v="240"/>
    <s v="Large Order"/>
    <s v="Weekday"/>
  </r>
  <r>
    <s v="ORD-3979"/>
    <d v="2024-08-06T00:00:00"/>
    <n v="2024"/>
    <s v="Aug"/>
    <s v="Tue"/>
    <s v="CUST-200"/>
    <s v="PROD-024"/>
    <s v="Home Office"/>
    <s v="West"/>
    <x v="0"/>
    <x v="0"/>
    <n v="18"/>
    <n v="120"/>
    <n v="2160"/>
    <n v="216"/>
    <s v="Large Order"/>
    <s v="Weekday"/>
  </r>
  <r>
    <s v="ORD-3980"/>
    <d v="2024-12-13T00:00:00"/>
    <n v="2024"/>
    <s v="Dec"/>
    <s v="Fri"/>
    <s v="CUST-136"/>
    <s v="PROD-018"/>
    <s v="Corporate"/>
    <s v="South"/>
    <x v="2"/>
    <x v="4"/>
    <n v="19"/>
    <n v="120"/>
    <n v="2280"/>
    <n v="228"/>
    <s v="Large Order"/>
    <s v="Weekday"/>
  </r>
  <r>
    <s v="ORD-3981"/>
    <d v="2024-05-13T00:00:00"/>
    <n v="2024"/>
    <s v="May"/>
    <s v="Mon"/>
    <s v="CUST-120"/>
    <s v="PROD-013"/>
    <s v="Corporate"/>
    <s v="Central"/>
    <x v="4"/>
    <x v="2"/>
    <n v="1"/>
    <n v="120"/>
    <n v="120"/>
    <n v="12"/>
    <s v="Standard Order"/>
    <s v="Weekday"/>
  </r>
  <r>
    <s v="ORD-3982"/>
    <d v="2024-12-15T00:00:00"/>
    <n v="2024"/>
    <s v="Dec"/>
    <s v="Sun"/>
    <s v="CUST-135"/>
    <s v="PROD-003"/>
    <s v="Consumer"/>
    <s v="East"/>
    <x v="5"/>
    <x v="3"/>
    <n v="11"/>
    <n v="120"/>
    <n v="1320"/>
    <n v="132"/>
    <s v="Large Order"/>
    <s v="Weekend"/>
  </r>
  <r>
    <s v="ORD-3983"/>
    <d v="2024-01-20T00:00:00"/>
    <n v="2024"/>
    <s v="Jan"/>
    <s v="Sat"/>
    <s v="CUST-178"/>
    <s v="PROD-009"/>
    <s v="Corporate"/>
    <s v="East"/>
    <x v="3"/>
    <x v="3"/>
    <n v="20"/>
    <n v="120"/>
    <n v="2400"/>
    <n v="240"/>
    <s v="Large Order"/>
    <s v="Weekend"/>
  </r>
  <r>
    <s v="ORD-3984"/>
    <d v="2024-06-06T00:00:00"/>
    <n v="2024"/>
    <s v="Jun"/>
    <s v="Thu"/>
    <s v="CUST-172"/>
    <s v="PROD-022"/>
    <s v="Corporate"/>
    <s v="East"/>
    <x v="3"/>
    <x v="2"/>
    <n v="15"/>
    <n v="120"/>
    <n v="1800"/>
    <n v="180"/>
    <s v="Large Order"/>
    <s v="Weekday"/>
  </r>
  <r>
    <s v="ORD-3985"/>
    <d v="2024-08-13T00:00:00"/>
    <n v="2024"/>
    <s v="Aug"/>
    <s v="Tue"/>
    <s v="CUST-101"/>
    <s v="PROD-015"/>
    <s v="Consumer"/>
    <s v="Central"/>
    <x v="3"/>
    <x v="1"/>
    <n v="18"/>
    <n v="120"/>
    <n v="2160"/>
    <n v="216"/>
    <s v="Large Order"/>
    <s v="Weekday"/>
  </r>
  <r>
    <s v="ORD-3986"/>
    <d v="2024-01-30T00:00:00"/>
    <n v="2024"/>
    <s v="Jan"/>
    <s v="Tue"/>
    <s v="CUST-174"/>
    <s v="PROD-003"/>
    <s v="Corporate"/>
    <s v="East"/>
    <x v="5"/>
    <x v="4"/>
    <n v="11"/>
    <n v="120"/>
    <n v="1320"/>
    <n v="132"/>
    <s v="Large Order"/>
    <s v="Weekday"/>
  </r>
  <r>
    <s v="ORD-3987"/>
    <d v="2024-08-13T00:00:00"/>
    <n v="2024"/>
    <s v="Aug"/>
    <s v="Tue"/>
    <s v="CUST-123"/>
    <s v="PROD-009"/>
    <s v="Corporate"/>
    <s v="North"/>
    <x v="3"/>
    <x v="1"/>
    <n v="5"/>
    <n v="120"/>
    <n v="600"/>
    <n v="60"/>
    <s v="Large Order"/>
    <s v="Weekday"/>
  </r>
  <r>
    <s v="ORD-3988"/>
    <d v="2024-03-30T00:00:00"/>
    <n v="2024"/>
    <s v="Mar"/>
    <s v="Sat"/>
    <s v="CUST-118"/>
    <s v="PROD-020"/>
    <s v="Home Office"/>
    <s v="Central"/>
    <x v="0"/>
    <x v="2"/>
    <n v="4"/>
    <n v="120"/>
    <n v="480"/>
    <n v="48"/>
    <s v="Standard Order"/>
    <s v="Weekend"/>
  </r>
  <r>
    <s v="ORD-3989"/>
    <d v="2024-04-04T00:00:00"/>
    <n v="2024"/>
    <s v="Apr"/>
    <s v="Thu"/>
    <s v="CUST-187"/>
    <s v="PROD-017"/>
    <s v="Corporate"/>
    <s v="East"/>
    <x v="5"/>
    <x v="3"/>
    <n v="2"/>
    <n v="120"/>
    <n v="240"/>
    <n v="24"/>
    <s v="Standard Order"/>
    <s v="Weekday"/>
  </r>
  <r>
    <s v="ORD-3990"/>
    <d v="2024-04-26T00:00:00"/>
    <n v="2024"/>
    <s v="Apr"/>
    <s v="Fri"/>
    <s v="CUST-107"/>
    <s v="PROD-023"/>
    <s v="Corporate"/>
    <s v="North"/>
    <x v="3"/>
    <x v="0"/>
    <n v="12"/>
    <n v="120"/>
    <n v="1440"/>
    <n v="144"/>
    <s v="Large Order"/>
    <s v="Weekday"/>
  </r>
  <r>
    <s v="ORD-3991"/>
    <d v="2024-01-23T00:00:00"/>
    <n v="2024"/>
    <s v="Jan"/>
    <s v="Tue"/>
    <s v="CUST-176"/>
    <s v="PROD-008"/>
    <s v="Corporate"/>
    <s v="East"/>
    <x v="0"/>
    <x v="0"/>
    <n v="17"/>
    <n v="120"/>
    <n v="2040"/>
    <n v="204"/>
    <s v="Large Order"/>
    <s v="Weekday"/>
  </r>
  <r>
    <s v="ORD-3992"/>
    <d v="2024-09-18T00:00:00"/>
    <n v="2024"/>
    <s v="Sep"/>
    <s v="Wed"/>
    <s v="CUST-109"/>
    <s v="PROD-008"/>
    <s v="Consumer"/>
    <s v="West"/>
    <x v="3"/>
    <x v="4"/>
    <n v="12"/>
    <n v="120"/>
    <n v="1440"/>
    <n v="144"/>
    <s v="Large Order"/>
    <s v="Weekday"/>
  </r>
  <r>
    <s v="ORD-3993"/>
    <d v="2024-12-14T00:00:00"/>
    <n v="2024"/>
    <s v="Dec"/>
    <s v="Sat"/>
    <s v="CUST-153"/>
    <s v="PROD-003"/>
    <s v="Home Office"/>
    <s v="West"/>
    <x v="2"/>
    <x v="3"/>
    <n v="5"/>
    <n v="120"/>
    <n v="600"/>
    <n v="60"/>
    <s v="Large Order"/>
    <s v="Weekend"/>
  </r>
  <r>
    <s v="ORD-3994"/>
    <d v="2024-11-06T00:00:00"/>
    <n v="2024"/>
    <s v="Nov"/>
    <s v="Wed"/>
    <s v="CUST-200"/>
    <s v="PROD-012"/>
    <s v="Corporate"/>
    <s v="East"/>
    <x v="2"/>
    <x v="3"/>
    <n v="16"/>
    <n v="120"/>
    <n v="1920"/>
    <n v="192"/>
    <s v="Large Order"/>
    <s v="Weekday"/>
  </r>
  <r>
    <s v="ORD-3995"/>
    <d v="2024-05-30T00:00:00"/>
    <n v="2024"/>
    <s v="May"/>
    <s v="Thu"/>
    <s v="CUST-179"/>
    <s v="PROD-001"/>
    <s v="Consumer"/>
    <s v="South"/>
    <x v="3"/>
    <x v="0"/>
    <n v="10"/>
    <n v="120"/>
    <n v="1200"/>
    <n v="120"/>
    <s v="Large Order"/>
    <s v="Weekday"/>
  </r>
  <r>
    <s v="ORD-3996"/>
    <d v="2024-10-29T00:00:00"/>
    <n v="2024"/>
    <s v="Oct"/>
    <s v="Tue"/>
    <s v="CUST-103"/>
    <s v="PROD-004"/>
    <s v="Home Office"/>
    <s v="East"/>
    <x v="4"/>
    <x v="3"/>
    <n v="17"/>
    <n v="120"/>
    <n v="2040"/>
    <n v="204"/>
    <s v="Large Order"/>
    <s v="Weekday"/>
  </r>
  <r>
    <s v="ORD-3997"/>
    <d v="2024-09-17T00:00:00"/>
    <n v="2024"/>
    <s v="Sep"/>
    <s v="Tue"/>
    <s v="CUST-200"/>
    <s v="PROD-019"/>
    <s v="Home Office"/>
    <s v="West"/>
    <x v="3"/>
    <x v="2"/>
    <n v="13"/>
    <n v="120"/>
    <n v="1560"/>
    <n v="156"/>
    <s v="Large Order"/>
    <s v="Weekday"/>
  </r>
  <r>
    <s v="ORD-3998"/>
    <d v="2024-01-17T00:00:00"/>
    <n v="2024"/>
    <s v="Jan"/>
    <s v="Wed"/>
    <s v="CUST-184"/>
    <s v="PROD-024"/>
    <s v="Consumer"/>
    <s v="Central"/>
    <x v="2"/>
    <x v="0"/>
    <n v="3"/>
    <n v="120"/>
    <n v="360"/>
    <n v="36"/>
    <s v="Standard Order"/>
    <s v="Weekday"/>
  </r>
  <r>
    <s v="ORD-3999"/>
    <d v="2024-04-24T00:00:00"/>
    <n v="2024"/>
    <s v="Apr"/>
    <s v="Wed"/>
    <s v="CUST-172"/>
    <s v="PROD-017"/>
    <s v="Home Office"/>
    <s v="Central"/>
    <x v="5"/>
    <x v="1"/>
    <n v="18"/>
    <n v="120"/>
    <n v="2160"/>
    <n v="216"/>
    <s v="Large Order"/>
    <s v="Weekday"/>
  </r>
  <r>
    <s v="ORD-4000"/>
    <d v="2024-09-27T00:00:00"/>
    <n v="2024"/>
    <s v="Sep"/>
    <s v="Fri"/>
    <s v="CUST-106"/>
    <s v="PROD-020"/>
    <s v="Corporate"/>
    <s v="East"/>
    <x v="5"/>
    <x v="4"/>
    <n v="15"/>
    <n v="120"/>
    <n v="1800"/>
    <n v="180"/>
    <s v="Large Order"/>
    <s v="Weekday"/>
  </r>
  <r>
    <s v="ORD-4001"/>
    <d v="2024-04-09T00:00:00"/>
    <n v="2024"/>
    <s v="Apr"/>
    <s v="Tue"/>
    <s v="CUST-173"/>
    <s v="PROD-010"/>
    <s v="Consumer"/>
    <s v="South"/>
    <x v="3"/>
    <x v="2"/>
    <n v="12"/>
    <n v="120"/>
    <n v="1440"/>
    <n v="144"/>
    <s v="Large Order"/>
    <s v="Weekday"/>
  </r>
  <r>
    <s v="ORD-4002"/>
    <d v="2024-06-10T00:00:00"/>
    <n v="2024"/>
    <s v="Jun"/>
    <s v="Mon"/>
    <s v="CUST-195"/>
    <s v="PROD-004"/>
    <s v="Home Office"/>
    <s v="East"/>
    <x v="4"/>
    <x v="1"/>
    <n v="14"/>
    <n v="120"/>
    <n v="1680"/>
    <n v="168"/>
    <s v="Large Order"/>
    <s v="Weekday"/>
  </r>
  <r>
    <s v="ORD-4003"/>
    <d v="2024-06-29T00:00:00"/>
    <n v="2024"/>
    <s v="Jun"/>
    <s v="Sat"/>
    <s v="CUST-171"/>
    <s v="PROD-017"/>
    <s v="Consumer"/>
    <s v="Central"/>
    <x v="3"/>
    <x v="1"/>
    <n v="20"/>
    <n v="120"/>
    <n v="2400"/>
    <n v="240"/>
    <s v="Large Order"/>
    <s v="Weekend"/>
  </r>
  <r>
    <s v="ORD-4004"/>
    <d v="2024-08-02T00:00:00"/>
    <n v="2024"/>
    <s v="Aug"/>
    <s v="Fri"/>
    <s v="CUST-129"/>
    <s v="PROD-019"/>
    <s v="Consumer"/>
    <s v="East"/>
    <x v="5"/>
    <x v="2"/>
    <n v="14"/>
    <n v="120"/>
    <n v="1680"/>
    <n v="168"/>
    <s v="Large Order"/>
    <s v="Weekday"/>
  </r>
  <r>
    <s v="ORD-4005"/>
    <d v="2024-12-06T00:00:00"/>
    <n v="2024"/>
    <s v="Dec"/>
    <s v="Fri"/>
    <s v="CUST-117"/>
    <s v="PROD-020"/>
    <s v="Corporate"/>
    <s v="Central"/>
    <x v="3"/>
    <x v="3"/>
    <n v="11"/>
    <n v="120"/>
    <n v="1320"/>
    <n v="132"/>
    <s v="Large Order"/>
    <s v="Weekday"/>
  </r>
  <r>
    <s v="ORD-4006"/>
    <d v="2024-07-28T00:00:00"/>
    <n v="2024"/>
    <s v="Jul"/>
    <s v="Sun"/>
    <s v="CUST-153"/>
    <s v="PROD-017"/>
    <s v="Consumer"/>
    <s v="West"/>
    <x v="5"/>
    <x v="1"/>
    <n v="7"/>
    <n v="120"/>
    <n v="840"/>
    <n v="84"/>
    <s v="Large Order"/>
    <s v="Weekend"/>
  </r>
  <r>
    <s v="ORD-4007"/>
    <d v="2024-08-20T00:00:00"/>
    <n v="2024"/>
    <s v="Aug"/>
    <s v="Tue"/>
    <s v="CUST-101"/>
    <s v="PROD-006"/>
    <s v="Consumer"/>
    <s v="North"/>
    <x v="2"/>
    <x v="3"/>
    <n v="18"/>
    <n v="120"/>
    <n v="2160"/>
    <n v="216"/>
    <s v="Large Order"/>
    <s v="Weekday"/>
  </r>
  <r>
    <s v="ORD-4008"/>
    <d v="2024-08-28T00:00:00"/>
    <n v="2024"/>
    <s v="Aug"/>
    <s v="Wed"/>
    <s v="CUST-195"/>
    <s v="PROD-004"/>
    <s v="Consumer"/>
    <s v="West"/>
    <x v="0"/>
    <x v="1"/>
    <n v="1"/>
    <n v="120"/>
    <n v="120"/>
    <n v="12"/>
    <s v="Standard Order"/>
    <s v="Weekday"/>
  </r>
  <r>
    <s v="ORD-4009"/>
    <d v="2024-02-07T00:00:00"/>
    <n v="2024"/>
    <s v="Feb"/>
    <s v="Wed"/>
    <s v="CUST-116"/>
    <s v="PROD-017"/>
    <s v="Home Office"/>
    <s v="East"/>
    <x v="2"/>
    <x v="1"/>
    <n v="12"/>
    <n v="120"/>
    <n v="1440"/>
    <n v="144"/>
    <s v="Large Order"/>
    <s v="Weekday"/>
  </r>
  <r>
    <s v="ORD-4010"/>
    <d v="2024-12-22T00:00:00"/>
    <n v="2024"/>
    <s v="Dec"/>
    <s v="Sun"/>
    <s v="CUST-171"/>
    <s v="PROD-008"/>
    <s v="Home Office"/>
    <s v="North"/>
    <x v="3"/>
    <x v="0"/>
    <n v="11"/>
    <n v="120"/>
    <n v="1320"/>
    <n v="132"/>
    <s v="Large Order"/>
    <s v="Weekend"/>
  </r>
  <r>
    <s v="ORD-4011"/>
    <d v="2024-06-21T00:00:00"/>
    <n v="2024"/>
    <s v="Jun"/>
    <s v="Fri"/>
    <s v="CUST-175"/>
    <s v="PROD-020"/>
    <s v="Home Office"/>
    <s v="West"/>
    <x v="0"/>
    <x v="0"/>
    <n v="3"/>
    <n v="120"/>
    <n v="360"/>
    <n v="36"/>
    <s v="Standard Order"/>
    <s v="Weekday"/>
  </r>
  <r>
    <s v="ORD-4012"/>
    <d v="2024-06-30T00:00:00"/>
    <n v="2024"/>
    <s v="Jun"/>
    <s v="Sun"/>
    <s v="CUST-157"/>
    <s v="PROD-014"/>
    <s v="Home Office"/>
    <s v="Central"/>
    <x v="2"/>
    <x v="1"/>
    <n v="10"/>
    <n v="120"/>
    <n v="1200"/>
    <n v="120"/>
    <s v="Large Order"/>
    <s v="Weekend"/>
  </r>
  <r>
    <s v="ORD-4013"/>
    <d v="2024-12-24T00:00:00"/>
    <n v="2024"/>
    <s v="Dec"/>
    <s v="Tue"/>
    <s v="CUST-117"/>
    <s v="PROD-024"/>
    <s v="Consumer"/>
    <s v="West"/>
    <x v="5"/>
    <x v="4"/>
    <n v="3"/>
    <n v="120"/>
    <n v="360"/>
    <n v="36"/>
    <s v="Standard Order"/>
    <s v="Weekday"/>
  </r>
  <r>
    <s v="ORD-4014"/>
    <d v="2024-01-04T00:00:00"/>
    <n v="2024"/>
    <s v="Jan"/>
    <s v="Thu"/>
    <s v="CUST-175"/>
    <s v="PROD-019"/>
    <s v="Corporate"/>
    <s v="North"/>
    <x v="2"/>
    <x v="1"/>
    <n v="11"/>
    <n v="120"/>
    <n v="1320"/>
    <n v="132"/>
    <s v="Large Order"/>
    <s v="Weekday"/>
  </r>
  <r>
    <s v="ORD-4015"/>
    <d v="2024-09-17T00:00:00"/>
    <n v="2024"/>
    <s v="Sep"/>
    <s v="Tue"/>
    <s v="CUST-192"/>
    <s v="PROD-019"/>
    <s v="Corporate"/>
    <s v="Central"/>
    <x v="0"/>
    <x v="2"/>
    <n v="10"/>
    <n v="120"/>
    <n v="1200"/>
    <n v="120"/>
    <s v="Large Order"/>
    <s v="Weekday"/>
  </r>
  <r>
    <s v="ORD-4016"/>
    <d v="2024-01-25T00:00:00"/>
    <n v="2024"/>
    <s v="Jan"/>
    <s v="Thu"/>
    <s v="CUST-172"/>
    <s v="PROD-017"/>
    <s v="Home Office"/>
    <s v="South"/>
    <x v="5"/>
    <x v="4"/>
    <n v="14"/>
    <n v="120"/>
    <n v="1680"/>
    <n v="168"/>
    <s v="Large Order"/>
    <s v="Weekday"/>
  </r>
  <r>
    <s v="ORD-4017"/>
    <d v="2024-07-15T00:00:00"/>
    <n v="2024"/>
    <s v="Jul"/>
    <s v="Mon"/>
    <s v="CUST-140"/>
    <s v="PROD-025"/>
    <s v="Consumer"/>
    <s v="North"/>
    <x v="4"/>
    <x v="0"/>
    <n v="7"/>
    <n v="120"/>
    <n v="840"/>
    <n v="84"/>
    <s v="Large Order"/>
    <s v="Weekday"/>
  </r>
  <r>
    <s v="ORD-4018"/>
    <d v="2024-05-22T00:00:00"/>
    <n v="2024"/>
    <s v="May"/>
    <s v="Wed"/>
    <s v="CUST-173"/>
    <s v="PROD-020"/>
    <s v="Corporate"/>
    <s v="South"/>
    <x v="0"/>
    <x v="3"/>
    <n v="10"/>
    <n v="120"/>
    <n v="1200"/>
    <n v="120"/>
    <s v="Large Order"/>
    <s v="Weekday"/>
  </r>
  <r>
    <s v="ORD-4019"/>
    <d v="2024-05-27T00:00:00"/>
    <n v="2024"/>
    <s v="May"/>
    <s v="Mon"/>
    <s v="CUST-135"/>
    <s v="PROD-016"/>
    <s v="Corporate"/>
    <s v="South"/>
    <x v="4"/>
    <x v="2"/>
    <n v="10"/>
    <n v="120"/>
    <n v="1200"/>
    <n v="120"/>
    <s v="Large Order"/>
    <s v="Weekday"/>
  </r>
  <r>
    <s v="ORD-4020"/>
    <d v="2024-05-12T00:00:00"/>
    <n v="2024"/>
    <s v="May"/>
    <s v="Sun"/>
    <s v="CUST-177"/>
    <s v="PROD-025"/>
    <s v="Consumer"/>
    <s v="North"/>
    <x v="4"/>
    <x v="3"/>
    <n v="5"/>
    <n v="120"/>
    <n v="600"/>
    <n v="60"/>
    <s v="Large Order"/>
    <s v="Weekend"/>
  </r>
  <r>
    <s v="ORD-4021"/>
    <d v="2024-10-09T00:00:00"/>
    <n v="2024"/>
    <s v="Oct"/>
    <s v="Wed"/>
    <s v="CUST-165"/>
    <s v="PROD-025"/>
    <s v="Consumer"/>
    <s v="West"/>
    <x v="0"/>
    <x v="4"/>
    <n v="2"/>
    <n v="120"/>
    <n v="240"/>
    <n v="24"/>
    <s v="Standard Order"/>
    <s v="Weekday"/>
  </r>
  <r>
    <s v="ORD-4022"/>
    <d v="2024-10-03T00:00:00"/>
    <n v="2024"/>
    <s v="Oct"/>
    <s v="Thu"/>
    <s v="CUST-168"/>
    <s v="PROD-007"/>
    <s v="Consumer"/>
    <s v="Central"/>
    <x v="2"/>
    <x v="0"/>
    <n v="12"/>
    <n v="120"/>
    <n v="1440"/>
    <n v="144"/>
    <s v="Large Order"/>
    <s v="Weekday"/>
  </r>
  <r>
    <s v="ORD-4023"/>
    <d v="2024-10-19T00:00:00"/>
    <n v="2024"/>
    <s v="Oct"/>
    <s v="Sat"/>
    <s v="CUST-154"/>
    <s v="PROD-024"/>
    <s v="Corporate"/>
    <s v="West"/>
    <x v="5"/>
    <x v="2"/>
    <n v="15"/>
    <n v="120"/>
    <n v="1800"/>
    <n v="180"/>
    <s v="Large Order"/>
    <s v="Weekend"/>
  </r>
  <r>
    <s v="ORD-4024"/>
    <d v="2024-02-26T00:00:00"/>
    <n v="2024"/>
    <s v="Feb"/>
    <s v="Mon"/>
    <s v="CUST-191"/>
    <s v="PROD-023"/>
    <s v="Consumer"/>
    <s v="North"/>
    <x v="2"/>
    <x v="1"/>
    <n v="16"/>
    <n v="120"/>
    <n v="1920"/>
    <n v="192"/>
    <s v="Large Order"/>
    <s v="Weekday"/>
  </r>
  <r>
    <s v="ORD-4025"/>
    <d v="2024-03-11T00:00:00"/>
    <n v="2024"/>
    <s v="Mar"/>
    <s v="Mon"/>
    <s v="CUST-135"/>
    <s v="PROD-024"/>
    <s v="Home Office"/>
    <s v="South"/>
    <x v="0"/>
    <x v="3"/>
    <n v="3"/>
    <n v="120"/>
    <n v="360"/>
    <n v="36"/>
    <s v="Standard Order"/>
    <s v="Weekday"/>
  </r>
  <r>
    <s v="ORD-4026"/>
    <d v="2024-04-23T00:00:00"/>
    <n v="2024"/>
    <s v="Apr"/>
    <s v="Tue"/>
    <s v="CUST-193"/>
    <s v="PROD-003"/>
    <s v="Corporate"/>
    <s v="North"/>
    <x v="4"/>
    <x v="4"/>
    <n v="11"/>
    <n v="120"/>
    <n v="1320"/>
    <n v="132"/>
    <s v="Large Order"/>
    <s v="Weekday"/>
  </r>
  <r>
    <s v="ORD-4027"/>
    <d v="2024-11-18T00:00:00"/>
    <n v="2024"/>
    <s v="Nov"/>
    <s v="Mon"/>
    <s v="CUST-194"/>
    <s v="PROD-017"/>
    <s v="Home Office"/>
    <s v="Central"/>
    <x v="0"/>
    <x v="3"/>
    <n v="2"/>
    <n v="120"/>
    <n v="240"/>
    <n v="24"/>
    <s v="Standard Order"/>
    <s v="Weekday"/>
  </r>
  <r>
    <s v="ORD-4028"/>
    <d v="2024-12-27T00:00:00"/>
    <n v="2024"/>
    <s v="Dec"/>
    <s v="Fri"/>
    <s v="CUST-166"/>
    <s v="PROD-011"/>
    <s v="Consumer"/>
    <s v="South"/>
    <x v="5"/>
    <x v="0"/>
    <n v="1"/>
    <n v="120"/>
    <n v="120"/>
    <n v="12"/>
    <s v="Standard Order"/>
    <s v="Weekday"/>
  </r>
  <r>
    <s v="ORD-4029"/>
    <d v="2024-10-27T00:00:00"/>
    <n v="2024"/>
    <s v="Oct"/>
    <s v="Sun"/>
    <s v="CUST-148"/>
    <s v="PROD-008"/>
    <s v="Home Office"/>
    <s v="South"/>
    <x v="4"/>
    <x v="3"/>
    <n v="16"/>
    <n v="120"/>
    <n v="1920"/>
    <n v="192"/>
    <s v="Large Order"/>
    <s v="Weekend"/>
  </r>
  <r>
    <s v="ORD-4030"/>
    <d v="2024-04-05T00:00:00"/>
    <n v="2024"/>
    <s v="Apr"/>
    <s v="Fri"/>
    <s v="CUST-193"/>
    <s v="PROD-016"/>
    <s v="Corporate"/>
    <s v="West"/>
    <x v="4"/>
    <x v="2"/>
    <n v="3"/>
    <n v="120"/>
    <n v="360"/>
    <n v="36"/>
    <s v="Standard Order"/>
    <s v="Weekday"/>
  </r>
  <r>
    <s v="ORD-4031"/>
    <d v="2024-04-19T00:00:00"/>
    <n v="2024"/>
    <s v="Apr"/>
    <s v="Fri"/>
    <s v="CUST-100"/>
    <s v="PROD-014"/>
    <s v="Consumer"/>
    <s v="East"/>
    <x v="2"/>
    <x v="4"/>
    <n v="20"/>
    <n v="120"/>
    <n v="2400"/>
    <n v="240"/>
    <s v="Large Order"/>
    <s v="Weekday"/>
  </r>
  <r>
    <s v="ORD-4032"/>
    <d v="2024-04-01T00:00:00"/>
    <n v="2024"/>
    <s v="Apr"/>
    <s v="Mon"/>
    <s v="CUST-104"/>
    <s v="PROD-014"/>
    <s v="Home Office"/>
    <s v="Central"/>
    <x v="3"/>
    <x v="4"/>
    <n v="13"/>
    <n v="120"/>
    <n v="1560"/>
    <n v="156"/>
    <s v="Large Order"/>
    <s v="Weekday"/>
  </r>
  <r>
    <s v="ORD-4033"/>
    <d v="2024-04-30T00:00:00"/>
    <n v="2024"/>
    <s v="Apr"/>
    <s v="Tue"/>
    <s v="CUST-181"/>
    <s v="PROD-012"/>
    <s v="Corporate"/>
    <s v="West"/>
    <x v="5"/>
    <x v="2"/>
    <n v="10"/>
    <n v="120"/>
    <n v="1200"/>
    <n v="120"/>
    <s v="Large Order"/>
    <s v="Weekday"/>
  </r>
  <r>
    <s v="ORD-4034"/>
    <d v="2024-05-29T00:00:00"/>
    <n v="2024"/>
    <s v="May"/>
    <s v="Wed"/>
    <s v="CUST-185"/>
    <s v="PROD-016"/>
    <s v="Corporate"/>
    <s v="East"/>
    <x v="2"/>
    <x v="4"/>
    <n v="12"/>
    <n v="120"/>
    <n v="1440"/>
    <n v="144"/>
    <s v="Large Order"/>
    <s v="Weekday"/>
  </r>
  <r>
    <s v="ORD-4035"/>
    <d v="2024-05-31T00:00:00"/>
    <n v="2024"/>
    <s v="May"/>
    <s v="Fri"/>
    <s v="CUST-112"/>
    <s v="PROD-008"/>
    <s v="Consumer"/>
    <s v="West"/>
    <x v="3"/>
    <x v="1"/>
    <n v="15"/>
    <n v="120"/>
    <n v="1800"/>
    <n v="180"/>
    <s v="Large Order"/>
    <s v="Weekday"/>
  </r>
  <r>
    <s v="ORD-4036"/>
    <d v="2024-12-05T00:00:00"/>
    <n v="2024"/>
    <s v="Dec"/>
    <s v="Thu"/>
    <s v="CUST-154"/>
    <s v="PROD-004"/>
    <s v="Consumer"/>
    <s v="West"/>
    <x v="2"/>
    <x v="3"/>
    <n v="4"/>
    <n v="120"/>
    <n v="480"/>
    <n v="48"/>
    <s v="Standard Order"/>
    <s v="Weekday"/>
  </r>
  <r>
    <s v="ORD-4037"/>
    <d v="2024-07-22T00:00:00"/>
    <n v="2024"/>
    <s v="Jul"/>
    <s v="Mon"/>
    <s v="CUST-190"/>
    <s v="PROD-005"/>
    <s v="Corporate"/>
    <s v="South"/>
    <x v="2"/>
    <x v="4"/>
    <n v="14"/>
    <n v="120"/>
    <n v="1680"/>
    <n v="168"/>
    <s v="Large Order"/>
    <s v="Weekday"/>
  </r>
  <r>
    <s v="ORD-4038"/>
    <d v="2024-01-15T00:00:00"/>
    <n v="2024"/>
    <s v="Jan"/>
    <s v="Mon"/>
    <s v="CUST-137"/>
    <s v="PROD-009"/>
    <s v="Home Office"/>
    <s v="West"/>
    <x v="4"/>
    <x v="1"/>
    <n v="2"/>
    <n v="120"/>
    <n v="240"/>
    <n v="24"/>
    <s v="Standard Order"/>
    <s v="Weekday"/>
  </r>
  <r>
    <s v="ORD-4039"/>
    <d v="2024-06-14T00:00:00"/>
    <n v="2024"/>
    <s v="Jun"/>
    <s v="Fri"/>
    <s v="CUST-133"/>
    <s v="PROD-022"/>
    <s v="Corporate"/>
    <s v="South"/>
    <x v="2"/>
    <x v="1"/>
    <n v="15"/>
    <n v="120"/>
    <n v="1800"/>
    <n v="180"/>
    <s v="Large Order"/>
    <s v="Weekday"/>
  </r>
  <r>
    <s v="ORD-4040"/>
    <d v="2024-05-13T00:00:00"/>
    <n v="2024"/>
    <s v="May"/>
    <s v="Mon"/>
    <s v="CUST-106"/>
    <s v="PROD-009"/>
    <s v="Corporate"/>
    <s v="Central"/>
    <x v="4"/>
    <x v="3"/>
    <n v="2"/>
    <n v="120"/>
    <n v="240"/>
    <n v="24"/>
    <s v="Standard Order"/>
    <s v="Weekday"/>
  </r>
  <r>
    <s v="ORD-4041"/>
    <d v="2024-07-28T00:00:00"/>
    <n v="2024"/>
    <s v="Jul"/>
    <s v="Sun"/>
    <s v="CUST-128"/>
    <s v="PROD-019"/>
    <s v="Consumer"/>
    <s v="Central"/>
    <x v="5"/>
    <x v="2"/>
    <n v="4"/>
    <n v="120"/>
    <n v="480"/>
    <n v="48"/>
    <s v="Standard Order"/>
    <s v="Weekend"/>
  </r>
  <r>
    <s v="ORD-4042"/>
    <d v="2024-11-10T00:00:00"/>
    <n v="2024"/>
    <s v="Nov"/>
    <s v="Sun"/>
    <s v="CUST-178"/>
    <s v="PROD-011"/>
    <s v="Consumer"/>
    <s v="East"/>
    <x v="5"/>
    <x v="4"/>
    <n v="1"/>
    <n v="120"/>
    <n v="120"/>
    <n v="12"/>
    <s v="Standard Order"/>
    <s v="Weekend"/>
  </r>
  <r>
    <s v="ORD-4043"/>
    <d v="2024-01-11T00:00:00"/>
    <n v="2024"/>
    <s v="Jan"/>
    <s v="Thu"/>
    <s v="CUST-148"/>
    <s v="PROD-003"/>
    <s v="Home Office"/>
    <s v="Central"/>
    <x v="3"/>
    <x v="3"/>
    <n v="18"/>
    <n v="120"/>
    <n v="2160"/>
    <n v="216"/>
    <s v="Large Order"/>
    <s v="Weekday"/>
  </r>
  <r>
    <s v="ORD-4044"/>
    <d v="2024-01-26T00:00:00"/>
    <n v="2024"/>
    <s v="Jan"/>
    <s v="Fri"/>
    <s v="CUST-166"/>
    <s v="PROD-007"/>
    <s v="Corporate"/>
    <s v="South"/>
    <x v="5"/>
    <x v="2"/>
    <n v="6"/>
    <n v="120"/>
    <n v="720"/>
    <n v="72"/>
    <s v="Large Order"/>
    <s v="Weekday"/>
  </r>
  <r>
    <s v="ORD-4045"/>
    <d v="2024-07-21T00:00:00"/>
    <n v="2024"/>
    <s v="Jul"/>
    <s v="Sun"/>
    <s v="CUST-191"/>
    <s v="PROD-008"/>
    <s v="Corporate"/>
    <s v="North"/>
    <x v="4"/>
    <x v="3"/>
    <n v="11"/>
    <n v="120"/>
    <n v="1320"/>
    <n v="132"/>
    <s v="Large Order"/>
    <s v="Weekend"/>
  </r>
  <r>
    <s v="ORD-4046"/>
    <d v="2024-10-10T00:00:00"/>
    <n v="2024"/>
    <s v="Oct"/>
    <s v="Thu"/>
    <s v="CUST-193"/>
    <s v="PROD-008"/>
    <s v="Consumer"/>
    <s v="East"/>
    <x v="0"/>
    <x v="0"/>
    <n v="17"/>
    <n v="120"/>
    <n v="2040"/>
    <n v="204"/>
    <s v="Large Order"/>
    <s v="Weekday"/>
  </r>
  <r>
    <s v="ORD-4047"/>
    <d v="2024-07-22T00:00:00"/>
    <n v="2024"/>
    <s v="Jul"/>
    <s v="Mon"/>
    <s v="CUST-162"/>
    <s v="PROD-002"/>
    <s v="Consumer"/>
    <s v="North"/>
    <x v="3"/>
    <x v="3"/>
    <n v="1"/>
    <n v="120"/>
    <n v="120"/>
    <n v="12"/>
    <s v="Standard Order"/>
    <s v="Weekday"/>
  </r>
  <r>
    <s v="ORD-4048"/>
    <d v="2024-12-18T00:00:00"/>
    <n v="2024"/>
    <s v="Dec"/>
    <s v="Wed"/>
    <s v="CUST-131"/>
    <s v="PROD-002"/>
    <s v="Corporate"/>
    <s v="Central"/>
    <x v="0"/>
    <x v="1"/>
    <n v="13"/>
    <n v="120"/>
    <n v="1560"/>
    <n v="156"/>
    <s v="Large Order"/>
    <s v="Weekday"/>
  </r>
  <r>
    <s v="ORD-4049"/>
    <d v="2024-05-18T00:00:00"/>
    <n v="2024"/>
    <s v="May"/>
    <s v="Sat"/>
    <s v="CUST-110"/>
    <s v="PROD-003"/>
    <s v="Consumer"/>
    <s v="Central"/>
    <x v="5"/>
    <x v="1"/>
    <n v="1"/>
    <n v="120"/>
    <n v="120"/>
    <n v="12"/>
    <s v="Standard Order"/>
    <s v="Weekend"/>
  </r>
  <r>
    <s v="ORD-4050"/>
    <d v="2024-10-04T00:00:00"/>
    <n v="2024"/>
    <s v="Oct"/>
    <s v="Fri"/>
    <s v="CUST-177"/>
    <s v="PROD-005"/>
    <s v="Consumer"/>
    <s v="Central"/>
    <x v="5"/>
    <x v="1"/>
    <n v="7"/>
    <n v="120"/>
    <n v="840"/>
    <n v="84"/>
    <s v="Large Order"/>
    <s v="Weekday"/>
  </r>
  <r>
    <s v="ORD-4051"/>
    <d v="2024-06-08T00:00:00"/>
    <n v="2024"/>
    <s v="Jun"/>
    <s v="Sat"/>
    <s v="CUST-200"/>
    <s v="PROD-011"/>
    <s v="Corporate"/>
    <s v="Central"/>
    <x v="5"/>
    <x v="0"/>
    <n v="10"/>
    <n v="120"/>
    <n v="1200"/>
    <n v="120"/>
    <s v="Large Order"/>
    <s v="Weekend"/>
  </r>
  <r>
    <s v="ORD-4052"/>
    <d v="2024-04-13T00:00:00"/>
    <n v="2024"/>
    <s v="Apr"/>
    <s v="Sat"/>
    <s v="CUST-112"/>
    <s v="PROD-009"/>
    <s v="Home Office"/>
    <s v="East"/>
    <x v="5"/>
    <x v="1"/>
    <n v="13"/>
    <n v="120"/>
    <n v="1560"/>
    <n v="156"/>
    <s v="Large Order"/>
    <s v="Weekend"/>
  </r>
  <r>
    <s v="ORD-4053"/>
    <d v="2024-02-17T00:00:00"/>
    <n v="2024"/>
    <s v="Feb"/>
    <s v="Sat"/>
    <s v="CUST-128"/>
    <s v="PROD-014"/>
    <s v="Home Office"/>
    <s v="North"/>
    <x v="3"/>
    <x v="1"/>
    <n v="10"/>
    <n v="120"/>
    <n v="1200"/>
    <n v="120"/>
    <s v="Large Order"/>
    <s v="Weekend"/>
  </r>
  <r>
    <s v="ORD-4054"/>
    <d v="2024-09-30T00:00:00"/>
    <n v="2024"/>
    <s v="Sep"/>
    <s v="Mon"/>
    <s v="CUST-164"/>
    <s v="PROD-008"/>
    <s v="Corporate"/>
    <s v="South"/>
    <x v="0"/>
    <x v="1"/>
    <n v="13"/>
    <n v="120"/>
    <n v="1560"/>
    <n v="156"/>
    <s v="Large Order"/>
    <s v="Weekday"/>
  </r>
  <r>
    <s v="ORD-4055"/>
    <d v="2024-10-06T00:00:00"/>
    <n v="2024"/>
    <s v="Oct"/>
    <s v="Sun"/>
    <s v="CUST-191"/>
    <s v="PROD-004"/>
    <s v="Corporate"/>
    <s v="Central"/>
    <x v="4"/>
    <x v="4"/>
    <n v="1"/>
    <n v="120"/>
    <n v="120"/>
    <n v="12"/>
    <s v="Standard Order"/>
    <s v="Weekend"/>
  </r>
  <r>
    <s v="ORD-4056"/>
    <d v="2024-04-28T00:00:00"/>
    <n v="2024"/>
    <s v="Apr"/>
    <s v="Sun"/>
    <s v="CUST-157"/>
    <s v="PROD-012"/>
    <s v="Corporate"/>
    <s v="South"/>
    <x v="5"/>
    <x v="0"/>
    <n v="10"/>
    <n v="120"/>
    <n v="1200"/>
    <n v="120"/>
    <s v="Large Order"/>
    <s v="Weekend"/>
  </r>
  <r>
    <s v="ORD-4057"/>
    <d v="2024-11-18T00:00:00"/>
    <n v="2024"/>
    <s v="Nov"/>
    <s v="Mon"/>
    <s v="CUST-110"/>
    <s v="PROD-004"/>
    <s v="Home Office"/>
    <s v="West"/>
    <x v="4"/>
    <x v="2"/>
    <n v="16"/>
    <n v="120"/>
    <n v="1920"/>
    <n v="192"/>
    <s v="Large Order"/>
    <s v="Weekday"/>
  </r>
  <r>
    <s v="ORD-4058"/>
    <d v="2024-02-12T00:00:00"/>
    <n v="2024"/>
    <s v="Feb"/>
    <s v="Mon"/>
    <s v="CUST-118"/>
    <s v="PROD-013"/>
    <s v="Home Office"/>
    <s v="West"/>
    <x v="2"/>
    <x v="4"/>
    <n v="19"/>
    <n v="120"/>
    <n v="2280"/>
    <n v="228"/>
    <s v="Large Order"/>
    <s v="Weekday"/>
  </r>
  <r>
    <s v="ORD-4059"/>
    <d v="2024-01-31T00:00:00"/>
    <n v="2024"/>
    <s v="Jan"/>
    <s v="Wed"/>
    <s v="CUST-198"/>
    <s v="PROD-016"/>
    <s v="Corporate"/>
    <s v="Central"/>
    <x v="2"/>
    <x v="3"/>
    <n v="11"/>
    <n v="120"/>
    <n v="1320"/>
    <n v="132"/>
    <s v="Large Order"/>
    <s v="Weekday"/>
  </r>
  <r>
    <s v="ORD-4060"/>
    <d v="2024-01-19T00:00:00"/>
    <n v="2024"/>
    <s v="Jan"/>
    <s v="Fri"/>
    <s v="CUST-141"/>
    <s v="PROD-023"/>
    <s v="Home Office"/>
    <s v="Central"/>
    <x v="5"/>
    <x v="1"/>
    <n v="1"/>
    <n v="120"/>
    <n v="120"/>
    <n v="12"/>
    <s v="Standard Order"/>
    <s v="Weekday"/>
  </r>
  <r>
    <s v="ORD-4061"/>
    <d v="2024-04-17T00:00:00"/>
    <n v="2024"/>
    <s v="Apr"/>
    <s v="Wed"/>
    <s v="CUST-196"/>
    <s v="PROD-018"/>
    <s v="Corporate"/>
    <s v="West"/>
    <x v="5"/>
    <x v="1"/>
    <n v="11"/>
    <n v="120"/>
    <n v="1320"/>
    <n v="132"/>
    <s v="Large Order"/>
    <s v="Weekday"/>
  </r>
  <r>
    <s v="ORD-4062"/>
    <d v="2024-04-30T00:00:00"/>
    <n v="2024"/>
    <s v="Apr"/>
    <s v="Tue"/>
    <s v="CUST-141"/>
    <s v="PROD-015"/>
    <s v="Home Office"/>
    <s v="North"/>
    <x v="2"/>
    <x v="4"/>
    <n v="18"/>
    <n v="120"/>
    <n v="2160"/>
    <n v="216"/>
    <s v="Large Order"/>
    <s v="Weekday"/>
  </r>
  <r>
    <s v="ORD-4063"/>
    <d v="2024-02-11T00:00:00"/>
    <n v="2024"/>
    <s v="Feb"/>
    <s v="Sun"/>
    <s v="CUST-113"/>
    <s v="PROD-014"/>
    <s v="Home Office"/>
    <s v="South"/>
    <x v="0"/>
    <x v="1"/>
    <n v="5"/>
    <n v="120"/>
    <n v="600"/>
    <n v="60"/>
    <s v="Large Order"/>
    <s v="Weekend"/>
  </r>
  <r>
    <s v="ORD-4064"/>
    <d v="2024-03-23T00:00:00"/>
    <n v="2024"/>
    <s v="Mar"/>
    <s v="Sat"/>
    <s v="CUST-166"/>
    <s v="PROD-024"/>
    <s v="Consumer"/>
    <s v="South"/>
    <x v="4"/>
    <x v="2"/>
    <n v="15"/>
    <n v="120"/>
    <n v="1800"/>
    <n v="180"/>
    <s v="Large Order"/>
    <s v="Weekend"/>
  </r>
  <r>
    <s v="ORD-4065"/>
    <d v="2024-02-28T00:00:00"/>
    <n v="2024"/>
    <s v="Feb"/>
    <s v="Wed"/>
    <s v="CUST-104"/>
    <s v="PROD-014"/>
    <s v="Corporate"/>
    <s v="East"/>
    <x v="4"/>
    <x v="4"/>
    <n v="16"/>
    <n v="120"/>
    <n v="1920"/>
    <n v="192"/>
    <s v="Large Order"/>
    <s v="Weekday"/>
  </r>
  <r>
    <s v="ORD-4066"/>
    <d v="2024-10-07T00:00:00"/>
    <n v="2024"/>
    <s v="Oct"/>
    <s v="Mon"/>
    <s v="CUST-153"/>
    <s v="PROD-013"/>
    <s v="Consumer"/>
    <s v="Central"/>
    <x v="3"/>
    <x v="0"/>
    <n v="14"/>
    <n v="120"/>
    <n v="1680"/>
    <n v="168"/>
    <s v="Large Order"/>
    <s v="Weekday"/>
  </r>
  <r>
    <s v="ORD-4067"/>
    <d v="2024-12-12T00:00:00"/>
    <n v="2024"/>
    <s v="Dec"/>
    <s v="Thu"/>
    <s v="CUST-134"/>
    <s v="PROD-017"/>
    <s v="Corporate"/>
    <s v="South"/>
    <x v="5"/>
    <x v="3"/>
    <n v="19"/>
    <n v="120"/>
    <n v="2280"/>
    <n v="228"/>
    <s v="Large Order"/>
    <s v="Weekday"/>
  </r>
  <r>
    <s v="ORD-4068"/>
    <d v="2024-03-13T00:00:00"/>
    <n v="2024"/>
    <s v="Mar"/>
    <s v="Wed"/>
    <s v="CUST-137"/>
    <s v="PROD-017"/>
    <s v="Home Office"/>
    <s v="East"/>
    <x v="4"/>
    <x v="4"/>
    <n v="12"/>
    <n v="120"/>
    <n v="1440"/>
    <n v="144"/>
    <s v="Large Order"/>
    <s v="Weekday"/>
  </r>
  <r>
    <s v="ORD-4069"/>
    <d v="2024-05-08T00:00:00"/>
    <n v="2024"/>
    <s v="May"/>
    <s v="Wed"/>
    <s v="CUST-160"/>
    <s v="PROD-015"/>
    <s v="Consumer"/>
    <s v="South"/>
    <x v="3"/>
    <x v="2"/>
    <n v="6"/>
    <n v="120"/>
    <n v="720"/>
    <n v="72"/>
    <s v="Large Order"/>
    <s v="Weekday"/>
  </r>
  <r>
    <s v="ORD-4070"/>
    <d v="2024-08-30T00:00:00"/>
    <n v="2024"/>
    <s v="Aug"/>
    <s v="Fri"/>
    <s v="CUST-101"/>
    <s v="PROD-011"/>
    <s v="Corporate"/>
    <s v="South"/>
    <x v="4"/>
    <x v="2"/>
    <n v="16"/>
    <n v="120"/>
    <n v="1920"/>
    <n v="192"/>
    <s v="Large Order"/>
    <s v="Weekday"/>
  </r>
  <r>
    <s v="ORD-4071"/>
    <d v="2024-01-03T00:00:00"/>
    <n v="2024"/>
    <s v="Jan"/>
    <s v="Wed"/>
    <s v="CUST-139"/>
    <s v="PROD-023"/>
    <s v="Consumer"/>
    <s v="Central"/>
    <x v="4"/>
    <x v="0"/>
    <n v="18"/>
    <n v="120"/>
    <n v="2160"/>
    <n v="216"/>
    <s v="Large Order"/>
    <s v="Weekday"/>
  </r>
  <r>
    <s v="ORD-4072"/>
    <d v="2024-02-18T00:00:00"/>
    <n v="2024"/>
    <s v="Feb"/>
    <s v="Sun"/>
    <s v="CUST-107"/>
    <s v="PROD-020"/>
    <s v="Corporate"/>
    <s v="North"/>
    <x v="5"/>
    <x v="2"/>
    <n v="3"/>
    <n v="120"/>
    <n v="360"/>
    <n v="36"/>
    <s v="Standard Order"/>
    <s v="Weekend"/>
  </r>
  <r>
    <s v="ORD-4073"/>
    <d v="2024-10-13T00:00:00"/>
    <n v="2024"/>
    <s v="Oct"/>
    <s v="Sun"/>
    <s v="CUST-128"/>
    <s v="PROD-012"/>
    <s v="Home Office"/>
    <s v="East"/>
    <x v="0"/>
    <x v="2"/>
    <n v="9"/>
    <n v="120"/>
    <n v="1080"/>
    <n v="108"/>
    <s v="Large Order"/>
    <s v="Weekend"/>
  </r>
  <r>
    <s v="ORD-4074"/>
    <d v="2024-08-06T00:00:00"/>
    <n v="2024"/>
    <s v="Aug"/>
    <s v="Tue"/>
    <s v="CUST-174"/>
    <s v="PROD-024"/>
    <s v="Corporate"/>
    <s v="South"/>
    <x v="3"/>
    <x v="4"/>
    <n v="13"/>
    <n v="120"/>
    <n v="1560"/>
    <n v="156"/>
    <s v="Large Order"/>
    <s v="Weekday"/>
  </r>
  <r>
    <s v="ORD-4075"/>
    <d v="2024-10-14T00:00:00"/>
    <n v="2024"/>
    <s v="Oct"/>
    <s v="Mon"/>
    <s v="CUST-169"/>
    <s v="PROD-021"/>
    <s v="Home Office"/>
    <s v="Central"/>
    <x v="4"/>
    <x v="0"/>
    <n v="19"/>
    <n v="120"/>
    <n v="2280"/>
    <n v="228"/>
    <s v="Large Order"/>
    <s v="Weekday"/>
  </r>
  <r>
    <s v="ORD-4076"/>
    <d v="2024-04-20T00:00:00"/>
    <n v="2024"/>
    <s v="Apr"/>
    <s v="Sat"/>
    <s v="CUST-135"/>
    <s v="PROD-006"/>
    <s v="Corporate"/>
    <s v="East"/>
    <x v="5"/>
    <x v="0"/>
    <n v="5"/>
    <n v="120"/>
    <n v="600"/>
    <n v="60"/>
    <s v="Large Order"/>
    <s v="Weekend"/>
  </r>
  <r>
    <s v="ORD-4077"/>
    <d v="2024-10-27T00:00:00"/>
    <n v="2024"/>
    <s v="Oct"/>
    <s v="Sun"/>
    <s v="CUST-182"/>
    <s v="PROD-025"/>
    <s v="Corporate"/>
    <s v="South"/>
    <x v="3"/>
    <x v="4"/>
    <n v="19"/>
    <n v="120"/>
    <n v="2280"/>
    <n v="228"/>
    <s v="Large Order"/>
    <s v="Weekend"/>
  </r>
  <r>
    <s v="ORD-4078"/>
    <d v="2024-11-11T00:00:00"/>
    <n v="2024"/>
    <s v="Nov"/>
    <s v="Mon"/>
    <s v="CUST-185"/>
    <s v="PROD-016"/>
    <s v="Consumer"/>
    <s v="South"/>
    <x v="4"/>
    <x v="0"/>
    <n v="8"/>
    <n v="120"/>
    <n v="960"/>
    <n v="96"/>
    <s v="Large Order"/>
    <s v="Weekday"/>
  </r>
  <r>
    <s v="ORD-4079"/>
    <d v="2024-02-16T00:00:00"/>
    <n v="2024"/>
    <s v="Feb"/>
    <s v="Fri"/>
    <s v="CUST-178"/>
    <s v="PROD-005"/>
    <s v="Consumer"/>
    <s v="West"/>
    <x v="4"/>
    <x v="1"/>
    <n v="1"/>
    <n v="120"/>
    <n v="120"/>
    <n v="12"/>
    <s v="Standard Order"/>
    <s v="Weekday"/>
  </r>
  <r>
    <s v="ORD-4080"/>
    <d v="2024-01-27T00:00:00"/>
    <n v="2024"/>
    <s v="Jan"/>
    <s v="Sat"/>
    <s v="CUST-117"/>
    <s v="PROD-017"/>
    <s v="Corporate"/>
    <s v="West"/>
    <x v="2"/>
    <x v="1"/>
    <n v="11"/>
    <n v="120"/>
    <n v="1320"/>
    <n v="132"/>
    <s v="Large Order"/>
    <s v="Weekend"/>
  </r>
  <r>
    <s v="ORD-4081"/>
    <d v="2024-03-01T00:00:00"/>
    <n v="2024"/>
    <s v="Mar"/>
    <s v="Fri"/>
    <s v="CUST-130"/>
    <s v="PROD-018"/>
    <s v="Corporate"/>
    <s v="Central"/>
    <x v="2"/>
    <x v="1"/>
    <n v="16"/>
    <n v="120"/>
    <n v="1920"/>
    <n v="192"/>
    <s v="Large Order"/>
    <s v="Weekday"/>
  </r>
  <r>
    <s v="ORD-4082"/>
    <d v="2024-09-24T00:00:00"/>
    <n v="2024"/>
    <s v="Sep"/>
    <s v="Tue"/>
    <s v="CUST-140"/>
    <s v="PROD-017"/>
    <s v="Consumer"/>
    <s v="Central"/>
    <x v="5"/>
    <x v="2"/>
    <n v="6"/>
    <n v="120"/>
    <n v="720"/>
    <n v="72"/>
    <s v="Large Order"/>
    <s v="Weekday"/>
  </r>
  <r>
    <s v="ORD-4083"/>
    <d v="2024-05-22T00:00:00"/>
    <n v="2024"/>
    <s v="May"/>
    <s v="Wed"/>
    <s v="CUST-191"/>
    <s v="PROD-005"/>
    <s v="Corporate"/>
    <s v="West"/>
    <x v="5"/>
    <x v="1"/>
    <n v="16"/>
    <n v="120"/>
    <n v="1920"/>
    <n v="192"/>
    <s v="Large Order"/>
    <s v="Weekday"/>
  </r>
  <r>
    <s v="ORD-4084"/>
    <d v="2024-05-08T00:00:00"/>
    <n v="2024"/>
    <s v="May"/>
    <s v="Wed"/>
    <s v="CUST-187"/>
    <s v="PROD-004"/>
    <s v="Home Office"/>
    <s v="East"/>
    <x v="2"/>
    <x v="3"/>
    <n v="6"/>
    <n v="120"/>
    <n v="720"/>
    <n v="72"/>
    <s v="Large Order"/>
    <s v="Weekday"/>
  </r>
  <r>
    <s v="ORD-4085"/>
    <d v="2024-07-06T00:00:00"/>
    <n v="2024"/>
    <s v="Jul"/>
    <s v="Sat"/>
    <s v="CUST-159"/>
    <s v="PROD-025"/>
    <s v="Home Office"/>
    <s v="North"/>
    <x v="3"/>
    <x v="1"/>
    <n v="7"/>
    <n v="120"/>
    <n v="840"/>
    <n v="84"/>
    <s v="Large Order"/>
    <s v="Weekend"/>
  </r>
  <r>
    <s v="ORD-4086"/>
    <d v="2024-04-07T00:00:00"/>
    <n v="2024"/>
    <s v="Apr"/>
    <s v="Sun"/>
    <s v="CUST-148"/>
    <s v="PROD-012"/>
    <s v="Consumer"/>
    <s v="East"/>
    <x v="0"/>
    <x v="2"/>
    <n v="15"/>
    <n v="120"/>
    <n v="1800"/>
    <n v="180"/>
    <s v="Large Order"/>
    <s v="Weekend"/>
  </r>
  <r>
    <s v="ORD-4087"/>
    <d v="2024-04-09T00:00:00"/>
    <n v="2024"/>
    <s v="Apr"/>
    <s v="Tue"/>
    <s v="CUST-100"/>
    <s v="PROD-019"/>
    <s v="Corporate"/>
    <s v="North"/>
    <x v="3"/>
    <x v="0"/>
    <n v="12"/>
    <n v="120"/>
    <n v="1440"/>
    <n v="144"/>
    <s v="Large Order"/>
    <s v="Weekday"/>
  </r>
  <r>
    <s v="ORD-4088"/>
    <d v="2024-09-14T00:00:00"/>
    <n v="2024"/>
    <s v="Sep"/>
    <s v="Sat"/>
    <s v="CUST-101"/>
    <s v="PROD-020"/>
    <s v="Corporate"/>
    <s v="North"/>
    <x v="0"/>
    <x v="3"/>
    <n v="16"/>
    <n v="120"/>
    <n v="1920"/>
    <n v="192"/>
    <s v="Large Order"/>
    <s v="Weekend"/>
  </r>
  <r>
    <s v="ORD-4089"/>
    <d v="2024-12-22T00:00:00"/>
    <n v="2024"/>
    <s v="Dec"/>
    <s v="Sun"/>
    <s v="CUST-190"/>
    <s v="PROD-009"/>
    <s v="Corporate"/>
    <s v="West"/>
    <x v="0"/>
    <x v="4"/>
    <n v="1"/>
    <n v="120"/>
    <n v="120"/>
    <n v="12"/>
    <s v="Standard Order"/>
    <s v="Weekend"/>
  </r>
  <r>
    <s v="ORD-4090"/>
    <d v="2024-08-29T00:00:00"/>
    <n v="2024"/>
    <s v="Aug"/>
    <s v="Thu"/>
    <s v="CUST-177"/>
    <s v="PROD-021"/>
    <s v="Corporate"/>
    <s v="North"/>
    <x v="2"/>
    <x v="2"/>
    <n v="16"/>
    <n v="120"/>
    <n v="1920"/>
    <n v="192"/>
    <s v="Large Order"/>
    <s v="Weekday"/>
  </r>
  <r>
    <s v="ORD-4091"/>
    <d v="2024-11-27T00:00:00"/>
    <n v="2024"/>
    <s v="Nov"/>
    <s v="Wed"/>
    <s v="CUST-196"/>
    <s v="PROD-018"/>
    <s v="Consumer"/>
    <s v="South"/>
    <x v="0"/>
    <x v="3"/>
    <n v="1"/>
    <n v="120"/>
    <n v="120"/>
    <n v="12"/>
    <s v="Standard Order"/>
    <s v="Weekday"/>
  </r>
  <r>
    <s v="ORD-4092"/>
    <d v="2024-03-19T00:00:00"/>
    <n v="2024"/>
    <s v="Mar"/>
    <s v="Tue"/>
    <s v="CUST-190"/>
    <s v="PROD-024"/>
    <s v="Consumer"/>
    <s v="North"/>
    <x v="4"/>
    <x v="0"/>
    <n v="14"/>
    <n v="120"/>
    <n v="1680"/>
    <n v="168"/>
    <s v="Large Order"/>
    <s v="Weekday"/>
  </r>
  <r>
    <s v="ORD-4093"/>
    <d v="2024-03-02T00:00:00"/>
    <n v="2024"/>
    <s v="Mar"/>
    <s v="Sat"/>
    <s v="CUST-107"/>
    <s v="PROD-015"/>
    <s v="Home Office"/>
    <s v="North"/>
    <x v="0"/>
    <x v="3"/>
    <n v="4"/>
    <n v="120"/>
    <n v="480"/>
    <n v="48"/>
    <s v="Standard Order"/>
    <s v="Weekend"/>
  </r>
  <r>
    <s v="ORD-4094"/>
    <d v="2024-05-22T00:00:00"/>
    <n v="2024"/>
    <s v="May"/>
    <s v="Wed"/>
    <s v="CUST-124"/>
    <s v="PROD-021"/>
    <s v="Home Office"/>
    <s v="Central"/>
    <x v="0"/>
    <x v="3"/>
    <n v="11"/>
    <n v="120"/>
    <n v="1320"/>
    <n v="132"/>
    <s v="Large Order"/>
    <s v="Weekday"/>
  </r>
  <r>
    <s v="ORD-4095"/>
    <d v="2024-03-27T00:00:00"/>
    <n v="2024"/>
    <s v="Mar"/>
    <s v="Wed"/>
    <s v="CUST-175"/>
    <s v="PROD-024"/>
    <s v="Corporate"/>
    <s v="South"/>
    <x v="5"/>
    <x v="0"/>
    <n v="13"/>
    <n v="120"/>
    <n v="1560"/>
    <n v="156"/>
    <s v="Large Order"/>
    <s v="Weekday"/>
  </r>
  <r>
    <s v="ORD-4096"/>
    <d v="2024-12-07T00:00:00"/>
    <n v="2024"/>
    <s v="Dec"/>
    <s v="Sat"/>
    <s v="CUST-185"/>
    <s v="PROD-002"/>
    <s v="Consumer"/>
    <s v="East"/>
    <x v="4"/>
    <x v="4"/>
    <n v="5"/>
    <n v="120"/>
    <n v="600"/>
    <n v="60"/>
    <s v="Large Order"/>
    <s v="Weekend"/>
  </r>
  <r>
    <s v="ORD-4097"/>
    <d v="2024-02-12T00:00:00"/>
    <n v="2024"/>
    <s v="Feb"/>
    <s v="Mon"/>
    <s v="CUST-122"/>
    <s v="PROD-015"/>
    <s v="Consumer"/>
    <s v="North"/>
    <x v="3"/>
    <x v="4"/>
    <n v="7"/>
    <n v="120"/>
    <n v="840"/>
    <n v="84"/>
    <s v="Large Order"/>
    <s v="Weekday"/>
  </r>
  <r>
    <s v="ORD-4098"/>
    <d v="2024-07-28T00:00:00"/>
    <n v="2024"/>
    <s v="Jul"/>
    <s v="Sun"/>
    <s v="CUST-122"/>
    <s v="PROD-021"/>
    <s v="Home Office"/>
    <s v="North"/>
    <x v="0"/>
    <x v="3"/>
    <n v="9"/>
    <n v="120"/>
    <n v="1080"/>
    <n v="108"/>
    <s v="Large Order"/>
    <s v="Weekend"/>
  </r>
  <r>
    <s v="ORD-4099"/>
    <d v="2024-03-01T00:00:00"/>
    <n v="2024"/>
    <s v="Mar"/>
    <s v="Fri"/>
    <s v="CUST-143"/>
    <s v="PROD-015"/>
    <s v="Home Office"/>
    <s v="South"/>
    <x v="0"/>
    <x v="4"/>
    <n v="15"/>
    <n v="120"/>
    <n v="1800"/>
    <n v="180"/>
    <s v="Large Order"/>
    <s v="Weekday"/>
  </r>
  <r>
    <s v="ORD-4100"/>
    <d v="2024-02-16T00:00:00"/>
    <n v="2024"/>
    <s v="Feb"/>
    <s v="Fri"/>
    <s v="CUST-123"/>
    <s v="PROD-024"/>
    <s v="Consumer"/>
    <s v="South"/>
    <x v="4"/>
    <x v="3"/>
    <n v="19"/>
    <n v="120"/>
    <n v="2280"/>
    <n v="228"/>
    <s v="Large Order"/>
    <s v="Weekday"/>
  </r>
  <r>
    <s v="ORD-4101"/>
    <d v="2024-01-11T00:00:00"/>
    <n v="2024"/>
    <s v="Jan"/>
    <s v="Thu"/>
    <s v="CUST-198"/>
    <s v="PROD-006"/>
    <s v="Consumer"/>
    <s v="South"/>
    <x v="4"/>
    <x v="3"/>
    <n v="15"/>
    <n v="120"/>
    <n v="1800"/>
    <n v="180"/>
    <s v="Large Order"/>
    <s v="Weekday"/>
  </r>
  <r>
    <s v="ORD-4102"/>
    <d v="2024-05-06T00:00:00"/>
    <n v="2024"/>
    <s v="May"/>
    <s v="Mon"/>
    <s v="CUST-139"/>
    <s v="PROD-022"/>
    <s v="Home Office"/>
    <s v="South"/>
    <x v="4"/>
    <x v="2"/>
    <n v="10"/>
    <n v="120"/>
    <n v="1200"/>
    <n v="120"/>
    <s v="Large Order"/>
    <s v="Weekday"/>
  </r>
  <r>
    <s v="ORD-4103"/>
    <d v="2024-12-27T00:00:00"/>
    <n v="2024"/>
    <s v="Dec"/>
    <s v="Fri"/>
    <s v="CUST-136"/>
    <s v="PROD-006"/>
    <s v="Corporate"/>
    <s v="East"/>
    <x v="4"/>
    <x v="4"/>
    <n v="11"/>
    <n v="120"/>
    <n v="1320"/>
    <n v="132"/>
    <s v="Large Order"/>
    <s v="Weekday"/>
  </r>
  <r>
    <s v="ORD-4104"/>
    <d v="2024-04-06T00:00:00"/>
    <n v="2024"/>
    <s v="Apr"/>
    <s v="Sat"/>
    <s v="CUST-134"/>
    <s v="PROD-007"/>
    <s v="Consumer"/>
    <s v="East"/>
    <x v="3"/>
    <x v="3"/>
    <n v="15"/>
    <n v="120"/>
    <n v="1800"/>
    <n v="180"/>
    <s v="Large Order"/>
    <s v="Weekend"/>
  </r>
  <r>
    <s v="ORD-4105"/>
    <d v="2024-09-07T00:00:00"/>
    <n v="2024"/>
    <s v="Sep"/>
    <s v="Sat"/>
    <s v="CUST-145"/>
    <s v="PROD-019"/>
    <s v="Corporate"/>
    <s v="West"/>
    <x v="3"/>
    <x v="4"/>
    <n v="15"/>
    <n v="120"/>
    <n v="1800"/>
    <n v="180"/>
    <s v="Large Order"/>
    <s v="Weekend"/>
  </r>
  <r>
    <s v="ORD-4106"/>
    <d v="2024-12-17T00:00:00"/>
    <n v="2024"/>
    <s v="Dec"/>
    <s v="Tue"/>
    <s v="CUST-121"/>
    <s v="PROD-002"/>
    <s v="Home Office"/>
    <s v="East"/>
    <x v="2"/>
    <x v="2"/>
    <n v="18"/>
    <n v="120"/>
    <n v="2160"/>
    <n v="216"/>
    <s v="Large Order"/>
    <s v="Weekday"/>
  </r>
  <r>
    <s v="ORD-4107"/>
    <d v="2024-12-25T00:00:00"/>
    <n v="2024"/>
    <s v="Dec"/>
    <s v="Wed"/>
    <s v="CUST-155"/>
    <s v="PROD-012"/>
    <s v="Home Office"/>
    <s v="North"/>
    <x v="3"/>
    <x v="2"/>
    <n v="11"/>
    <n v="120"/>
    <n v="1320"/>
    <n v="132"/>
    <s v="Large Order"/>
    <s v="Weekday"/>
  </r>
  <r>
    <s v="ORD-4108"/>
    <d v="2024-09-14T00:00:00"/>
    <n v="2024"/>
    <s v="Sep"/>
    <s v="Sat"/>
    <s v="CUST-170"/>
    <s v="PROD-024"/>
    <s v="Corporate"/>
    <s v="Central"/>
    <x v="0"/>
    <x v="4"/>
    <n v="7"/>
    <n v="120"/>
    <n v="840"/>
    <n v="84"/>
    <s v="Large Order"/>
    <s v="Weekend"/>
  </r>
  <r>
    <s v="ORD-4109"/>
    <d v="2024-08-27T00:00:00"/>
    <n v="2024"/>
    <s v="Aug"/>
    <s v="Tue"/>
    <s v="CUST-133"/>
    <s v="PROD-002"/>
    <s v="Consumer"/>
    <s v="West"/>
    <x v="5"/>
    <x v="2"/>
    <n v="16"/>
    <n v="120"/>
    <n v="1920"/>
    <n v="192"/>
    <s v="Large Order"/>
    <s v="Weekday"/>
  </r>
  <r>
    <s v="ORD-4110"/>
    <d v="2024-10-27T00:00:00"/>
    <n v="2024"/>
    <s v="Oct"/>
    <s v="Sun"/>
    <s v="CUST-141"/>
    <s v="PROD-012"/>
    <s v="Home Office"/>
    <s v="South"/>
    <x v="2"/>
    <x v="4"/>
    <n v="2"/>
    <n v="120"/>
    <n v="240"/>
    <n v="24"/>
    <s v="Standard Order"/>
    <s v="Weekend"/>
  </r>
  <r>
    <s v="ORD-4111"/>
    <d v="2024-02-23T00:00:00"/>
    <n v="2024"/>
    <s v="Feb"/>
    <s v="Fri"/>
    <s v="CUST-180"/>
    <s v="PROD-012"/>
    <s v="Consumer"/>
    <s v="East"/>
    <x v="4"/>
    <x v="1"/>
    <n v="16"/>
    <n v="120"/>
    <n v="1920"/>
    <n v="192"/>
    <s v="Large Order"/>
    <s v="Weekday"/>
  </r>
  <r>
    <s v="ORD-4112"/>
    <d v="2024-11-27T00:00:00"/>
    <n v="2024"/>
    <s v="Nov"/>
    <s v="Wed"/>
    <s v="CUST-112"/>
    <s v="PROD-006"/>
    <s v="Corporate"/>
    <s v="Central"/>
    <x v="3"/>
    <x v="2"/>
    <n v="15"/>
    <n v="120"/>
    <n v="1800"/>
    <n v="180"/>
    <s v="Large Order"/>
    <s v="Weekday"/>
  </r>
  <r>
    <s v="ORD-4113"/>
    <d v="2024-01-12T00:00:00"/>
    <n v="2024"/>
    <s v="Jan"/>
    <s v="Fri"/>
    <s v="CUST-156"/>
    <s v="PROD-020"/>
    <s v="Corporate"/>
    <s v="East"/>
    <x v="5"/>
    <x v="4"/>
    <n v="14"/>
    <n v="120"/>
    <n v="1680"/>
    <n v="168"/>
    <s v="Large Order"/>
    <s v="Weekday"/>
  </r>
  <r>
    <s v="ORD-4114"/>
    <d v="2024-08-30T00:00:00"/>
    <n v="2024"/>
    <s v="Aug"/>
    <s v="Fri"/>
    <s v="CUST-131"/>
    <s v="PROD-009"/>
    <s v="Home Office"/>
    <s v="Central"/>
    <x v="3"/>
    <x v="4"/>
    <n v="11"/>
    <n v="120"/>
    <n v="1320"/>
    <n v="132"/>
    <s v="Large Order"/>
    <s v="Weekday"/>
  </r>
  <r>
    <s v="ORD-4115"/>
    <d v="2024-07-24T00:00:00"/>
    <n v="2024"/>
    <s v="Jul"/>
    <s v="Wed"/>
    <s v="CUST-138"/>
    <s v="PROD-002"/>
    <s v="Consumer"/>
    <s v="North"/>
    <x v="5"/>
    <x v="0"/>
    <n v="14"/>
    <n v="120"/>
    <n v="1680"/>
    <n v="168"/>
    <s v="Large Order"/>
    <s v="Weekday"/>
  </r>
  <r>
    <s v="ORD-4116"/>
    <d v="2024-05-17T00:00:00"/>
    <n v="2024"/>
    <s v="May"/>
    <s v="Fri"/>
    <s v="CUST-173"/>
    <s v="PROD-013"/>
    <s v="Home Office"/>
    <s v="South"/>
    <x v="0"/>
    <x v="2"/>
    <n v="17"/>
    <n v="120"/>
    <n v="2040"/>
    <n v="204"/>
    <s v="Large Order"/>
    <s v="Weekday"/>
  </r>
  <r>
    <s v="ORD-4117"/>
    <d v="2024-06-02T00:00:00"/>
    <n v="2024"/>
    <s v="Jun"/>
    <s v="Sun"/>
    <s v="CUST-176"/>
    <s v="PROD-023"/>
    <s v="Home Office"/>
    <s v="East"/>
    <x v="4"/>
    <x v="4"/>
    <n v="5"/>
    <n v="120"/>
    <n v="600"/>
    <n v="60"/>
    <s v="Large Order"/>
    <s v="Weekend"/>
  </r>
  <r>
    <s v="ORD-4118"/>
    <d v="2024-06-19T00:00:00"/>
    <n v="2024"/>
    <s v="Jun"/>
    <s v="Wed"/>
    <s v="CUST-200"/>
    <s v="PROD-002"/>
    <s v="Consumer"/>
    <s v="South"/>
    <x v="3"/>
    <x v="2"/>
    <n v="12"/>
    <n v="120"/>
    <n v="1440"/>
    <n v="144"/>
    <s v="Large Order"/>
    <s v="Weekday"/>
  </r>
  <r>
    <s v="ORD-4119"/>
    <d v="2024-03-25T00:00:00"/>
    <n v="2024"/>
    <s v="Mar"/>
    <s v="Mon"/>
    <s v="CUST-158"/>
    <s v="PROD-001"/>
    <s v="Home Office"/>
    <s v="West"/>
    <x v="4"/>
    <x v="2"/>
    <n v="6"/>
    <n v="120"/>
    <n v="720"/>
    <n v="72"/>
    <s v="Large Order"/>
    <s v="Weekday"/>
  </r>
  <r>
    <s v="ORD-4120"/>
    <d v="2024-02-11T00:00:00"/>
    <n v="2024"/>
    <s v="Feb"/>
    <s v="Sun"/>
    <s v="CUST-123"/>
    <s v="PROD-008"/>
    <s v="Consumer"/>
    <s v="West"/>
    <x v="2"/>
    <x v="0"/>
    <n v="8"/>
    <n v="120"/>
    <n v="960"/>
    <n v="96"/>
    <s v="Large Order"/>
    <s v="Weekend"/>
  </r>
  <r>
    <s v="ORD-4121"/>
    <d v="2024-10-11T00:00:00"/>
    <n v="2024"/>
    <s v="Oct"/>
    <s v="Fri"/>
    <s v="CUST-199"/>
    <s v="PROD-012"/>
    <s v="Consumer"/>
    <s v="South"/>
    <x v="2"/>
    <x v="2"/>
    <n v="12"/>
    <n v="120"/>
    <n v="1440"/>
    <n v="144"/>
    <s v="Large Order"/>
    <s v="Weekday"/>
  </r>
  <r>
    <s v="ORD-4122"/>
    <d v="2024-10-08T00:00:00"/>
    <n v="2024"/>
    <s v="Oct"/>
    <s v="Tue"/>
    <s v="CUST-187"/>
    <s v="PROD-013"/>
    <s v="Home Office"/>
    <s v="West"/>
    <x v="4"/>
    <x v="1"/>
    <n v="13"/>
    <n v="120"/>
    <n v="1560"/>
    <n v="156"/>
    <s v="Large Order"/>
    <s v="Weekday"/>
  </r>
  <r>
    <s v="ORD-4123"/>
    <d v="2024-12-27T00:00:00"/>
    <n v="2024"/>
    <s v="Dec"/>
    <s v="Fri"/>
    <s v="CUST-131"/>
    <s v="PROD-025"/>
    <s v="Consumer"/>
    <s v="East"/>
    <x v="2"/>
    <x v="2"/>
    <n v="11"/>
    <n v="120"/>
    <n v="1320"/>
    <n v="132"/>
    <s v="Large Order"/>
    <s v="Weekday"/>
  </r>
  <r>
    <s v="ORD-4124"/>
    <d v="2024-03-09T00:00:00"/>
    <n v="2024"/>
    <s v="Mar"/>
    <s v="Sat"/>
    <s v="CUST-151"/>
    <s v="PROD-025"/>
    <s v="Corporate"/>
    <s v="Central"/>
    <x v="3"/>
    <x v="1"/>
    <n v="20"/>
    <n v="120"/>
    <n v="2400"/>
    <n v="240"/>
    <s v="Large Order"/>
    <s v="Weekend"/>
  </r>
  <r>
    <s v="ORD-4125"/>
    <d v="2024-02-06T00:00:00"/>
    <n v="2024"/>
    <s v="Feb"/>
    <s v="Tue"/>
    <s v="CUST-144"/>
    <s v="PROD-016"/>
    <s v="Home Office"/>
    <s v="East"/>
    <x v="5"/>
    <x v="0"/>
    <n v="8"/>
    <n v="120"/>
    <n v="960"/>
    <n v="96"/>
    <s v="Large Order"/>
    <s v="Weekday"/>
  </r>
  <r>
    <s v="ORD-4126"/>
    <d v="2024-04-01T00:00:00"/>
    <n v="2024"/>
    <s v="Apr"/>
    <s v="Mon"/>
    <s v="CUST-198"/>
    <s v="PROD-008"/>
    <s v="Corporate"/>
    <s v="North"/>
    <x v="3"/>
    <x v="3"/>
    <n v="17"/>
    <n v="120"/>
    <n v="2040"/>
    <n v="204"/>
    <s v="Large Order"/>
    <s v="Weekday"/>
  </r>
  <r>
    <s v="ORD-4127"/>
    <d v="2024-11-08T00:00:00"/>
    <n v="2024"/>
    <s v="Nov"/>
    <s v="Fri"/>
    <s v="CUST-176"/>
    <s v="PROD-025"/>
    <s v="Corporate"/>
    <s v="North"/>
    <x v="0"/>
    <x v="2"/>
    <n v="5"/>
    <n v="120"/>
    <n v="600"/>
    <n v="60"/>
    <s v="Large Order"/>
    <s v="Weekday"/>
  </r>
  <r>
    <s v="ORD-4128"/>
    <d v="2024-01-23T00:00:00"/>
    <n v="2024"/>
    <s v="Jan"/>
    <s v="Tue"/>
    <s v="CUST-127"/>
    <s v="PROD-010"/>
    <s v="Corporate"/>
    <s v="West"/>
    <x v="0"/>
    <x v="3"/>
    <n v="13"/>
    <n v="120"/>
    <n v="1560"/>
    <n v="156"/>
    <s v="Large Order"/>
    <s v="Weekday"/>
  </r>
  <r>
    <s v="ORD-4129"/>
    <d v="2024-08-05T00:00:00"/>
    <n v="2024"/>
    <s v="Aug"/>
    <s v="Mon"/>
    <s v="CUST-119"/>
    <s v="PROD-010"/>
    <s v="Corporate"/>
    <s v="Central"/>
    <x v="2"/>
    <x v="1"/>
    <n v="2"/>
    <n v="120"/>
    <n v="240"/>
    <n v="24"/>
    <s v="Standard Order"/>
    <s v="Weekday"/>
  </r>
  <r>
    <s v="ORD-4130"/>
    <d v="2024-08-03T00:00:00"/>
    <n v="2024"/>
    <s v="Aug"/>
    <s v="Sat"/>
    <s v="CUST-122"/>
    <s v="PROD-006"/>
    <s v="Corporate"/>
    <s v="West"/>
    <x v="5"/>
    <x v="0"/>
    <n v="15"/>
    <n v="120"/>
    <n v="1800"/>
    <n v="180"/>
    <s v="Large Order"/>
    <s v="Weekend"/>
  </r>
  <r>
    <s v="ORD-4131"/>
    <d v="2024-06-26T00:00:00"/>
    <n v="2024"/>
    <s v="Jun"/>
    <s v="Wed"/>
    <s v="CUST-187"/>
    <s v="PROD-024"/>
    <s v="Consumer"/>
    <s v="West"/>
    <x v="2"/>
    <x v="0"/>
    <n v="6"/>
    <n v="120"/>
    <n v="720"/>
    <n v="72"/>
    <s v="Large Order"/>
    <s v="Weekday"/>
  </r>
  <r>
    <s v="ORD-4132"/>
    <d v="2024-10-21T00:00:00"/>
    <n v="2024"/>
    <s v="Oct"/>
    <s v="Mon"/>
    <s v="CUST-164"/>
    <s v="PROD-013"/>
    <s v="Home Office"/>
    <s v="East"/>
    <x v="2"/>
    <x v="0"/>
    <n v="16"/>
    <n v="120"/>
    <n v="1920"/>
    <n v="192"/>
    <s v="Large Order"/>
    <s v="Weekday"/>
  </r>
  <r>
    <s v="ORD-4133"/>
    <d v="2024-12-09T00:00:00"/>
    <n v="2024"/>
    <s v="Dec"/>
    <s v="Mon"/>
    <s v="CUST-151"/>
    <s v="PROD-014"/>
    <s v="Consumer"/>
    <s v="East"/>
    <x v="3"/>
    <x v="1"/>
    <n v="9"/>
    <n v="120"/>
    <n v="1080"/>
    <n v="108"/>
    <s v="Large Order"/>
    <s v="Weekday"/>
  </r>
  <r>
    <s v="ORD-4134"/>
    <d v="2024-02-29T00:00:00"/>
    <n v="2024"/>
    <s v="Feb"/>
    <s v="Thu"/>
    <s v="CUST-177"/>
    <s v="PROD-015"/>
    <s v="Home Office"/>
    <s v="Central"/>
    <x v="3"/>
    <x v="1"/>
    <n v="11"/>
    <n v="120"/>
    <n v="1320"/>
    <n v="132"/>
    <s v="Large Order"/>
    <s v="Weekday"/>
  </r>
  <r>
    <s v="ORD-4135"/>
    <d v="2024-07-05T00:00:00"/>
    <n v="2024"/>
    <s v="Jul"/>
    <s v="Fri"/>
    <s v="CUST-114"/>
    <s v="PROD-006"/>
    <s v="Corporate"/>
    <s v="South"/>
    <x v="5"/>
    <x v="1"/>
    <n v="3"/>
    <n v="120"/>
    <n v="360"/>
    <n v="36"/>
    <s v="Standard Order"/>
    <s v="Weekday"/>
  </r>
  <r>
    <s v="ORD-4136"/>
    <d v="2024-06-21T00:00:00"/>
    <n v="2024"/>
    <s v="Jun"/>
    <s v="Fri"/>
    <s v="CUST-190"/>
    <s v="PROD-019"/>
    <s v="Corporate"/>
    <s v="East"/>
    <x v="4"/>
    <x v="4"/>
    <n v="20"/>
    <n v="120"/>
    <n v="2400"/>
    <n v="240"/>
    <s v="Large Order"/>
    <s v="Weekday"/>
  </r>
  <r>
    <s v="ORD-4137"/>
    <d v="2024-08-20T00:00:00"/>
    <n v="2024"/>
    <s v="Aug"/>
    <s v="Tue"/>
    <s v="CUST-155"/>
    <s v="PROD-002"/>
    <s v="Corporate"/>
    <s v="East"/>
    <x v="3"/>
    <x v="0"/>
    <n v="4"/>
    <n v="120"/>
    <n v="480"/>
    <n v="48"/>
    <s v="Standard Order"/>
    <s v="Weekday"/>
  </r>
  <r>
    <s v="ORD-4138"/>
    <d v="2024-08-23T00:00:00"/>
    <n v="2024"/>
    <s v="Aug"/>
    <s v="Fri"/>
    <s v="CUST-146"/>
    <s v="PROD-002"/>
    <s v="Home Office"/>
    <s v="East"/>
    <x v="3"/>
    <x v="3"/>
    <n v="14"/>
    <n v="120"/>
    <n v="1680"/>
    <n v="168"/>
    <s v="Large Order"/>
    <s v="Weekday"/>
  </r>
  <r>
    <s v="ORD-4139"/>
    <d v="2024-05-31T00:00:00"/>
    <n v="2024"/>
    <s v="May"/>
    <s v="Fri"/>
    <s v="CUST-198"/>
    <s v="PROD-001"/>
    <s v="Home Office"/>
    <s v="North"/>
    <x v="3"/>
    <x v="2"/>
    <n v="10"/>
    <n v="120"/>
    <n v="1200"/>
    <n v="120"/>
    <s v="Large Order"/>
    <s v="Weekday"/>
  </r>
  <r>
    <s v="ORD-4140"/>
    <d v="2024-01-09T00:00:00"/>
    <n v="2024"/>
    <s v="Jan"/>
    <s v="Tue"/>
    <s v="CUST-157"/>
    <s v="PROD-011"/>
    <s v="Corporate"/>
    <s v="South"/>
    <x v="0"/>
    <x v="4"/>
    <n v="4"/>
    <n v="120"/>
    <n v="480"/>
    <n v="48"/>
    <s v="Standard Order"/>
    <s v="Weekday"/>
  </r>
  <r>
    <s v="ORD-4141"/>
    <d v="2024-01-19T00:00:00"/>
    <n v="2024"/>
    <s v="Jan"/>
    <s v="Fri"/>
    <s v="CUST-168"/>
    <s v="PROD-024"/>
    <s v="Corporate"/>
    <s v="West"/>
    <x v="4"/>
    <x v="2"/>
    <n v="3"/>
    <n v="120"/>
    <n v="360"/>
    <n v="36"/>
    <s v="Standard Order"/>
    <s v="Weekday"/>
  </r>
  <r>
    <s v="ORD-4142"/>
    <d v="2024-03-05T00:00:00"/>
    <n v="2024"/>
    <s v="Mar"/>
    <s v="Tue"/>
    <s v="CUST-193"/>
    <s v="PROD-005"/>
    <s v="Home Office"/>
    <s v="Central"/>
    <x v="2"/>
    <x v="1"/>
    <n v="9"/>
    <n v="120"/>
    <n v="1080"/>
    <n v="108"/>
    <s v="Large Order"/>
    <s v="Weekday"/>
  </r>
  <r>
    <s v="ORD-4143"/>
    <d v="2024-08-22T00:00:00"/>
    <n v="2024"/>
    <s v="Aug"/>
    <s v="Thu"/>
    <s v="CUST-188"/>
    <s v="PROD-020"/>
    <s v="Consumer"/>
    <s v="Central"/>
    <x v="5"/>
    <x v="4"/>
    <n v="15"/>
    <n v="120"/>
    <n v="1800"/>
    <n v="180"/>
    <s v="Large Order"/>
    <s v="Weekday"/>
  </r>
  <r>
    <s v="ORD-4144"/>
    <d v="2024-06-16T00:00:00"/>
    <n v="2024"/>
    <s v="Jun"/>
    <s v="Sun"/>
    <s v="CUST-147"/>
    <s v="PROD-002"/>
    <s v="Consumer"/>
    <s v="East"/>
    <x v="5"/>
    <x v="0"/>
    <n v="13"/>
    <n v="120"/>
    <n v="1560"/>
    <n v="156"/>
    <s v="Large Order"/>
    <s v="Weekend"/>
  </r>
  <r>
    <s v="ORD-4145"/>
    <d v="2024-02-10T00:00:00"/>
    <n v="2024"/>
    <s v="Feb"/>
    <s v="Sat"/>
    <s v="CUST-143"/>
    <s v="PROD-021"/>
    <s v="Home Office"/>
    <s v="North"/>
    <x v="3"/>
    <x v="1"/>
    <n v="13"/>
    <n v="120"/>
    <n v="1560"/>
    <n v="156"/>
    <s v="Large Order"/>
    <s v="Weekend"/>
  </r>
  <r>
    <s v="ORD-4146"/>
    <d v="2024-05-11T00:00:00"/>
    <n v="2024"/>
    <s v="May"/>
    <s v="Sat"/>
    <s v="CUST-192"/>
    <s v="PROD-021"/>
    <s v="Home Office"/>
    <s v="Central"/>
    <x v="0"/>
    <x v="1"/>
    <n v="4"/>
    <n v="120"/>
    <n v="480"/>
    <n v="48"/>
    <s v="Standard Order"/>
    <s v="Weekend"/>
  </r>
  <r>
    <s v="ORD-4147"/>
    <d v="2024-10-19T00:00:00"/>
    <n v="2024"/>
    <s v="Oct"/>
    <s v="Sat"/>
    <s v="CUST-133"/>
    <s v="PROD-010"/>
    <s v="Home Office"/>
    <s v="South"/>
    <x v="5"/>
    <x v="4"/>
    <n v="8"/>
    <n v="120"/>
    <n v="960"/>
    <n v="96"/>
    <s v="Large Order"/>
    <s v="Weekend"/>
  </r>
  <r>
    <s v="ORD-4148"/>
    <d v="2024-01-26T00:00:00"/>
    <n v="2024"/>
    <s v="Jan"/>
    <s v="Fri"/>
    <s v="CUST-147"/>
    <s v="PROD-019"/>
    <s v="Corporate"/>
    <s v="North"/>
    <x v="4"/>
    <x v="1"/>
    <n v="9"/>
    <n v="120"/>
    <n v="1080"/>
    <n v="108"/>
    <s v="Large Order"/>
    <s v="Weekday"/>
  </r>
  <r>
    <s v="ORD-4149"/>
    <d v="2024-04-05T00:00:00"/>
    <n v="2024"/>
    <s v="Apr"/>
    <s v="Fri"/>
    <s v="CUST-135"/>
    <s v="PROD-017"/>
    <s v="Home Office"/>
    <s v="West"/>
    <x v="0"/>
    <x v="4"/>
    <n v="13"/>
    <n v="120"/>
    <n v="1560"/>
    <n v="156"/>
    <s v="Large Order"/>
    <s v="Weekday"/>
  </r>
  <r>
    <s v="ORD-4150"/>
    <d v="2024-12-13T00:00:00"/>
    <n v="2024"/>
    <s v="Dec"/>
    <s v="Fri"/>
    <s v="CUST-136"/>
    <s v="PROD-009"/>
    <s v="Consumer"/>
    <s v="West"/>
    <x v="2"/>
    <x v="2"/>
    <n v="1"/>
    <n v="120"/>
    <n v="120"/>
    <n v="12"/>
    <s v="Standard Order"/>
    <s v="Weekday"/>
  </r>
  <r>
    <s v="ORD-4151"/>
    <d v="2024-12-02T00:00:00"/>
    <n v="2024"/>
    <s v="Dec"/>
    <s v="Mon"/>
    <s v="CUST-116"/>
    <s v="PROD-009"/>
    <s v="Corporate"/>
    <s v="South"/>
    <x v="2"/>
    <x v="4"/>
    <n v="11"/>
    <n v="120"/>
    <n v="1320"/>
    <n v="132"/>
    <s v="Large Order"/>
    <s v="Weekday"/>
  </r>
  <r>
    <s v="ORD-4152"/>
    <d v="2024-04-25T00:00:00"/>
    <n v="2024"/>
    <s v="Apr"/>
    <s v="Thu"/>
    <s v="CUST-102"/>
    <s v="PROD-023"/>
    <s v="Corporate"/>
    <s v="West"/>
    <x v="4"/>
    <x v="0"/>
    <n v="20"/>
    <n v="120"/>
    <n v="2400"/>
    <n v="240"/>
    <s v="Large Order"/>
    <s v="Weekday"/>
  </r>
  <r>
    <s v="ORD-4153"/>
    <d v="2024-12-30T00:00:00"/>
    <n v="2024"/>
    <s v="Dec"/>
    <s v="Mon"/>
    <s v="CUST-177"/>
    <s v="PROD-015"/>
    <s v="Home Office"/>
    <s v="East"/>
    <x v="2"/>
    <x v="4"/>
    <n v="11"/>
    <n v="120"/>
    <n v="1320"/>
    <n v="132"/>
    <s v="Large Order"/>
    <s v="Weekday"/>
  </r>
  <r>
    <s v="ORD-4154"/>
    <d v="2024-08-31T00:00:00"/>
    <n v="2024"/>
    <s v="Aug"/>
    <s v="Sat"/>
    <s v="CUST-171"/>
    <s v="PROD-001"/>
    <s v="Corporate"/>
    <s v="South"/>
    <x v="3"/>
    <x v="3"/>
    <n v="12"/>
    <n v="120"/>
    <n v="1440"/>
    <n v="144"/>
    <s v="Large Order"/>
    <s v="Weekend"/>
  </r>
  <r>
    <s v="ORD-4155"/>
    <d v="2024-03-18T00:00:00"/>
    <n v="2024"/>
    <s v="Mar"/>
    <s v="Mon"/>
    <s v="CUST-159"/>
    <s v="PROD-024"/>
    <s v="Corporate"/>
    <s v="Central"/>
    <x v="4"/>
    <x v="4"/>
    <n v="6"/>
    <n v="120"/>
    <n v="720"/>
    <n v="72"/>
    <s v="Large Order"/>
    <s v="Weekday"/>
  </r>
  <r>
    <s v="ORD-4156"/>
    <d v="2024-05-10T00:00:00"/>
    <n v="2024"/>
    <s v="May"/>
    <s v="Fri"/>
    <s v="CUST-151"/>
    <s v="PROD-002"/>
    <s v="Home Office"/>
    <s v="Central"/>
    <x v="5"/>
    <x v="0"/>
    <n v="16"/>
    <n v="120"/>
    <n v="1920"/>
    <n v="192"/>
    <s v="Large Order"/>
    <s v="Weekday"/>
  </r>
  <r>
    <s v="ORD-4157"/>
    <d v="2024-06-25T00:00:00"/>
    <n v="2024"/>
    <s v="Jun"/>
    <s v="Tue"/>
    <s v="CUST-110"/>
    <s v="PROD-007"/>
    <s v="Home Office"/>
    <s v="North"/>
    <x v="5"/>
    <x v="3"/>
    <n v="10"/>
    <n v="120"/>
    <n v="1200"/>
    <n v="120"/>
    <s v="Large Order"/>
    <s v="Weekday"/>
  </r>
  <r>
    <s v="ORD-4158"/>
    <d v="2024-06-10T00:00:00"/>
    <n v="2024"/>
    <s v="Jun"/>
    <s v="Mon"/>
    <s v="CUST-157"/>
    <s v="PROD-022"/>
    <s v="Corporate"/>
    <s v="West"/>
    <x v="0"/>
    <x v="2"/>
    <n v="20"/>
    <n v="120"/>
    <n v="2400"/>
    <n v="240"/>
    <s v="Large Order"/>
    <s v="Weekday"/>
  </r>
  <r>
    <s v="ORD-4159"/>
    <d v="2024-11-15T00:00:00"/>
    <n v="2024"/>
    <s v="Nov"/>
    <s v="Fri"/>
    <s v="CUST-145"/>
    <s v="PROD-019"/>
    <s v="Corporate"/>
    <s v="South"/>
    <x v="2"/>
    <x v="0"/>
    <n v="10"/>
    <n v="120"/>
    <n v="1200"/>
    <n v="120"/>
    <s v="Large Order"/>
    <s v="Weekday"/>
  </r>
  <r>
    <s v="ORD-4160"/>
    <d v="2024-09-08T00:00:00"/>
    <n v="2024"/>
    <s v="Sep"/>
    <s v="Sun"/>
    <s v="CUST-130"/>
    <s v="PROD-013"/>
    <s v="Home Office"/>
    <s v="South"/>
    <x v="4"/>
    <x v="1"/>
    <n v="20"/>
    <n v="120"/>
    <n v="2400"/>
    <n v="240"/>
    <s v="Large Order"/>
    <s v="Weekend"/>
  </r>
  <r>
    <s v="ORD-4161"/>
    <d v="2024-03-04T00:00:00"/>
    <n v="2024"/>
    <s v="Mar"/>
    <s v="Mon"/>
    <s v="CUST-112"/>
    <s v="PROD-013"/>
    <s v="Consumer"/>
    <s v="West"/>
    <x v="4"/>
    <x v="0"/>
    <n v="19"/>
    <n v="120"/>
    <n v="2280"/>
    <n v="228"/>
    <s v="Large Order"/>
    <s v="Weekday"/>
  </r>
  <r>
    <s v="ORD-4162"/>
    <d v="2024-03-22T00:00:00"/>
    <n v="2024"/>
    <s v="Mar"/>
    <s v="Fri"/>
    <s v="CUST-198"/>
    <s v="PROD-025"/>
    <s v="Home Office"/>
    <s v="East"/>
    <x v="2"/>
    <x v="4"/>
    <n v="14"/>
    <n v="120"/>
    <n v="1680"/>
    <n v="168"/>
    <s v="Large Order"/>
    <s v="Weekday"/>
  </r>
  <r>
    <s v="ORD-4163"/>
    <d v="2024-04-21T00:00:00"/>
    <n v="2024"/>
    <s v="Apr"/>
    <s v="Sun"/>
    <s v="CUST-153"/>
    <s v="PROD-020"/>
    <s v="Corporate"/>
    <s v="East"/>
    <x v="3"/>
    <x v="3"/>
    <n v="4"/>
    <n v="120"/>
    <n v="480"/>
    <n v="48"/>
    <s v="Standard Order"/>
    <s v="Weekend"/>
  </r>
  <r>
    <s v="ORD-4164"/>
    <d v="2024-12-17T00:00:00"/>
    <n v="2024"/>
    <s v="Dec"/>
    <s v="Tue"/>
    <s v="CUST-181"/>
    <s v="PROD-025"/>
    <s v="Home Office"/>
    <s v="East"/>
    <x v="3"/>
    <x v="4"/>
    <n v="18"/>
    <n v="120"/>
    <n v="2160"/>
    <n v="216"/>
    <s v="Large Order"/>
    <s v="Weekday"/>
  </r>
  <r>
    <s v="ORD-4165"/>
    <d v="2024-04-25T00:00:00"/>
    <n v="2024"/>
    <s v="Apr"/>
    <s v="Thu"/>
    <s v="CUST-151"/>
    <s v="PROD-016"/>
    <s v="Corporate"/>
    <s v="Central"/>
    <x v="3"/>
    <x v="1"/>
    <n v="6"/>
    <n v="120"/>
    <n v="720"/>
    <n v="72"/>
    <s v="Large Order"/>
    <s v="Weekday"/>
  </r>
  <r>
    <s v="ORD-4166"/>
    <d v="2024-03-31T00:00:00"/>
    <n v="2024"/>
    <s v="Mar"/>
    <s v="Sun"/>
    <s v="CUST-151"/>
    <s v="PROD-010"/>
    <s v="Consumer"/>
    <s v="West"/>
    <x v="5"/>
    <x v="3"/>
    <n v="15"/>
    <n v="120"/>
    <n v="1800"/>
    <n v="180"/>
    <s v="Large Order"/>
    <s v="Weekend"/>
  </r>
  <r>
    <s v="ORD-4167"/>
    <d v="2024-12-15T00:00:00"/>
    <n v="2024"/>
    <s v="Dec"/>
    <s v="Sun"/>
    <s v="CUST-112"/>
    <s v="PROD-013"/>
    <s v="Home Office"/>
    <s v="Central"/>
    <x v="2"/>
    <x v="1"/>
    <n v="14"/>
    <n v="120"/>
    <n v="1680"/>
    <n v="168"/>
    <s v="Large Order"/>
    <s v="Weekend"/>
  </r>
  <r>
    <s v="ORD-4168"/>
    <d v="2024-01-15T00:00:00"/>
    <n v="2024"/>
    <s v="Jan"/>
    <s v="Mon"/>
    <s v="CUST-179"/>
    <s v="PROD-008"/>
    <s v="Consumer"/>
    <s v="North"/>
    <x v="5"/>
    <x v="4"/>
    <n v="17"/>
    <n v="120"/>
    <n v="2040"/>
    <n v="204"/>
    <s v="Large Order"/>
    <s v="Weekday"/>
  </r>
  <r>
    <s v="ORD-4169"/>
    <d v="2024-11-02T00:00:00"/>
    <n v="2024"/>
    <s v="Nov"/>
    <s v="Sat"/>
    <s v="CUST-173"/>
    <s v="PROD-024"/>
    <s v="Corporate"/>
    <s v="North"/>
    <x v="0"/>
    <x v="3"/>
    <n v="20"/>
    <n v="120"/>
    <n v="2400"/>
    <n v="240"/>
    <s v="Large Order"/>
    <s v="Weekend"/>
  </r>
  <r>
    <s v="ORD-4170"/>
    <d v="2024-10-18T00:00:00"/>
    <n v="2024"/>
    <s v="Oct"/>
    <s v="Fri"/>
    <s v="CUST-180"/>
    <s v="PROD-016"/>
    <s v="Home Office"/>
    <s v="South"/>
    <x v="0"/>
    <x v="3"/>
    <n v="1"/>
    <n v="120"/>
    <n v="120"/>
    <n v="12"/>
    <s v="Standard Order"/>
    <s v="Weekday"/>
  </r>
  <r>
    <s v="ORD-4171"/>
    <d v="2024-11-30T00:00:00"/>
    <n v="2024"/>
    <s v="Nov"/>
    <s v="Sat"/>
    <s v="CUST-149"/>
    <s v="PROD-018"/>
    <s v="Home Office"/>
    <s v="South"/>
    <x v="4"/>
    <x v="2"/>
    <n v="15"/>
    <n v="120"/>
    <n v="1800"/>
    <n v="180"/>
    <s v="Large Order"/>
    <s v="Weekend"/>
  </r>
  <r>
    <s v="ORD-4172"/>
    <d v="2024-05-02T00:00:00"/>
    <n v="2024"/>
    <s v="May"/>
    <s v="Thu"/>
    <s v="CUST-122"/>
    <s v="PROD-016"/>
    <s v="Home Office"/>
    <s v="West"/>
    <x v="4"/>
    <x v="3"/>
    <n v="5"/>
    <n v="120"/>
    <n v="600"/>
    <n v="60"/>
    <s v="Large Order"/>
    <s v="Weekday"/>
  </r>
  <r>
    <s v="ORD-4173"/>
    <d v="2024-01-16T00:00:00"/>
    <n v="2024"/>
    <s v="Jan"/>
    <s v="Tue"/>
    <s v="CUST-126"/>
    <s v="PROD-019"/>
    <s v="Corporate"/>
    <s v="North"/>
    <x v="2"/>
    <x v="2"/>
    <n v="20"/>
    <n v="120"/>
    <n v="2400"/>
    <n v="240"/>
    <s v="Large Order"/>
    <s v="Weekday"/>
  </r>
  <r>
    <s v="ORD-4174"/>
    <d v="2024-05-03T00:00:00"/>
    <n v="2024"/>
    <s v="May"/>
    <s v="Fri"/>
    <s v="CUST-122"/>
    <s v="PROD-015"/>
    <s v="Home Office"/>
    <s v="North"/>
    <x v="0"/>
    <x v="4"/>
    <n v="11"/>
    <n v="120"/>
    <n v="1320"/>
    <n v="132"/>
    <s v="Large Order"/>
    <s v="Weekday"/>
  </r>
  <r>
    <s v="ORD-4175"/>
    <d v="2024-03-22T00:00:00"/>
    <n v="2024"/>
    <s v="Mar"/>
    <s v="Fri"/>
    <s v="CUST-131"/>
    <s v="PROD-015"/>
    <s v="Home Office"/>
    <s v="North"/>
    <x v="0"/>
    <x v="0"/>
    <n v="2"/>
    <n v="120"/>
    <n v="240"/>
    <n v="24"/>
    <s v="Standard Order"/>
    <s v="Weekday"/>
  </r>
  <r>
    <s v="ORD-4176"/>
    <d v="2024-07-27T00:00:00"/>
    <n v="2024"/>
    <s v="Jul"/>
    <s v="Sat"/>
    <s v="CUST-166"/>
    <s v="PROD-016"/>
    <s v="Corporate"/>
    <s v="Central"/>
    <x v="0"/>
    <x v="1"/>
    <n v="9"/>
    <n v="120"/>
    <n v="1080"/>
    <n v="108"/>
    <s v="Large Order"/>
    <s v="Weekend"/>
  </r>
  <r>
    <s v="ORD-4177"/>
    <d v="2024-10-02T00:00:00"/>
    <n v="2024"/>
    <s v="Oct"/>
    <s v="Wed"/>
    <s v="CUST-115"/>
    <s v="PROD-023"/>
    <s v="Home Office"/>
    <s v="North"/>
    <x v="5"/>
    <x v="0"/>
    <n v="15"/>
    <n v="120"/>
    <n v="1800"/>
    <n v="180"/>
    <s v="Large Order"/>
    <s v="Weekday"/>
  </r>
  <r>
    <s v="ORD-4178"/>
    <d v="2024-01-31T00:00:00"/>
    <n v="2024"/>
    <s v="Jan"/>
    <s v="Wed"/>
    <s v="CUST-137"/>
    <s v="PROD-013"/>
    <s v="Home Office"/>
    <s v="West"/>
    <x v="0"/>
    <x v="3"/>
    <n v="13"/>
    <n v="120"/>
    <n v="1560"/>
    <n v="156"/>
    <s v="Large Order"/>
    <s v="Weekday"/>
  </r>
  <r>
    <s v="ORD-4179"/>
    <d v="2024-09-18T00:00:00"/>
    <n v="2024"/>
    <s v="Sep"/>
    <s v="Wed"/>
    <s v="CUST-180"/>
    <s v="PROD-021"/>
    <s v="Corporate"/>
    <s v="South"/>
    <x v="2"/>
    <x v="0"/>
    <n v="4"/>
    <n v="120"/>
    <n v="480"/>
    <n v="48"/>
    <s v="Standard Order"/>
    <s v="Weekday"/>
  </r>
  <r>
    <s v="ORD-4180"/>
    <d v="2024-05-14T00:00:00"/>
    <n v="2024"/>
    <s v="May"/>
    <s v="Tue"/>
    <s v="CUST-197"/>
    <s v="PROD-019"/>
    <s v="Consumer"/>
    <s v="East"/>
    <x v="4"/>
    <x v="3"/>
    <n v="14"/>
    <n v="120"/>
    <n v="1680"/>
    <n v="168"/>
    <s v="Large Order"/>
    <s v="Weekday"/>
  </r>
  <r>
    <s v="ORD-4181"/>
    <d v="2024-03-13T00:00:00"/>
    <n v="2024"/>
    <s v="Mar"/>
    <s v="Wed"/>
    <s v="CUST-131"/>
    <s v="PROD-016"/>
    <s v="Consumer"/>
    <s v="South"/>
    <x v="3"/>
    <x v="0"/>
    <n v="11"/>
    <n v="120"/>
    <n v="1320"/>
    <n v="132"/>
    <s v="Large Order"/>
    <s v="Weekday"/>
  </r>
  <r>
    <s v="ORD-4182"/>
    <d v="2024-02-07T00:00:00"/>
    <n v="2024"/>
    <s v="Feb"/>
    <s v="Wed"/>
    <s v="CUST-158"/>
    <s v="PROD-023"/>
    <s v="Corporate"/>
    <s v="East"/>
    <x v="4"/>
    <x v="3"/>
    <n v="11"/>
    <n v="120"/>
    <n v="1320"/>
    <n v="132"/>
    <s v="Large Order"/>
    <s v="Weekday"/>
  </r>
  <r>
    <s v="ORD-4183"/>
    <d v="2024-08-15T00:00:00"/>
    <n v="2024"/>
    <s v="Aug"/>
    <s v="Thu"/>
    <s v="CUST-142"/>
    <s v="PROD-015"/>
    <s v="Home Office"/>
    <s v="North"/>
    <x v="3"/>
    <x v="4"/>
    <n v="9"/>
    <n v="120"/>
    <n v="1080"/>
    <n v="108"/>
    <s v="Large Order"/>
    <s v="Weekday"/>
  </r>
  <r>
    <s v="ORD-4184"/>
    <d v="2024-03-12T00:00:00"/>
    <n v="2024"/>
    <s v="Mar"/>
    <s v="Tue"/>
    <s v="CUST-118"/>
    <s v="PROD-017"/>
    <s v="Corporate"/>
    <s v="Central"/>
    <x v="0"/>
    <x v="2"/>
    <n v="12"/>
    <n v="120"/>
    <n v="1440"/>
    <n v="144"/>
    <s v="Large Order"/>
    <s v="Weekday"/>
  </r>
  <r>
    <s v="ORD-4185"/>
    <d v="2024-05-29T00:00:00"/>
    <n v="2024"/>
    <s v="May"/>
    <s v="Wed"/>
    <s v="CUST-139"/>
    <s v="PROD-023"/>
    <s v="Consumer"/>
    <s v="South"/>
    <x v="5"/>
    <x v="3"/>
    <n v="16"/>
    <n v="120"/>
    <n v="1920"/>
    <n v="192"/>
    <s v="Large Order"/>
    <s v="Weekday"/>
  </r>
  <r>
    <s v="ORD-4186"/>
    <d v="2024-12-10T00:00:00"/>
    <n v="2024"/>
    <s v="Dec"/>
    <s v="Tue"/>
    <s v="CUST-137"/>
    <s v="PROD-005"/>
    <s v="Home Office"/>
    <s v="North"/>
    <x v="4"/>
    <x v="2"/>
    <n v="20"/>
    <n v="120"/>
    <n v="2400"/>
    <n v="240"/>
    <s v="Large Order"/>
    <s v="Weekday"/>
  </r>
  <r>
    <s v="ORD-4187"/>
    <d v="2024-07-15T00:00:00"/>
    <n v="2024"/>
    <s v="Jul"/>
    <s v="Mon"/>
    <s v="CUST-132"/>
    <s v="PROD-021"/>
    <s v="Consumer"/>
    <s v="Central"/>
    <x v="0"/>
    <x v="2"/>
    <n v="19"/>
    <n v="120"/>
    <n v="2280"/>
    <n v="228"/>
    <s v="Large Order"/>
    <s v="Weekday"/>
  </r>
  <r>
    <s v="ORD-4188"/>
    <d v="2024-10-26T00:00:00"/>
    <n v="2024"/>
    <s v="Oct"/>
    <s v="Sat"/>
    <s v="CUST-101"/>
    <s v="PROD-009"/>
    <s v="Corporate"/>
    <s v="Central"/>
    <x v="5"/>
    <x v="4"/>
    <n v="13"/>
    <n v="120"/>
    <n v="1560"/>
    <n v="156"/>
    <s v="Large Order"/>
    <s v="Weekend"/>
  </r>
  <r>
    <s v="ORD-4189"/>
    <d v="2024-03-28T00:00:00"/>
    <n v="2024"/>
    <s v="Mar"/>
    <s v="Thu"/>
    <s v="CUST-144"/>
    <s v="PROD-021"/>
    <s v="Consumer"/>
    <s v="Central"/>
    <x v="5"/>
    <x v="4"/>
    <n v="11"/>
    <n v="120"/>
    <n v="1320"/>
    <n v="132"/>
    <s v="Large Order"/>
    <s v="Weekday"/>
  </r>
  <r>
    <s v="ORD-4190"/>
    <d v="2024-07-12T00:00:00"/>
    <n v="2024"/>
    <s v="Jul"/>
    <s v="Fri"/>
    <s v="CUST-162"/>
    <s v="PROD-021"/>
    <s v="Consumer"/>
    <s v="East"/>
    <x v="5"/>
    <x v="1"/>
    <n v="6"/>
    <n v="120"/>
    <n v="720"/>
    <n v="72"/>
    <s v="Large Order"/>
    <s v="Weekday"/>
  </r>
  <r>
    <s v="ORD-4191"/>
    <d v="2024-07-13T00:00:00"/>
    <n v="2024"/>
    <s v="Jul"/>
    <s v="Sat"/>
    <s v="CUST-101"/>
    <s v="PROD-022"/>
    <s v="Consumer"/>
    <s v="North"/>
    <x v="3"/>
    <x v="2"/>
    <n v="10"/>
    <n v="120"/>
    <n v="1200"/>
    <n v="120"/>
    <s v="Large Order"/>
    <s v="Weekend"/>
  </r>
  <r>
    <s v="ORD-4192"/>
    <d v="2024-03-17T00:00:00"/>
    <n v="2024"/>
    <s v="Mar"/>
    <s v="Sun"/>
    <s v="CUST-135"/>
    <s v="PROD-020"/>
    <s v="Home Office"/>
    <s v="Central"/>
    <x v="0"/>
    <x v="2"/>
    <n v="12"/>
    <n v="120"/>
    <n v="1440"/>
    <n v="144"/>
    <s v="Large Order"/>
    <s v="Weekend"/>
  </r>
  <r>
    <s v="ORD-4193"/>
    <d v="2024-10-18T00:00:00"/>
    <n v="2024"/>
    <s v="Oct"/>
    <s v="Fri"/>
    <s v="CUST-181"/>
    <s v="PROD-001"/>
    <s v="Home Office"/>
    <s v="East"/>
    <x v="5"/>
    <x v="2"/>
    <n v="7"/>
    <n v="120"/>
    <n v="840"/>
    <n v="84"/>
    <s v="Large Order"/>
    <s v="Weekday"/>
  </r>
  <r>
    <s v="ORD-4194"/>
    <d v="2024-01-17T00:00:00"/>
    <n v="2024"/>
    <s v="Jan"/>
    <s v="Wed"/>
    <s v="CUST-151"/>
    <s v="PROD-021"/>
    <s v="Consumer"/>
    <s v="North"/>
    <x v="3"/>
    <x v="4"/>
    <n v="3"/>
    <n v="120"/>
    <n v="360"/>
    <n v="36"/>
    <s v="Standard Order"/>
    <s v="Weekday"/>
  </r>
  <r>
    <s v="ORD-4195"/>
    <d v="2024-09-30T00:00:00"/>
    <n v="2024"/>
    <s v="Sep"/>
    <s v="Mon"/>
    <s v="CUST-194"/>
    <s v="PROD-018"/>
    <s v="Consumer"/>
    <s v="South"/>
    <x v="0"/>
    <x v="1"/>
    <n v="19"/>
    <n v="120"/>
    <n v="2280"/>
    <n v="228"/>
    <s v="Large Order"/>
    <s v="Weekday"/>
  </r>
  <r>
    <s v="ORD-4196"/>
    <d v="2024-05-05T00:00:00"/>
    <n v="2024"/>
    <s v="May"/>
    <s v="Sun"/>
    <s v="CUST-132"/>
    <s v="PROD-024"/>
    <s v="Consumer"/>
    <s v="North"/>
    <x v="4"/>
    <x v="2"/>
    <n v="15"/>
    <n v="120"/>
    <n v="1800"/>
    <n v="180"/>
    <s v="Large Order"/>
    <s v="Weekend"/>
  </r>
  <r>
    <s v="ORD-4197"/>
    <d v="2024-11-07T00:00:00"/>
    <n v="2024"/>
    <s v="Nov"/>
    <s v="Thu"/>
    <s v="CUST-134"/>
    <s v="PROD-018"/>
    <s v="Corporate"/>
    <s v="South"/>
    <x v="0"/>
    <x v="2"/>
    <n v="3"/>
    <n v="120"/>
    <n v="360"/>
    <n v="36"/>
    <s v="Standard Order"/>
    <s v="Weekday"/>
  </r>
  <r>
    <s v="ORD-4198"/>
    <d v="2024-03-08T00:00:00"/>
    <n v="2024"/>
    <s v="Mar"/>
    <s v="Fri"/>
    <s v="CUST-166"/>
    <s v="PROD-010"/>
    <s v="Consumer"/>
    <s v="Central"/>
    <x v="4"/>
    <x v="2"/>
    <n v="8"/>
    <n v="120"/>
    <n v="960"/>
    <n v="96"/>
    <s v="Large Order"/>
    <s v="Weekday"/>
  </r>
  <r>
    <s v="ORD-4199"/>
    <d v="2024-10-24T00:00:00"/>
    <n v="2024"/>
    <s v="Oct"/>
    <s v="Thu"/>
    <s v="CUST-161"/>
    <s v="PROD-015"/>
    <s v="Consumer"/>
    <s v="West"/>
    <x v="5"/>
    <x v="0"/>
    <n v="11"/>
    <n v="120"/>
    <n v="1320"/>
    <n v="132"/>
    <s v="Large Order"/>
    <s v="Weekday"/>
  </r>
  <r>
    <s v="ORD-4200"/>
    <d v="2024-02-07T00:00:00"/>
    <n v="2024"/>
    <s v="Feb"/>
    <s v="Wed"/>
    <s v="CUST-125"/>
    <s v="PROD-016"/>
    <s v="Consumer"/>
    <s v="West"/>
    <x v="2"/>
    <x v="0"/>
    <n v="16"/>
    <n v="120"/>
    <n v="1920"/>
    <n v="192"/>
    <s v="Large Order"/>
    <s v="Weekday"/>
  </r>
  <r>
    <s v="ORD-4201"/>
    <d v="2024-10-04T00:00:00"/>
    <n v="2024"/>
    <s v="Oct"/>
    <s v="Fri"/>
    <s v="CUST-175"/>
    <s v="PROD-007"/>
    <s v="Home Office"/>
    <s v="South"/>
    <x v="2"/>
    <x v="3"/>
    <n v="19"/>
    <n v="120"/>
    <n v="2280"/>
    <n v="228"/>
    <s v="Large Order"/>
    <s v="Weekday"/>
  </r>
  <r>
    <s v="ORD-4202"/>
    <d v="2024-08-08T00:00:00"/>
    <n v="2024"/>
    <s v="Aug"/>
    <s v="Thu"/>
    <s v="CUST-114"/>
    <s v="PROD-024"/>
    <s v="Corporate"/>
    <s v="Central"/>
    <x v="4"/>
    <x v="4"/>
    <n v="20"/>
    <n v="120"/>
    <n v="2400"/>
    <n v="240"/>
    <s v="Large Order"/>
    <s v="Weekday"/>
  </r>
  <r>
    <s v="ORD-4203"/>
    <d v="2024-01-01T00:00:00"/>
    <n v="2024"/>
    <s v="Jan"/>
    <s v="Mon"/>
    <s v="CUST-132"/>
    <s v="PROD-025"/>
    <s v="Corporate"/>
    <s v="East"/>
    <x v="5"/>
    <x v="3"/>
    <n v="16"/>
    <n v="120"/>
    <n v="1920"/>
    <n v="192"/>
    <s v="Large Order"/>
    <s v="Weekday"/>
  </r>
  <r>
    <s v="ORD-4204"/>
    <d v="2024-06-17T00:00:00"/>
    <n v="2024"/>
    <s v="Jun"/>
    <s v="Mon"/>
    <s v="CUST-164"/>
    <s v="PROD-016"/>
    <s v="Home Office"/>
    <s v="Central"/>
    <x v="3"/>
    <x v="3"/>
    <n v="9"/>
    <n v="120"/>
    <n v="1080"/>
    <n v="108"/>
    <s v="Large Order"/>
    <s v="Weekday"/>
  </r>
  <r>
    <s v="ORD-4205"/>
    <d v="2024-05-07T00:00:00"/>
    <n v="2024"/>
    <s v="May"/>
    <s v="Tue"/>
    <s v="CUST-143"/>
    <s v="PROD-009"/>
    <s v="Home Office"/>
    <s v="North"/>
    <x v="5"/>
    <x v="4"/>
    <n v="10"/>
    <n v="120"/>
    <n v="1200"/>
    <n v="120"/>
    <s v="Large Order"/>
    <s v="Weekday"/>
  </r>
  <r>
    <s v="ORD-4206"/>
    <d v="2024-02-27T00:00:00"/>
    <n v="2024"/>
    <s v="Feb"/>
    <s v="Tue"/>
    <s v="CUST-196"/>
    <s v="PROD-006"/>
    <s v="Corporate"/>
    <s v="East"/>
    <x v="0"/>
    <x v="3"/>
    <n v="17"/>
    <n v="120"/>
    <n v="2040"/>
    <n v="204"/>
    <s v="Large Order"/>
    <s v="Weekday"/>
  </r>
  <r>
    <s v="ORD-4207"/>
    <d v="2024-03-24T00:00:00"/>
    <n v="2024"/>
    <s v="Mar"/>
    <s v="Sun"/>
    <s v="CUST-122"/>
    <s v="PROD-003"/>
    <s v="Corporate"/>
    <s v="North"/>
    <x v="3"/>
    <x v="0"/>
    <n v="15"/>
    <n v="120"/>
    <n v="1800"/>
    <n v="180"/>
    <s v="Large Order"/>
    <s v="Weekend"/>
  </r>
  <r>
    <s v="ORD-4208"/>
    <d v="2024-12-17T00:00:00"/>
    <n v="2024"/>
    <s v="Dec"/>
    <s v="Tue"/>
    <s v="CUST-168"/>
    <s v="PROD-006"/>
    <s v="Consumer"/>
    <s v="West"/>
    <x v="0"/>
    <x v="2"/>
    <n v="7"/>
    <n v="120"/>
    <n v="840"/>
    <n v="84"/>
    <s v="Large Order"/>
    <s v="Weekday"/>
  </r>
  <r>
    <s v="ORD-4209"/>
    <d v="2024-06-05T00:00:00"/>
    <n v="2024"/>
    <s v="Jun"/>
    <s v="Wed"/>
    <s v="CUST-140"/>
    <s v="PROD-025"/>
    <s v="Home Office"/>
    <s v="East"/>
    <x v="2"/>
    <x v="0"/>
    <n v="10"/>
    <n v="120"/>
    <n v="1200"/>
    <n v="120"/>
    <s v="Large Order"/>
    <s v="Weekday"/>
  </r>
  <r>
    <s v="ORD-4210"/>
    <d v="2024-04-17T00:00:00"/>
    <n v="2024"/>
    <s v="Apr"/>
    <s v="Wed"/>
    <s v="CUST-173"/>
    <s v="PROD-022"/>
    <s v="Consumer"/>
    <s v="South"/>
    <x v="3"/>
    <x v="2"/>
    <n v="7"/>
    <n v="120"/>
    <n v="840"/>
    <n v="84"/>
    <s v="Large Order"/>
    <s v="Weekday"/>
  </r>
  <r>
    <s v="ORD-4211"/>
    <d v="2024-03-28T00:00:00"/>
    <n v="2024"/>
    <s v="Mar"/>
    <s v="Thu"/>
    <s v="CUST-120"/>
    <s v="PROD-020"/>
    <s v="Home Office"/>
    <s v="East"/>
    <x v="4"/>
    <x v="3"/>
    <n v="17"/>
    <n v="120"/>
    <n v="2040"/>
    <n v="204"/>
    <s v="Large Order"/>
    <s v="Weekday"/>
  </r>
  <r>
    <s v="ORD-4212"/>
    <d v="2024-11-30T00:00:00"/>
    <n v="2024"/>
    <s v="Nov"/>
    <s v="Sat"/>
    <s v="CUST-176"/>
    <s v="PROD-014"/>
    <s v="Home Office"/>
    <s v="East"/>
    <x v="3"/>
    <x v="2"/>
    <n v="9"/>
    <n v="120"/>
    <n v="1080"/>
    <n v="108"/>
    <s v="Large Order"/>
    <s v="Weekend"/>
  </r>
  <r>
    <s v="ORD-4213"/>
    <d v="2024-06-04T00:00:00"/>
    <n v="2024"/>
    <s v="Jun"/>
    <s v="Tue"/>
    <s v="CUST-147"/>
    <s v="PROD-005"/>
    <s v="Corporate"/>
    <s v="North"/>
    <x v="3"/>
    <x v="3"/>
    <n v="11"/>
    <n v="120"/>
    <n v="1320"/>
    <n v="132"/>
    <s v="Large Order"/>
    <s v="Weekday"/>
  </r>
  <r>
    <s v="ORD-4214"/>
    <d v="2024-08-05T00:00:00"/>
    <n v="2024"/>
    <s v="Aug"/>
    <s v="Mon"/>
    <s v="CUST-172"/>
    <s v="PROD-013"/>
    <s v="Corporate"/>
    <s v="East"/>
    <x v="0"/>
    <x v="1"/>
    <n v="2"/>
    <n v="120"/>
    <n v="240"/>
    <n v="24"/>
    <s v="Standard Order"/>
    <s v="Weekday"/>
  </r>
  <r>
    <s v="ORD-4215"/>
    <d v="2024-06-30T00:00:00"/>
    <n v="2024"/>
    <s v="Jun"/>
    <s v="Sun"/>
    <s v="CUST-182"/>
    <s v="PROD-005"/>
    <s v="Corporate"/>
    <s v="East"/>
    <x v="3"/>
    <x v="0"/>
    <n v="7"/>
    <n v="120"/>
    <n v="840"/>
    <n v="84"/>
    <s v="Large Order"/>
    <s v="Weekend"/>
  </r>
  <r>
    <s v="ORD-4216"/>
    <d v="2024-05-11T00:00:00"/>
    <n v="2024"/>
    <s v="May"/>
    <s v="Sat"/>
    <s v="CUST-137"/>
    <s v="PROD-012"/>
    <s v="Consumer"/>
    <s v="Central"/>
    <x v="3"/>
    <x v="1"/>
    <n v="13"/>
    <n v="120"/>
    <n v="1560"/>
    <n v="156"/>
    <s v="Large Order"/>
    <s v="Weekend"/>
  </r>
  <r>
    <s v="ORD-4217"/>
    <d v="2024-10-13T00:00:00"/>
    <n v="2024"/>
    <s v="Oct"/>
    <s v="Sun"/>
    <s v="CUST-194"/>
    <s v="PROD-007"/>
    <s v="Consumer"/>
    <s v="East"/>
    <x v="5"/>
    <x v="4"/>
    <n v="15"/>
    <n v="120"/>
    <n v="1800"/>
    <n v="180"/>
    <s v="Large Order"/>
    <s v="Weekend"/>
  </r>
  <r>
    <s v="ORD-4218"/>
    <d v="2024-02-24T00:00:00"/>
    <n v="2024"/>
    <s v="Feb"/>
    <s v="Sat"/>
    <s v="CUST-109"/>
    <s v="PROD-008"/>
    <s v="Consumer"/>
    <s v="West"/>
    <x v="3"/>
    <x v="1"/>
    <n v="19"/>
    <n v="120"/>
    <n v="2280"/>
    <n v="228"/>
    <s v="Large Order"/>
    <s v="Weekend"/>
  </r>
  <r>
    <s v="ORD-4219"/>
    <d v="2024-01-24T00:00:00"/>
    <n v="2024"/>
    <s v="Jan"/>
    <s v="Wed"/>
    <s v="CUST-199"/>
    <s v="PROD-022"/>
    <s v="Corporate"/>
    <s v="North"/>
    <x v="2"/>
    <x v="2"/>
    <n v="9"/>
    <n v="120"/>
    <n v="1080"/>
    <n v="108"/>
    <s v="Large Order"/>
    <s v="Weekday"/>
  </r>
  <r>
    <s v="ORD-4220"/>
    <d v="2024-10-27T00:00:00"/>
    <n v="2024"/>
    <s v="Oct"/>
    <s v="Sun"/>
    <s v="CUST-148"/>
    <s v="PROD-002"/>
    <s v="Consumer"/>
    <s v="South"/>
    <x v="0"/>
    <x v="3"/>
    <n v="9"/>
    <n v="120"/>
    <n v="1080"/>
    <n v="108"/>
    <s v="Large Order"/>
    <s v="Weekend"/>
  </r>
  <r>
    <s v="ORD-4221"/>
    <d v="2024-08-12T00:00:00"/>
    <n v="2024"/>
    <s v="Aug"/>
    <s v="Mon"/>
    <s v="CUST-136"/>
    <s v="PROD-004"/>
    <s v="Corporate"/>
    <s v="East"/>
    <x v="4"/>
    <x v="0"/>
    <n v="11"/>
    <n v="120"/>
    <n v="1320"/>
    <n v="132"/>
    <s v="Large Order"/>
    <s v="Weekday"/>
  </r>
  <r>
    <s v="ORD-4222"/>
    <d v="2024-07-30T00:00:00"/>
    <n v="2024"/>
    <s v="Jul"/>
    <s v="Tue"/>
    <s v="CUST-119"/>
    <s v="PROD-005"/>
    <s v="Home Office"/>
    <s v="Central"/>
    <x v="3"/>
    <x v="4"/>
    <n v="7"/>
    <n v="120"/>
    <n v="840"/>
    <n v="84"/>
    <s v="Large Order"/>
    <s v="Weekday"/>
  </r>
  <r>
    <s v="ORD-4223"/>
    <d v="2024-08-12T00:00:00"/>
    <n v="2024"/>
    <s v="Aug"/>
    <s v="Mon"/>
    <s v="CUST-131"/>
    <s v="PROD-011"/>
    <s v="Home Office"/>
    <s v="North"/>
    <x v="5"/>
    <x v="3"/>
    <n v="18"/>
    <n v="120"/>
    <n v="2160"/>
    <n v="216"/>
    <s v="Large Order"/>
    <s v="Weekday"/>
  </r>
  <r>
    <s v="ORD-4224"/>
    <d v="2024-05-29T00:00:00"/>
    <n v="2024"/>
    <s v="May"/>
    <s v="Wed"/>
    <s v="CUST-188"/>
    <s v="PROD-001"/>
    <s v="Consumer"/>
    <s v="East"/>
    <x v="0"/>
    <x v="3"/>
    <n v="12"/>
    <n v="120"/>
    <n v="1440"/>
    <n v="144"/>
    <s v="Large Order"/>
    <s v="Weekday"/>
  </r>
  <r>
    <s v="ORD-4225"/>
    <d v="2024-08-16T00:00:00"/>
    <n v="2024"/>
    <s v="Aug"/>
    <s v="Fri"/>
    <s v="CUST-195"/>
    <s v="PROD-007"/>
    <s v="Consumer"/>
    <s v="East"/>
    <x v="3"/>
    <x v="1"/>
    <n v="8"/>
    <n v="120"/>
    <n v="960"/>
    <n v="96"/>
    <s v="Large Order"/>
    <s v="Weekday"/>
  </r>
  <r>
    <s v="ORD-4226"/>
    <d v="2024-06-19T00:00:00"/>
    <n v="2024"/>
    <s v="Jun"/>
    <s v="Wed"/>
    <s v="CUST-125"/>
    <s v="PROD-022"/>
    <s v="Home Office"/>
    <s v="West"/>
    <x v="3"/>
    <x v="3"/>
    <n v="20"/>
    <n v="120"/>
    <n v="2400"/>
    <n v="240"/>
    <s v="Large Order"/>
    <s v="Weekday"/>
  </r>
  <r>
    <s v="ORD-4227"/>
    <d v="2024-01-12T00:00:00"/>
    <n v="2024"/>
    <s v="Jan"/>
    <s v="Fri"/>
    <s v="CUST-117"/>
    <s v="PROD-004"/>
    <s v="Home Office"/>
    <s v="East"/>
    <x v="2"/>
    <x v="1"/>
    <n v="13"/>
    <n v="120"/>
    <n v="1560"/>
    <n v="156"/>
    <s v="Large Order"/>
    <s v="Weekday"/>
  </r>
  <r>
    <s v="ORD-4228"/>
    <d v="2024-01-25T00:00:00"/>
    <n v="2024"/>
    <s v="Jan"/>
    <s v="Thu"/>
    <s v="CUST-167"/>
    <s v="PROD-002"/>
    <s v="Home Office"/>
    <s v="West"/>
    <x v="3"/>
    <x v="0"/>
    <n v="19"/>
    <n v="120"/>
    <n v="2280"/>
    <n v="228"/>
    <s v="Large Order"/>
    <s v="Weekday"/>
  </r>
  <r>
    <s v="ORD-4229"/>
    <d v="2024-01-17T00:00:00"/>
    <n v="2024"/>
    <s v="Jan"/>
    <s v="Wed"/>
    <s v="CUST-164"/>
    <s v="PROD-011"/>
    <s v="Home Office"/>
    <s v="North"/>
    <x v="2"/>
    <x v="3"/>
    <n v="19"/>
    <n v="120"/>
    <n v="2280"/>
    <n v="228"/>
    <s v="Large Order"/>
    <s v="Weekday"/>
  </r>
  <r>
    <s v="ORD-4230"/>
    <d v="2024-02-04T00:00:00"/>
    <n v="2024"/>
    <s v="Feb"/>
    <s v="Sun"/>
    <s v="CUST-194"/>
    <s v="PROD-003"/>
    <s v="Home Office"/>
    <s v="Central"/>
    <x v="0"/>
    <x v="4"/>
    <n v="4"/>
    <n v="120"/>
    <n v="480"/>
    <n v="48"/>
    <s v="Standard Order"/>
    <s v="Weekend"/>
  </r>
  <r>
    <s v="ORD-4231"/>
    <d v="2024-09-19T00:00:00"/>
    <n v="2024"/>
    <s v="Sep"/>
    <s v="Thu"/>
    <s v="CUST-111"/>
    <s v="PROD-019"/>
    <s v="Corporate"/>
    <s v="South"/>
    <x v="5"/>
    <x v="2"/>
    <n v="3"/>
    <n v="120"/>
    <n v="360"/>
    <n v="36"/>
    <s v="Standard Order"/>
    <s v="Weekday"/>
  </r>
  <r>
    <s v="ORD-4232"/>
    <d v="2024-08-08T00:00:00"/>
    <n v="2024"/>
    <s v="Aug"/>
    <s v="Thu"/>
    <s v="CUST-135"/>
    <s v="PROD-015"/>
    <s v="Corporate"/>
    <s v="West"/>
    <x v="4"/>
    <x v="3"/>
    <n v="3"/>
    <n v="120"/>
    <n v="360"/>
    <n v="36"/>
    <s v="Standard Order"/>
    <s v="Weekday"/>
  </r>
  <r>
    <s v="ORD-4233"/>
    <d v="2024-10-21T00:00:00"/>
    <n v="2024"/>
    <s v="Oct"/>
    <s v="Mon"/>
    <s v="CUST-143"/>
    <s v="PROD-015"/>
    <s v="Home Office"/>
    <s v="North"/>
    <x v="2"/>
    <x v="0"/>
    <n v="13"/>
    <n v="120"/>
    <n v="1560"/>
    <n v="156"/>
    <s v="Large Order"/>
    <s v="Weekday"/>
  </r>
  <r>
    <s v="ORD-4234"/>
    <d v="2024-01-04T00:00:00"/>
    <n v="2024"/>
    <s v="Jan"/>
    <s v="Thu"/>
    <s v="CUST-179"/>
    <s v="PROD-013"/>
    <s v="Consumer"/>
    <s v="East"/>
    <x v="0"/>
    <x v="2"/>
    <n v="11"/>
    <n v="120"/>
    <n v="1320"/>
    <n v="132"/>
    <s v="Large Order"/>
    <s v="Weekday"/>
  </r>
  <r>
    <s v="ORD-4235"/>
    <d v="2024-05-12T00:00:00"/>
    <n v="2024"/>
    <s v="May"/>
    <s v="Sun"/>
    <s v="CUST-128"/>
    <s v="PROD-019"/>
    <s v="Home Office"/>
    <s v="Central"/>
    <x v="3"/>
    <x v="4"/>
    <n v="15"/>
    <n v="120"/>
    <n v="1800"/>
    <n v="180"/>
    <s v="Large Order"/>
    <s v="Weekend"/>
  </r>
  <r>
    <s v="ORD-4236"/>
    <d v="2024-04-12T00:00:00"/>
    <n v="2024"/>
    <s v="Apr"/>
    <s v="Fri"/>
    <s v="CUST-198"/>
    <s v="PROD-019"/>
    <s v="Corporate"/>
    <s v="North"/>
    <x v="5"/>
    <x v="2"/>
    <n v="7"/>
    <n v="120"/>
    <n v="840"/>
    <n v="84"/>
    <s v="Large Order"/>
    <s v="Weekday"/>
  </r>
  <r>
    <s v="ORD-4237"/>
    <d v="2024-04-15T00:00:00"/>
    <n v="2024"/>
    <s v="Apr"/>
    <s v="Mon"/>
    <s v="CUST-139"/>
    <s v="PROD-006"/>
    <s v="Consumer"/>
    <s v="East"/>
    <x v="0"/>
    <x v="4"/>
    <n v="20"/>
    <n v="120"/>
    <n v="2400"/>
    <n v="240"/>
    <s v="Large Order"/>
    <s v="Weekday"/>
  </r>
  <r>
    <s v="ORD-4238"/>
    <d v="2024-01-21T00:00:00"/>
    <n v="2024"/>
    <s v="Jan"/>
    <s v="Sun"/>
    <s v="CUST-199"/>
    <s v="PROD-005"/>
    <s v="Home Office"/>
    <s v="East"/>
    <x v="3"/>
    <x v="0"/>
    <n v="11"/>
    <n v="120"/>
    <n v="1320"/>
    <n v="132"/>
    <s v="Large Order"/>
    <s v="Weekend"/>
  </r>
  <r>
    <s v="ORD-4239"/>
    <d v="2024-04-27T00:00:00"/>
    <n v="2024"/>
    <s v="Apr"/>
    <s v="Sat"/>
    <s v="CUST-184"/>
    <s v="PROD-007"/>
    <s v="Consumer"/>
    <s v="North"/>
    <x v="3"/>
    <x v="2"/>
    <n v="14"/>
    <n v="120"/>
    <n v="1680"/>
    <n v="168"/>
    <s v="Large Order"/>
    <s v="Weekend"/>
  </r>
  <r>
    <s v="ORD-4240"/>
    <d v="2024-04-29T00:00:00"/>
    <n v="2024"/>
    <s v="Apr"/>
    <s v="Mon"/>
    <s v="CUST-127"/>
    <s v="PROD-025"/>
    <s v="Corporate"/>
    <s v="South"/>
    <x v="0"/>
    <x v="2"/>
    <n v="15"/>
    <n v="120"/>
    <n v="1800"/>
    <n v="180"/>
    <s v="Large Order"/>
    <s v="Weekday"/>
  </r>
  <r>
    <s v="ORD-4241"/>
    <d v="2024-07-11T00:00:00"/>
    <n v="2024"/>
    <s v="Jul"/>
    <s v="Thu"/>
    <s v="CUST-103"/>
    <s v="PROD-015"/>
    <s v="Home Office"/>
    <s v="Central"/>
    <x v="4"/>
    <x v="1"/>
    <n v="2"/>
    <n v="120"/>
    <n v="240"/>
    <n v="24"/>
    <s v="Standard Order"/>
    <s v="Weekday"/>
  </r>
  <r>
    <s v="ORD-4242"/>
    <d v="2024-07-23T00:00:00"/>
    <n v="2024"/>
    <s v="Jul"/>
    <s v="Tue"/>
    <s v="CUST-125"/>
    <s v="PROD-007"/>
    <s v="Corporate"/>
    <s v="North"/>
    <x v="5"/>
    <x v="0"/>
    <n v="3"/>
    <n v="120"/>
    <n v="360"/>
    <n v="36"/>
    <s v="Standard Order"/>
    <s v="Weekday"/>
  </r>
  <r>
    <s v="ORD-4243"/>
    <d v="2024-09-16T00:00:00"/>
    <n v="2024"/>
    <s v="Sep"/>
    <s v="Mon"/>
    <s v="CUST-174"/>
    <s v="PROD-024"/>
    <s v="Home Office"/>
    <s v="East"/>
    <x v="0"/>
    <x v="2"/>
    <n v="7"/>
    <n v="120"/>
    <n v="840"/>
    <n v="84"/>
    <s v="Large Order"/>
    <s v="Weekday"/>
  </r>
  <r>
    <s v="ORD-4244"/>
    <d v="2024-09-07T00:00:00"/>
    <n v="2024"/>
    <s v="Sep"/>
    <s v="Sat"/>
    <s v="CUST-194"/>
    <s v="PROD-020"/>
    <s v="Corporate"/>
    <s v="East"/>
    <x v="3"/>
    <x v="1"/>
    <n v="7"/>
    <n v="120"/>
    <n v="840"/>
    <n v="84"/>
    <s v="Large Order"/>
    <s v="Weekend"/>
  </r>
  <r>
    <s v="ORD-4245"/>
    <d v="2024-02-16T00:00:00"/>
    <n v="2024"/>
    <s v="Feb"/>
    <s v="Fri"/>
    <s v="CUST-164"/>
    <s v="PROD-012"/>
    <s v="Corporate"/>
    <s v="West"/>
    <x v="3"/>
    <x v="4"/>
    <n v="4"/>
    <n v="120"/>
    <n v="480"/>
    <n v="48"/>
    <s v="Standard Order"/>
    <s v="Weekday"/>
  </r>
  <r>
    <s v="ORD-4246"/>
    <d v="2024-01-09T00:00:00"/>
    <n v="2024"/>
    <s v="Jan"/>
    <s v="Tue"/>
    <s v="CUST-100"/>
    <s v="PROD-013"/>
    <s v="Corporate"/>
    <s v="East"/>
    <x v="2"/>
    <x v="0"/>
    <n v="12"/>
    <n v="120"/>
    <n v="1440"/>
    <n v="144"/>
    <s v="Large Order"/>
    <s v="Weekday"/>
  </r>
  <r>
    <s v="ORD-4247"/>
    <d v="2024-06-07T00:00:00"/>
    <n v="2024"/>
    <s v="Jun"/>
    <s v="Fri"/>
    <s v="CUST-108"/>
    <s v="PROD-014"/>
    <s v="Home Office"/>
    <s v="East"/>
    <x v="3"/>
    <x v="2"/>
    <n v="3"/>
    <n v="120"/>
    <n v="360"/>
    <n v="36"/>
    <s v="Standard Order"/>
    <s v="Weekday"/>
  </r>
  <r>
    <s v="ORD-4248"/>
    <d v="2024-07-18T00:00:00"/>
    <n v="2024"/>
    <s v="Jul"/>
    <s v="Thu"/>
    <s v="CUST-160"/>
    <s v="PROD-001"/>
    <s v="Corporate"/>
    <s v="Central"/>
    <x v="3"/>
    <x v="0"/>
    <n v="5"/>
    <n v="120"/>
    <n v="600"/>
    <n v="60"/>
    <s v="Large Order"/>
    <s v="Weekday"/>
  </r>
  <r>
    <s v="ORD-4249"/>
    <d v="2024-03-31T00:00:00"/>
    <n v="2024"/>
    <s v="Mar"/>
    <s v="Sun"/>
    <s v="CUST-172"/>
    <s v="PROD-001"/>
    <s v="Consumer"/>
    <s v="East"/>
    <x v="5"/>
    <x v="2"/>
    <n v="5"/>
    <n v="120"/>
    <n v="600"/>
    <n v="60"/>
    <s v="Large Order"/>
    <s v="Weekend"/>
  </r>
  <r>
    <s v="ORD-4250"/>
    <d v="2024-01-20T00:00:00"/>
    <n v="2024"/>
    <s v="Jan"/>
    <s v="Sat"/>
    <s v="CUST-107"/>
    <s v="PROD-020"/>
    <s v="Consumer"/>
    <s v="Central"/>
    <x v="3"/>
    <x v="3"/>
    <n v="20"/>
    <n v="120"/>
    <n v="2400"/>
    <n v="240"/>
    <s v="Large Order"/>
    <s v="Weekend"/>
  </r>
  <r>
    <s v="ORD-4251"/>
    <d v="2024-03-21T00:00:00"/>
    <n v="2024"/>
    <s v="Mar"/>
    <s v="Thu"/>
    <s v="CUST-153"/>
    <s v="PROD-006"/>
    <s v="Consumer"/>
    <s v="West"/>
    <x v="5"/>
    <x v="2"/>
    <n v="6"/>
    <n v="120"/>
    <n v="720"/>
    <n v="72"/>
    <s v="Large Order"/>
    <s v="Weekday"/>
  </r>
  <r>
    <s v="ORD-4252"/>
    <d v="2024-02-26T00:00:00"/>
    <n v="2024"/>
    <s v="Feb"/>
    <s v="Mon"/>
    <s v="CUST-200"/>
    <s v="PROD-006"/>
    <s v="Consumer"/>
    <s v="North"/>
    <x v="2"/>
    <x v="2"/>
    <n v="10"/>
    <n v="120"/>
    <n v="1200"/>
    <n v="120"/>
    <s v="Large Order"/>
    <s v="Weekday"/>
  </r>
  <r>
    <s v="ORD-4253"/>
    <d v="2024-07-10T00:00:00"/>
    <n v="2024"/>
    <s v="Jul"/>
    <s v="Wed"/>
    <s v="CUST-133"/>
    <s v="PROD-020"/>
    <s v="Corporate"/>
    <s v="West"/>
    <x v="0"/>
    <x v="0"/>
    <n v="11"/>
    <n v="120"/>
    <n v="1320"/>
    <n v="132"/>
    <s v="Large Order"/>
    <s v="Weekday"/>
  </r>
  <r>
    <s v="ORD-4254"/>
    <d v="2024-08-28T00:00:00"/>
    <n v="2024"/>
    <s v="Aug"/>
    <s v="Wed"/>
    <s v="CUST-104"/>
    <s v="PROD-024"/>
    <s v="Consumer"/>
    <s v="South"/>
    <x v="2"/>
    <x v="0"/>
    <n v="18"/>
    <n v="120"/>
    <n v="2160"/>
    <n v="216"/>
    <s v="Large Order"/>
    <s v="Weekday"/>
  </r>
  <r>
    <s v="ORD-4255"/>
    <d v="2024-11-02T00:00:00"/>
    <n v="2024"/>
    <s v="Nov"/>
    <s v="Sat"/>
    <s v="CUST-192"/>
    <s v="PROD-017"/>
    <s v="Consumer"/>
    <s v="North"/>
    <x v="4"/>
    <x v="0"/>
    <n v="1"/>
    <n v="120"/>
    <n v="120"/>
    <n v="12"/>
    <s v="Standard Order"/>
    <s v="Weekend"/>
  </r>
  <r>
    <s v="ORD-4256"/>
    <d v="2024-04-24T00:00:00"/>
    <n v="2024"/>
    <s v="Apr"/>
    <s v="Wed"/>
    <s v="CUST-111"/>
    <s v="PROD-014"/>
    <s v="Consumer"/>
    <s v="North"/>
    <x v="0"/>
    <x v="1"/>
    <n v="15"/>
    <n v="120"/>
    <n v="1800"/>
    <n v="180"/>
    <s v="Large Order"/>
    <s v="Weekday"/>
  </r>
  <r>
    <s v="ORD-4257"/>
    <d v="2024-10-01T00:00:00"/>
    <n v="2024"/>
    <s v="Oct"/>
    <s v="Tue"/>
    <s v="CUST-156"/>
    <s v="PROD-005"/>
    <s v="Home Office"/>
    <s v="Central"/>
    <x v="0"/>
    <x v="3"/>
    <n v="16"/>
    <n v="120"/>
    <n v="1920"/>
    <n v="192"/>
    <s v="Large Order"/>
    <s v="Weekday"/>
  </r>
  <r>
    <s v="ORD-4258"/>
    <d v="2024-05-11T00:00:00"/>
    <n v="2024"/>
    <s v="May"/>
    <s v="Sat"/>
    <s v="CUST-116"/>
    <s v="PROD-011"/>
    <s v="Home Office"/>
    <s v="Central"/>
    <x v="5"/>
    <x v="3"/>
    <n v="20"/>
    <n v="120"/>
    <n v="2400"/>
    <n v="240"/>
    <s v="Large Order"/>
    <s v="Weekend"/>
  </r>
  <r>
    <s v="ORD-4259"/>
    <d v="2024-02-19T00:00:00"/>
    <n v="2024"/>
    <s v="Feb"/>
    <s v="Mon"/>
    <s v="CUST-161"/>
    <s v="PROD-016"/>
    <s v="Home Office"/>
    <s v="North"/>
    <x v="5"/>
    <x v="2"/>
    <n v="5"/>
    <n v="120"/>
    <n v="600"/>
    <n v="60"/>
    <s v="Large Order"/>
    <s v="Weekday"/>
  </r>
  <r>
    <s v="ORD-4260"/>
    <d v="2024-03-07T00:00:00"/>
    <n v="2024"/>
    <s v="Mar"/>
    <s v="Thu"/>
    <s v="CUST-118"/>
    <s v="PROD-008"/>
    <s v="Home Office"/>
    <s v="East"/>
    <x v="0"/>
    <x v="0"/>
    <n v="13"/>
    <n v="120"/>
    <n v="1560"/>
    <n v="156"/>
    <s v="Large Order"/>
    <s v="Weekday"/>
  </r>
  <r>
    <s v="ORD-4261"/>
    <d v="2024-11-10T00:00:00"/>
    <n v="2024"/>
    <s v="Nov"/>
    <s v="Sun"/>
    <s v="CUST-113"/>
    <s v="PROD-008"/>
    <s v="Consumer"/>
    <s v="Central"/>
    <x v="3"/>
    <x v="2"/>
    <n v="10"/>
    <n v="120"/>
    <n v="1200"/>
    <n v="120"/>
    <s v="Large Order"/>
    <s v="Weekend"/>
  </r>
  <r>
    <s v="ORD-4262"/>
    <d v="2024-08-24T00:00:00"/>
    <n v="2024"/>
    <s v="Aug"/>
    <s v="Sat"/>
    <s v="CUST-185"/>
    <s v="PROD-019"/>
    <s v="Home Office"/>
    <s v="South"/>
    <x v="5"/>
    <x v="4"/>
    <n v="9"/>
    <n v="120"/>
    <n v="1080"/>
    <n v="108"/>
    <s v="Large Order"/>
    <s v="Weekend"/>
  </r>
  <r>
    <s v="ORD-4263"/>
    <d v="2024-03-08T00:00:00"/>
    <n v="2024"/>
    <s v="Mar"/>
    <s v="Fri"/>
    <s v="CUST-141"/>
    <s v="PROD-014"/>
    <s v="Corporate"/>
    <s v="South"/>
    <x v="4"/>
    <x v="4"/>
    <n v="2"/>
    <n v="120"/>
    <n v="240"/>
    <n v="24"/>
    <s v="Standard Order"/>
    <s v="Weekday"/>
  </r>
  <r>
    <s v="ORD-4264"/>
    <d v="2024-07-16T00:00:00"/>
    <n v="2024"/>
    <s v="Jul"/>
    <s v="Tue"/>
    <s v="CUST-180"/>
    <s v="PROD-002"/>
    <s v="Consumer"/>
    <s v="North"/>
    <x v="4"/>
    <x v="0"/>
    <n v="5"/>
    <n v="120"/>
    <n v="600"/>
    <n v="60"/>
    <s v="Large Order"/>
    <s v="Weekday"/>
  </r>
  <r>
    <s v="ORD-4265"/>
    <d v="2024-05-01T00:00:00"/>
    <n v="2024"/>
    <s v="May"/>
    <s v="Wed"/>
    <s v="CUST-120"/>
    <s v="PROD-013"/>
    <s v="Corporate"/>
    <s v="West"/>
    <x v="0"/>
    <x v="4"/>
    <n v="16"/>
    <n v="120"/>
    <n v="1920"/>
    <n v="192"/>
    <s v="Large Order"/>
    <s v="Weekday"/>
  </r>
  <r>
    <s v="ORD-4266"/>
    <d v="2024-06-25T00:00:00"/>
    <n v="2024"/>
    <s v="Jun"/>
    <s v="Tue"/>
    <s v="CUST-124"/>
    <s v="PROD-021"/>
    <s v="Home Office"/>
    <s v="East"/>
    <x v="2"/>
    <x v="1"/>
    <n v="7"/>
    <n v="120"/>
    <n v="840"/>
    <n v="84"/>
    <s v="Large Order"/>
    <s v="Weekday"/>
  </r>
  <r>
    <s v="ORD-4267"/>
    <d v="2024-05-14T00:00:00"/>
    <n v="2024"/>
    <s v="May"/>
    <s v="Tue"/>
    <s v="CUST-169"/>
    <s v="PROD-015"/>
    <s v="Consumer"/>
    <s v="Central"/>
    <x v="3"/>
    <x v="4"/>
    <n v="11"/>
    <n v="120"/>
    <n v="1320"/>
    <n v="132"/>
    <s v="Large Order"/>
    <s v="Weekday"/>
  </r>
  <r>
    <s v="ORD-4268"/>
    <d v="2024-04-05T00:00:00"/>
    <n v="2024"/>
    <s v="Apr"/>
    <s v="Fri"/>
    <s v="CUST-132"/>
    <s v="PROD-011"/>
    <s v="Corporate"/>
    <s v="North"/>
    <x v="5"/>
    <x v="1"/>
    <n v="4"/>
    <n v="120"/>
    <n v="480"/>
    <n v="48"/>
    <s v="Standard Order"/>
    <s v="Weekday"/>
  </r>
  <r>
    <s v="ORD-4269"/>
    <d v="2024-06-24T00:00:00"/>
    <n v="2024"/>
    <s v="Jun"/>
    <s v="Mon"/>
    <s v="CUST-197"/>
    <s v="PROD-017"/>
    <s v="Corporate"/>
    <s v="West"/>
    <x v="0"/>
    <x v="3"/>
    <n v="14"/>
    <n v="120"/>
    <n v="1680"/>
    <n v="168"/>
    <s v="Large Order"/>
    <s v="Weekday"/>
  </r>
  <r>
    <s v="ORD-4270"/>
    <d v="2024-10-05T00:00:00"/>
    <n v="2024"/>
    <s v="Oct"/>
    <s v="Sat"/>
    <s v="CUST-116"/>
    <s v="PROD-004"/>
    <s v="Consumer"/>
    <s v="West"/>
    <x v="2"/>
    <x v="0"/>
    <n v="4"/>
    <n v="120"/>
    <n v="480"/>
    <n v="48"/>
    <s v="Standard Order"/>
    <s v="Weekend"/>
  </r>
  <r>
    <s v="ORD-4271"/>
    <d v="2024-05-31T00:00:00"/>
    <n v="2024"/>
    <s v="May"/>
    <s v="Fri"/>
    <s v="CUST-116"/>
    <s v="PROD-012"/>
    <s v="Corporate"/>
    <s v="Central"/>
    <x v="2"/>
    <x v="1"/>
    <n v="18"/>
    <n v="120"/>
    <n v="2160"/>
    <n v="216"/>
    <s v="Large Order"/>
    <s v="Weekday"/>
  </r>
  <r>
    <s v="ORD-4272"/>
    <d v="2024-02-12T00:00:00"/>
    <n v="2024"/>
    <s v="Feb"/>
    <s v="Mon"/>
    <s v="CUST-164"/>
    <s v="PROD-006"/>
    <s v="Corporate"/>
    <s v="East"/>
    <x v="5"/>
    <x v="2"/>
    <n v="5"/>
    <n v="120"/>
    <n v="600"/>
    <n v="60"/>
    <s v="Large Order"/>
    <s v="Weekday"/>
  </r>
  <r>
    <s v="ORD-4273"/>
    <d v="2024-04-23T00:00:00"/>
    <n v="2024"/>
    <s v="Apr"/>
    <s v="Tue"/>
    <s v="CUST-199"/>
    <s v="PROD-001"/>
    <s v="Consumer"/>
    <s v="Central"/>
    <x v="3"/>
    <x v="4"/>
    <n v="20"/>
    <n v="120"/>
    <n v="2400"/>
    <n v="240"/>
    <s v="Large Order"/>
    <s v="Weekday"/>
  </r>
  <r>
    <s v="ORD-4274"/>
    <d v="2024-10-15T00:00:00"/>
    <n v="2024"/>
    <s v="Oct"/>
    <s v="Tue"/>
    <s v="CUST-167"/>
    <s v="PROD-017"/>
    <s v="Consumer"/>
    <s v="North"/>
    <x v="5"/>
    <x v="3"/>
    <n v="18"/>
    <n v="120"/>
    <n v="2160"/>
    <n v="216"/>
    <s v="Large Order"/>
    <s v="Weekday"/>
  </r>
  <r>
    <s v="ORD-4275"/>
    <d v="2024-09-28T00:00:00"/>
    <n v="2024"/>
    <s v="Sep"/>
    <s v="Sat"/>
    <s v="CUST-121"/>
    <s v="PROD-012"/>
    <s v="Consumer"/>
    <s v="South"/>
    <x v="0"/>
    <x v="2"/>
    <n v="20"/>
    <n v="120"/>
    <n v="2400"/>
    <n v="240"/>
    <s v="Large Order"/>
    <s v="Weekend"/>
  </r>
  <r>
    <s v="ORD-4276"/>
    <d v="2024-03-18T00:00:00"/>
    <n v="2024"/>
    <s v="Mar"/>
    <s v="Mon"/>
    <s v="CUST-169"/>
    <s v="PROD-020"/>
    <s v="Corporate"/>
    <s v="West"/>
    <x v="4"/>
    <x v="3"/>
    <n v="2"/>
    <n v="120"/>
    <n v="240"/>
    <n v="24"/>
    <s v="Standard Order"/>
    <s v="Weekday"/>
  </r>
  <r>
    <s v="ORD-4277"/>
    <d v="2024-07-24T00:00:00"/>
    <n v="2024"/>
    <s v="Jul"/>
    <s v="Wed"/>
    <s v="CUST-137"/>
    <s v="PROD-013"/>
    <s v="Home Office"/>
    <s v="Central"/>
    <x v="2"/>
    <x v="1"/>
    <n v="15"/>
    <n v="120"/>
    <n v="1800"/>
    <n v="180"/>
    <s v="Large Order"/>
    <s v="Weekday"/>
  </r>
  <r>
    <s v="ORD-4278"/>
    <d v="2024-06-02T00:00:00"/>
    <n v="2024"/>
    <s v="Jun"/>
    <s v="Sun"/>
    <s v="CUST-100"/>
    <s v="PROD-003"/>
    <s v="Corporate"/>
    <s v="West"/>
    <x v="5"/>
    <x v="3"/>
    <n v="7"/>
    <n v="120"/>
    <n v="840"/>
    <n v="84"/>
    <s v="Large Order"/>
    <s v="Weekend"/>
  </r>
  <r>
    <s v="ORD-4279"/>
    <d v="2024-11-09T00:00:00"/>
    <n v="2024"/>
    <s v="Nov"/>
    <s v="Sat"/>
    <s v="CUST-176"/>
    <s v="PROD-003"/>
    <s v="Consumer"/>
    <s v="South"/>
    <x v="2"/>
    <x v="2"/>
    <n v="5"/>
    <n v="120"/>
    <n v="600"/>
    <n v="60"/>
    <s v="Large Order"/>
    <s v="Weekend"/>
  </r>
  <r>
    <s v="ORD-4280"/>
    <d v="2024-03-23T00:00:00"/>
    <n v="2024"/>
    <s v="Mar"/>
    <s v="Sat"/>
    <s v="CUST-197"/>
    <s v="PROD-008"/>
    <s v="Corporate"/>
    <s v="East"/>
    <x v="4"/>
    <x v="1"/>
    <n v="13"/>
    <n v="120"/>
    <n v="1560"/>
    <n v="156"/>
    <s v="Large Order"/>
    <s v="Weekend"/>
  </r>
  <r>
    <s v="ORD-4281"/>
    <d v="2024-05-07T00:00:00"/>
    <n v="2024"/>
    <s v="May"/>
    <s v="Tue"/>
    <s v="CUST-144"/>
    <s v="PROD-003"/>
    <s v="Consumer"/>
    <s v="West"/>
    <x v="3"/>
    <x v="2"/>
    <n v="13"/>
    <n v="120"/>
    <n v="1560"/>
    <n v="156"/>
    <s v="Large Order"/>
    <s v="Weekday"/>
  </r>
  <r>
    <s v="ORD-4282"/>
    <d v="2024-10-26T00:00:00"/>
    <n v="2024"/>
    <s v="Oct"/>
    <s v="Sat"/>
    <s v="CUST-186"/>
    <s v="PROD-005"/>
    <s v="Consumer"/>
    <s v="East"/>
    <x v="2"/>
    <x v="2"/>
    <n v="9"/>
    <n v="120"/>
    <n v="1080"/>
    <n v="108"/>
    <s v="Large Order"/>
    <s v="Weekend"/>
  </r>
  <r>
    <s v="ORD-4283"/>
    <d v="2024-01-06T00:00:00"/>
    <n v="2024"/>
    <s v="Jan"/>
    <s v="Sat"/>
    <s v="CUST-181"/>
    <s v="PROD-004"/>
    <s v="Home Office"/>
    <s v="West"/>
    <x v="3"/>
    <x v="4"/>
    <n v="4"/>
    <n v="120"/>
    <n v="480"/>
    <n v="48"/>
    <s v="Standard Order"/>
    <s v="Weekend"/>
  </r>
  <r>
    <s v="ORD-4284"/>
    <d v="2024-11-02T00:00:00"/>
    <n v="2024"/>
    <s v="Nov"/>
    <s v="Sat"/>
    <s v="CUST-160"/>
    <s v="PROD-008"/>
    <s v="Home Office"/>
    <s v="East"/>
    <x v="2"/>
    <x v="3"/>
    <n v="4"/>
    <n v="120"/>
    <n v="480"/>
    <n v="48"/>
    <s v="Standard Order"/>
    <s v="Weekend"/>
  </r>
  <r>
    <s v="ORD-4285"/>
    <d v="2024-11-08T00:00:00"/>
    <n v="2024"/>
    <s v="Nov"/>
    <s v="Fri"/>
    <s v="CUST-158"/>
    <s v="PROD-005"/>
    <s v="Consumer"/>
    <s v="West"/>
    <x v="3"/>
    <x v="3"/>
    <n v="2"/>
    <n v="120"/>
    <n v="240"/>
    <n v="24"/>
    <s v="Standard Order"/>
    <s v="Weekday"/>
  </r>
  <r>
    <s v="ORD-4286"/>
    <d v="2024-05-10T00:00:00"/>
    <n v="2024"/>
    <s v="May"/>
    <s v="Fri"/>
    <s v="CUST-114"/>
    <s v="PROD-021"/>
    <s v="Corporate"/>
    <s v="South"/>
    <x v="2"/>
    <x v="4"/>
    <n v="6"/>
    <n v="120"/>
    <n v="720"/>
    <n v="72"/>
    <s v="Large Order"/>
    <s v="Weekday"/>
  </r>
  <r>
    <s v="ORD-4287"/>
    <d v="2024-12-20T00:00:00"/>
    <n v="2024"/>
    <s v="Dec"/>
    <s v="Fri"/>
    <s v="CUST-162"/>
    <s v="PROD-025"/>
    <s v="Corporate"/>
    <s v="West"/>
    <x v="4"/>
    <x v="4"/>
    <n v="4"/>
    <n v="120"/>
    <n v="480"/>
    <n v="48"/>
    <s v="Standard Order"/>
    <s v="Weekday"/>
  </r>
  <r>
    <s v="ORD-4288"/>
    <d v="2024-11-04T00:00:00"/>
    <n v="2024"/>
    <s v="Nov"/>
    <s v="Mon"/>
    <s v="CUST-176"/>
    <s v="PROD-012"/>
    <s v="Consumer"/>
    <s v="East"/>
    <x v="2"/>
    <x v="1"/>
    <n v="14"/>
    <n v="120"/>
    <n v="1680"/>
    <n v="168"/>
    <s v="Large Order"/>
    <s v="Weekday"/>
  </r>
  <r>
    <s v="ORD-4289"/>
    <d v="2024-02-23T00:00:00"/>
    <n v="2024"/>
    <s v="Feb"/>
    <s v="Fri"/>
    <s v="CUST-198"/>
    <s v="PROD-009"/>
    <s v="Home Office"/>
    <s v="North"/>
    <x v="3"/>
    <x v="3"/>
    <n v="17"/>
    <n v="120"/>
    <n v="2040"/>
    <n v="204"/>
    <s v="Large Order"/>
    <s v="Weekday"/>
  </r>
  <r>
    <s v="ORD-4290"/>
    <d v="2024-12-07T00:00:00"/>
    <n v="2024"/>
    <s v="Dec"/>
    <s v="Sat"/>
    <s v="CUST-132"/>
    <s v="PROD-012"/>
    <s v="Consumer"/>
    <s v="East"/>
    <x v="0"/>
    <x v="0"/>
    <n v="16"/>
    <n v="120"/>
    <n v="1920"/>
    <n v="192"/>
    <s v="Large Order"/>
    <s v="Weekend"/>
  </r>
  <r>
    <s v="ORD-4291"/>
    <d v="2024-09-10T00:00:00"/>
    <n v="2024"/>
    <s v="Sep"/>
    <s v="Tue"/>
    <s v="CUST-128"/>
    <s v="PROD-019"/>
    <s v="Corporate"/>
    <s v="West"/>
    <x v="3"/>
    <x v="0"/>
    <n v="16"/>
    <n v="120"/>
    <n v="1920"/>
    <n v="192"/>
    <s v="Large Order"/>
    <s v="Weekday"/>
  </r>
  <r>
    <s v="ORD-4292"/>
    <d v="2024-10-16T00:00:00"/>
    <n v="2024"/>
    <s v="Oct"/>
    <s v="Wed"/>
    <s v="CUST-148"/>
    <s v="PROD-020"/>
    <s v="Home Office"/>
    <s v="North"/>
    <x v="2"/>
    <x v="0"/>
    <n v="20"/>
    <n v="120"/>
    <n v="2400"/>
    <n v="240"/>
    <s v="Large Order"/>
    <s v="Weekday"/>
  </r>
  <r>
    <s v="ORD-4293"/>
    <d v="2024-11-25T00:00:00"/>
    <n v="2024"/>
    <s v="Nov"/>
    <s v="Mon"/>
    <s v="CUST-112"/>
    <s v="PROD-019"/>
    <s v="Consumer"/>
    <s v="North"/>
    <x v="0"/>
    <x v="2"/>
    <n v="12"/>
    <n v="120"/>
    <n v="1440"/>
    <n v="144"/>
    <s v="Large Order"/>
    <s v="Weekday"/>
  </r>
  <r>
    <s v="ORD-4294"/>
    <d v="2024-12-29T00:00:00"/>
    <n v="2024"/>
    <s v="Dec"/>
    <s v="Sun"/>
    <s v="CUST-177"/>
    <s v="PROD-014"/>
    <s v="Corporate"/>
    <s v="West"/>
    <x v="0"/>
    <x v="3"/>
    <n v="15"/>
    <n v="120"/>
    <n v="1800"/>
    <n v="180"/>
    <s v="Large Order"/>
    <s v="Weekend"/>
  </r>
  <r>
    <s v="ORD-4295"/>
    <d v="2024-10-20T00:00:00"/>
    <n v="2024"/>
    <s v="Oct"/>
    <s v="Sun"/>
    <s v="CUST-166"/>
    <s v="PROD-002"/>
    <s v="Corporate"/>
    <s v="East"/>
    <x v="2"/>
    <x v="0"/>
    <n v="7"/>
    <n v="120"/>
    <n v="840"/>
    <n v="84"/>
    <s v="Large Order"/>
    <s v="Weekend"/>
  </r>
  <r>
    <s v="ORD-4296"/>
    <d v="2024-01-13T00:00:00"/>
    <n v="2024"/>
    <s v="Jan"/>
    <s v="Sat"/>
    <s v="CUST-180"/>
    <s v="PROD-011"/>
    <s v="Consumer"/>
    <s v="East"/>
    <x v="3"/>
    <x v="1"/>
    <n v="1"/>
    <n v="120"/>
    <n v="120"/>
    <n v="12"/>
    <s v="Standard Order"/>
    <s v="Weekend"/>
  </r>
  <r>
    <s v="ORD-4297"/>
    <d v="2024-05-09T00:00:00"/>
    <n v="2024"/>
    <s v="May"/>
    <s v="Thu"/>
    <s v="CUST-145"/>
    <s v="PROD-022"/>
    <s v="Corporate"/>
    <s v="East"/>
    <x v="3"/>
    <x v="2"/>
    <n v="9"/>
    <n v="120"/>
    <n v="1080"/>
    <n v="108"/>
    <s v="Large Order"/>
    <s v="Weekday"/>
  </r>
  <r>
    <s v="ORD-4298"/>
    <d v="2024-01-25T00:00:00"/>
    <n v="2024"/>
    <s v="Jan"/>
    <s v="Thu"/>
    <s v="CUST-141"/>
    <s v="PROD-015"/>
    <s v="Home Office"/>
    <s v="West"/>
    <x v="3"/>
    <x v="2"/>
    <n v="7"/>
    <n v="120"/>
    <n v="840"/>
    <n v="84"/>
    <s v="Large Order"/>
    <s v="Weekday"/>
  </r>
  <r>
    <s v="ORD-4299"/>
    <d v="2024-10-07T00:00:00"/>
    <n v="2024"/>
    <s v="Oct"/>
    <s v="Mon"/>
    <s v="CUST-182"/>
    <s v="PROD-011"/>
    <s v="Home Office"/>
    <s v=""/>
    <x v="2"/>
    <x v="3"/>
    <n v="6"/>
    <n v="120"/>
    <n v="720"/>
    <n v="72"/>
    <s v="Large Order"/>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533013-646C-40A3-827A-AFD4F689CDE5}"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H8" firstHeaderRow="1" firstDataRow="2" firstDataCol="1"/>
  <pivotFields count="17">
    <pivotField showAll="0"/>
    <pivotField numFmtId="14" showAll="0"/>
    <pivotField showAll="0"/>
    <pivotField showAll="0"/>
    <pivotField showAll="0"/>
    <pivotField showAll="0"/>
    <pivotField showAll="0"/>
    <pivotField showAll="0"/>
    <pivotField showAll="0"/>
    <pivotField axis="axisCol" showAll="0">
      <items count="7">
        <item x="1"/>
        <item x="5"/>
        <item x="3"/>
        <item x="0"/>
        <item x="4"/>
        <item x="2"/>
        <item t="default"/>
      </items>
    </pivotField>
    <pivotField axis="axisRow" showAll="0">
      <items count="6">
        <item x="2"/>
        <item x="0"/>
        <item x="3"/>
        <item x="4"/>
        <item x="1"/>
        <item t="default"/>
      </items>
    </pivotField>
    <pivotField showAll="0"/>
    <pivotField showAll="0"/>
    <pivotField dataField="1" showAll="0"/>
    <pivotField showAll="0"/>
    <pivotField showAll="0"/>
    <pivotField showAll="0"/>
  </pivotFields>
  <rowFields count="1">
    <field x="10"/>
  </rowFields>
  <rowItems count="6">
    <i>
      <x/>
    </i>
    <i>
      <x v="1"/>
    </i>
    <i>
      <x v="2"/>
    </i>
    <i>
      <x v="3"/>
    </i>
    <i>
      <x v="4"/>
    </i>
    <i t="grand">
      <x/>
    </i>
  </rowItems>
  <colFields count="1">
    <field x="9"/>
  </colFields>
  <colItems count="7">
    <i>
      <x/>
    </i>
    <i>
      <x v="1"/>
    </i>
    <i>
      <x v="2"/>
    </i>
    <i>
      <x v="3"/>
    </i>
    <i>
      <x v="4"/>
    </i>
    <i>
      <x v="5"/>
    </i>
    <i t="grand">
      <x/>
    </i>
  </colItems>
  <dataFields count="1">
    <dataField name="Sum of Sales" fld="13"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34A5-DAB8-72E3-693B-B7C6D7326CF8}">
  <dimension ref="A1:AX3357"/>
  <sheetViews>
    <sheetView workbookViewId="0">
      <pane ySplit="1" topLeftCell="A3347" activePane="bottomLeft" state="frozen"/>
      <selection pane="bottomLeft" activeCell="J3347" sqref="J3347"/>
    </sheetView>
  </sheetViews>
  <sheetFormatPr defaultColWidth="9.08984375" defaultRowHeight="21.75" customHeight="1" x14ac:dyDescent="0.35"/>
  <cols>
    <col min="1" max="1" width="9.36328125" bestFit="1" customWidth="1"/>
    <col min="2" max="2" width="18.08984375" bestFit="1" customWidth="1"/>
    <col min="3" max="3" width="11.54296875" bestFit="1" customWidth="1"/>
    <col min="4" max="4" width="10.453125" bestFit="1" customWidth="1"/>
    <col min="5" max="5" width="11.81640625" bestFit="1" customWidth="1"/>
    <col min="6" max="6" width="8" bestFit="1" customWidth="1"/>
    <col min="7" max="7" width="15" bestFit="1" customWidth="1"/>
    <col min="8" max="8" width="8.453125" bestFit="1" customWidth="1"/>
    <col min="9" max="9" width="12.90625" bestFit="1" customWidth="1"/>
  </cols>
  <sheetData>
    <row r="1" spans="1:50" ht="21.75"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21.75" customHeight="1" x14ac:dyDescent="0.35">
      <c r="A2" s="2" t="s">
        <v>0</v>
      </c>
      <c r="B2" s="2" t="s">
        <v>1</v>
      </c>
      <c r="C2" s="2" t="s">
        <v>2</v>
      </c>
      <c r="D2" s="2" t="s">
        <v>3</v>
      </c>
      <c r="E2" s="2" t="s">
        <v>4</v>
      </c>
      <c r="F2" s="4" t="s">
        <v>5</v>
      </c>
      <c r="G2" s="2" t="s">
        <v>6</v>
      </c>
      <c r="H2" s="2" t="s">
        <v>7</v>
      </c>
      <c r="I2" s="4" t="s">
        <v>3626</v>
      </c>
      <c r="J2" s="5" t="s">
        <v>3627</v>
      </c>
    </row>
    <row r="3" spans="1:50" ht="21.75" customHeight="1" x14ac:dyDescent="0.35">
      <c r="A3" t="s">
        <v>8</v>
      </c>
      <c r="B3" s="3">
        <v>45619</v>
      </c>
      <c r="C3" t="s">
        <v>9</v>
      </c>
      <c r="D3" t="s">
        <v>10</v>
      </c>
      <c r="E3" t="s">
        <v>11</v>
      </c>
      <c r="F3" t="s">
        <v>12</v>
      </c>
      <c r="G3" t="s">
        <v>13</v>
      </c>
      <c r="H3">
        <v>4</v>
      </c>
    </row>
    <row r="4" spans="1:50" ht="21.75" customHeight="1" x14ac:dyDescent="0.35">
      <c r="A4" t="s">
        <v>14</v>
      </c>
      <c r="B4" s="3">
        <v>45638</v>
      </c>
      <c r="C4" t="s">
        <v>15</v>
      </c>
      <c r="D4" t="s">
        <v>16</v>
      </c>
      <c r="E4" t="s">
        <v>17</v>
      </c>
      <c r="F4" t="s">
        <v>18</v>
      </c>
      <c r="G4" t="s">
        <v>13</v>
      </c>
      <c r="H4">
        <v>1</v>
      </c>
    </row>
    <row r="5" spans="1:50" ht="21.75" customHeight="1" x14ac:dyDescent="0.35">
      <c r="A5" t="s">
        <v>19</v>
      </c>
      <c r="B5" s="3">
        <v>45411</v>
      </c>
      <c r="C5" t="s">
        <v>20</v>
      </c>
      <c r="D5" t="s">
        <v>21</v>
      </c>
      <c r="E5" t="s">
        <v>22</v>
      </c>
      <c r="F5" t="s">
        <v>18</v>
      </c>
      <c r="G5" t="s">
        <v>23</v>
      </c>
      <c r="H5">
        <v>4</v>
      </c>
    </row>
    <row r="6" spans="1:50" ht="21.75" customHeight="1" x14ac:dyDescent="0.35">
      <c r="A6" t="s">
        <v>24</v>
      </c>
      <c r="B6" s="3">
        <v>45571</v>
      </c>
      <c r="C6" t="s">
        <v>25</v>
      </c>
      <c r="D6" t="s">
        <v>26</v>
      </c>
      <c r="E6" t="s">
        <v>22</v>
      </c>
      <c r="F6" t="s">
        <v>27</v>
      </c>
      <c r="G6" t="s">
        <v>28</v>
      </c>
      <c r="H6">
        <v>5</v>
      </c>
    </row>
    <row r="7" spans="1:50" ht="21.75" customHeight="1" x14ac:dyDescent="0.35">
      <c r="A7" t="s">
        <v>29</v>
      </c>
      <c r="B7" s="3">
        <v>45373</v>
      </c>
      <c r="C7" t="s">
        <v>30</v>
      </c>
      <c r="D7" t="s">
        <v>31</v>
      </c>
      <c r="E7" t="s">
        <v>11</v>
      </c>
      <c r="F7" t="s">
        <v>27</v>
      </c>
      <c r="G7" t="s">
        <v>32</v>
      </c>
      <c r="H7">
        <v>4</v>
      </c>
    </row>
    <row r="8" spans="1:50" ht="21.75" customHeight="1" x14ac:dyDescent="0.35">
      <c r="A8" t="s">
        <v>33</v>
      </c>
      <c r="B8" s="3">
        <v>45344</v>
      </c>
      <c r="C8" t="s">
        <v>34</v>
      </c>
      <c r="D8" t="s">
        <v>35</v>
      </c>
      <c r="E8" t="s">
        <v>17</v>
      </c>
      <c r="F8" t="s">
        <v>12</v>
      </c>
      <c r="G8" t="s">
        <v>36</v>
      </c>
      <c r="H8">
        <v>14</v>
      </c>
    </row>
    <row r="9" spans="1:50" ht="21.75" customHeight="1" x14ac:dyDescent="0.35">
      <c r="A9" t="s">
        <v>37</v>
      </c>
      <c r="B9" s="3">
        <v>45314</v>
      </c>
      <c r="C9" t="s">
        <v>38</v>
      </c>
      <c r="D9" t="s">
        <v>21</v>
      </c>
      <c r="E9" t="s">
        <v>17</v>
      </c>
      <c r="F9" t="s">
        <v>27</v>
      </c>
      <c r="G9" t="s">
        <v>23</v>
      </c>
      <c r="H9">
        <v>2</v>
      </c>
    </row>
    <row r="10" spans="1:50" ht="21.75" customHeight="1" x14ac:dyDescent="0.35">
      <c r="A10" t="s">
        <v>39</v>
      </c>
      <c r="B10" s="3">
        <v>45608</v>
      </c>
      <c r="C10" t="s">
        <v>40</v>
      </c>
      <c r="D10" t="s">
        <v>41</v>
      </c>
      <c r="E10" t="s">
        <v>22</v>
      </c>
      <c r="F10" t="s">
        <v>42</v>
      </c>
      <c r="G10" t="s">
        <v>23</v>
      </c>
      <c r="H10">
        <v>2</v>
      </c>
    </row>
    <row r="11" spans="1:50" ht="21.75" customHeight="1" x14ac:dyDescent="0.35">
      <c r="A11" t="s">
        <v>43</v>
      </c>
      <c r="B11" s="3">
        <v>45440</v>
      </c>
      <c r="C11" t="s">
        <v>44</v>
      </c>
      <c r="D11" t="s">
        <v>45</v>
      </c>
      <c r="E11" t="s">
        <v>17</v>
      </c>
      <c r="F11" t="s">
        <v>12</v>
      </c>
      <c r="G11" t="s">
        <v>28</v>
      </c>
      <c r="H11">
        <v>5</v>
      </c>
    </row>
    <row r="12" spans="1:50" ht="21.75" customHeight="1" x14ac:dyDescent="0.35">
      <c r="A12" t="s">
        <v>46</v>
      </c>
      <c r="B12" s="3">
        <v>45375</v>
      </c>
      <c r="C12" t="s">
        <v>47</v>
      </c>
      <c r="D12" t="s">
        <v>48</v>
      </c>
      <c r="E12" t="s">
        <v>22</v>
      </c>
      <c r="F12" t="s">
        <v>42</v>
      </c>
      <c r="G12" t="s">
        <v>49</v>
      </c>
      <c r="H12">
        <v>5</v>
      </c>
    </row>
    <row r="13" spans="1:50" ht="21.75" customHeight="1" x14ac:dyDescent="0.35">
      <c r="A13" t="s">
        <v>50</v>
      </c>
      <c r="B13" s="3">
        <v>45623</v>
      </c>
      <c r="C13" t="s">
        <v>51</v>
      </c>
      <c r="D13" t="s">
        <v>41</v>
      </c>
      <c r="E13" t="s">
        <v>22</v>
      </c>
      <c r="F13" t="s">
        <v>12</v>
      </c>
      <c r="G13" t="s">
        <v>23</v>
      </c>
      <c r="H13">
        <v>12</v>
      </c>
    </row>
    <row r="14" spans="1:50" ht="21.75" customHeight="1" x14ac:dyDescent="0.35">
      <c r="A14" t="s">
        <v>52</v>
      </c>
      <c r="B14" s="3">
        <v>45486</v>
      </c>
      <c r="C14" t="s">
        <v>53</v>
      </c>
      <c r="D14" t="s">
        <v>41</v>
      </c>
      <c r="E14" t="s">
        <v>22</v>
      </c>
      <c r="F14" t="s">
        <v>42</v>
      </c>
      <c r="G14" t="s">
        <v>23</v>
      </c>
      <c r="H14">
        <v>6</v>
      </c>
    </row>
    <row r="15" spans="1:50" ht="21.75" customHeight="1" x14ac:dyDescent="0.35">
      <c r="A15" t="s">
        <v>54</v>
      </c>
      <c r="B15" s="3">
        <v>45320</v>
      </c>
      <c r="C15" t="s">
        <v>55</v>
      </c>
      <c r="D15" t="s">
        <v>10</v>
      </c>
      <c r="E15" t="s">
        <v>17</v>
      </c>
      <c r="F15" t="s">
        <v>56</v>
      </c>
      <c r="G15" t="s">
        <v>13</v>
      </c>
      <c r="H15">
        <v>5</v>
      </c>
    </row>
    <row r="16" spans="1:50" ht="21.75" customHeight="1" x14ac:dyDescent="0.35">
      <c r="A16" t="s">
        <v>57</v>
      </c>
      <c r="B16" s="3">
        <v>45453</v>
      </c>
      <c r="C16" t="s">
        <v>58</v>
      </c>
      <c r="D16" t="s">
        <v>59</v>
      </c>
      <c r="E16" t="s">
        <v>22</v>
      </c>
      <c r="F16" t="s">
        <v>56</v>
      </c>
      <c r="G16" t="s">
        <v>36</v>
      </c>
      <c r="H16">
        <v>8</v>
      </c>
    </row>
    <row r="17" spans="1:8" ht="21.75" customHeight="1" x14ac:dyDescent="0.35">
      <c r="A17" t="s">
        <v>60</v>
      </c>
      <c r="B17" s="3">
        <v>45418</v>
      </c>
      <c r="C17" t="s">
        <v>61</v>
      </c>
      <c r="D17" t="s">
        <v>62</v>
      </c>
      <c r="E17" t="s">
        <v>22</v>
      </c>
      <c r="F17" t="s">
        <v>18</v>
      </c>
      <c r="G17" t="s">
        <v>23</v>
      </c>
      <c r="H17">
        <v>10</v>
      </c>
    </row>
    <row r="18" spans="1:8" ht="21.75" customHeight="1" x14ac:dyDescent="0.35">
      <c r="A18" t="s">
        <v>63</v>
      </c>
      <c r="B18" s="3">
        <v>45496</v>
      </c>
      <c r="C18" t="s">
        <v>64</v>
      </c>
      <c r="D18" t="s">
        <v>65</v>
      </c>
      <c r="E18" t="s">
        <v>22</v>
      </c>
      <c r="F18" t="s">
        <v>42</v>
      </c>
      <c r="G18" t="s">
        <v>66</v>
      </c>
      <c r="H18">
        <v>8</v>
      </c>
    </row>
    <row r="19" spans="1:8" ht="21.75" customHeight="1" x14ac:dyDescent="0.35">
      <c r="A19" t="s">
        <v>67</v>
      </c>
      <c r="B19" s="3">
        <v>45348</v>
      </c>
      <c r="C19" t="s">
        <v>68</v>
      </c>
      <c r="D19" t="s">
        <v>26</v>
      </c>
      <c r="E19" t="s">
        <v>22</v>
      </c>
      <c r="F19" t="s">
        <v>56</v>
      </c>
      <c r="G19" t="s">
        <v>28</v>
      </c>
      <c r="H19">
        <v>2</v>
      </c>
    </row>
    <row r="20" spans="1:8" ht="21.75" customHeight="1" x14ac:dyDescent="0.35">
      <c r="A20" t="s">
        <v>69</v>
      </c>
      <c r="B20" s="3">
        <v>45531</v>
      </c>
      <c r="C20" t="s">
        <v>47</v>
      </c>
      <c r="D20" t="s">
        <v>70</v>
      </c>
      <c r="E20" t="s">
        <v>11</v>
      </c>
      <c r="F20" t="s">
        <v>18</v>
      </c>
      <c r="G20" t="s">
        <v>32</v>
      </c>
      <c r="H20">
        <v>11</v>
      </c>
    </row>
    <row r="21" spans="1:8" ht="21.75" customHeight="1" x14ac:dyDescent="0.35">
      <c r="A21" t="s">
        <v>71</v>
      </c>
      <c r="B21" s="3">
        <v>45566</v>
      </c>
      <c r="C21" t="s">
        <v>25</v>
      </c>
      <c r="D21" t="s">
        <v>72</v>
      </c>
      <c r="E21" t="s">
        <v>17</v>
      </c>
      <c r="F21" t="s">
        <v>42</v>
      </c>
      <c r="G21" t="s">
        <v>49</v>
      </c>
      <c r="H21">
        <v>7</v>
      </c>
    </row>
    <row r="22" spans="1:8" ht="21.75" customHeight="1" x14ac:dyDescent="0.35">
      <c r="A22" t="s">
        <v>73</v>
      </c>
      <c r="B22" s="3">
        <v>45426</v>
      </c>
      <c r="C22" t="s">
        <v>38</v>
      </c>
      <c r="D22" t="s">
        <v>74</v>
      </c>
      <c r="E22" t="s">
        <v>11</v>
      </c>
      <c r="F22" t="s">
        <v>18</v>
      </c>
      <c r="G22" t="s">
        <v>28</v>
      </c>
      <c r="H22">
        <v>14</v>
      </c>
    </row>
    <row r="23" spans="1:8" ht="21.75" customHeight="1" x14ac:dyDescent="0.35">
      <c r="A23" t="s">
        <v>75</v>
      </c>
      <c r="B23" s="3">
        <v>45551</v>
      </c>
      <c r="C23" t="s">
        <v>53</v>
      </c>
      <c r="D23" t="s">
        <v>65</v>
      </c>
      <c r="E23" t="s">
        <v>17</v>
      </c>
      <c r="F23" t="s">
        <v>18</v>
      </c>
      <c r="G23" t="s">
        <v>28</v>
      </c>
      <c r="H23">
        <v>13</v>
      </c>
    </row>
    <row r="24" spans="1:8" ht="21.75" customHeight="1" x14ac:dyDescent="0.35">
      <c r="A24" t="s">
        <v>76</v>
      </c>
      <c r="B24" s="3">
        <v>45563</v>
      </c>
      <c r="C24" t="s">
        <v>44</v>
      </c>
      <c r="D24" t="s">
        <v>62</v>
      </c>
      <c r="E24" t="s">
        <v>17</v>
      </c>
      <c r="F24" t="s">
        <v>12</v>
      </c>
      <c r="G24" t="s">
        <v>23</v>
      </c>
      <c r="H24">
        <v>1</v>
      </c>
    </row>
    <row r="25" spans="1:8" ht="21.75" customHeight="1" x14ac:dyDescent="0.35">
      <c r="A25" t="s">
        <v>77</v>
      </c>
      <c r="B25" s="3">
        <v>45449</v>
      </c>
      <c r="C25" t="s">
        <v>78</v>
      </c>
      <c r="D25" t="s">
        <v>79</v>
      </c>
      <c r="E25" t="s">
        <v>22</v>
      </c>
      <c r="F25" t="s">
        <v>56</v>
      </c>
      <c r="G25" t="s">
        <v>13</v>
      </c>
      <c r="H25">
        <v>2</v>
      </c>
    </row>
    <row r="26" spans="1:8" ht="21.75" customHeight="1" x14ac:dyDescent="0.35">
      <c r="A26" t="s">
        <v>80</v>
      </c>
      <c r="B26" s="3">
        <v>45327</v>
      </c>
      <c r="C26" t="s">
        <v>81</v>
      </c>
      <c r="D26" t="s">
        <v>65</v>
      </c>
      <c r="E26" t="s">
        <v>22</v>
      </c>
      <c r="F26" t="s">
        <v>18</v>
      </c>
      <c r="G26" t="s">
        <v>28</v>
      </c>
      <c r="H26">
        <v>8</v>
      </c>
    </row>
    <row r="27" spans="1:8" ht="21.75" customHeight="1" x14ac:dyDescent="0.35">
      <c r="A27" t="s">
        <v>82</v>
      </c>
      <c r="B27" s="3">
        <v>45427</v>
      </c>
      <c r="C27" t="s">
        <v>83</v>
      </c>
      <c r="D27" t="s">
        <v>84</v>
      </c>
      <c r="E27" t="s">
        <v>11</v>
      </c>
      <c r="F27" t="s">
        <v>18</v>
      </c>
      <c r="G27" t="s">
        <v>23</v>
      </c>
      <c r="H27">
        <v>15</v>
      </c>
    </row>
    <row r="28" spans="1:8" ht="21.75" customHeight="1" x14ac:dyDescent="0.35">
      <c r="A28" t="s">
        <v>85</v>
      </c>
      <c r="B28" s="3">
        <v>45645</v>
      </c>
      <c r="C28" t="s">
        <v>86</v>
      </c>
      <c r="D28" t="s">
        <v>87</v>
      </c>
      <c r="E28" t="s">
        <v>22</v>
      </c>
      <c r="F28" t="s">
        <v>56</v>
      </c>
      <c r="G28" t="s">
        <v>32</v>
      </c>
      <c r="H28">
        <v>11</v>
      </c>
    </row>
    <row r="29" spans="1:8" ht="21.75" customHeight="1" x14ac:dyDescent="0.35">
      <c r="A29" t="s">
        <v>88</v>
      </c>
      <c r="B29" s="3">
        <v>45523</v>
      </c>
      <c r="C29" t="s">
        <v>89</v>
      </c>
      <c r="D29" t="s">
        <v>65</v>
      </c>
      <c r="E29" t="s">
        <v>11</v>
      </c>
      <c r="F29" t="s">
        <v>12</v>
      </c>
      <c r="G29" t="s">
        <v>28</v>
      </c>
      <c r="H29">
        <v>6</v>
      </c>
    </row>
    <row r="30" spans="1:8" ht="21.75" customHeight="1" x14ac:dyDescent="0.35">
      <c r="A30" t="s">
        <v>90</v>
      </c>
      <c r="B30" s="3">
        <v>45409</v>
      </c>
      <c r="C30" t="s">
        <v>40</v>
      </c>
      <c r="D30" t="s">
        <v>45</v>
      </c>
      <c r="E30" t="s">
        <v>11</v>
      </c>
      <c r="F30" t="s">
        <v>18</v>
      </c>
      <c r="G30" t="s">
        <v>28</v>
      </c>
      <c r="H30">
        <v>12</v>
      </c>
    </row>
    <row r="31" spans="1:8" ht="21.75" customHeight="1" x14ac:dyDescent="0.35">
      <c r="A31" t="s">
        <v>91</v>
      </c>
      <c r="B31" s="3">
        <v>45326</v>
      </c>
      <c r="C31" t="s">
        <v>78</v>
      </c>
      <c r="D31" t="s">
        <v>72</v>
      </c>
      <c r="E31" t="s">
        <v>22</v>
      </c>
      <c r="F31" t="s">
        <v>12</v>
      </c>
      <c r="G31" t="s">
        <v>32</v>
      </c>
      <c r="H31">
        <v>4</v>
      </c>
    </row>
    <row r="32" spans="1:8" ht="21.75" customHeight="1" x14ac:dyDescent="0.35">
      <c r="A32" t="s">
        <v>92</v>
      </c>
      <c r="B32" s="3">
        <v>45401</v>
      </c>
      <c r="C32" t="s">
        <v>93</v>
      </c>
      <c r="D32" t="s">
        <v>74</v>
      </c>
      <c r="E32" t="s">
        <v>22</v>
      </c>
      <c r="F32" t="s">
        <v>18</v>
      </c>
      <c r="G32" t="s">
        <v>28</v>
      </c>
      <c r="H32">
        <v>8</v>
      </c>
    </row>
    <row r="33" spans="1:8" ht="21.75" customHeight="1" x14ac:dyDescent="0.35">
      <c r="A33" t="s">
        <v>94</v>
      </c>
      <c r="B33" s="3">
        <v>45500</v>
      </c>
      <c r="C33" t="s">
        <v>95</v>
      </c>
      <c r="D33" t="s">
        <v>96</v>
      </c>
      <c r="E33" t="s">
        <v>22</v>
      </c>
      <c r="F33" t="s">
        <v>56</v>
      </c>
      <c r="G33" t="s">
        <v>13</v>
      </c>
      <c r="H33">
        <v>7</v>
      </c>
    </row>
    <row r="34" spans="1:8" ht="21.75" customHeight="1" x14ac:dyDescent="0.35">
      <c r="A34" t="s">
        <v>97</v>
      </c>
      <c r="B34" s="3">
        <v>45531</v>
      </c>
      <c r="C34" t="s">
        <v>9</v>
      </c>
      <c r="D34" t="s">
        <v>96</v>
      </c>
      <c r="E34" t="s">
        <v>17</v>
      </c>
      <c r="F34" t="s">
        <v>12</v>
      </c>
      <c r="G34" t="s">
        <v>13</v>
      </c>
      <c r="H34">
        <v>12</v>
      </c>
    </row>
    <row r="35" spans="1:8" ht="21.75" customHeight="1" x14ac:dyDescent="0.35">
      <c r="A35" t="s">
        <v>98</v>
      </c>
      <c r="B35" s="3">
        <v>45419</v>
      </c>
      <c r="C35" t="s">
        <v>99</v>
      </c>
      <c r="D35" t="s">
        <v>74</v>
      </c>
      <c r="E35" t="s">
        <v>17</v>
      </c>
      <c r="F35" t="s">
        <v>56</v>
      </c>
      <c r="G35" t="s">
        <v>28</v>
      </c>
      <c r="H35">
        <v>3</v>
      </c>
    </row>
    <row r="36" spans="1:8" ht="21.75" customHeight="1" x14ac:dyDescent="0.35">
      <c r="A36" t="s">
        <v>100</v>
      </c>
      <c r="B36" s="3">
        <v>45528</v>
      </c>
      <c r="C36" t="s">
        <v>101</v>
      </c>
      <c r="D36" t="s">
        <v>102</v>
      </c>
      <c r="E36" t="s">
        <v>22</v>
      </c>
      <c r="F36" t="s">
        <v>56</v>
      </c>
      <c r="G36" t="s">
        <v>13</v>
      </c>
      <c r="H36">
        <v>2</v>
      </c>
    </row>
    <row r="37" spans="1:8" ht="21.75" customHeight="1" x14ac:dyDescent="0.35">
      <c r="A37" t="s">
        <v>103</v>
      </c>
      <c r="B37" s="3">
        <v>45299</v>
      </c>
      <c r="C37" t="s">
        <v>104</v>
      </c>
      <c r="D37" t="s">
        <v>65</v>
      </c>
      <c r="E37" t="s">
        <v>17</v>
      </c>
      <c r="F37" t="s">
        <v>12</v>
      </c>
      <c r="G37" t="s">
        <v>28</v>
      </c>
      <c r="H37">
        <v>8</v>
      </c>
    </row>
    <row r="38" spans="1:8" ht="21.75" customHeight="1" x14ac:dyDescent="0.35">
      <c r="A38" t="s">
        <v>105</v>
      </c>
      <c r="B38" s="3">
        <v>45322</v>
      </c>
      <c r="C38" t="s">
        <v>106</v>
      </c>
      <c r="D38" t="s">
        <v>35</v>
      </c>
      <c r="E38" t="s">
        <v>17</v>
      </c>
      <c r="F38" t="s">
        <v>56</v>
      </c>
      <c r="G38" t="s">
        <v>36</v>
      </c>
      <c r="H38">
        <v>5</v>
      </c>
    </row>
    <row r="39" spans="1:8" ht="21.75" customHeight="1" x14ac:dyDescent="0.35">
      <c r="A39" t="s">
        <v>107</v>
      </c>
      <c r="B39" s="3">
        <v>45524</v>
      </c>
      <c r="C39" t="s">
        <v>108</v>
      </c>
      <c r="D39" t="s">
        <v>109</v>
      </c>
      <c r="E39" t="s">
        <v>22</v>
      </c>
      <c r="F39" t="s">
        <v>42</v>
      </c>
      <c r="G39" t="s">
        <v>36</v>
      </c>
      <c r="H39">
        <v>12</v>
      </c>
    </row>
    <row r="40" spans="1:8" ht="21.75" customHeight="1" x14ac:dyDescent="0.35">
      <c r="A40" t="s">
        <v>110</v>
      </c>
      <c r="B40" s="3">
        <v>45443</v>
      </c>
      <c r="C40" t="s">
        <v>111</v>
      </c>
      <c r="D40" t="s">
        <v>16</v>
      </c>
      <c r="E40" t="s">
        <v>22</v>
      </c>
      <c r="F40" t="s">
        <v>56</v>
      </c>
      <c r="G40" t="s">
        <v>13</v>
      </c>
      <c r="H40">
        <v>9</v>
      </c>
    </row>
    <row r="41" spans="1:8" ht="21.75" customHeight="1" x14ac:dyDescent="0.35">
      <c r="A41" t="s">
        <v>112</v>
      </c>
      <c r="B41" s="3">
        <v>45321</v>
      </c>
      <c r="C41" t="s">
        <v>81</v>
      </c>
      <c r="D41" t="s">
        <v>84</v>
      </c>
      <c r="E41" t="s">
        <v>22</v>
      </c>
      <c r="F41" t="s">
        <v>12</v>
      </c>
      <c r="G41" t="s">
        <v>23</v>
      </c>
      <c r="H41">
        <v>15</v>
      </c>
    </row>
    <row r="42" spans="1:8" ht="21.75" customHeight="1" x14ac:dyDescent="0.35">
      <c r="A42" t="s">
        <v>113</v>
      </c>
      <c r="B42" s="3">
        <v>45321</v>
      </c>
      <c r="C42" t="s">
        <v>114</v>
      </c>
      <c r="D42" t="s">
        <v>79</v>
      </c>
      <c r="E42" t="s">
        <v>11</v>
      </c>
      <c r="F42" t="s">
        <v>18</v>
      </c>
      <c r="G42" t="s">
        <v>13</v>
      </c>
      <c r="H42">
        <v>10</v>
      </c>
    </row>
    <row r="43" spans="1:8" ht="21.75" customHeight="1" x14ac:dyDescent="0.35">
      <c r="A43" t="s">
        <v>115</v>
      </c>
      <c r="B43" s="3">
        <v>45498</v>
      </c>
      <c r="C43" t="s">
        <v>116</v>
      </c>
      <c r="D43" t="s">
        <v>41</v>
      </c>
      <c r="E43" t="s">
        <v>22</v>
      </c>
      <c r="F43" t="s">
        <v>12</v>
      </c>
      <c r="G43" t="s">
        <v>23</v>
      </c>
      <c r="H43">
        <v>10</v>
      </c>
    </row>
    <row r="44" spans="1:8" ht="21.75" customHeight="1" x14ac:dyDescent="0.35">
      <c r="A44" t="s">
        <v>117</v>
      </c>
      <c r="B44" s="3">
        <v>45506</v>
      </c>
      <c r="C44" t="s">
        <v>118</v>
      </c>
      <c r="D44" t="s">
        <v>119</v>
      </c>
      <c r="E44" t="s">
        <v>17</v>
      </c>
      <c r="F44" t="s">
        <v>18</v>
      </c>
      <c r="G44" t="s">
        <v>23</v>
      </c>
      <c r="H44">
        <v>15</v>
      </c>
    </row>
    <row r="45" spans="1:8" ht="21.75" customHeight="1" x14ac:dyDescent="0.35">
      <c r="A45" t="s">
        <v>120</v>
      </c>
      <c r="B45" s="3">
        <v>45452</v>
      </c>
      <c r="C45" t="s">
        <v>51</v>
      </c>
      <c r="D45" t="s">
        <v>87</v>
      </c>
      <c r="E45" t="s">
        <v>11</v>
      </c>
      <c r="F45" t="s">
        <v>56</v>
      </c>
      <c r="G45" t="s">
        <v>32</v>
      </c>
      <c r="H45">
        <v>11</v>
      </c>
    </row>
    <row r="46" spans="1:8" ht="21.75" customHeight="1" x14ac:dyDescent="0.35">
      <c r="A46" t="s">
        <v>121</v>
      </c>
      <c r="B46" s="3">
        <v>45453</v>
      </c>
      <c r="C46" t="s">
        <v>122</v>
      </c>
      <c r="D46" t="s">
        <v>102</v>
      </c>
      <c r="E46" t="s">
        <v>22</v>
      </c>
      <c r="F46" t="s">
        <v>12</v>
      </c>
      <c r="G46" t="s">
        <v>13</v>
      </c>
      <c r="H46">
        <v>10</v>
      </c>
    </row>
    <row r="47" spans="1:8" ht="21.75" customHeight="1" x14ac:dyDescent="0.35">
      <c r="A47" t="s">
        <v>123</v>
      </c>
      <c r="B47" s="3">
        <v>45567</v>
      </c>
      <c r="C47" t="s">
        <v>122</v>
      </c>
      <c r="D47" t="s">
        <v>62</v>
      </c>
      <c r="E47" t="s">
        <v>11</v>
      </c>
      <c r="F47" t="s">
        <v>56</v>
      </c>
      <c r="G47" t="s">
        <v>23</v>
      </c>
      <c r="H47">
        <v>15</v>
      </c>
    </row>
    <row r="48" spans="1:8" ht="21.75" customHeight="1" x14ac:dyDescent="0.35">
      <c r="A48" t="s">
        <v>124</v>
      </c>
      <c r="B48" s="3">
        <v>45417</v>
      </c>
      <c r="C48" t="s">
        <v>125</v>
      </c>
      <c r="D48" t="s">
        <v>48</v>
      </c>
      <c r="E48" t="s">
        <v>17</v>
      </c>
      <c r="F48" t="s">
        <v>42</v>
      </c>
      <c r="G48" t="s">
        <v>32</v>
      </c>
      <c r="H48">
        <v>14</v>
      </c>
    </row>
    <row r="49" spans="1:8" ht="21.75" customHeight="1" x14ac:dyDescent="0.35">
      <c r="A49" t="s">
        <v>126</v>
      </c>
      <c r="B49" s="3">
        <v>45605</v>
      </c>
      <c r="C49" t="s">
        <v>58</v>
      </c>
      <c r="D49" t="s">
        <v>16</v>
      </c>
      <c r="E49" t="s">
        <v>17</v>
      </c>
      <c r="F49" t="s">
        <v>18</v>
      </c>
      <c r="G49" t="s">
        <v>13</v>
      </c>
      <c r="H49">
        <v>15</v>
      </c>
    </row>
    <row r="50" spans="1:8" ht="21.75" customHeight="1" x14ac:dyDescent="0.35">
      <c r="A50" t="s">
        <v>127</v>
      </c>
      <c r="B50" s="3">
        <v>45427</v>
      </c>
      <c r="C50" t="s">
        <v>15</v>
      </c>
      <c r="D50" t="s">
        <v>16</v>
      </c>
      <c r="E50" t="s">
        <v>11</v>
      </c>
      <c r="F50" t="s">
        <v>12</v>
      </c>
      <c r="G50" t="s">
        <v>13</v>
      </c>
      <c r="H50">
        <v>5</v>
      </c>
    </row>
    <row r="51" spans="1:8" ht="21.75" customHeight="1" x14ac:dyDescent="0.35">
      <c r="A51" t="s">
        <v>128</v>
      </c>
      <c r="B51" s="3">
        <v>45467</v>
      </c>
      <c r="C51" t="s">
        <v>64</v>
      </c>
      <c r="D51" t="s">
        <v>70</v>
      </c>
      <c r="E51" t="s">
        <v>17</v>
      </c>
      <c r="F51" t="s">
        <v>56</v>
      </c>
      <c r="G51" t="s">
        <v>32</v>
      </c>
      <c r="H51">
        <v>5</v>
      </c>
    </row>
    <row r="52" spans="1:8" ht="21.75" customHeight="1" x14ac:dyDescent="0.35">
      <c r="A52" t="s">
        <v>129</v>
      </c>
      <c r="B52" s="3">
        <v>45339</v>
      </c>
      <c r="C52" t="s">
        <v>38</v>
      </c>
      <c r="D52" t="s">
        <v>72</v>
      </c>
      <c r="E52" t="s">
        <v>11</v>
      </c>
      <c r="F52" t="s">
        <v>27</v>
      </c>
      <c r="G52" t="s">
        <v>32</v>
      </c>
      <c r="H52">
        <v>6</v>
      </c>
    </row>
    <row r="53" spans="1:8" ht="21.75" customHeight="1" x14ac:dyDescent="0.35">
      <c r="A53" t="s">
        <v>130</v>
      </c>
      <c r="B53" s="3">
        <v>45426</v>
      </c>
      <c r="C53" t="s">
        <v>131</v>
      </c>
      <c r="D53" t="s">
        <v>109</v>
      </c>
      <c r="E53" t="s">
        <v>22</v>
      </c>
      <c r="F53" t="s">
        <v>56</v>
      </c>
      <c r="G53" t="s">
        <v>36</v>
      </c>
      <c r="H53">
        <v>7</v>
      </c>
    </row>
    <row r="54" spans="1:8" ht="21.75" customHeight="1" x14ac:dyDescent="0.35">
      <c r="A54" t="s">
        <v>132</v>
      </c>
      <c r="B54" s="3">
        <v>45330</v>
      </c>
      <c r="C54" t="s">
        <v>133</v>
      </c>
      <c r="D54" t="s">
        <v>21</v>
      </c>
      <c r="E54" t="s">
        <v>17</v>
      </c>
      <c r="F54" t="s">
        <v>56</v>
      </c>
      <c r="G54" t="s">
        <v>23</v>
      </c>
      <c r="H54">
        <v>10</v>
      </c>
    </row>
    <row r="55" spans="1:8" ht="21.75" customHeight="1" x14ac:dyDescent="0.35">
      <c r="A55" t="s">
        <v>134</v>
      </c>
      <c r="B55" s="3">
        <v>45357</v>
      </c>
      <c r="C55" t="s">
        <v>47</v>
      </c>
      <c r="D55" t="s">
        <v>31</v>
      </c>
      <c r="E55" t="s">
        <v>11</v>
      </c>
      <c r="F55" t="s">
        <v>12</v>
      </c>
      <c r="G55" t="s">
        <v>32</v>
      </c>
      <c r="H55">
        <v>15</v>
      </c>
    </row>
    <row r="56" spans="1:8" ht="21.75" customHeight="1" x14ac:dyDescent="0.35">
      <c r="A56" t="s">
        <v>135</v>
      </c>
      <c r="B56" s="3">
        <v>45419</v>
      </c>
      <c r="C56" t="s">
        <v>114</v>
      </c>
      <c r="D56" t="s">
        <v>70</v>
      </c>
      <c r="E56" t="s">
        <v>17</v>
      </c>
      <c r="F56" t="s">
        <v>12</v>
      </c>
      <c r="G56" t="s">
        <v>32</v>
      </c>
      <c r="H56">
        <v>10</v>
      </c>
    </row>
    <row r="57" spans="1:8" ht="21.75" customHeight="1" x14ac:dyDescent="0.35">
      <c r="A57" t="s">
        <v>136</v>
      </c>
      <c r="B57" s="3">
        <v>45375</v>
      </c>
      <c r="C57" t="s">
        <v>106</v>
      </c>
      <c r="D57" t="s">
        <v>35</v>
      </c>
      <c r="E57" t="s">
        <v>11</v>
      </c>
      <c r="F57" t="s">
        <v>56</v>
      </c>
      <c r="G57" t="s">
        <v>36</v>
      </c>
      <c r="H57">
        <v>12</v>
      </c>
    </row>
    <row r="58" spans="1:8" ht="21.75" customHeight="1" x14ac:dyDescent="0.35">
      <c r="A58" t="s">
        <v>137</v>
      </c>
      <c r="B58" s="3">
        <v>45502</v>
      </c>
      <c r="C58" t="s">
        <v>138</v>
      </c>
      <c r="D58" t="s">
        <v>48</v>
      </c>
      <c r="F58" t="s">
        <v>56</v>
      </c>
      <c r="G58" t="s">
        <v>32</v>
      </c>
      <c r="H58">
        <v>2</v>
      </c>
    </row>
    <row r="59" spans="1:8" ht="21.75" customHeight="1" x14ac:dyDescent="0.35">
      <c r="A59" t="s">
        <v>139</v>
      </c>
      <c r="B59" s="3">
        <v>45532</v>
      </c>
      <c r="C59" t="s">
        <v>40</v>
      </c>
      <c r="D59" t="s">
        <v>26</v>
      </c>
      <c r="F59" t="s">
        <v>56</v>
      </c>
      <c r="G59" t="s">
        <v>28</v>
      </c>
      <c r="H59">
        <v>5</v>
      </c>
    </row>
    <row r="60" spans="1:8" ht="21.75" customHeight="1" x14ac:dyDescent="0.35">
      <c r="A60" t="s">
        <v>140</v>
      </c>
      <c r="B60" s="3">
        <v>45406</v>
      </c>
      <c r="C60" t="s">
        <v>53</v>
      </c>
      <c r="D60" t="s">
        <v>26</v>
      </c>
      <c r="E60" t="s">
        <v>17</v>
      </c>
      <c r="F60" t="s">
        <v>12</v>
      </c>
      <c r="G60" t="s">
        <v>28</v>
      </c>
      <c r="H60">
        <v>5</v>
      </c>
    </row>
    <row r="61" spans="1:8" ht="21.75" customHeight="1" x14ac:dyDescent="0.35">
      <c r="A61" t="s">
        <v>141</v>
      </c>
      <c r="B61" s="3">
        <v>45434</v>
      </c>
      <c r="C61" t="s">
        <v>142</v>
      </c>
      <c r="D61" t="s">
        <v>84</v>
      </c>
      <c r="E61" t="s">
        <v>22</v>
      </c>
      <c r="F61" t="s">
        <v>42</v>
      </c>
      <c r="G61" t="s">
        <v>23</v>
      </c>
      <c r="H61">
        <v>14</v>
      </c>
    </row>
    <row r="62" spans="1:8" ht="21.75" customHeight="1" x14ac:dyDescent="0.35">
      <c r="A62" t="s">
        <v>143</v>
      </c>
      <c r="B62" s="3">
        <v>45351</v>
      </c>
      <c r="C62" t="s">
        <v>133</v>
      </c>
      <c r="D62" t="s">
        <v>74</v>
      </c>
      <c r="E62" t="s">
        <v>17</v>
      </c>
      <c r="F62" t="s">
        <v>42</v>
      </c>
      <c r="G62" t="s">
        <v>28</v>
      </c>
      <c r="H62">
        <v>1</v>
      </c>
    </row>
    <row r="63" spans="1:8" ht="21.75" customHeight="1" x14ac:dyDescent="0.35">
      <c r="A63" t="s">
        <v>144</v>
      </c>
      <c r="B63" s="3">
        <v>45468</v>
      </c>
      <c r="C63" t="s">
        <v>55</v>
      </c>
      <c r="D63" t="s">
        <v>109</v>
      </c>
      <c r="E63" t="s">
        <v>22</v>
      </c>
      <c r="F63" t="s">
        <v>42</v>
      </c>
      <c r="G63" t="s">
        <v>36</v>
      </c>
      <c r="H63">
        <v>2</v>
      </c>
    </row>
    <row r="64" spans="1:8" ht="21.75" customHeight="1" x14ac:dyDescent="0.35">
      <c r="A64" t="s">
        <v>145</v>
      </c>
      <c r="B64" s="3">
        <v>45389</v>
      </c>
      <c r="C64" t="s">
        <v>101</v>
      </c>
      <c r="D64" t="s">
        <v>102</v>
      </c>
      <c r="F64" t="s">
        <v>42</v>
      </c>
      <c r="G64" t="s">
        <v>13</v>
      </c>
      <c r="H64">
        <v>9</v>
      </c>
    </row>
    <row r="65" spans="1:8" ht="21.75" customHeight="1" x14ac:dyDescent="0.35">
      <c r="A65" t="s">
        <v>146</v>
      </c>
      <c r="B65" s="3">
        <v>45643</v>
      </c>
      <c r="C65" t="s">
        <v>147</v>
      </c>
      <c r="D65" t="s">
        <v>87</v>
      </c>
      <c r="E65" t="s">
        <v>11</v>
      </c>
      <c r="F65" t="s">
        <v>56</v>
      </c>
      <c r="G65" t="s">
        <v>32</v>
      </c>
      <c r="H65">
        <v>11</v>
      </c>
    </row>
    <row r="66" spans="1:8" ht="21.75" customHeight="1" x14ac:dyDescent="0.35">
      <c r="A66" t="s">
        <v>148</v>
      </c>
      <c r="B66" s="3">
        <v>45452</v>
      </c>
      <c r="C66" t="s">
        <v>104</v>
      </c>
      <c r="D66" t="s">
        <v>70</v>
      </c>
      <c r="E66" t="s">
        <v>17</v>
      </c>
      <c r="F66" t="s">
        <v>12</v>
      </c>
      <c r="G66" t="s">
        <v>32</v>
      </c>
      <c r="H66">
        <v>11</v>
      </c>
    </row>
    <row r="67" spans="1:8" ht="21.75" customHeight="1" x14ac:dyDescent="0.35">
      <c r="A67" t="s">
        <v>149</v>
      </c>
      <c r="B67" s="3">
        <v>45648</v>
      </c>
      <c r="C67" t="s">
        <v>150</v>
      </c>
      <c r="D67" t="s">
        <v>41</v>
      </c>
      <c r="E67" t="s">
        <v>11</v>
      </c>
      <c r="F67" t="s">
        <v>42</v>
      </c>
      <c r="G67" t="s">
        <v>23</v>
      </c>
      <c r="H67">
        <v>7</v>
      </c>
    </row>
    <row r="68" spans="1:8" ht="21.75" customHeight="1" x14ac:dyDescent="0.35">
      <c r="A68" t="s">
        <v>151</v>
      </c>
      <c r="B68" s="3">
        <v>45638</v>
      </c>
      <c r="C68" t="s">
        <v>25</v>
      </c>
      <c r="D68" t="s">
        <v>119</v>
      </c>
      <c r="E68" t="s">
        <v>17</v>
      </c>
      <c r="F68" t="s">
        <v>56</v>
      </c>
      <c r="G68" t="s">
        <v>152</v>
      </c>
      <c r="H68">
        <v>7</v>
      </c>
    </row>
    <row r="69" spans="1:8" ht="21.75" customHeight="1" x14ac:dyDescent="0.35">
      <c r="A69" t="s">
        <v>153</v>
      </c>
      <c r="B69" s="3">
        <v>45447</v>
      </c>
      <c r="C69" t="s">
        <v>51</v>
      </c>
      <c r="D69" t="s">
        <v>26</v>
      </c>
      <c r="E69" t="s">
        <v>22</v>
      </c>
      <c r="F69" t="s">
        <v>42</v>
      </c>
      <c r="G69" t="s">
        <v>28</v>
      </c>
      <c r="H69">
        <v>10</v>
      </c>
    </row>
    <row r="70" spans="1:8" ht="21.75" customHeight="1" x14ac:dyDescent="0.35">
      <c r="A70" t="s">
        <v>154</v>
      </c>
      <c r="B70" s="3">
        <v>45518</v>
      </c>
      <c r="C70" t="s">
        <v>106</v>
      </c>
      <c r="D70" t="s">
        <v>74</v>
      </c>
      <c r="E70" t="s">
        <v>17</v>
      </c>
      <c r="F70" t="s">
        <v>27</v>
      </c>
      <c r="G70" t="s">
        <v>28</v>
      </c>
      <c r="H70">
        <v>13</v>
      </c>
    </row>
    <row r="71" spans="1:8" ht="21.75" customHeight="1" x14ac:dyDescent="0.35">
      <c r="A71" t="s">
        <v>155</v>
      </c>
      <c r="B71" s="3">
        <v>45378</v>
      </c>
      <c r="C71" t="s">
        <v>116</v>
      </c>
      <c r="D71" t="s">
        <v>70</v>
      </c>
      <c r="E71" t="s">
        <v>22</v>
      </c>
      <c r="F71" t="s">
        <v>12</v>
      </c>
      <c r="G71" t="s">
        <v>49</v>
      </c>
      <c r="H71">
        <v>11</v>
      </c>
    </row>
    <row r="72" spans="1:8" ht="21.75" customHeight="1" x14ac:dyDescent="0.35">
      <c r="A72" t="s">
        <v>156</v>
      </c>
      <c r="B72" s="3">
        <v>45412</v>
      </c>
      <c r="C72" t="s">
        <v>93</v>
      </c>
      <c r="D72" t="s">
        <v>65</v>
      </c>
      <c r="E72" t="s">
        <v>11</v>
      </c>
      <c r="F72" t="s">
        <v>42</v>
      </c>
      <c r="G72" t="s">
        <v>28</v>
      </c>
      <c r="H72">
        <v>1</v>
      </c>
    </row>
    <row r="73" spans="1:8" ht="21.75" customHeight="1" x14ac:dyDescent="0.35">
      <c r="A73" t="s">
        <v>157</v>
      </c>
      <c r="B73" s="3">
        <v>45604</v>
      </c>
      <c r="C73" t="s">
        <v>20</v>
      </c>
      <c r="D73" t="s">
        <v>59</v>
      </c>
      <c r="E73" t="s">
        <v>22</v>
      </c>
      <c r="F73" t="s">
        <v>12</v>
      </c>
      <c r="G73" t="s">
        <v>36</v>
      </c>
      <c r="H73">
        <v>10</v>
      </c>
    </row>
    <row r="74" spans="1:8" ht="21.75" customHeight="1" x14ac:dyDescent="0.35">
      <c r="A74" t="s">
        <v>158</v>
      </c>
      <c r="B74" s="3">
        <v>45488</v>
      </c>
      <c r="C74" t="s">
        <v>159</v>
      </c>
      <c r="D74" t="s">
        <v>160</v>
      </c>
      <c r="E74" t="s">
        <v>11</v>
      </c>
      <c r="F74" t="s">
        <v>27</v>
      </c>
      <c r="G74" t="s">
        <v>36</v>
      </c>
      <c r="H74">
        <v>11</v>
      </c>
    </row>
    <row r="75" spans="1:8" ht="21.75" customHeight="1" x14ac:dyDescent="0.35">
      <c r="A75" t="s">
        <v>161</v>
      </c>
      <c r="B75" s="3">
        <v>45346</v>
      </c>
      <c r="C75" t="s">
        <v>89</v>
      </c>
      <c r="D75" t="s">
        <v>65</v>
      </c>
      <c r="E75" t="s">
        <v>22</v>
      </c>
      <c r="F75" t="s">
        <v>27</v>
      </c>
      <c r="G75" t="s">
        <v>28</v>
      </c>
      <c r="H75">
        <v>9</v>
      </c>
    </row>
    <row r="76" spans="1:8" ht="21.75" customHeight="1" x14ac:dyDescent="0.35">
      <c r="A76" t="s">
        <v>162</v>
      </c>
      <c r="B76" s="3">
        <v>45419</v>
      </c>
      <c r="C76" t="s">
        <v>89</v>
      </c>
      <c r="D76" t="s">
        <v>160</v>
      </c>
      <c r="E76" t="s">
        <v>17</v>
      </c>
      <c r="F76" t="s">
        <v>12</v>
      </c>
      <c r="G76" t="s">
        <v>163</v>
      </c>
      <c r="H76">
        <v>11</v>
      </c>
    </row>
    <row r="77" spans="1:8" ht="21.75" customHeight="1" x14ac:dyDescent="0.35">
      <c r="A77" t="s">
        <v>164</v>
      </c>
      <c r="B77" s="3">
        <v>45596</v>
      </c>
      <c r="C77" t="s">
        <v>89</v>
      </c>
      <c r="D77" t="s">
        <v>109</v>
      </c>
      <c r="E77" t="s">
        <v>22</v>
      </c>
      <c r="F77" t="s">
        <v>42</v>
      </c>
      <c r="G77" t="s">
        <v>36</v>
      </c>
      <c r="H77">
        <v>15</v>
      </c>
    </row>
    <row r="78" spans="1:8" ht="21.75" customHeight="1" x14ac:dyDescent="0.35">
      <c r="A78" t="s">
        <v>165</v>
      </c>
      <c r="B78" s="3">
        <v>45520</v>
      </c>
      <c r="C78" t="s">
        <v>38</v>
      </c>
      <c r="D78" t="s">
        <v>59</v>
      </c>
      <c r="E78" t="s">
        <v>17</v>
      </c>
      <c r="F78" t="s">
        <v>56</v>
      </c>
      <c r="G78" t="s">
        <v>36</v>
      </c>
      <c r="H78">
        <v>13</v>
      </c>
    </row>
    <row r="79" spans="1:8" ht="21.75" customHeight="1" x14ac:dyDescent="0.35">
      <c r="A79" t="s">
        <v>166</v>
      </c>
      <c r="B79" s="3">
        <v>45433</v>
      </c>
      <c r="C79" t="s">
        <v>167</v>
      </c>
      <c r="D79" t="s">
        <v>160</v>
      </c>
      <c r="E79" t="s">
        <v>17</v>
      </c>
      <c r="F79" t="s">
        <v>18</v>
      </c>
      <c r="G79" t="s">
        <v>36</v>
      </c>
      <c r="H79">
        <v>8</v>
      </c>
    </row>
    <row r="80" spans="1:8" ht="21.75" customHeight="1" x14ac:dyDescent="0.35">
      <c r="A80" t="s">
        <v>168</v>
      </c>
      <c r="B80" s="3">
        <v>45412</v>
      </c>
      <c r="C80" t="s">
        <v>40</v>
      </c>
      <c r="D80" t="s">
        <v>31</v>
      </c>
      <c r="E80" t="s">
        <v>22</v>
      </c>
      <c r="F80" t="s">
        <v>42</v>
      </c>
      <c r="G80" t="s">
        <v>32</v>
      </c>
      <c r="H80">
        <v>2</v>
      </c>
    </row>
    <row r="81" spans="1:8" ht="21.75" customHeight="1" x14ac:dyDescent="0.35">
      <c r="A81" t="s">
        <v>169</v>
      </c>
      <c r="B81" s="3">
        <v>45488</v>
      </c>
      <c r="C81" t="s">
        <v>51</v>
      </c>
      <c r="D81" t="s">
        <v>45</v>
      </c>
      <c r="E81" t="s">
        <v>17</v>
      </c>
      <c r="F81" t="s">
        <v>56</v>
      </c>
      <c r="G81" t="s">
        <v>28</v>
      </c>
      <c r="H81">
        <v>7</v>
      </c>
    </row>
    <row r="82" spans="1:8" ht="21.75" customHeight="1" x14ac:dyDescent="0.35">
      <c r="A82" t="s">
        <v>170</v>
      </c>
      <c r="B82" s="3">
        <v>45504</v>
      </c>
      <c r="C82" t="s">
        <v>20</v>
      </c>
      <c r="D82" t="s">
        <v>26</v>
      </c>
      <c r="E82" t="s">
        <v>17</v>
      </c>
      <c r="F82" t="s">
        <v>12</v>
      </c>
      <c r="G82" t="s">
        <v>28</v>
      </c>
      <c r="H82">
        <v>15</v>
      </c>
    </row>
    <row r="83" spans="1:8" ht="21.75" customHeight="1" x14ac:dyDescent="0.35">
      <c r="A83" t="s">
        <v>171</v>
      </c>
      <c r="B83" s="3">
        <v>45302</v>
      </c>
      <c r="C83" t="s">
        <v>150</v>
      </c>
      <c r="D83" t="s">
        <v>59</v>
      </c>
      <c r="E83" t="s">
        <v>11</v>
      </c>
      <c r="F83" t="s">
        <v>18</v>
      </c>
      <c r="G83" t="s">
        <v>36</v>
      </c>
      <c r="H83">
        <v>6</v>
      </c>
    </row>
    <row r="84" spans="1:8" ht="21.75" customHeight="1" x14ac:dyDescent="0.35">
      <c r="A84" t="s">
        <v>172</v>
      </c>
      <c r="B84" s="3">
        <v>45506</v>
      </c>
      <c r="C84" t="s">
        <v>133</v>
      </c>
      <c r="D84" t="s">
        <v>119</v>
      </c>
      <c r="E84" t="s">
        <v>11</v>
      </c>
      <c r="F84" t="s">
        <v>18</v>
      </c>
      <c r="G84" t="s">
        <v>23</v>
      </c>
      <c r="H84">
        <v>8</v>
      </c>
    </row>
    <row r="85" spans="1:8" ht="21.75" customHeight="1" x14ac:dyDescent="0.35">
      <c r="A85" t="s">
        <v>173</v>
      </c>
      <c r="B85" s="3">
        <v>45540</v>
      </c>
      <c r="C85" t="s">
        <v>83</v>
      </c>
      <c r="D85" t="s">
        <v>174</v>
      </c>
      <c r="E85" t="s">
        <v>22</v>
      </c>
      <c r="F85" t="s">
        <v>12</v>
      </c>
      <c r="G85" t="s">
        <v>163</v>
      </c>
      <c r="H85">
        <v>11</v>
      </c>
    </row>
    <row r="86" spans="1:8" ht="21.75" customHeight="1" x14ac:dyDescent="0.35">
      <c r="A86" t="s">
        <v>175</v>
      </c>
      <c r="B86" s="3">
        <v>45376</v>
      </c>
      <c r="C86" t="s">
        <v>61</v>
      </c>
      <c r="D86" t="s">
        <v>74</v>
      </c>
      <c r="E86" t="s">
        <v>22</v>
      </c>
      <c r="F86" t="s">
        <v>27</v>
      </c>
      <c r="G86" t="s">
        <v>28</v>
      </c>
      <c r="H86">
        <v>1</v>
      </c>
    </row>
    <row r="87" spans="1:8" ht="21.75" customHeight="1" x14ac:dyDescent="0.35">
      <c r="A87" t="s">
        <v>176</v>
      </c>
      <c r="B87" s="3">
        <v>45580</v>
      </c>
      <c r="C87" t="s">
        <v>64</v>
      </c>
      <c r="D87" t="s">
        <v>102</v>
      </c>
      <c r="E87" t="s">
        <v>11</v>
      </c>
      <c r="F87" t="s">
        <v>12</v>
      </c>
      <c r="G87" t="s">
        <v>13</v>
      </c>
      <c r="H87">
        <v>14</v>
      </c>
    </row>
    <row r="88" spans="1:8" ht="21.75" customHeight="1" x14ac:dyDescent="0.35">
      <c r="A88" t="s">
        <v>177</v>
      </c>
      <c r="B88" s="3">
        <v>45425</v>
      </c>
      <c r="C88" t="s">
        <v>150</v>
      </c>
      <c r="D88" t="s">
        <v>48</v>
      </c>
      <c r="E88" t="s">
        <v>17</v>
      </c>
      <c r="F88" t="s">
        <v>27</v>
      </c>
      <c r="G88" t="s">
        <v>32</v>
      </c>
      <c r="H88">
        <v>6</v>
      </c>
    </row>
    <row r="89" spans="1:8" ht="21.75" customHeight="1" x14ac:dyDescent="0.35">
      <c r="A89" t="s">
        <v>178</v>
      </c>
      <c r="B89" s="3">
        <v>45434</v>
      </c>
      <c r="C89" t="s">
        <v>64</v>
      </c>
      <c r="D89" t="s">
        <v>72</v>
      </c>
      <c r="E89" t="s">
        <v>17</v>
      </c>
      <c r="F89" t="s">
        <v>27</v>
      </c>
      <c r="G89" t="s">
        <v>49</v>
      </c>
      <c r="H89">
        <v>1</v>
      </c>
    </row>
    <row r="90" spans="1:8" ht="21.75" customHeight="1" x14ac:dyDescent="0.35">
      <c r="A90" t="s">
        <v>179</v>
      </c>
      <c r="B90" s="3">
        <v>45471</v>
      </c>
      <c r="C90" t="s">
        <v>142</v>
      </c>
      <c r="D90" t="s">
        <v>96</v>
      </c>
      <c r="E90" t="s">
        <v>11</v>
      </c>
      <c r="F90" t="s">
        <v>56</v>
      </c>
      <c r="G90" t="s">
        <v>13</v>
      </c>
      <c r="H90">
        <v>4</v>
      </c>
    </row>
    <row r="91" spans="1:8" ht="21.75" customHeight="1" x14ac:dyDescent="0.35">
      <c r="A91" t="s">
        <v>180</v>
      </c>
      <c r="B91" s="3">
        <v>45610</v>
      </c>
      <c r="C91" t="s">
        <v>15</v>
      </c>
      <c r="D91" t="s">
        <v>65</v>
      </c>
      <c r="E91" t="s">
        <v>17</v>
      </c>
      <c r="F91" t="s">
        <v>56</v>
      </c>
      <c r="G91" t="s">
        <v>28</v>
      </c>
      <c r="H91">
        <v>11</v>
      </c>
    </row>
    <row r="92" spans="1:8" ht="21.75" customHeight="1" x14ac:dyDescent="0.35">
      <c r="A92" t="s">
        <v>181</v>
      </c>
      <c r="B92" s="3">
        <v>45530</v>
      </c>
      <c r="C92" t="s">
        <v>182</v>
      </c>
      <c r="D92" t="s">
        <v>48</v>
      </c>
      <c r="E92" t="s">
        <v>22</v>
      </c>
      <c r="F92" t="s">
        <v>42</v>
      </c>
      <c r="G92" t="s">
        <v>32</v>
      </c>
      <c r="H92">
        <v>10</v>
      </c>
    </row>
    <row r="93" spans="1:8" ht="21.75" customHeight="1" x14ac:dyDescent="0.35">
      <c r="A93" t="s">
        <v>183</v>
      </c>
      <c r="B93" s="3">
        <v>45350</v>
      </c>
      <c r="C93" t="s">
        <v>55</v>
      </c>
      <c r="D93" t="s">
        <v>72</v>
      </c>
      <c r="E93" t="s">
        <v>22</v>
      </c>
      <c r="F93" t="s">
        <v>56</v>
      </c>
      <c r="G93" t="s">
        <v>32</v>
      </c>
      <c r="H93">
        <v>1</v>
      </c>
    </row>
    <row r="94" spans="1:8" ht="21.75" customHeight="1" x14ac:dyDescent="0.35">
      <c r="A94" t="s">
        <v>184</v>
      </c>
      <c r="B94" s="3">
        <v>45638</v>
      </c>
      <c r="C94" t="s">
        <v>38</v>
      </c>
      <c r="D94" t="s">
        <v>160</v>
      </c>
      <c r="E94" t="s">
        <v>11</v>
      </c>
      <c r="F94" t="s">
        <v>27</v>
      </c>
      <c r="G94" t="s">
        <v>36</v>
      </c>
      <c r="H94">
        <v>10</v>
      </c>
    </row>
    <row r="95" spans="1:8" ht="21.75" customHeight="1" x14ac:dyDescent="0.35">
      <c r="A95" t="s">
        <v>185</v>
      </c>
      <c r="B95" s="3">
        <v>45416</v>
      </c>
      <c r="C95" t="s">
        <v>106</v>
      </c>
      <c r="D95" t="s">
        <v>70</v>
      </c>
      <c r="E95" t="s">
        <v>11</v>
      </c>
      <c r="F95" t="s">
        <v>12</v>
      </c>
      <c r="G95" t="s">
        <v>32</v>
      </c>
      <c r="H95">
        <v>13</v>
      </c>
    </row>
    <row r="96" spans="1:8" ht="21.75" customHeight="1" x14ac:dyDescent="0.35">
      <c r="A96" t="s">
        <v>186</v>
      </c>
      <c r="B96" s="3">
        <v>45313</v>
      </c>
      <c r="C96" t="s">
        <v>187</v>
      </c>
      <c r="D96" t="s">
        <v>84</v>
      </c>
      <c r="E96" t="s">
        <v>22</v>
      </c>
      <c r="F96" t="s">
        <v>42</v>
      </c>
      <c r="G96" t="s">
        <v>23</v>
      </c>
      <c r="H96">
        <v>6</v>
      </c>
    </row>
    <row r="97" spans="1:8" ht="21.75" customHeight="1" x14ac:dyDescent="0.35">
      <c r="A97" t="s">
        <v>188</v>
      </c>
      <c r="B97" s="3">
        <v>45466</v>
      </c>
      <c r="C97" t="s">
        <v>38</v>
      </c>
      <c r="D97" t="s">
        <v>59</v>
      </c>
      <c r="E97" t="s">
        <v>11</v>
      </c>
      <c r="F97" t="s">
        <v>12</v>
      </c>
      <c r="G97" t="s">
        <v>36</v>
      </c>
      <c r="H97">
        <v>7</v>
      </c>
    </row>
    <row r="98" spans="1:8" ht="21.75" customHeight="1" x14ac:dyDescent="0.35">
      <c r="A98" t="s">
        <v>189</v>
      </c>
      <c r="B98" s="3">
        <v>45527</v>
      </c>
      <c r="C98" t="s">
        <v>99</v>
      </c>
      <c r="D98" t="s">
        <v>160</v>
      </c>
      <c r="E98" t="s">
        <v>22</v>
      </c>
      <c r="F98" t="s">
        <v>56</v>
      </c>
      <c r="G98" t="s">
        <v>163</v>
      </c>
      <c r="H98">
        <v>9</v>
      </c>
    </row>
    <row r="99" spans="1:8" ht="21.75" customHeight="1" x14ac:dyDescent="0.35">
      <c r="A99" t="s">
        <v>190</v>
      </c>
      <c r="B99" s="3">
        <v>45607</v>
      </c>
      <c r="C99" t="s">
        <v>99</v>
      </c>
      <c r="D99" t="s">
        <v>59</v>
      </c>
      <c r="E99" t="s">
        <v>17</v>
      </c>
      <c r="F99" t="s">
        <v>18</v>
      </c>
      <c r="G99" t="s">
        <v>36</v>
      </c>
      <c r="H99">
        <v>14</v>
      </c>
    </row>
    <row r="100" spans="1:8" ht="21.75" customHeight="1" x14ac:dyDescent="0.35">
      <c r="A100" t="s">
        <v>191</v>
      </c>
      <c r="B100" s="3">
        <v>45457</v>
      </c>
      <c r="C100" t="s">
        <v>55</v>
      </c>
      <c r="D100" t="s">
        <v>10</v>
      </c>
      <c r="E100" t="s">
        <v>17</v>
      </c>
      <c r="F100" t="s">
        <v>56</v>
      </c>
      <c r="G100" t="s">
        <v>13</v>
      </c>
      <c r="H100">
        <v>4</v>
      </c>
    </row>
    <row r="101" spans="1:8" ht="21.75" customHeight="1" x14ac:dyDescent="0.35">
      <c r="A101" t="s">
        <v>192</v>
      </c>
      <c r="B101" s="3">
        <v>45604</v>
      </c>
      <c r="C101" t="s">
        <v>78</v>
      </c>
      <c r="D101" t="s">
        <v>72</v>
      </c>
      <c r="E101" t="s">
        <v>17</v>
      </c>
      <c r="F101" t="s">
        <v>27</v>
      </c>
      <c r="G101" t="s">
        <v>32</v>
      </c>
      <c r="H101">
        <v>14</v>
      </c>
    </row>
    <row r="102" spans="1:8" ht="21.75" customHeight="1" x14ac:dyDescent="0.35">
      <c r="A102" t="s">
        <v>193</v>
      </c>
      <c r="B102" s="3">
        <v>45400</v>
      </c>
      <c r="C102" t="s">
        <v>99</v>
      </c>
      <c r="D102" t="s">
        <v>31</v>
      </c>
      <c r="E102" t="s">
        <v>17</v>
      </c>
      <c r="F102" t="s">
        <v>42</v>
      </c>
      <c r="G102" t="s">
        <v>32</v>
      </c>
      <c r="H102">
        <v>15</v>
      </c>
    </row>
    <row r="103" spans="1:8" ht="21.75" customHeight="1" x14ac:dyDescent="0.35">
      <c r="A103" t="s">
        <v>194</v>
      </c>
      <c r="B103" s="3">
        <v>45576</v>
      </c>
      <c r="C103" t="s">
        <v>78</v>
      </c>
      <c r="D103" t="s">
        <v>41</v>
      </c>
      <c r="E103" t="s">
        <v>11</v>
      </c>
      <c r="F103" t="s">
        <v>12</v>
      </c>
      <c r="G103" t="s">
        <v>152</v>
      </c>
      <c r="H103">
        <v>4</v>
      </c>
    </row>
    <row r="104" spans="1:8" ht="21.75" customHeight="1" x14ac:dyDescent="0.35">
      <c r="A104" t="s">
        <v>195</v>
      </c>
      <c r="B104" s="3">
        <v>45576</v>
      </c>
      <c r="C104" t="s">
        <v>167</v>
      </c>
      <c r="D104" t="s">
        <v>59</v>
      </c>
      <c r="E104" t="s">
        <v>17</v>
      </c>
      <c r="F104" t="s">
        <v>56</v>
      </c>
      <c r="G104" t="s">
        <v>36</v>
      </c>
      <c r="H104">
        <v>13</v>
      </c>
    </row>
    <row r="105" spans="1:8" ht="21.75" customHeight="1" x14ac:dyDescent="0.35">
      <c r="A105" t="s">
        <v>196</v>
      </c>
      <c r="B105" s="3">
        <v>45405</v>
      </c>
      <c r="C105" t="s">
        <v>89</v>
      </c>
      <c r="D105" t="s">
        <v>197</v>
      </c>
      <c r="E105" t="s">
        <v>22</v>
      </c>
      <c r="F105" t="s">
        <v>27</v>
      </c>
      <c r="G105" t="s">
        <v>28</v>
      </c>
      <c r="H105">
        <v>10</v>
      </c>
    </row>
    <row r="106" spans="1:8" ht="21.75" customHeight="1" x14ac:dyDescent="0.35">
      <c r="A106" t="s">
        <v>198</v>
      </c>
      <c r="B106" s="3">
        <v>45563</v>
      </c>
      <c r="C106" t="s">
        <v>99</v>
      </c>
      <c r="D106" t="s">
        <v>109</v>
      </c>
      <c r="E106" t="s">
        <v>17</v>
      </c>
      <c r="F106" t="s">
        <v>42</v>
      </c>
      <c r="G106" t="s">
        <v>36</v>
      </c>
      <c r="H106">
        <v>6</v>
      </c>
    </row>
    <row r="107" spans="1:8" ht="21.75" customHeight="1" x14ac:dyDescent="0.35">
      <c r="A107" t="s">
        <v>199</v>
      </c>
      <c r="B107" s="3">
        <v>45448</v>
      </c>
      <c r="C107" t="s">
        <v>200</v>
      </c>
      <c r="D107" t="s">
        <v>45</v>
      </c>
      <c r="E107" t="s">
        <v>22</v>
      </c>
      <c r="F107" t="s">
        <v>42</v>
      </c>
      <c r="G107" t="s">
        <v>28</v>
      </c>
      <c r="H107">
        <v>4</v>
      </c>
    </row>
    <row r="108" spans="1:8" ht="21.75" customHeight="1" x14ac:dyDescent="0.35">
      <c r="A108" t="s">
        <v>201</v>
      </c>
      <c r="B108" s="3">
        <v>45566</v>
      </c>
      <c r="C108" t="s">
        <v>61</v>
      </c>
      <c r="D108" t="s">
        <v>65</v>
      </c>
      <c r="F108" t="s">
        <v>56</v>
      </c>
      <c r="G108" t="s">
        <v>28</v>
      </c>
      <c r="H108">
        <v>8</v>
      </c>
    </row>
    <row r="109" spans="1:8" ht="21.75" customHeight="1" x14ac:dyDescent="0.35">
      <c r="A109" t="s">
        <v>202</v>
      </c>
      <c r="B109" s="3">
        <v>45560</v>
      </c>
      <c r="C109" t="s">
        <v>203</v>
      </c>
      <c r="D109" t="s">
        <v>72</v>
      </c>
      <c r="E109" t="s">
        <v>11</v>
      </c>
      <c r="F109" t="s">
        <v>18</v>
      </c>
      <c r="G109" t="s">
        <v>32</v>
      </c>
      <c r="H109">
        <v>5</v>
      </c>
    </row>
    <row r="110" spans="1:8" ht="21.75" customHeight="1" x14ac:dyDescent="0.35">
      <c r="A110" t="s">
        <v>204</v>
      </c>
      <c r="B110" s="3">
        <v>45446</v>
      </c>
      <c r="C110" t="s">
        <v>89</v>
      </c>
      <c r="D110" t="s">
        <v>41</v>
      </c>
      <c r="E110" t="s">
        <v>17</v>
      </c>
      <c r="F110" t="s">
        <v>12</v>
      </c>
      <c r="G110" t="s">
        <v>23</v>
      </c>
      <c r="H110">
        <v>1</v>
      </c>
    </row>
    <row r="111" spans="1:8" ht="21.75" customHeight="1" x14ac:dyDescent="0.35">
      <c r="A111" t="s">
        <v>205</v>
      </c>
      <c r="B111" s="3">
        <v>45441</v>
      </c>
      <c r="C111" t="s">
        <v>93</v>
      </c>
      <c r="D111" t="s">
        <v>35</v>
      </c>
      <c r="E111" t="s">
        <v>11</v>
      </c>
      <c r="F111" t="s">
        <v>56</v>
      </c>
      <c r="G111" t="s">
        <v>36</v>
      </c>
      <c r="H111">
        <v>10</v>
      </c>
    </row>
    <row r="112" spans="1:8" ht="21.75" customHeight="1" x14ac:dyDescent="0.35">
      <c r="A112" t="s">
        <v>206</v>
      </c>
      <c r="B112" s="3">
        <v>45517</v>
      </c>
      <c r="C112" t="s">
        <v>122</v>
      </c>
      <c r="D112" t="s">
        <v>45</v>
      </c>
      <c r="E112" t="s">
        <v>17</v>
      </c>
      <c r="F112" t="s">
        <v>42</v>
      </c>
      <c r="G112" t="s">
        <v>28</v>
      </c>
      <c r="H112">
        <v>14</v>
      </c>
    </row>
    <row r="113" spans="1:8" ht="21.75" customHeight="1" x14ac:dyDescent="0.35">
      <c r="A113" t="s">
        <v>207</v>
      </c>
      <c r="B113" s="3">
        <v>45497</v>
      </c>
      <c r="C113" t="s">
        <v>208</v>
      </c>
      <c r="D113" t="s">
        <v>16</v>
      </c>
      <c r="E113" t="s">
        <v>22</v>
      </c>
      <c r="F113" t="s">
        <v>27</v>
      </c>
      <c r="G113" t="s">
        <v>13</v>
      </c>
      <c r="H113">
        <v>11</v>
      </c>
    </row>
    <row r="114" spans="1:8" ht="21.75" customHeight="1" x14ac:dyDescent="0.35">
      <c r="A114" t="s">
        <v>209</v>
      </c>
      <c r="B114" s="3">
        <v>45580</v>
      </c>
      <c r="C114" t="s">
        <v>68</v>
      </c>
      <c r="D114" t="s">
        <v>79</v>
      </c>
      <c r="E114" t="s">
        <v>11</v>
      </c>
      <c r="F114" t="s">
        <v>42</v>
      </c>
      <c r="G114" t="s">
        <v>13</v>
      </c>
      <c r="H114">
        <v>9</v>
      </c>
    </row>
    <row r="115" spans="1:8" ht="21.75" customHeight="1" x14ac:dyDescent="0.35">
      <c r="A115" t="s">
        <v>210</v>
      </c>
      <c r="B115" s="3">
        <v>45597</v>
      </c>
      <c r="C115" t="s">
        <v>125</v>
      </c>
      <c r="D115" t="s">
        <v>74</v>
      </c>
      <c r="E115" t="s">
        <v>17</v>
      </c>
      <c r="F115" t="s">
        <v>18</v>
      </c>
      <c r="G115" t="s">
        <v>28</v>
      </c>
      <c r="H115">
        <v>8</v>
      </c>
    </row>
    <row r="116" spans="1:8" ht="21.75" customHeight="1" x14ac:dyDescent="0.35">
      <c r="A116" t="s">
        <v>211</v>
      </c>
      <c r="B116" s="3">
        <v>45593</v>
      </c>
      <c r="C116" t="s">
        <v>200</v>
      </c>
      <c r="D116" t="s">
        <v>70</v>
      </c>
      <c r="E116" t="s">
        <v>22</v>
      </c>
      <c r="F116" t="s">
        <v>27</v>
      </c>
      <c r="G116" t="s">
        <v>32</v>
      </c>
      <c r="H116">
        <v>1</v>
      </c>
    </row>
    <row r="117" spans="1:8" ht="21.75" customHeight="1" x14ac:dyDescent="0.35">
      <c r="A117" t="s">
        <v>212</v>
      </c>
      <c r="B117" s="3">
        <v>45342</v>
      </c>
      <c r="C117" t="s">
        <v>203</v>
      </c>
      <c r="D117" t="s">
        <v>197</v>
      </c>
      <c r="E117" t="s">
        <v>22</v>
      </c>
      <c r="F117" t="s">
        <v>56</v>
      </c>
      <c r="G117" t="s">
        <v>28</v>
      </c>
      <c r="H117">
        <v>2</v>
      </c>
    </row>
    <row r="118" spans="1:8" ht="21.75" customHeight="1" x14ac:dyDescent="0.35">
      <c r="A118" t="s">
        <v>213</v>
      </c>
      <c r="B118" s="3">
        <v>45574</v>
      </c>
      <c r="C118" t="s">
        <v>93</v>
      </c>
      <c r="D118" t="s">
        <v>45</v>
      </c>
      <c r="E118" t="s">
        <v>17</v>
      </c>
      <c r="F118" t="s">
        <v>12</v>
      </c>
      <c r="G118" t="s">
        <v>28</v>
      </c>
      <c r="H118">
        <v>8</v>
      </c>
    </row>
    <row r="119" spans="1:8" ht="21.75" customHeight="1" x14ac:dyDescent="0.35">
      <c r="A119" t="s">
        <v>214</v>
      </c>
      <c r="B119" s="3">
        <v>45441</v>
      </c>
      <c r="C119" t="s">
        <v>51</v>
      </c>
      <c r="D119" t="s">
        <v>197</v>
      </c>
      <c r="E119" t="s">
        <v>22</v>
      </c>
      <c r="F119" t="s">
        <v>12</v>
      </c>
      <c r="G119" t="s">
        <v>28</v>
      </c>
      <c r="H119">
        <v>5</v>
      </c>
    </row>
    <row r="120" spans="1:8" ht="21.75" customHeight="1" x14ac:dyDescent="0.35">
      <c r="A120" t="s">
        <v>215</v>
      </c>
      <c r="B120" s="3">
        <v>45328</v>
      </c>
      <c r="C120" t="s">
        <v>133</v>
      </c>
      <c r="D120" t="s">
        <v>70</v>
      </c>
      <c r="E120" t="s">
        <v>22</v>
      </c>
      <c r="F120" t="s">
        <v>56</v>
      </c>
      <c r="G120" t="s">
        <v>32</v>
      </c>
      <c r="H120">
        <v>13</v>
      </c>
    </row>
    <row r="121" spans="1:8" ht="21.75" customHeight="1" x14ac:dyDescent="0.35">
      <c r="A121" t="s">
        <v>216</v>
      </c>
      <c r="B121" s="3">
        <v>45350</v>
      </c>
      <c r="C121" t="s">
        <v>64</v>
      </c>
      <c r="D121" t="s">
        <v>65</v>
      </c>
      <c r="E121" t="s">
        <v>17</v>
      </c>
      <c r="F121" t="s">
        <v>18</v>
      </c>
      <c r="G121" t="s">
        <v>28</v>
      </c>
      <c r="H121">
        <v>14</v>
      </c>
    </row>
    <row r="122" spans="1:8" ht="21.75" customHeight="1" x14ac:dyDescent="0.35">
      <c r="A122" t="s">
        <v>217</v>
      </c>
      <c r="B122" s="3">
        <v>45376</v>
      </c>
      <c r="C122" t="s">
        <v>20</v>
      </c>
      <c r="D122" t="s">
        <v>119</v>
      </c>
      <c r="E122" t="s">
        <v>17</v>
      </c>
      <c r="F122" t="s">
        <v>42</v>
      </c>
      <c r="G122" t="s">
        <v>23</v>
      </c>
      <c r="H122">
        <v>8</v>
      </c>
    </row>
    <row r="123" spans="1:8" ht="21.75" customHeight="1" x14ac:dyDescent="0.35">
      <c r="A123" t="s">
        <v>218</v>
      </c>
      <c r="B123" s="3">
        <v>45447</v>
      </c>
      <c r="C123" t="s">
        <v>68</v>
      </c>
      <c r="D123" t="s">
        <v>70</v>
      </c>
      <c r="F123" t="s">
        <v>27</v>
      </c>
      <c r="G123" t="s">
        <v>32</v>
      </c>
      <c r="H123">
        <v>8</v>
      </c>
    </row>
    <row r="124" spans="1:8" ht="21.75" customHeight="1" x14ac:dyDescent="0.35">
      <c r="A124" t="s">
        <v>219</v>
      </c>
      <c r="B124" s="3">
        <v>45312</v>
      </c>
      <c r="C124" t="s">
        <v>47</v>
      </c>
      <c r="D124" t="s">
        <v>70</v>
      </c>
      <c r="E124" t="s">
        <v>17</v>
      </c>
      <c r="F124" t="s">
        <v>27</v>
      </c>
      <c r="G124" t="s">
        <v>32</v>
      </c>
      <c r="H124">
        <v>1</v>
      </c>
    </row>
    <row r="125" spans="1:8" ht="21.75" customHeight="1" x14ac:dyDescent="0.35">
      <c r="A125" t="s">
        <v>220</v>
      </c>
      <c r="B125" s="3">
        <v>45586</v>
      </c>
      <c r="C125" t="s">
        <v>203</v>
      </c>
      <c r="D125" t="s">
        <v>10</v>
      </c>
      <c r="E125" t="s">
        <v>22</v>
      </c>
      <c r="F125" t="s">
        <v>18</v>
      </c>
      <c r="G125" t="s">
        <v>13</v>
      </c>
      <c r="H125">
        <v>1</v>
      </c>
    </row>
    <row r="126" spans="1:8" ht="21.75" customHeight="1" x14ac:dyDescent="0.35">
      <c r="A126" t="s">
        <v>221</v>
      </c>
      <c r="B126" s="3">
        <v>45532</v>
      </c>
      <c r="C126" t="s">
        <v>78</v>
      </c>
      <c r="D126" t="s">
        <v>174</v>
      </c>
      <c r="E126" t="s">
        <v>11</v>
      </c>
      <c r="F126" t="s">
        <v>18</v>
      </c>
      <c r="G126" t="s">
        <v>36</v>
      </c>
      <c r="H126">
        <v>10</v>
      </c>
    </row>
    <row r="127" spans="1:8" ht="21.75" customHeight="1" x14ac:dyDescent="0.35">
      <c r="A127" t="s">
        <v>222</v>
      </c>
      <c r="B127" s="3">
        <v>45338</v>
      </c>
      <c r="C127" t="s">
        <v>81</v>
      </c>
      <c r="D127" t="s">
        <v>87</v>
      </c>
      <c r="E127" t="s">
        <v>17</v>
      </c>
      <c r="F127" t="s">
        <v>27</v>
      </c>
      <c r="G127" t="s">
        <v>32</v>
      </c>
      <c r="H127">
        <v>6</v>
      </c>
    </row>
    <row r="128" spans="1:8" ht="21.75" customHeight="1" x14ac:dyDescent="0.35">
      <c r="A128" t="s">
        <v>223</v>
      </c>
      <c r="B128" s="3">
        <v>45460</v>
      </c>
      <c r="C128" t="s">
        <v>89</v>
      </c>
      <c r="D128" t="s">
        <v>174</v>
      </c>
      <c r="E128" t="s">
        <v>22</v>
      </c>
      <c r="F128" t="s">
        <v>27</v>
      </c>
      <c r="G128" t="s">
        <v>36</v>
      </c>
      <c r="H128">
        <v>7</v>
      </c>
    </row>
    <row r="129" spans="1:8" ht="21.75" customHeight="1" x14ac:dyDescent="0.35">
      <c r="A129" t="s">
        <v>224</v>
      </c>
      <c r="B129" s="3">
        <v>45310</v>
      </c>
      <c r="C129" t="s">
        <v>53</v>
      </c>
      <c r="D129" t="s">
        <v>10</v>
      </c>
      <c r="E129" t="s">
        <v>17</v>
      </c>
      <c r="F129" t="s">
        <v>27</v>
      </c>
      <c r="G129" t="s">
        <v>13</v>
      </c>
      <c r="H129">
        <v>6</v>
      </c>
    </row>
    <row r="130" spans="1:8" ht="21.75" customHeight="1" x14ac:dyDescent="0.35">
      <c r="A130" t="s">
        <v>225</v>
      </c>
      <c r="B130" s="3">
        <v>45498</v>
      </c>
      <c r="C130" t="s">
        <v>86</v>
      </c>
      <c r="D130" t="s">
        <v>16</v>
      </c>
      <c r="E130" t="s">
        <v>17</v>
      </c>
      <c r="F130" t="s">
        <v>18</v>
      </c>
      <c r="G130" t="s">
        <v>13</v>
      </c>
      <c r="H130">
        <v>7</v>
      </c>
    </row>
    <row r="131" spans="1:8" ht="21.75" customHeight="1" x14ac:dyDescent="0.35">
      <c r="A131" t="s">
        <v>226</v>
      </c>
      <c r="B131" s="3">
        <v>45477</v>
      </c>
      <c r="C131" t="s">
        <v>58</v>
      </c>
      <c r="D131" t="s">
        <v>59</v>
      </c>
      <c r="E131" t="s">
        <v>11</v>
      </c>
      <c r="F131" t="s">
        <v>18</v>
      </c>
      <c r="G131" t="s">
        <v>36</v>
      </c>
      <c r="H131">
        <v>4</v>
      </c>
    </row>
    <row r="132" spans="1:8" ht="21.75" customHeight="1" x14ac:dyDescent="0.35">
      <c r="A132" t="s">
        <v>227</v>
      </c>
      <c r="B132" s="3">
        <v>45439</v>
      </c>
      <c r="C132" t="s">
        <v>114</v>
      </c>
      <c r="D132" t="s">
        <v>35</v>
      </c>
      <c r="E132" t="s">
        <v>11</v>
      </c>
      <c r="F132" t="s">
        <v>27</v>
      </c>
      <c r="G132" t="s">
        <v>36</v>
      </c>
      <c r="H132">
        <v>11</v>
      </c>
    </row>
    <row r="133" spans="1:8" ht="21.75" customHeight="1" x14ac:dyDescent="0.35">
      <c r="A133" t="s">
        <v>228</v>
      </c>
      <c r="B133" s="3">
        <v>45655</v>
      </c>
      <c r="C133" t="s">
        <v>40</v>
      </c>
      <c r="D133" t="s">
        <v>70</v>
      </c>
      <c r="E133" t="s">
        <v>11</v>
      </c>
      <c r="F133" t="s">
        <v>56</v>
      </c>
      <c r="G133" t="s">
        <v>32</v>
      </c>
      <c r="H133">
        <v>9</v>
      </c>
    </row>
    <row r="134" spans="1:8" ht="21.75" customHeight="1" x14ac:dyDescent="0.35">
      <c r="A134" t="s">
        <v>229</v>
      </c>
      <c r="B134" s="3">
        <v>45350</v>
      </c>
      <c r="C134" t="s">
        <v>230</v>
      </c>
      <c r="D134" t="s">
        <v>79</v>
      </c>
      <c r="E134" t="s">
        <v>17</v>
      </c>
      <c r="F134" t="s">
        <v>27</v>
      </c>
      <c r="G134" t="s">
        <v>13</v>
      </c>
      <c r="H134">
        <v>15</v>
      </c>
    </row>
    <row r="135" spans="1:8" ht="21.75" customHeight="1" x14ac:dyDescent="0.35">
      <c r="A135" t="s">
        <v>231</v>
      </c>
      <c r="B135" s="3">
        <v>45653</v>
      </c>
      <c r="C135" t="s">
        <v>208</v>
      </c>
      <c r="D135" t="s">
        <v>59</v>
      </c>
      <c r="E135" t="s">
        <v>17</v>
      </c>
      <c r="F135" t="s">
        <v>42</v>
      </c>
      <c r="G135" t="s">
        <v>163</v>
      </c>
      <c r="H135">
        <v>4</v>
      </c>
    </row>
    <row r="136" spans="1:8" ht="21.75" customHeight="1" x14ac:dyDescent="0.35">
      <c r="A136" t="s">
        <v>232</v>
      </c>
      <c r="B136" s="3">
        <v>45488</v>
      </c>
      <c r="C136" t="s">
        <v>122</v>
      </c>
      <c r="D136" t="s">
        <v>119</v>
      </c>
      <c r="E136" t="s">
        <v>22</v>
      </c>
      <c r="F136" t="s">
        <v>56</v>
      </c>
      <c r="G136" t="s">
        <v>23</v>
      </c>
      <c r="H136">
        <v>15</v>
      </c>
    </row>
    <row r="137" spans="1:8" ht="21.75" customHeight="1" x14ac:dyDescent="0.35">
      <c r="A137" t="s">
        <v>233</v>
      </c>
      <c r="B137" s="3">
        <v>45433</v>
      </c>
      <c r="C137" t="s">
        <v>83</v>
      </c>
      <c r="D137" t="s">
        <v>70</v>
      </c>
      <c r="E137" t="s">
        <v>17</v>
      </c>
      <c r="F137" t="s">
        <v>27</v>
      </c>
      <c r="G137" t="s">
        <v>32</v>
      </c>
      <c r="H137">
        <v>14</v>
      </c>
    </row>
    <row r="138" spans="1:8" ht="21.75" customHeight="1" x14ac:dyDescent="0.35">
      <c r="A138" t="s">
        <v>234</v>
      </c>
      <c r="B138" s="3">
        <v>45444</v>
      </c>
      <c r="C138" t="s">
        <v>235</v>
      </c>
      <c r="D138" t="s">
        <v>84</v>
      </c>
      <c r="E138" t="s">
        <v>11</v>
      </c>
      <c r="F138" t="s">
        <v>18</v>
      </c>
      <c r="G138" t="s">
        <v>23</v>
      </c>
      <c r="H138">
        <v>8</v>
      </c>
    </row>
    <row r="139" spans="1:8" ht="21.75" customHeight="1" x14ac:dyDescent="0.35">
      <c r="A139" t="s">
        <v>236</v>
      </c>
      <c r="B139" s="3">
        <v>45462</v>
      </c>
      <c r="C139" t="s">
        <v>108</v>
      </c>
      <c r="D139" t="s">
        <v>84</v>
      </c>
      <c r="E139" t="s">
        <v>17</v>
      </c>
      <c r="F139" t="s">
        <v>18</v>
      </c>
      <c r="G139" t="s">
        <v>23</v>
      </c>
      <c r="H139">
        <v>15</v>
      </c>
    </row>
    <row r="140" spans="1:8" ht="21.75" customHeight="1" x14ac:dyDescent="0.35">
      <c r="A140" t="s">
        <v>237</v>
      </c>
      <c r="B140" s="3">
        <v>45649</v>
      </c>
      <c r="C140" t="s">
        <v>138</v>
      </c>
      <c r="D140" t="s">
        <v>84</v>
      </c>
      <c r="E140" t="s">
        <v>11</v>
      </c>
      <c r="F140" t="s">
        <v>56</v>
      </c>
      <c r="G140" t="s">
        <v>23</v>
      </c>
      <c r="H140">
        <v>14</v>
      </c>
    </row>
    <row r="141" spans="1:8" ht="21.75" customHeight="1" x14ac:dyDescent="0.35">
      <c r="A141" t="s">
        <v>238</v>
      </c>
      <c r="B141" s="3">
        <v>45454</v>
      </c>
      <c r="C141" t="s">
        <v>208</v>
      </c>
      <c r="D141" t="s">
        <v>59</v>
      </c>
      <c r="E141" t="s">
        <v>22</v>
      </c>
      <c r="F141" t="s">
        <v>27</v>
      </c>
      <c r="G141" t="s">
        <v>36</v>
      </c>
      <c r="H141">
        <v>13</v>
      </c>
    </row>
    <row r="142" spans="1:8" ht="21.75" customHeight="1" x14ac:dyDescent="0.35">
      <c r="A142" t="s">
        <v>239</v>
      </c>
      <c r="B142" s="3">
        <v>45545</v>
      </c>
      <c r="C142" t="s">
        <v>240</v>
      </c>
      <c r="D142" t="s">
        <v>74</v>
      </c>
      <c r="E142" t="s">
        <v>22</v>
      </c>
      <c r="F142" t="s">
        <v>12</v>
      </c>
      <c r="G142" t="s">
        <v>28</v>
      </c>
      <c r="H142">
        <v>6</v>
      </c>
    </row>
    <row r="143" spans="1:8" ht="21.75" customHeight="1" x14ac:dyDescent="0.35">
      <c r="A143" t="s">
        <v>241</v>
      </c>
      <c r="B143" s="3">
        <v>45343</v>
      </c>
      <c r="C143" t="s">
        <v>187</v>
      </c>
      <c r="D143" t="s">
        <v>35</v>
      </c>
      <c r="F143" t="s">
        <v>18</v>
      </c>
      <c r="G143" t="s">
        <v>36</v>
      </c>
      <c r="H143">
        <v>3</v>
      </c>
    </row>
    <row r="144" spans="1:8" ht="21.75" customHeight="1" x14ac:dyDescent="0.35">
      <c r="A144" t="s">
        <v>242</v>
      </c>
      <c r="B144" s="3">
        <v>45371</v>
      </c>
      <c r="C144" t="s">
        <v>187</v>
      </c>
      <c r="D144" t="s">
        <v>174</v>
      </c>
      <c r="E144" t="s">
        <v>17</v>
      </c>
      <c r="F144" t="s">
        <v>12</v>
      </c>
      <c r="G144" t="s">
        <v>36</v>
      </c>
      <c r="H144">
        <v>10</v>
      </c>
    </row>
    <row r="145" spans="1:8" ht="21.75" customHeight="1" x14ac:dyDescent="0.35">
      <c r="A145" t="s">
        <v>243</v>
      </c>
      <c r="B145" s="3">
        <v>45333</v>
      </c>
      <c r="C145" t="s">
        <v>159</v>
      </c>
      <c r="D145" t="s">
        <v>84</v>
      </c>
      <c r="E145" t="s">
        <v>17</v>
      </c>
      <c r="F145" t="s">
        <v>42</v>
      </c>
      <c r="G145" t="s">
        <v>23</v>
      </c>
      <c r="H145">
        <v>11</v>
      </c>
    </row>
    <row r="146" spans="1:8" ht="21.75" customHeight="1" x14ac:dyDescent="0.35">
      <c r="A146" t="s">
        <v>244</v>
      </c>
      <c r="B146" s="3">
        <v>45541</v>
      </c>
      <c r="C146" t="s">
        <v>167</v>
      </c>
      <c r="D146" t="s">
        <v>16</v>
      </c>
      <c r="E146" t="s">
        <v>11</v>
      </c>
      <c r="F146" t="s">
        <v>18</v>
      </c>
      <c r="G146" t="s">
        <v>245</v>
      </c>
      <c r="H146">
        <v>4</v>
      </c>
    </row>
    <row r="147" spans="1:8" ht="21.75" customHeight="1" x14ac:dyDescent="0.35">
      <c r="A147" t="s">
        <v>246</v>
      </c>
      <c r="B147" s="3">
        <v>45408</v>
      </c>
      <c r="C147" t="s">
        <v>240</v>
      </c>
      <c r="D147" t="s">
        <v>35</v>
      </c>
      <c r="E147" t="s">
        <v>22</v>
      </c>
      <c r="F147" t="s">
        <v>12</v>
      </c>
      <c r="G147" t="s">
        <v>36</v>
      </c>
      <c r="H147">
        <v>12</v>
      </c>
    </row>
    <row r="148" spans="1:8" ht="21.75" customHeight="1" x14ac:dyDescent="0.35">
      <c r="A148" t="s">
        <v>247</v>
      </c>
      <c r="B148" s="3">
        <v>45377</v>
      </c>
      <c r="C148" t="s">
        <v>235</v>
      </c>
      <c r="D148" t="s">
        <v>96</v>
      </c>
      <c r="E148" t="s">
        <v>17</v>
      </c>
      <c r="F148" t="s">
        <v>42</v>
      </c>
      <c r="G148" t="s">
        <v>13</v>
      </c>
      <c r="H148">
        <v>13</v>
      </c>
    </row>
    <row r="149" spans="1:8" ht="21.75" customHeight="1" x14ac:dyDescent="0.35">
      <c r="A149" t="s">
        <v>248</v>
      </c>
      <c r="B149" s="3">
        <v>45483</v>
      </c>
      <c r="C149" t="s">
        <v>106</v>
      </c>
      <c r="D149" t="s">
        <v>65</v>
      </c>
      <c r="E149" t="s">
        <v>22</v>
      </c>
      <c r="F149" t="s">
        <v>27</v>
      </c>
      <c r="G149" t="s">
        <v>28</v>
      </c>
      <c r="H149">
        <v>7</v>
      </c>
    </row>
    <row r="150" spans="1:8" ht="21.75" customHeight="1" x14ac:dyDescent="0.35">
      <c r="A150" t="s">
        <v>249</v>
      </c>
      <c r="B150" s="3">
        <v>45384</v>
      </c>
      <c r="C150" t="s">
        <v>47</v>
      </c>
      <c r="D150" t="s">
        <v>45</v>
      </c>
      <c r="E150" t="s">
        <v>22</v>
      </c>
      <c r="F150" t="s">
        <v>56</v>
      </c>
      <c r="G150" t="s">
        <v>66</v>
      </c>
      <c r="H150">
        <v>14</v>
      </c>
    </row>
    <row r="151" spans="1:8" ht="21.75" customHeight="1" x14ac:dyDescent="0.35">
      <c r="A151" t="s">
        <v>250</v>
      </c>
      <c r="B151" s="3">
        <v>45415</v>
      </c>
      <c r="C151" t="s">
        <v>51</v>
      </c>
      <c r="D151" t="s">
        <v>41</v>
      </c>
      <c r="E151" t="s">
        <v>11</v>
      </c>
      <c r="F151" t="s">
        <v>27</v>
      </c>
      <c r="G151" t="s">
        <v>23</v>
      </c>
      <c r="H151">
        <v>8</v>
      </c>
    </row>
    <row r="152" spans="1:8" ht="21.75" customHeight="1" x14ac:dyDescent="0.35">
      <c r="A152" t="s">
        <v>251</v>
      </c>
      <c r="B152" s="3">
        <v>45422</v>
      </c>
      <c r="C152" t="s">
        <v>240</v>
      </c>
      <c r="D152" t="s">
        <v>174</v>
      </c>
      <c r="E152" t="s">
        <v>22</v>
      </c>
      <c r="F152" t="s">
        <v>12</v>
      </c>
      <c r="G152" t="s">
        <v>36</v>
      </c>
      <c r="H152">
        <v>9</v>
      </c>
    </row>
    <row r="153" spans="1:8" ht="21.75" customHeight="1" x14ac:dyDescent="0.35">
      <c r="A153" t="s">
        <v>252</v>
      </c>
      <c r="B153" s="3">
        <v>45468</v>
      </c>
      <c r="C153" t="s">
        <v>125</v>
      </c>
      <c r="D153" t="s">
        <v>87</v>
      </c>
      <c r="E153" t="s">
        <v>22</v>
      </c>
      <c r="F153" t="s">
        <v>18</v>
      </c>
      <c r="G153" t="s">
        <v>32</v>
      </c>
      <c r="H153">
        <v>5</v>
      </c>
    </row>
    <row r="154" spans="1:8" ht="21.75" customHeight="1" x14ac:dyDescent="0.35">
      <c r="A154" t="s">
        <v>253</v>
      </c>
      <c r="B154" s="3">
        <v>45393</v>
      </c>
      <c r="C154" t="s">
        <v>55</v>
      </c>
      <c r="D154" t="s">
        <v>35</v>
      </c>
      <c r="E154" t="s">
        <v>11</v>
      </c>
      <c r="F154" t="s">
        <v>27</v>
      </c>
      <c r="G154" t="s">
        <v>36</v>
      </c>
      <c r="H154">
        <v>7</v>
      </c>
    </row>
    <row r="155" spans="1:8" ht="21.75" customHeight="1" x14ac:dyDescent="0.35">
      <c r="A155" t="s">
        <v>254</v>
      </c>
      <c r="B155" s="3">
        <v>45443</v>
      </c>
      <c r="C155" t="s">
        <v>47</v>
      </c>
      <c r="D155" t="s">
        <v>102</v>
      </c>
      <c r="E155" t="s">
        <v>17</v>
      </c>
      <c r="F155" t="s">
        <v>42</v>
      </c>
      <c r="G155" t="s">
        <v>245</v>
      </c>
      <c r="H155">
        <v>1</v>
      </c>
    </row>
    <row r="156" spans="1:8" ht="21.75" customHeight="1" x14ac:dyDescent="0.35">
      <c r="A156" t="s">
        <v>255</v>
      </c>
      <c r="B156" s="3">
        <v>45317</v>
      </c>
      <c r="C156" t="s">
        <v>40</v>
      </c>
      <c r="D156" t="s">
        <v>174</v>
      </c>
      <c r="E156" t="s">
        <v>11</v>
      </c>
      <c r="F156" t="s">
        <v>18</v>
      </c>
      <c r="G156" t="s">
        <v>36</v>
      </c>
      <c r="H156">
        <v>10</v>
      </c>
    </row>
    <row r="157" spans="1:8" ht="21.75" customHeight="1" x14ac:dyDescent="0.35">
      <c r="A157" t="s">
        <v>256</v>
      </c>
      <c r="B157" s="3">
        <v>45617</v>
      </c>
      <c r="C157" t="s">
        <v>118</v>
      </c>
      <c r="D157" t="s">
        <v>62</v>
      </c>
      <c r="E157" t="s">
        <v>22</v>
      </c>
      <c r="F157" t="s">
        <v>56</v>
      </c>
      <c r="G157" t="s">
        <v>23</v>
      </c>
      <c r="H157">
        <v>13</v>
      </c>
    </row>
    <row r="158" spans="1:8" ht="21.75" customHeight="1" x14ac:dyDescent="0.35">
      <c r="A158" t="s">
        <v>257</v>
      </c>
      <c r="B158" s="3">
        <v>45640</v>
      </c>
      <c r="C158" t="s">
        <v>61</v>
      </c>
      <c r="D158" t="s">
        <v>96</v>
      </c>
      <c r="E158" t="s">
        <v>17</v>
      </c>
      <c r="F158" t="s">
        <v>56</v>
      </c>
      <c r="G158" t="s">
        <v>13</v>
      </c>
      <c r="H158">
        <v>13</v>
      </c>
    </row>
    <row r="159" spans="1:8" ht="21.75" customHeight="1" x14ac:dyDescent="0.35">
      <c r="A159" t="s">
        <v>258</v>
      </c>
      <c r="B159" s="3">
        <v>45478</v>
      </c>
      <c r="C159" t="s">
        <v>108</v>
      </c>
      <c r="D159" t="s">
        <v>10</v>
      </c>
      <c r="E159" t="s">
        <v>17</v>
      </c>
      <c r="F159" t="s">
        <v>56</v>
      </c>
      <c r="G159" t="s">
        <v>13</v>
      </c>
      <c r="H159">
        <v>12</v>
      </c>
    </row>
    <row r="160" spans="1:8" ht="21.75" customHeight="1" x14ac:dyDescent="0.35">
      <c r="A160" t="s">
        <v>259</v>
      </c>
      <c r="B160" s="3">
        <v>45359</v>
      </c>
      <c r="C160" t="s">
        <v>81</v>
      </c>
      <c r="D160" t="s">
        <v>70</v>
      </c>
      <c r="E160" t="s">
        <v>22</v>
      </c>
      <c r="F160" t="s">
        <v>18</v>
      </c>
      <c r="G160" t="s">
        <v>32</v>
      </c>
      <c r="H160">
        <v>15</v>
      </c>
    </row>
    <row r="161" spans="1:8" ht="21.75" customHeight="1" x14ac:dyDescent="0.35">
      <c r="A161" t="s">
        <v>260</v>
      </c>
      <c r="B161" s="3">
        <v>45423</v>
      </c>
      <c r="C161" t="s">
        <v>208</v>
      </c>
      <c r="D161" t="s">
        <v>31</v>
      </c>
      <c r="E161" t="s">
        <v>11</v>
      </c>
      <c r="F161" t="s">
        <v>27</v>
      </c>
      <c r="G161" t="s">
        <v>32</v>
      </c>
      <c r="H161">
        <v>8</v>
      </c>
    </row>
    <row r="162" spans="1:8" ht="21.75" customHeight="1" x14ac:dyDescent="0.35">
      <c r="A162" t="s">
        <v>261</v>
      </c>
      <c r="B162" s="3">
        <v>45407</v>
      </c>
      <c r="C162" t="s">
        <v>34</v>
      </c>
      <c r="D162" t="s">
        <v>62</v>
      </c>
      <c r="E162" t="s">
        <v>11</v>
      </c>
      <c r="F162" t="s">
        <v>27</v>
      </c>
      <c r="G162" t="s">
        <v>152</v>
      </c>
      <c r="H162">
        <v>13</v>
      </c>
    </row>
    <row r="163" spans="1:8" ht="21.75" customHeight="1" x14ac:dyDescent="0.35">
      <c r="A163" t="s">
        <v>262</v>
      </c>
      <c r="B163" s="3">
        <v>45566</v>
      </c>
      <c r="C163" t="s">
        <v>61</v>
      </c>
      <c r="D163" t="s">
        <v>174</v>
      </c>
      <c r="E163" t="s">
        <v>22</v>
      </c>
      <c r="F163" t="s">
        <v>12</v>
      </c>
      <c r="G163" t="s">
        <v>36</v>
      </c>
      <c r="H163">
        <v>12</v>
      </c>
    </row>
    <row r="164" spans="1:8" ht="21.75" customHeight="1" x14ac:dyDescent="0.35">
      <c r="A164" t="s">
        <v>263</v>
      </c>
      <c r="B164" s="3">
        <v>45487</v>
      </c>
      <c r="C164" t="s">
        <v>89</v>
      </c>
      <c r="D164" t="s">
        <v>79</v>
      </c>
      <c r="E164" t="s">
        <v>17</v>
      </c>
      <c r="F164" t="s">
        <v>42</v>
      </c>
      <c r="G164" t="s">
        <v>13</v>
      </c>
      <c r="H164">
        <v>1</v>
      </c>
    </row>
    <row r="165" spans="1:8" ht="21.75" customHeight="1" x14ac:dyDescent="0.35">
      <c r="A165" t="s">
        <v>264</v>
      </c>
      <c r="B165" s="3">
        <v>45459</v>
      </c>
      <c r="C165" t="s">
        <v>20</v>
      </c>
      <c r="D165" t="s">
        <v>45</v>
      </c>
      <c r="E165" t="s">
        <v>22</v>
      </c>
      <c r="F165" t="s">
        <v>18</v>
      </c>
      <c r="G165" t="s">
        <v>66</v>
      </c>
      <c r="H165">
        <v>14</v>
      </c>
    </row>
    <row r="166" spans="1:8" ht="21.75" customHeight="1" x14ac:dyDescent="0.35">
      <c r="A166" t="s">
        <v>265</v>
      </c>
      <c r="B166" s="3">
        <v>45446</v>
      </c>
      <c r="C166" t="s">
        <v>78</v>
      </c>
      <c r="D166" t="s">
        <v>79</v>
      </c>
      <c r="E166" t="s">
        <v>11</v>
      </c>
      <c r="F166" t="s">
        <v>27</v>
      </c>
      <c r="G166" t="s">
        <v>13</v>
      </c>
      <c r="H166">
        <v>1</v>
      </c>
    </row>
    <row r="167" spans="1:8" ht="21.75" customHeight="1" x14ac:dyDescent="0.35">
      <c r="A167" t="s">
        <v>266</v>
      </c>
      <c r="B167" s="3">
        <v>45351</v>
      </c>
      <c r="C167" t="s">
        <v>118</v>
      </c>
      <c r="D167" t="s">
        <v>74</v>
      </c>
      <c r="E167" t="s">
        <v>11</v>
      </c>
      <c r="F167" t="s">
        <v>12</v>
      </c>
      <c r="G167" t="s">
        <v>66</v>
      </c>
      <c r="H167">
        <v>7</v>
      </c>
    </row>
    <row r="168" spans="1:8" ht="21.75" customHeight="1" x14ac:dyDescent="0.35">
      <c r="A168" t="s">
        <v>267</v>
      </c>
      <c r="B168" s="3">
        <v>45648</v>
      </c>
      <c r="C168" t="s">
        <v>95</v>
      </c>
      <c r="D168" t="s">
        <v>109</v>
      </c>
      <c r="E168" t="s">
        <v>22</v>
      </c>
      <c r="F168" t="s">
        <v>18</v>
      </c>
      <c r="G168" t="s">
        <v>36</v>
      </c>
      <c r="H168">
        <v>12</v>
      </c>
    </row>
    <row r="169" spans="1:8" ht="21.75" customHeight="1" x14ac:dyDescent="0.35">
      <c r="A169" t="s">
        <v>268</v>
      </c>
      <c r="B169" s="3">
        <v>45627</v>
      </c>
      <c r="C169" t="s">
        <v>44</v>
      </c>
      <c r="D169" t="s">
        <v>109</v>
      </c>
      <c r="E169" t="s">
        <v>17</v>
      </c>
      <c r="F169" t="s">
        <v>12</v>
      </c>
      <c r="G169" t="s">
        <v>36</v>
      </c>
      <c r="H169">
        <v>5</v>
      </c>
    </row>
    <row r="170" spans="1:8" ht="21.75" customHeight="1" x14ac:dyDescent="0.35">
      <c r="A170" t="s">
        <v>269</v>
      </c>
      <c r="B170" s="3">
        <v>45403</v>
      </c>
      <c r="C170" t="s">
        <v>44</v>
      </c>
      <c r="D170" t="s">
        <v>160</v>
      </c>
      <c r="E170" t="s">
        <v>17</v>
      </c>
      <c r="F170" t="s">
        <v>27</v>
      </c>
      <c r="G170" t="s">
        <v>36</v>
      </c>
      <c r="H170">
        <v>2</v>
      </c>
    </row>
    <row r="171" spans="1:8" ht="21.75" customHeight="1" x14ac:dyDescent="0.35">
      <c r="A171" t="s">
        <v>270</v>
      </c>
      <c r="B171" s="3">
        <v>45570</v>
      </c>
      <c r="C171" t="s">
        <v>51</v>
      </c>
      <c r="D171" t="s">
        <v>102</v>
      </c>
      <c r="E171" t="s">
        <v>17</v>
      </c>
      <c r="F171" t="s">
        <v>42</v>
      </c>
      <c r="G171" t="s">
        <v>13</v>
      </c>
      <c r="H171">
        <v>4</v>
      </c>
    </row>
    <row r="172" spans="1:8" ht="21.75" customHeight="1" x14ac:dyDescent="0.35">
      <c r="A172" t="s">
        <v>271</v>
      </c>
      <c r="B172" s="3">
        <v>45338</v>
      </c>
      <c r="C172" t="s">
        <v>58</v>
      </c>
      <c r="D172" t="s">
        <v>21</v>
      </c>
      <c r="E172" t="s">
        <v>11</v>
      </c>
      <c r="F172" t="s">
        <v>56</v>
      </c>
      <c r="G172" t="s">
        <v>23</v>
      </c>
      <c r="H172">
        <v>13</v>
      </c>
    </row>
    <row r="173" spans="1:8" ht="21.75" customHeight="1" x14ac:dyDescent="0.35">
      <c r="A173" t="s">
        <v>272</v>
      </c>
      <c r="B173" s="3">
        <v>45581</v>
      </c>
      <c r="C173" t="s">
        <v>40</v>
      </c>
      <c r="D173" t="s">
        <v>16</v>
      </c>
      <c r="E173" t="s">
        <v>11</v>
      </c>
      <c r="F173" t="s">
        <v>56</v>
      </c>
      <c r="G173" t="s">
        <v>13</v>
      </c>
      <c r="H173">
        <v>10</v>
      </c>
    </row>
    <row r="174" spans="1:8" ht="21.75" customHeight="1" x14ac:dyDescent="0.35">
      <c r="A174" t="s">
        <v>273</v>
      </c>
      <c r="B174" s="3">
        <v>45460</v>
      </c>
      <c r="C174" t="s">
        <v>58</v>
      </c>
      <c r="D174" t="s">
        <v>21</v>
      </c>
      <c r="E174" t="s">
        <v>17</v>
      </c>
      <c r="F174" t="s">
        <v>56</v>
      </c>
      <c r="G174" t="s">
        <v>23</v>
      </c>
      <c r="H174">
        <v>14</v>
      </c>
    </row>
    <row r="175" spans="1:8" ht="21.75" customHeight="1" x14ac:dyDescent="0.35">
      <c r="A175" t="s">
        <v>274</v>
      </c>
      <c r="B175" s="3">
        <v>45568</v>
      </c>
      <c r="C175" t="s">
        <v>25</v>
      </c>
      <c r="D175" t="s">
        <v>45</v>
      </c>
      <c r="E175" t="s">
        <v>22</v>
      </c>
      <c r="F175" t="s">
        <v>42</v>
      </c>
      <c r="G175" t="s">
        <v>28</v>
      </c>
      <c r="H175">
        <v>14</v>
      </c>
    </row>
    <row r="176" spans="1:8" ht="21.75" customHeight="1" x14ac:dyDescent="0.35">
      <c r="A176" t="s">
        <v>275</v>
      </c>
      <c r="B176" s="3">
        <v>45475</v>
      </c>
      <c r="C176" t="s">
        <v>58</v>
      </c>
      <c r="D176" t="s">
        <v>62</v>
      </c>
      <c r="E176" t="s">
        <v>11</v>
      </c>
      <c r="F176" t="s">
        <v>56</v>
      </c>
      <c r="G176" t="s">
        <v>23</v>
      </c>
      <c r="H176">
        <v>3</v>
      </c>
    </row>
    <row r="177" spans="1:8" ht="21.75" customHeight="1" x14ac:dyDescent="0.35">
      <c r="A177" t="s">
        <v>276</v>
      </c>
      <c r="B177" s="3">
        <v>45507</v>
      </c>
      <c r="C177" t="s">
        <v>230</v>
      </c>
      <c r="D177" t="s">
        <v>96</v>
      </c>
      <c r="F177" t="s">
        <v>18</v>
      </c>
      <c r="G177" t="s">
        <v>13</v>
      </c>
      <c r="H177">
        <v>8</v>
      </c>
    </row>
    <row r="178" spans="1:8" ht="21.75" customHeight="1" x14ac:dyDescent="0.35">
      <c r="A178" t="s">
        <v>277</v>
      </c>
      <c r="B178" s="3">
        <v>45595</v>
      </c>
      <c r="C178" t="s">
        <v>106</v>
      </c>
      <c r="D178" t="s">
        <v>109</v>
      </c>
      <c r="F178" t="s">
        <v>12</v>
      </c>
      <c r="G178" t="s">
        <v>163</v>
      </c>
      <c r="H178">
        <v>10</v>
      </c>
    </row>
    <row r="179" spans="1:8" ht="21.75" customHeight="1" x14ac:dyDescent="0.35">
      <c r="A179" t="s">
        <v>278</v>
      </c>
      <c r="B179" s="3">
        <v>45629</v>
      </c>
      <c r="C179" t="s">
        <v>93</v>
      </c>
      <c r="D179" t="s">
        <v>87</v>
      </c>
      <c r="F179" t="s">
        <v>18</v>
      </c>
      <c r="G179" t="s">
        <v>32</v>
      </c>
      <c r="H179">
        <v>1</v>
      </c>
    </row>
    <row r="180" spans="1:8" ht="21.75" customHeight="1" x14ac:dyDescent="0.35">
      <c r="A180" t="s">
        <v>279</v>
      </c>
      <c r="B180" s="3">
        <v>45497</v>
      </c>
      <c r="C180" t="s">
        <v>116</v>
      </c>
      <c r="D180" t="s">
        <v>102</v>
      </c>
      <c r="E180" t="s">
        <v>22</v>
      </c>
      <c r="F180" t="s">
        <v>27</v>
      </c>
      <c r="G180" t="s">
        <v>13</v>
      </c>
      <c r="H180">
        <v>15</v>
      </c>
    </row>
    <row r="181" spans="1:8" ht="21.75" customHeight="1" x14ac:dyDescent="0.35">
      <c r="A181" t="s">
        <v>280</v>
      </c>
      <c r="B181" s="3">
        <v>45456</v>
      </c>
      <c r="C181" t="s">
        <v>61</v>
      </c>
      <c r="D181" t="s">
        <v>45</v>
      </c>
      <c r="E181" t="s">
        <v>11</v>
      </c>
      <c r="F181" t="s">
        <v>18</v>
      </c>
      <c r="G181" t="s">
        <v>28</v>
      </c>
      <c r="H181">
        <v>5</v>
      </c>
    </row>
    <row r="182" spans="1:8" ht="21.75" customHeight="1" x14ac:dyDescent="0.35">
      <c r="A182" t="s">
        <v>281</v>
      </c>
      <c r="B182" s="3">
        <v>45572</v>
      </c>
      <c r="C182" t="s">
        <v>68</v>
      </c>
      <c r="D182" t="s">
        <v>109</v>
      </c>
      <c r="E182" t="s">
        <v>22</v>
      </c>
      <c r="F182" t="s">
        <v>42</v>
      </c>
      <c r="G182" t="s">
        <v>36</v>
      </c>
      <c r="H182">
        <v>5</v>
      </c>
    </row>
    <row r="183" spans="1:8" ht="21.75" customHeight="1" x14ac:dyDescent="0.35">
      <c r="A183" t="s">
        <v>282</v>
      </c>
      <c r="B183" s="3">
        <v>45512</v>
      </c>
      <c r="C183" t="s">
        <v>240</v>
      </c>
      <c r="D183" t="s">
        <v>16</v>
      </c>
      <c r="E183" t="s">
        <v>22</v>
      </c>
      <c r="F183" t="s">
        <v>12</v>
      </c>
      <c r="G183" t="s">
        <v>13</v>
      </c>
      <c r="H183">
        <v>14</v>
      </c>
    </row>
    <row r="184" spans="1:8" ht="21.75" customHeight="1" x14ac:dyDescent="0.35">
      <c r="A184" t="s">
        <v>283</v>
      </c>
      <c r="B184" s="3">
        <v>45408</v>
      </c>
      <c r="C184" t="s">
        <v>111</v>
      </c>
      <c r="D184" t="s">
        <v>87</v>
      </c>
      <c r="E184" t="s">
        <v>17</v>
      </c>
      <c r="F184" t="s">
        <v>27</v>
      </c>
      <c r="G184" t="s">
        <v>32</v>
      </c>
      <c r="H184">
        <v>7</v>
      </c>
    </row>
    <row r="185" spans="1:8" ht="21.75" customHeight="1" x14ac:dyDescent="0.35">
      <c r="A185" t="s">
        <v>284</v>
      </c>
      <c r="B185" s="3">
        <v>45510</v>
      </c>
      <c r="C185" t="s">
        <v>122</v>
      </c>
      <c r="D185" t="s">
        <v>31</v>
      </c>
      <c r="E185" t="s">
        <v>11</v>
      </c>
      <c r="F185" t="s">
        <v>42</v>
      </c>
      <c r="G185" t="s">
        <v>49</v>
      </c>
      <c r="H185">
        <v>11</v>
      </c>
    </row>
    <row r="186" spans="1:8" ht="21.75" customHeight="1" x14ac:dyDescent="0.35">
      <c r="A186" t="s">
        <v>285</v>
      </c>
      <c r="B186" s="3">
        <v>45338</v>
      </c>
      <c r="C186" t="s">
        <v>58</v>
      </c>
      <c r="D186" t="s">
        <v>102</v>
      </c>
      <c r="E186" t="s">
        <v>11</v>
      </c>
      <c r="F186" t="s">
        <v>12</v>
      </c>
      <c r="G186" t="s">
        <v>13</v>
      </c>
      <c r="H186">
        <v>12</v>
      </c>
    </row>
    <row r="187" spans="1:8" ht="21.75" customHeight="1" x14ac:dyDescent="0.35">
      <c r="A187" t="s">
        <v>286</v>
      </c>
      <c r="B187" s="3">
        <v>45576</v>
      </c>
      <c r="C187" t="s">
        <v>95</v>
      </c>
      <c r="D187" t="s">
        <v>119</v>
      </c>
      <c r="E187" t="s">
        <v>22</v>
      </c>
      <c r="F187" t="s">
        <v>12</v>
      </c>
      <c r="G187" t="s">
        <v>23</v>
      </c>
      <c r="H187">
        <v>6</v>
      </c>
    </row>
    <row r="188" spans="1:8" ht="21.75" customHeight="1" x14ac:dyDescent="0.35">
      <c r="A188" t="s">
        <v>287</v>
      </c>
      <c r="B188" s="3">
        <v>45473</v>
      </c>
      <c r="C188" t="s">
        <v>55</v>
      </c>
      <c r="D188" t="s">
        <v>10</v>
      </c>
      <c r="E188" t="s">
        <v>22</v>
      </c>
      <c r="F188" t="s">
        <v>27</v>
      </c>
      <c r="G188" t="s">
        <v>13</v>
      </c>
      <c r="H188">
        <v>5</v>
      </c>
    </row>
    <row r="189" spans="1:8" ht="21.75" customHeight="1" x14ac:dyDescent="0.35">
      <c r="A189" t="s">
        <v>288</v>
      </c>
      <c r="B189" s="3">
        <v>45551</v>
      </c>
      <c r="C189" t="s">
        <v>89</v>
      </c>
      <c r="D189" t="s">
        <v>26</v>
      </c>
      <c r="E189" t="s">
        <v>11</v>
      </c>
      <c r="F189" t="s">
        <v>56</v>
      </c>
      <c r="G189" t="s">
        <v>28</v>
      </c>
      <c r="H189">
        <v>14</v>
      </c>
    </row>
    <row r="190" spans="1:8" ht="21.75" customHeight="1" x14ac:dyDescent="0.35">
      <c r="A190" t="s">
        <v>289</v>
      </c>
      <c r="B190" s="3">
        <v>45480</v>
      </c>
      <c r="C190" t="s">
        <v>89</v>
      </c>
      <c r="D190" t="s">
        <v>70</v>
      </c>
      <c r="E190" t="s">
        <v>11</v>
      </c>
      <c r="F190" t="s">
        <v>12</v>
      </c>
      <c r="G190" t="s">
        <v>32</v>
      </c>
      <c r="H190">
        <v>13</v>
      </c>
    </row>
    <row r="191" spans="1:8" ht="21.75" customHeight="1" x14ac:dyDescent="0.35">
      <c r="A191" t="s">
        <v>290</v>
      </c>
      <c r="B191" s="3">
        <v>45610</v>
      </c>
      <c r="C191" t="s">
        <v>20</v>
      </c>
      <c r="D191" t="s">
        <v>21</v>
      </c>
      <c r="E191" t="s">
        <v>22</v>
      </c>
      <c r="F191" t="s">
        <v>18</v>
      </c>
      <c r="G191" t="s">
        <v>23</v>
      </c>
      <c r="H191">
        <v>15</v>
      </c>
    </row>
    <row r="192" spans="1:8" ht="21.75" customHeight="1" x14ac:dyDescent="0.35">
      <c r="A192" t="s">
        <v>291</v>
      </c>
      <c r="B192" s="3">
        <v>45428</v>
      </c>
      <c r="C192" t="s">
        <v>30</v>
      </c>
      <c r="D192" t="s">
        <v>197</v>
      </c>
      <c r="E192" t="s">
        <v>22</v>
      </c>
      <c r="F192" t="s">
        <v>12</v>
      </c>
      <c r="G192" t="s">
        <v>28</v>
      </c>
      <c r="H192">
        <v>13</v>
      </c>
    </row>
    <row r="193" spans="1:8" ht="21.75" customHeight="1" x14ac:dyDescent="0.35">
      <c r="A193" t="s">
        <v>292</v>
      </c>
      <c r="B193" s="3">
        <v>45471</v>
      </c>
      <c r="C193" t="s">
        <v>208</v>
      </c>
      <c r="D193" t="s">
        <v>65</v>
      </c>
      <c r="E193" t="s">
        <v>22</v>
      </c>
      <c r="F193" t="s">
        <v>12</v>
      </c>
      <c r="G193" t="s">
        <v>28</v>
      </c>
      <c r="H193">
        <v>11</v>
      </c>
    </row>
    <row r="194" spans="1:8" ht="21.75" customHeight="1" x14ac:dyDescent="0.35">
      <c r="A194" t="s">
        <v>293</v>
      </c>
      <c r="B194" s="3">
        <v>45616</v>
      </c>
      <c r="C194" t="s">
        <v>30</v>
      </c>
      <c r="D194" t="s">
        <v>16</v>
      </c>
      <c r="E194" t="s">
        <v>11</v>
      </c>
      <c r="F194" t="s">
        <v>12</v>
      </c>
      <c r="G194" t="s">
        <v>245</v>
      </c>
      <c r="H194">
        <v>7</v>
      </c>
    </row>
    <row r="195" spans="1:8" ht="21.75" customHeight="1" x14ac:dyDescent="0.35">
      <c r="A195" t="s">
        <v>294</v>
      </c>
      <c r="B195" s="3">
        <v>45372</v>
      </c>
      <c r="C195" t="s">
        <v>64</v>
      </c>
      <c r="D195" t="s">
        <v>31</v>
      </c>
      <c r="E195" t="s">
        <v>22</v>
      </c>
      <c r="F195" t="s">
        <v>42</v>
      </c>
      <c r="G195" t="s">
        <v>32</v>
      </c>
      <c r="H195">
        <v>10</v>
      </c>
    </row>
    <row r="196" spans="1:8" ht="21.75" customHeight="1" x14ac:dyDescent="0.35">
      <c r="A196" t="s">
        <v>295</v>
      </c>
      <c r="B196" s="3">
        <v>45371</v>
      </c>
      <c r="C196" t="s">
        <v>118</v>
      </c>
      <c r="D196" t="s">
        <v>21</v>
      </c>
      <c r="E196" t="s">
        <v>22</v>
      </c>
      <c r="F196" t="s">
        <v>56</v>
      </c>
      <c r="G196" t="s">
        <v>23</v>
      </c>
      <c r="H196">
        <v>2</v>
      </c>
    </row>
    <row r="197" spans="1:8" ht="21.75" customHeight="1" x14ac:dyDescent="0.35">
      <c r="A197" t="s">
        <v>296</v>
      </c>
      <c r="B197" s="3">
        <v>45509</v>
      </c>
      <c r="C197" t="s">
        <v>230</v>
      </c>
      <c r="D197" t="s">
        <v>84</v>
      </c>
      <c r="E197" t="s">
        <v>17</v>
      </c>
      <c r="F197" t="s">
        <v>27</v>
      </c>
      <c r="G197" t="s">
        <v>23</v>
      </c>
      <c r="H197">
        <v>5</v>
      </c>
    </row>
    <row r="198" spans="1:8" ht="21.75" customHeight="1" x14ac:dyDescent="0.35">
      <c r="A198" t="s">
        <v>297</v>
      </c>
      <c r="B198" s="3">
        <v>45350</v>
      </c>
      <c r="C198" t="s">
        <v>78</v>
      </c>
      <c r="D198" t="s">
        <v>35</v>
      </c>
      <c r="E198" t="s">
        <v>17</v>
      </c>
      <c r="F198" t="s">
        <v>42</v>
      </c>
      <c r="G198" t="s">
        <v>36</v>
      </c>
      <c r="H198">
        <v>11</v>
      </c>
    </row>
    <row r="199" spans="1:8" ht="21.75" customHeight="1" x14ac:dyDescent="0.35">
      <c r="A199" t="s">
        <v>298</v>
      </c>
      <c r="B199" s="3">
        <v>45561</v>
      </c>
      <c r="C199" t="s">
        <v>15</v>
      </c>
      <c r="D199" t="s">
        <v>79</v>
      </c>
      <c r="E199" t="s">
        <v>17</v>
      </c>
      <c r="F199" t="s">
        <v>42</v>
      </c>
      <c r="G199" t="s">
        <v>13</v>
      </c>
      <c r="H199">
        <v>10</v>
      </c>
    </row>
    <row r="200" spans="1:8" ht="21.75" customHeight="1" x14ac:dyDescent="0.35">
      <c r="A200" t="s">
        <v>299</v>
      </c>
      <c r="B200" s="3">
        <v>45446</v>
      </c>
      <c r="C200" t="s">
        <v>78</v>
      </c>
      <c r="D200" t="s">
        <v>197</v>
      </c>
      <c r="E200" t="s">
        <v>17</v>
      </c>
      <c r="F200" t="s">
        <v>56</v>
      </c>
      <c r="G200" t="s">
        <v>28</v>
      </c>
      <c r="H200">
        <v>6</v>
      </c>
    </row>
    <row r="201" spans="1:8" ht="21.75" customHeight="1" x14ac:dyDescent="0.35">
      <c r="A201" t="s">
        <v>300</v>
      </c>
      <c r="B201" s="3">
        <v>45512</v>
      </c>
      <c r="C201" t="s">
        <v>89</v>
      </c>
      <c r="D201" t="s">
        <v>26</v>
      </c>
      <c r="F201" t="s">
        <v>56</v>
      </c>
      <c r="G201" t="s">
        <v>28</v>
      </c>
      <c r="H201">
        <v>12</v>
      </c>
    </row>
    <row r="202" spans="1:8" ht="21.75" customHeight="1" x14ac:dyDescent="0.35">
      <c r="A202" t="s">
        <v>301</v>
      </c>
      <c r="B202" s="3">
        <v>45634</v>
      </c>
      <c r="C202" t="s">
        <v>51</v>
      </c>
      <c r="D202" t="s">
        <v>102</v>
      </c>
      <c r="E202" t="s">
        <v>22</v>
      </c>
      <c r="F202" t="s">
        <v>42</v>
      </c>
      <c r="G202" t="s">
        <v>13</v>
      </c>
      <c r="H202">
        <v>1</v>
      </c>
    </row>
    <row r="203" spans="1:8" ht="21.75" customHeight="1" x14ac:dyDescent="0.35">
      <c r="A203" t="s">
        <v>8</v>
      </c>
      <c r="B203" s="3">
        <v>45619</v>
      </c>
      <c r="C203" t="s">
        <v>9</v>
      </c>
      <c r="D203" t="s">
        <v>10</v>
      </c>
      <c r="E203" t="s">
        <v>11</v>
      </c>
      <c r="F203" t="s">
        <v>12</v>
      </c>
      <c r="G203" t="s">
        <v>13</v>
      </c>
      <c r="H203">
        <v>4</v>
      </c>
    </row>
    <row r="204" spans="1:8" ht="21.75" customHeight="1" x14ac:dyDescent="0.35">
      <c r="A204" t="s">
        <v>14</v>
      </c>
      <c r="B204" s="3">
        <v>45638</v>
      </c>
      <c r="C204" t="s">
        <v>15</v>
      </c>
      <c r="D204" t="s">
        <v>16</v>
      </c>
      <c r="E204" t="s">
        <v>17</v>
      </c>
      <c r="F204" t="s">
        <v>18</v>
      </c>
      <c r="G204" t="s">
        <v>13</v>
      </c>
      <c r="H204">
        <v>1</v>
      </c>
    </row>
    <row r="205" spans="1:8" ht="21.75" customHeight="1" x14ac:dyDescent="0.35">
      <c r="A205" t="s">
        <v>19</v>
      </c>
      <c r="B205" s="3">
        <v>45411</v>
      </c>
      <c r="C205" t="s">
        <v>20</v>
      </c>
      <c r="D205" t="s">
        <v>21</v>
      </c>
      <c r="E205" t="s">
        <v>22</v>
      </c>
      <c r="F205" t="s">
        <v>18</v>
      </c>
      <c r="G205" t="s">
        <v>23</v>
      </c>
      <c r="H205">
        <v>4</v>
      </c>
    </row>
    <row r="206" spans="1:8" ht="21.75" customHeight="1" x14ac:dyDescent="0.35">
      <c r="A206" t="s">
        <v>24</v>
      </c>
      <c r="B206" s="3">
        <v>45571</v>
      </c>
      <c r="C206" t="s">
        <v>25</v>
      </c>
      <c r="D206" t="s">
        <v>26</v>
      </c>
      <c r="E206" t="s">
        <v>22</v>
      </c>
      <c r="F206" t="s">
        <v>27</v>
      </c>
      <c r="G206" t="s">
        <v>28</v>
      </c>
      <c r="H206">
        <v>5</v>
      </c>
    </row>
    <row r="207" spans="1:8" ht="21.75" customHeight="1" x14ac:dyDescent="0.35">
      <c r="A207" t="s">
        <v>29</v>
      </c>
      <c r="B207" s="3">
        <v>45373</v>
      </c>
      <c r="C207" t="s">
        <v>30</v>
      </c>
      <c r="D207" t="s">
        <v>31</v>
      </c>
      <c r="E207" t="s">
        <v>11</v>
      </c>
      <c r="F207" t="s">
        <v>27</v>
      </c>
      <c r="G207" t="s">
        <v>32</v>
      </c>
      <c r="H207">
        <v>4</v>
      </c>
    </row>
    <row r="208" spans="1:8" ht="21.75" customHeight="1" x14ac:dyDescent="0.35">
      <c r="A208" t="s">
        <v>302</v>
      </c>
      <c r="B208" s="3">
        <v>45619</v>
      </c>
      <c r="C208" t="s">
        <v>40</v>
      </c>
      <c r="D208" t="s">
        <v>197</v>
      </c>
      <c r="E208" t="s">
        <v>11</v>
      </c>
      <c r="F208" t="s">
        <v>42</v>
      </c>
      <c r="G208" t="s">
        <v>13</v>
      </c>
      <c r="H208">
        <v>8</v>
      </c>
    </row>
    <row r="209" spans="1:8" ht="21.75" customHeight="1" x14ac:dyDescent="0.35">
      <c r="A209" t="s">
        <v>303</v>
      </c>
      <c r="B209" s="3">
        <v>45638</v>
      </c>
      <c r="C209" t="s">
        <v>304</v>
      </c>
      <c r="D209" t="s">
        <v>59</v>
      </c>
      <c r="E209" t="s">
        <v>22</v>
      </c>
      <c r="F209" t="s">
        <v>12</v>
      </c>
      <c r="G209" t="s">
        <v>13</v>
      </c>
      <c r="H209">
        <v>14</v>
      </c>
    </row>
    <row r="210" spans="1:8" ht="21.75" customHeight="1" x14ac:dyDescent="0.35">
      <c r="A210" t="s">
        <v>305</v>
      </c>
      <c r="B210" s="3">
        <v>45403</v>
      </c>
      <c r="C210" t="s">
        <v>51</v>
      </c>
      <c r="D210" t="s">
        <v>96</v>
      </c>
      <c r="E210" t="s">
        <v>22</v>
      </c>
      <c r="F210" t="s">
        <v>306</v>
      </c>
      <c r="G210" t="s">
        <v>36</v>
      </c>
      <c r="H210">
        <v>18</v>
      </c>
    </row>
    <row r="211" spans="1:8" ht="21.75" customHeight="1" x14ac:dyDescent="0.35">
      <c r="A211" t="s">
        <v>307</v>
      </c>
      <c r="B211" s="3">
        <v>45506</v>
      </c>
      <c r="C211" t="s">
        <v>240</v>
      </c>
      <c r="D211" t="s">
        <v>26</v>
      </c>
      <c r="E211" t="s">
        <v>17</v>
      </c>
      <c r="F211" t="s">
        <v>306</v>
      </c>
      <c r="G211" t="s">
        <v>28</v>
      </c>
      <c r="H211">
        <v>1</v>
      </c>
    </row>
    <row r="212" spans="1:8" ht="21.75" customHeight="1" x14ac:dyDescent="0.35">
      <c r="A212" t="s">
        <v>308</v>
      </c>
      <c r="B212" s="3">
        <v>45649</v>
      </c>
      <c r="C212" t="s">
        <v>309</v>
      </c>
      <c r="D212" t="s">
        <v>16</v>
      </c>
      <c r="E212" t="s">
        <v>17</v>
      </c>
      <c r="F212" t="s">
        <v>42</v>
      </c>
      <c r="G212" t="s">
        <v>32</v>
      </c>
      <c r="H212">
        <v>7</v>
      </c>
    </row>
    <row r="213" spans="1:8" ht="21.75" customHeight="1" x14ac:dyDescent="0.35">
      <c r="A213" t="s">
        <v>310</v>
      </c>
      <c r="B213" s="3">
        <v>45344</v>
      </c>
      <c r="C213" t="s">
        <v>203</v>
      </c>
      <c r="D213" t="s">
        <v>48</v>
      </c>
      <c r="E213" t="s">
        <v>17</v>
      </c>
      <c r="F213" t="s">
        <v>12</v>
      </c>
      <c r="G213" t="s">
        <v>13</v>
      </c>
      <c r="H213">
        <v>12</v>
      </c>
    </row>
    <row r="214" spans="1:8" ht="21.75" customHeight="1" x14ac:dyDescent="0.35">
      <c r="A214" t="s">
        <v>311</v>
      </c>
      <c r="B214" s="3">
        <v>45527</v>
      </c>
      <c r="C214" t="s">
        <v>312</v>
      </c>
      <c r="D214" t="s">
        <v>10</v>
      </c>
      <c r="E214" t="s">
        <v>11</v>
      </c>
      <c r="F214" t="s">
        <v>27</v>
      </c>
      <c r="G214" t="s">
        <v>36</v>
      </c>
      <c r="H214">
        <v>18</v>
      </c>
    </row>
    <row r="215" spans="1:8" ht="21.75" customHeight="1" x14ac:dyDescent="0.35">
      <c r="A215" t="s">
        <v>313</v>
      </c>
      <c r="B215" s="3">
        <v>45477</v>
      </c>
      <c r="C215" t="s">
        <v>314</v>
      </c>
      <c r="D215" t="s">
        <v>79</v>
      </c>
      <c r="E215" t="s">
        <v>11</v>
      </c>
      <c r="F215" t="s">
        <v>12</v>
      </c>
      <c r="G215" t="s">
        <v>13</v>
      </c>
      <c r="H215">
        <v>8</v>
      </c>
    </row>
    <row r="216" spans="1:8" ht="21.75" customHeight="1" x14ac:dyDescent="0.35">
      <c r="A216" t="s">
        <v>315</v>
      </c>
      <c r="B216" s="3">
        <v>45411</v>
      </c>
      <c r="C216" t="s">
        <v>108</v>
      </c>
      <c r="D216" t="s">
        <v>70</v>
      </c>
      <c r="E216" t="s">
        <v>17</v>
      </c>
      <c r="F216" t="s">
        <v>42</v>
      </c>
      <c r="G216" t="s">
        <v>32</v>
      </c>
      <c r="H216">
        <v>12</v>
      </c>
    </row>
    <row r="217" spans="1:8" ht="21.75" customHeight="1" x14ac:dyDescent="0.35">
      <c r="A217" t="s">
        <v>316</v>
      </c>
      <c r="B217" s="3">
        <v>45399</v>
      </c>
      <c r="C217" t="s">
        <v>317</v>
      </c>
      <c r="D217" t="s">
        <v>109</v>
      </c>
      <c r="E217" t="s">
        <v>17</v>
      </c>
      <c r="F217" t="s">
        <v>12</v>
      </c>
      <c r="G217" t="s">
        <v>28</v>
      </c>
      <c r="H217">
        <v>6</v>
      </c>
    </row>
    <row r="218" spans="1:8" ht="21.75" customHeight="1" x14ac:dyDescent="0.35">
      <c r="A218" t="s">
        <v>318</v>
      </c>
      <c r="B218" s="3">
        <v>45375</v>
      </c>
      <c r="C218" t="s">
        <v>319</v>
      </c>
      <c r="D218" t="s">
        <v>21</v>
      </c>
      <c r="E218" t="s">
        <v>17</v>
      </c>
      <c r="F218" t="s">
        <v>42</v>
      </c>
      <c r="G218" t="s">
        <v>32</v>
      </c>
      <c r="H218">
        <v>18</v>
      </c>
    </row>
    <row r="219" spans="1:8" ht="21.75" customHeight="1" x14ac:dyDescent="0.35">
      <c r="A219" t="s">
        <v>320</v>
      </c>
      <c r="B219" s="3">
        <v>45320</v>
      </c>
      <c r="C219" t="s">
        <v>51</v>
      </c>
      <c r="D219" t="s">
        <v>31</v>
      </c>
      <c r="E219" t="s">
        <v>11</v>
      </c>
      <c r="F219" t="s">
        <v>42</v>
      </c>
      <c r="G219" t="s">
        <v>36</v>
      </c>
      <c r="H219">
        <v>9</v>
      </c>
    </row>
    <row r="220" spans="1:8" ht="21.75" customHeight="1" x14ac:dyDescent="0.35">
      <c r="A220" t="s">
        <v>321</v>
      </c>
      <c r="B220" s="3">
        <v>45453</v>
      </c>
      <c r="C220" t="s">
        <v>133</v>
      </c>
      <c r="D220" t="s">
        <v>31</v>
      </c>
      <c r="E220" t="s">
        <v>22</v>
      </c>
      <c r="F220" t="s">
        <v>27</v>
      </c>
      <c r="G220" t="s">
        <v>28</v>
      </c>
      <c r="H220">
        <v>15</v>
      </c>
    </row>
    <row r="221" spans="1:8" ht="21.75" customHeight="1" x14ac:dyDescent="0.35">
      <c r="A221" t="s">
        <v>322</v>
      </c>
      <c r="B221" s="3">
        <v>45418</v>
      </c>
      <c r="C221" t="s">
        <v>323</v>
      </c>
      <c r="D221" t="s">
        <v>26</v>
      </c>
      <c r="E221" t="s">
        <v>22</v>
      </c>
      <c r="F221" t="s">
        <v>306</v>
      </c>
      <c r="G221" t="s">
        <v>36</v>
      </c>
      <c r="H221">
        <v>19</v>
      </c>
    </row>
    <row r="222" spans="1:8" ht="21.75" customHeight="1" x14ac:dyDescent="0.35">
      <c r="A222" t="s">
        <v>324</v>
      </c>
      <c r="B222" s="3">
        <v>45496</v>
      </c>
      <c r="C222" t="s">
        <v>83</v>
      </c>
      <c r="D222" t="s">
        <v>160</v>
      </c>
      <c r="E222" t="s">
        <v>11</v>
      </c>
      <c r="F222" t="s">
        <v>56</v>
      </c>
      <c r="G222" t="s">
        <v>13</v>
      </c>
      <c r="H222">
        <v>16</v>
      </c>
    </row>
    <row r="223" spans="1:8" ht="21.75" customHeight="1" x14ac:dyDescent="0.35">
      <c r="A223" t="s">
        <v>325</v>
      </c>
      <c r="B223" s="3">
        <v>45348</v>
      </c>
      <c r="C223" t="s">
        <v>125</v>
      </c>
      <c r="D223" t="s">
        <v>41</v>
      </c>
      <c r="E223" t="s">
        <v>22</v>
      </c>
      <c r="F223" t="s">
        <v>56</v>
      </c>
      <c r="G223" t="s">
        <v>23</v>
      </c>
      <c r="H223">
        <v>14</v>
      </c>
    </row>
    <row r="224" spans="1:8" ht="21.75" customHeight="1" x14ac:dyDescent="0.35">
      <c r="A224" t="s">
        <v>326</v>
      </c>
      <c r="B224" s="3">
        <v>45487</v>
      </c>
      <c r="C224" t="s">
        <v>327</v>
      </c>
      <c r="D224" t="s">
        <v>26</v>
      </c>
      <c r="E224" t="s">
        <v>17</v>
      </c>
      <c r="F224" t="s">
        <v>306</v>
      </c>
      <c r="G224" t="s">
        <v>13</v>
      </c>
      <c r="H224">
        <v>18</v>
      </c>
    </row>
    <row r="225" spans="1:8" ht="21.75" customHeight="1" x14ac:dyDescent="0.35">
      <c r="A225" t="s">
        <v>328</v>
      </c>
      <c r="B225" s="3">
        <v>45640</v>
      </c>
      <c r="C225" t="s">
        <v>329</v>
      </c>
      <c r="D225" t="s">
        <v>119</v>
      </c>
      <c r="E225" t="s">
        <v>11</v>
      </c>
      <c r="F225" t="s">
        <v>306</v>
      </c>
      <c r="G225" t="s">
        <v>32</v>
      </c>
      <c r="H225">
        <v>9</v>
      </c>
    </row>
    <row r="226" spans="1:8" ht="21.75" customHeight="1" x14ac:dyDescent="0.35">
      <c r="A226" t="s">
        <v>330</v>
      </c>
      <c r="B226" s="3">
        <v>45349</v>
      </c>
      <c r="C226" t="s">
        <v>61</v>
      </c>
      <c r="D226" t="s">
        <v>70</v>
      </c>
      <c r="E226" t="s">
        <v>17</v>
      </c>
      <c r="F226" t="s">
        <v>56</v>
      </c>
      <c r="G226" t="s">
        <v>32</v>
      </c>
      <c r="H226">
        <v>1</v>
      </c>
    </row>
    <row r="227" spans="1:8" ht="21.75" customHeight="1" x14ac:dyDescent="0.35">
      <c r="A227" t="s">
        <v>331</v>
      </c>
      <c r="B227" s="3">
        <v>45548</v>
      </c>
      <c r="C227" t="s">
        <v>332</v>
      </c>
      <c r="D227" t="s">
        <v>102</v>
      </c>
      <c r="E227" t="s">
        <v>11</v>
      </c>
      <c r="F227" t="s">
        <v>306</v>
      </c>
      <c r="G227" t="s">
        <v>36</v>
      </c>
      <c r="H227">
        <v>10</v>
      </c>
    </row>
    <row r="228" spans="1:8" ht="21.75" customHeight="1" x14ac:dyDescent="0.35">
      <c r="A228" t="s">
        <v>333</v>
      </c>
      <c r="B228" s="3">
        <v>45603</v>
      </c>
      <c r="C228" t="s">
        <v>104</v>
      </c>
      <c r="D228" t="s">
        <v>119</v>
      </c>
      <c r="E228" t="s">
        <v>11</v>
      </c>
      <c r="F228" t="s">
        <v>42</v>
      </c>
      <c r="G228" t="s">
        <v>36</v>
      </c>
      <c r="H228">
        <v>6</v>
      </c>
    </row>
    <row r="229" spans="1:8" ht="21.75" customHeight="1" x14ac:dyDescent="0.35">
      <c r="A229" t="s">
        <v>334</v>
      </c>
      <c r="B229" s="3">
        <v>45292</v>
      </c>
      <c r="C229" t="s">
        <v>327</v>
      </c>
      <c r="D229" t="s">
        <v>96</v>
      </c>
      <c r="E229" t="s">
        <v>17</v>
      </c>
      <c r="F229" t="s">
        <v>27</v>
      </c>
      <c r="G229" t="s">
        <v>32</v>
      </c>
      <c r="H229">
        <v>4</v>
      </c>
    </row>
    <row r="230" spans="1:8" ht="21.75" customHeight="1" x14ac:dyDescent="0.35">
      <c r="A230" t="s">
        <v>335</v>
      </c>
      <c r="B230" s="3">
        <v>45414</v>
      </c>
      <c r="C230" t="s">
        <v>131</v>
      </c>
      <c r="D230" t="s">
        <v>10</v>
      </c>
      <c r="E230" t="s">
        <v>11</v>
      </c>
      <c r="F230" t="s">
        <v>306</v>
      </c>
      <c r="G230" t="s">
        <v>13</v>
      </c>
      <c r="H230">
        <v>3</v>
      </c>
    </row>
    <row r="231" spans="1:8" ht="21.75" customHeight="1" x14ac:dyDescent="0.35">
      <c r="A231" t="s">
        <v>336</v>
      </c>
      <c r="B231" s="3">
        <v>45564</v>
      </c>
      <c r="C231" t="s">
        <v>337</v>
      </c>
      <c r="D231" t="s">
        <v>41</v>
      </c>
      <c r="E231" t="s">
        <v>11</v>
      </c>
      <c r="F231" t="s">
        <v>56</v>
      </c>
      <c r="G231" t="s">
        <v>28</v>
      </c>
      <c r="H231">
        <v>16</v>
      </c>
    </row>
    <row r="232" spans="1:8" ht="21.75" customHeight="1" x14ac:dyDescent="0.35">
      <c r="A232" t="s">
        <v>338</v>
      </c>
      <c r="B232" s="3">
        <v>45427</v>
      </c>
      <c r="C232" t="s">
        <v>339</v>
      </c>
      <c r="D232" t="s">
        <v>65</v>
      </c>
      <c r="E232" t="s">
        <v>22</v>
      </c>
      <c r="F232" t="s">
        <v>27</v>
      </c>
      <c r="G232" t="s">
        <v>28</v>
      </c>
      <c r="H232">
        <v>18</v>
      </c>
    </row>
    <row r="233" spans="1:8" ht="21.75" customHeight="1" x14ac:dyDescent="0.35">
      <c r="A233" t="s">
        <v>340</v>
      </c>
      <c r="B233" s="3">
        <v>45451</v>
      </c>
      <c r="C233" t="s">
        <v>341</v>
      </c>
      <c r="D233" t="s">
        <v>70</v>
      </c>
      <c r="E233" t="s">
        <v>22</v>
      </c>
      <c r="F233" t="s">
        <v>42</v>
      </c>
      <c r="G233" t="s">
        <v>28</v>
      </c>
      <c r="H233">
        <v>17</v>
      </c>
    </row>
    <row r="234" spans="1:8" ht="21.75" customHeight="1" x14ac:dyDescent="0.35">
      <c r="A234" t="s">
        <v>342</v>
      </c>
      <c r="B234" s="3">
        <v>45407</v>
      </c>
      <c r="C234" t="s">
        <v>58</v>
      </c>
      <c r="D234" t="s">
        <v>59</v>
      </c>
      <c r="E234" t="s">
        <v>17</v>
      </c>
      <c r="F234" t="s">
        <v>12</v>
      </c>
      <c r="G234" t="s">
        <v>28</v>
      </c>
      <c r="H234">
        <v>18</v>
      </c>
    </row>
    <row r="235" spans="1:8" ht="21.75" customHeight="1" x14ac:dyDescent="0.35">
      <c r="A235" t="s">
        <v>343</v>
      </c>
      <c r="B235" s="3">
        <v>45295</v>
      </c>
      <c r="C235" t="s">
        <v>208</v>
      </c>
      <c r="D235" t="s">
        <v>197</v>
      </c>
      <c r="E235" t="s">
        <v>22</v>
      </c>
      <c r="F235" t="s">
        <v>12</v>
      </c>
      <c r="G235" t="s">
        <v>32</v>
      </c>
      <c r="H235">
        <v>3</v>
      </c>
    </row>
    <row r="236" spans="1:8" ht="21.75" customHeight="1" x14ac:dyDescent="0.35">
      <c r="A236" t="s">
        <v>344</v>
      </c>
      <c r="B236" s="3">
        <v>45328</v>
      </c>
      <c r="C236" t="s">
        <v>345</v>
      </c>
      <c r="D236" t="s">
        <v>41</v>
      </c>
      <c r="E236" t="s">
        <v>11</v>
      </c>
      <c r="F236" t="s">
        <v>42</v>
      </c>
      <c r="G236" t="s">
        <v>28</v>
      </c>
      <c r="H236">
        <v>16</v>
      </c>
    </row>
    <row r="237" spans="1:8" ht="21.75" customHeight="1" x14ac:dyDescent="0.35">
      <c r="A237" t="s">
        <v>346</v>
      </c>
      <c r="B237" s="3">
        <v>45584</v>
      </c>
      <c r="C237" t="s">
        <v>314</v>
      </c>
      <c r="D237" t="s">
        <v>35</v>
      </c>
      <c r="E237" t="s">
        <v>17</v>
      </c>
      <c r="F237" t="s">
        <v>56</v>
      </c>
      <c r="G237" t="s">
        <v>13</v>
      </c>
      <c r="H237">
        <v>14</v>
      </c>
    </row>
    <row r="238" spans="1:8" ht="21.75" customHeight="1" x14ac:dyDescent="0.35">
      <c r="A238" t="s">
        <v>347</v>
      </c>
      <c r="B238" s="3">
        <v>45629</v>
      </c>
      <c r="C238" t="s">
        <v>348</v>
      </c>
      <c r="D238" t="s">
        <v>87</v>
      </c>
      <c r="E238" t="s">
        <v>17</v>
      </c>
      <c r="F238" t="s">
        <v>27</v>
      </c>
      <c r="G238" t="s">
        <v>13</v>
      </c>
      <c r="H238">
        <v>15</v>
      </c>
    </row>
    <row r="239" spans="1:8" ht="21.75" customHeight="1" x14ac:dyDescent="0.35">
      <c r="A239" t="s">
        <v>349</v>
      </c>
      <c r="B239" s="3">
        <v>45636</v>
      </c>
      <c r="C239" t="s">
        <v>350</v>
      </c>
      <c r="D239" t="s">
        <v>79</v>
      </c>
      <c r="E239" t="s">
        <v>22</v>
      </c>
      <c r="F239" t="s">
        <v>12</v>
      </c>
      <c r="G239" t="s">
        <v>13</v>
      </c>
      <c r="H239">
        <v>13</v>
      </c>
    </row>
    <row r="240" spans="1:8" ht="21.75" customHeight="1" x14ac:dyDescent="0.35">
      <c r="A240" t="s">
        <v>351</v>
      </c>
      <c r="B240" s="3">
        <v>45419</v>
      </c>
      <c r="C240" t="s">
        <v>150</v>
      </c>
      <c r="D240" t="s">
        <v>70</v>
      </c>
      <c r="E240" t="s">
        <v>11</v>
      </c>
      <c r="F240" t="s">
        <v>306</v>
      </c>
      <c r="G240" t="s">
        <v>32</v>
      </c>
      <c r="H240">
        <v>5</v>
      </c>
    </row>
    <row r="241" spans="1:8" ht="21.75" customHeight="1" x14ac:dyDescent="0.35">
      <c r="A241" t="s">
        <v>352</v>
      </c>
      <c r="B241" s="3">
        <v>45528</v>
      </c>
      <c r="C241" t="s">
        <v>78</v>
      </c>
      <c r="D241" t="s">
        <v>174</v>
      </c>
      <c r="E241" t="s">
        <v>11</v>
      </c>
      <c r="F241" t="s">
        <v>27</v>
      </c>
      <c r="G241" t="s">
        <v>36</v>
      </c>
      <c r="H241">
        <v>4</v>
      </c>
    </row>
    <row r="242" spans="1:8" ht="21.75" customHeight="1" x14ac:dyDescent="0.35">
      <c r="A242" t="s">
        <v>353</v>
      </c>
      <c r="B242" s="3">
        <v>45299</v>
      </c>
      <c r="C242" t="s">
        <v>203</v>
      </c>
      <c r="D242" t="s">
        <v>87</v>
      </c>
      <c r="E242" t="s">
        <v>11</v>
      </c>
      <c r="F242" t="s">
        <v>56</v>
      </c>
      <c r="G242" t="s">
        <v>23</v>
      </c>
      <c r="H242">
        <v>16</v>
      </c>
    </row>
    <row r="243" spans="1:8" ht="21.75" customHeight="1" x14ac:dyDescent="0.35">
      <c r="A243" t="s">
        <v>354</v>
      </c>
      <c r="B243" s="3">
        <v>45322</v>
      </c>
      <c r="C243" t="s">
        <v>30</v>
      </c>
      <c r="D243" t="s">
        <v>31</v>
      </c>
      <c r="E243" t="s">
        <v>17</v>
      </c>
      <c r="F243" t="s">
        <v>12</v>
      </c>
      <c r="G243" t="s">
        <v>23</v>
      </c>
      <c r="H243">
        <v>9</v>
      </c>
    </row>
    <row r="244" spans="1:8" ht="21.75" customHeight="1" x14ac:dyDescent="0.35">
      <c r="A244" t="s">
        <v>355</v>
      </c>
      <c r="B244" s="3">
        <v>45438</v>
      </c>
      <c r="C244" t="s">
        <v>309</v>
      </c>
      <c r="D244" t="s">
        <v>41</v>
      </c>
      <c r="E244" t="s">
        <v>22</v>
      </c>
      <c r="F244" t="s">
        <v>306</v>
      </c>
      <c r="G244" t="s">
        <v>32</v>
      </c>
      <c r="H244">
        <v>16</v>
      </c>
    </row>
    <row r="245" spans="1:8" ht="21.75" customHeight="1" x14ac:dyDescent="0.35">
      <c r="A245" t="s">
        <v>356</v>
      </c>
      <c r="B245" s="3">
        <v>45403</v>
      </c>
      <c r="C245" t="s">
        <v>131</v>
      </c>
      <c r="D245" t="s">
        <v>79</v>
      </c>
      <c r="E245" t="s">
        <v>22</v>
      </c>
      <c r="F245" t="s">
        <v>306</v>
      </c>
      <c r="G245" t="s">
        <v>36</v>
      </c>
      <c r="H245">
        <v>11</v>
      </c>
    </row>
    <row r="246" spans="1:8" ht="21.75" customHeight="1" x14ac:dyDescent="0.35">
      <c r="A246" t="s">
        <v>357</v>
      </c>
      <c r="B246" s="3">
        <v>45536</v>
      </c>
      <c r="C246" t="s">
        <v>358</v>
      </c>
      <c r="D246" t="s">
        <v>79</v>
      </c>
      <c r="E246" t="s">
        <v>22</v>
      </c>
      <c r="F246" t="s">
        <v>56</v>
      </c>
      <c r="G246" t="s">
        <v>28</v>
      </c>
      <c r="H246">
        <v>17</v>
      </c>
    </row>
    <row r="247" spans="1:8" ht="21.75" customHeight="1" x14ac:dyDescent="0.35">
      <c r="A247" t="s">
        <v>359</v>
      </c>
      <c r="B247" s="3">
        <v>45327</v>
      </c>
      <c r="C247" t="s">
        <v>327</v>
      </c>
      <c r="D247" t="s">
        <v>31</v>
      </c>
      <c r="E247" t="s">
        <v>11</v>
      </c>
      <c r="F247" t="s">
        <v>56</v>
      </c>
      <c r="G247" t="s">
        <v>36</v>
      </c>
      <c r="H247">
        <v>4</v>
      </c>
    </row>
    <row r="248" spans="1:8" ht="21.75" customHeight="1" x14ac:dyDescent="0.35">
      <c r="A248" t="s">
        <v>360</v>
      </c>
      <c r="B248" s="3">
        <v>45418</v>
      </c>
      <c r="C248" t="s">
        <v>361</v>
      </c>
      <c r="D248" t="s">
        <v>109</v>
      </c>
      <c r="E248" t="s">
        <v>22</v>
      </c>
      <c r="F248" t="s">
        <v>12</v>
      </c>
      <c r="G248" t="s">
        <v>36</v>
      </c>
      <c r="H248">
        <v>3</v>
      </c>
    </row>
    <row r="249" spans="1:8" ht="21.75" customHeight="1" x14ac:dyDescent="0.35">
      <c r="A249" t="s">
        <v>362</v>
      </c>
      <c r="B249" s="3">
        <v>45581</v>
      </c>
      <c r="C249" t="s">
        <v>363</v>
      </c>
      <c r="D249" t="s">
        <v>65</v>
      </c>
      <c r="E249" t="s">
        <v>17</v>
      </c>
      <c r="F249" t="s">
        <v>42</v>
      </c>
      <c r="G249" t="s">
        <v>23</v>
      </c>
      <c r="H249">
        <v>11</v>
      </c>
    </row>
    <row r="250" spans="1:8" ht="21.75" customHeight="1" x14ac:dyDescent="0.35">
      <c r="A250" t="s">
        <v>364</v>
      </c>
      <c r="B250" s="3">
        <v>45359</v>
      </c>
      <c r="C250" t="s">
        <v>317</v>
      </c>
      <c r="D250" t="s">
        <v>70</v>
      </c>
      <c r="E250" t="s">
        <v>22</v>
      </c>
      <c r="F250" t="s">
        <v>42</v>
      </c>
      <c r="G250" t="s">
        <v>13</v>
      </c>
      <c r="H250">
        <v>11</v>
      </c>
    </row>
    <row r="251" spans="1:8" ht="21.75" customHeight="1" x14ac:dyDescent="0.35">
      <c r="A251" t="s">
        <v>365</v>
      </c>
      <c r="B251" s="3">
        <v>45296</v>
      </c>
      <c r="C251" t="s">
        <v>366</v>
      </c>
      <c r="D251" t="s">
        <v>102</v>
      </c>
      <c r="E251" t="s">
        <v>22</v>
      </c>
      <c r="F251" t="s">
        <v>306</v>
      </c>
      <c r="G251" t="s">
        <v>36</v>
      </c>
      <c r="H251">
        <v>3</v>
      </c>
    </row>
    <row r="252" spans="1:8" ht="21.75" customHeight="1" x14ac:dyDescent="0.35">
      <c r="A252" t="s">
        <v>367</v>
      </c>
      <c r="B252" s="3">
        <v>45427</v>
      </c>
      <c r="C252" t="s">
        <v>34</v>
      </c>
      <c r="D252" t="s">
        <v>197</v>
      </c>
      <c r="E252" t="s">
        <v>17</v>
      </c>
      <c r="F252" t="s">
        <v>12</v>
      </c>
      <c r="G252" t="s">
        <v>23</v>
      </c>
      <c r="H252">
        <v>12</v>
      </c>
    </row>
    <row r="253" spans="1:8" ht="21.75" customHeight="1" x14ac:dyDescent="0.35">
      <c r="A253" t="s">
        <v>368</v>
      </c>
      <c r="B253" s="3">
        <v>45570</v>
      </c>
      <c r="C253" t="s">
        <v>369</v>
      </c>
      <c r="D253" t="s">
        <v>21</v>
      </c>
      <c r="E253" t="s">
        <v>17</v>
      </c>
      <c r="F253" t="s">
        <v>306</v>
      </c>
      <c r="G253" t="s">
        <v>36</v>
      </c>
      <c r="H253">
        <v>17</v>
      </c>
    </row>
    <row r="254" spans="1:8" ht="21.75" customHeight="1" x14ac:dyDescent="0.35">
      <c r="A254" t="s">
        <v>370</v>
      </c>
      <c r="B254" s="3">
        <v>45445</v>
      </c>
      <c r="C254" t="s">
        <v>371</v>
      </c>
      <c r="D254" t="s">
        <v>26</v>
      </c>
      <c r="E254" t="s">
        <v>11</v>
      </c>
      <c r="F254" t="s">
        <v>56</v>
      </c>
      <c r="G254" t="s">
        <v>36</v>
      </c>
      <c r="H254">
        <v>4</v>
      </c>
    </row>
    <row r="255" spans="1:8" ht="21.75" customHeight="1" x14ac:dyDescent="0.35">
      <c r="A255" t="s">
        <v>372</v>
      </c>
      <c r="B255" s="3">
        <v>45371</v>
      </c>
      <c r="C255" t="s">
        <v>101</v>
      </c>
      <c r="D255" t="s">
        <v>65</v>
      </c>
      <c r="E255" t="s">
        <v>17</v>
      </c>
      <c r="F255" t="s">
        <v>306</v>
      </c>
      <c r="G255" t="s">
        <v>32</v>
      </c>
      <c r="H255">
        <v>11</v>
      </c>
    </row>
    <row r="256" spans="1:8" ht="21.75" customHeight="1" x14ac:dyDescent="0.35">
      <c r="A256" t="s">
        <v>373</v>
      </c>
      <c r="B256" s="3">
        <v>45550</v>
      </c>
      <c r="C256" t="s">
        <v>374</v>
      </c>
      <c r="D256" t="s">
        <v>10</v>
      </c>
      <c r="E256" t="s">
        <v>17</v>
      </c>
      <c r="F256" t="s">
        <v>12</v>
      </c>
      <c r="G256" t="s">
        <v>13</v>
      </c>
      <c r="H256">
        <v>14</v>
      </c>
    </row>
    <row r="257" spans="1:8" ht="21.75" customHeight="1" x14ac:dyDescent="0.35">
      <c r="A257" t="s">
        <v>375</v>
      </c>
      <c r="B257" s="3">
        <v>45293</v>
      </c>
      <c r="C257" t="s">
        <v>118</v>
      </c>
      <c r="D257" t="s">
        <v>45</v>
      </c>
      <c r="E257" t="s">
        <v>11</v>
      </c>
      <c r="F257" t="s">
        <v>42</v>
      </c>
      <c r="G257" t="s">
        <v>23</v>
      </c>
      <c r="H257">
        <v>15</v>
      </c>
    </row>
    <row r="258" spans="1:8" ht="21.75" customHeight="1" x14ac:dyDescent="0.35">
      <c r="A258" t="s">
        <v>376</v>
      </c>
      <c r="B258" s="3">
        <v>45579</v>
      </c>
      <c r="C258" t="s">
        <v>142</v>
      </c>
      <c r="D258" t="s">
        <v>62</v>
      </c>
      <c r="E258" t="s">
        <v>11</v>
      </c>
      <c r="F258" t="s">
        <v>12</v>
      </c>
      <c r="G258" t="s">
        <v>32</v>
      </c>
      <c r="H258">
        <v>5</v>
      </c>
    </row>
    <row r="259" spans="1:8" ht="21.75" customHeight="1" x14ac:dyDescent="0.35">
      <c r="A259" t="s">
        <v>377</v>
      </c>
      <c r="B259" s="3">
        <v>45590</v>
      </c>
      <c r="C259" t="s">
        <v>378</v>
      </c>
      <c r="D259" t="s">
        <v>16</v>
      </c>
      <c r="E259" t="s">
        <v>11</v>
      </c>
      <c r="F259" t="s">
        <v>27</v>
      </c>
      <c r="G259" t="s">
        <v>13</v>
      </c>
      <c r="H259">
        <v>2</v>
      </c>
    </row>
    <row r="260" spans="1:8" ht="21.75" customHeight="1" x14ac:dyDescent="0.35">
      <c r="A260" t="s">
        <v>379</v>
      </c>
      <c r="B260" s="3">
        <v>45475</v>
      </c>
      <c r="C260" t="s">
        <v>95</v>
      </c>
      <c r="D260" t="s">
        <v>41</v>
      </c>
      <c r="E260" t="s">
        <v>22</v>
      </c>
      <c r="F260" t="s">
        <v>56</v>
      </c>
      <c r="G260" t="s">
        <v>36</v>
      </c>
      <c r="H260">
        <v>4</v>
      </c>
    </row>
    <row r="261" spans="1:8" ht="21.75" customHeight="1" x14ac:dyDescent="0.35">
      <c r="A261" t="s">
        <v>380</v>
      </c>
      <c r="B261" s="3">
        <v>45500</v>
      </c>
      <c r="C261" t="s">
        <v>381</v>
      </c>
      <c r="D261" t="s">
        <v>197</v>
      </c>
      <c r="E261" t="s">
        <v>22</v>
      </c>
      <c r="F261" t="s">
        <v>56</v>
      </c>
      <c r="G261" t="s">
        <v>28</v>
      </c>
      <c r="H261">
        <v>6</v>
      </c>
    </row>
    <row r="262" spans="1:8" ht="21.75" customHeight="1" x14ac:dyDescent="0.35">
      <c r="A262" t="s">
        <v>382</v>
      </c>
      <c r="B262" s="3">
        <v>45503</v>
      </c>
      <c r="C262" t="s">
        <v>64</v>
      </c>
      <c r="D262" t="s">
        <v>87</v>
      </c>
      <c r="E262" t="s">
        <v>11</v>
      </c>
      <c r="F262" t="s">
        <v>42</v>
      </c>
      <c r="G262" t="s">
        <v>13</v>
      </c>
      <c r="H262">
        <v>8</v>
      </c>
    </row>
    <row r="263" spans="1:8" ht="21.75" customHeight="1" x14ac:dyDescent="0.35">
      <c r="A263" t="s">
        <v>383</v>
      </c>
      <c r="B263" s="3">
        <v>45487</v>
      </c>
      <c r="C263" t="s">
        <v>122</v>
      </c>
      <c r="D263" t="s">
        <v>65</v>
      </c>
      <c r="E263" t="s">
        <v>17</v>
      </c>
      <c r="F263" t="s">
        <v>56</v>
      </c>
      <c r="G263" t="s">
        <v>28</v>
      </c>
      <c r="H263">
        <v>15</v>
      </c>
    </row>
    <row r="264" spans="1:8" ht="21.75" customHeight="1" x14ac:dyDescent="0.35">
      <c r="A264" t="s">
        <v>384</v>
      </c>
      <c r="B264" s="3">
        <v>45406</v>
      </c>
      <c r="C264" t="s">
        <v>64</v>
      </c>
      <c r="D264" t="s">
        <v>31</v>
      </c>
      <c r="E264" t="s">
        <v>22</v>
      </c>
      <c r="F264" t="s">
        <v>56</v>
      </c>
      <c r="G264" t="s">
        <v>13</v>
      </c>
      <c r="H264">
        <v>11</v>
      </c>
    </row>
    <row r="265" spans="1:8" ht="21.75" customHeight="1" x14ac:dyDescent="0.35">
      <c r="A265" t="s">
        <v>385</v>
      </c>
      <c r="B265" s="3">
        <v>45434</v>
      </c>
      <c r="C265" t="s">
        <v>20</v>
      </c>
      <c r="D265" t="s">
        <v>31</v>
      </c>
      <c r="E265" t="s">
        <v>22</v>
      </c>
      <c r="F265" t="s">
        <v>306</v>
      </c>
      <c r="G265" t="s">
        <v>13</v>
      </c>
      <c r="H265">
        <v>18</v>
      </c>
    </row>
    <row r="266" spans="1:8" ht="21.75" customHeight="1" x14ac:dyDescent="0.35">
      <c r="A266" t="s">
        <v>386</v>
      </c>
      <c r="B266" s="3">
        <v>45351</v>
      </c>
      <c r="C266" t="s">
        <v>86</v>
      </c>
      <c r="D266" t="s">
        <v>26</v>
      </c>
      <c r="E266" t="s">
        <v>11</v>
      </c>
      <c r="F266" t="s">
        <v>306</v>
      </c>
      <c r="G266" t="s">
        <v>23</v>
      </c>
      <c r="H266">
        <v>2</v>
      </c>
    </row>
    <row r="267" spans="1:8" ht="21.75" customHeight="1" x14ac:dyDescent="0.35">
      <c r="A267" t="s">
        <v>387</v>
      </c>
      <c r="B267" s="3">
        <v>45468</v>
      </c>
      <c r="C267" t="s">
        <v>388</v>
      </c>
      <c r="D267" t="s">
        <v>109</v>
      </c>
      <c r="E267" t="s">
        <v>17</v>
      </c>
      <c r="F267" t="s">
        <v>27</v>
      </c>
      <c r="G267" t="s">
        <v>36</v>
      </c>
      <c r="H267">
        <v>17</v>
      </c>
    </row>
    <row r="268" spans="1:8" ht="21.75" customHeight="1" x14ac:dyDescent="0.35">
      <c r="A268" t="s">
        <v>389</v>
      </c>
      <c r="B268" s="3">
        <v>45389</v>
      </c>
      <c r="C268" t="s">
        <v>230</v>
      </c>
      <c r="D268" t="s">
        <v>96</v>
      </c>
      <c r="E268" t="s">
        <v>11</v>
      </c>
      <c r="F268" t="s">
        <v>27</v>
      </c>
      <c r="G268" t="s">
        <v>36</v>
      </c>
      <c r="H268">
        <v>17</v>
      </c>
    </row>
    <row r="269" spans="1:8" ht="21.75" customHeight="1" x14ac:dyDescent="0.35">
      <c r="A269" t="s">
        <v>390</v>
      </c>
      <c r="B269" s="3">
        <v>45643</v>
      </c>
      <c r="C269" t="s">
        <v>329</v>
      </c>
      <c r="D269" t="s">
        <v>48</v>
      </c>
      <c r="E269" t="s">
        <v>22</v>
      </c>
      <c r="F269" t="s">
        <v>56</v>
      </c>
      <c r="G269" t="s">
        <v>32</v>
      </c>
      <c r="H269">
        <v>14</v>
      </c>
    </row>
    <row r="270" spans="1:8" ht="21.75" customHeight="1" x14ac:dyDescent="0.35">
      <c r="A270" t="s">
        <v>391</v>
      </c>
      <c r="B270" s="3">
        <v>45611</v>
      </c>
      <c r="C270" t="s">
        <v>38</v>
      </c>
      <c r="D270" t="s">
        <v>84</v>
      </c>
      <c r="E270" t="s">
        <v>22</v>
      </c>
      <c r="F270" t="s">
        <v>12</v>
      </c>
      <c r="G270" t="s">
        <v>23</v>
      </c>
      <c r="H270">
        <v>10</v>
      </c>
    </row>
    <row r="271" spans="1:8" ht="21.75" customHeight="1" x14ac:dyDescent="0.35">
      <c r="A271" t="s">
        <v>392</v>
      </c>
      <c r="B271" s="3">
        <v>45459</v>
      </c>
      <c r="C271" t="s">
        <v>341</v>
      </c>
      <c r="D271" t="s">
        <v>174</v>
      </c>
      <c r="E271" t="s">
        <v>22</v>
      </c>
      <c r="F271" t="s">
        <v>42</v>
      </c>
      <c r="G271" t="s">
        <v>23</v>
      </c>
      <c r="H271">
        <v>5</v>
      </c>
    </row>
    <row r="272" spans="1:8" ht="21.75" customHeight="1" x14ac:dyDescent="0.35">
      <c r="A272" t="s">
        <v>393</v>
      </c>
      <c r="B272" s="3">
        <v>45638</v>
      </c>
      <c r="C272" t="s">
        <v>323</v>
      </c>
      <c r="D272" t="s">
        <v>59</v>
      </c>
      <c r="E272" t="s">
        <v>11</v>
      </c>
      <c r="F272" t="s">
        <v>306</v>
      </c>
      <c r="G272" t="s">
        <v>13</v>
      </c>
      <c r="H272">
        <v>10</v>
      </c>
    </row>
    <row r="273" spans="1:8" ht="21.75" customHeight="1" x14ac:dyDescent="0.35">
      <c r="A273" t="s">
        <v>394</v>
      </c>
      <c r="B273" s="3">
        <v>45447</v>
      </c>
      <c r="C273" t="s">
        <v>55</v>
      </c>
      <c r="D273" t="s">
        <v>59</v>
      </c>
      <c r="E273" t="s">
        <v>11</v>
      </c>
      <c r="F273" t="s">
        <v>27</v>
      </c>
      <c r="G273" t="s">
        <v>23</v>
      </c>
      <c r="H273">
        <v>20</v>
      </c>
    </row>
    <row r="274" spans="1:8" ht="21.75" customHeight="1" x14ac:dyDescent="0.35">
      <c r="A274" t="s">
        <v>395</v>
      </c>
      <c r="B274" s="3">
        <v>45518</v>
      </c>
      <c r="C274" t="s">
        <v>396</v>
      </c>
      <c r="D274" t="s">
        <v>160</v>
      </c>
      <c r="E274" t="s">
        <v>22</v>
      </c>
      <c r="F274" t="s">
        <v>56</v>
      </c>
      <c r="G274" t="s">
        <v>28</v>
      </c>
      <c r="H274">
        <v>16</v>
      </c>
    </row>
    <row r="275" spans="1:8" ht="21.75" customHeight="1" x14ac:dyDescent="0.35">
      <c r="A275" t="s">
        <v>397</v>
      </c>
      <c r="B275" s="3">
        <v>45629</v>
      </c>
      <c r="C275" t="s">
        <v>81</v>
      </c>
      <c r="D275" t="s">
        <v>41</v>
      </c>
      <c r="E275" t="s">
        <v>17</v>
      </c>
      <c r="F275" t="s">
        <v>306</v>
      </c>
      <c r="G275" t="s">
        <v>28</v>
      </c>
      <c r="H275">
        <v>20</v>
      </c>
    </row>
    <row r="276" spans="1:8" ht="21.75" customHeight="1" x14ac:dyDescent="0.35">
      <c r="A276" t="s">
        <v>398</v>
      </c>
      <c r="B276" s="3">
        <v>45636</v>
      </c>
      <c r="C276" t="s">
        <v>147</v>
      </c>
      <c r="D276" t="s">
        <v>16</v>
      </c>
      <c r="E276" t="s">
        <v>11</v>
      </c>
      <c r="F276" t="s">
        <v>56</v>
      </c>
      <c r="G276" t="s">
        <v>23</v>
      </c>
      <c r="H276">
        <v>1</v>
      </c>
    </row>
    <row r="277" spans="1:8" ht="21.75" customHeight="1" x14ac:dyDescent="0.35">
      <c r="A277" t="s">
        <v>399</v>
      </c>
      <c r="B277" s="3">
        <v>45604</v>
      </c>
      <c r="C277" t="s">
        <v>337</v>
      </c>
      <c r="D277" t="s">
        <v>87</v>
      </c>
      <c r="E277" t="s">
        <v>11</v>
      </c>
      <c r="F277" t="s">
        <v>27</v>
      </c>
      <c r="G277" t="s">
        <v>23</v>
      </c>
      <c r="H277">
        <v>19</v>
      </c>
    </row>
    <row r="278" spans="1:8" ht="21.75" customHeight="1" x14ac:dyDescent="0.35">
      <c r="A278" t="s">
        <v>400</v>
      </c>
      <c r="B278" s="3">
        <v>45545</v>
      </c>
      <c r="C278" t="s">
        <v>341</v>
      </c>
      <c r="D278" t="s">
        <v>21</v>
      </c>
      <c r="E278" t="s">
        <v>11</v>
      </c>
      <c r="F278" t="s">
        <v>56</v>
      </c>
      <c r="G278" t="s">
        <v>13</v>
      </c>
      <c r="H278">
        <v>1</v>
      </c>
    </row>
    <row r="279" spans="1:8" ht="21.75" customHeight="1" x14ac:dyDescent="0.35">
      <c r="A279" t="s">
        <v>401</v>
      </c>
      <c r="B279" s="3">
        <v>45509</v>
      </c>
      <c r="C279" t="s">
        <v>240</v>
      </c>
      <c r="D279" t="s">
        <v>70</v>
      </c>
      <c r="E279" t="s">
        <v>11</v>
      </c>
      <c r="F279" t="s">
        <v>306</v>
      </c>
      <c r="G279" t="s">
        <v>13</v>
      </c>
      <c r="H279">
        <v>2</v>
      </c>
    </row>
    <row r="280" spans="1:8" ht="21.75" customHeight="1" x14ac:dyDescent="0.35">
      <c r="A280" t="s">
        <v>402</v>
      </c>
      <c r="B280" s="3">
        <v>45525</v>
      </c>
      <c r="C280" t="s">
        <v>99</v>
      </c>
      <c r="D280" t="s">
        <v>174</v>
      </c>
      <c r="E280" t="s">
        <v>17</v>
      </c>
      <c r="F280" t="s">
        <v>306</v>
      </c>
      <c r="G280" t="s">
        <v>23</v>
      </c>
      <c r="H280">
        <v>20</v>
      </c>
    </row>
    <row r="281" spans="1:8" ht="21.75" customHeight="1" x14ac:dyDescent="0.35">
      <c r="A281" t="s">
        <v>403</v>
      </c>
      <c r="B281" s="3">
        <v>45605</v>
      </c>
      <c r="C281" t="s">
        <v>329</v>
      </c>
      <c r="D281" t="s">
        <v>174</v>
      </c>
      <c r="E281" t="s">
        <v>22</v>
      </c>
      <c r="F281" t="s">
        <v>27</v>
      </c>
      <c r="G281" t="s">
        <v>23</v>
      </c>
      <c r="H281">
        <v>15</v>
      </c>
    </row>
    <row r="282" spans="1:8" ht="21.75" customHeight="1" x14ac:dyDescent="0.35">
      <c r="A282" t="s">
        <v>404</v>
      </c>
      <c r="B282" s="3">
        <v>45522</v>
      </c>
      <c r="C282" t="s">
        <v>86</v>
      </c>
      <c r="D282" t="s">
        <v>119</v>
      </c>
      <c r="E282" t="s">
        <v>11</v>
      </c>
      <c r="F282" t="s">
        <v>42</v>
      </c>
      <c r="G282" t="s">
        <v>28</v>
      </c>
      <c r="H282">
        <v>17</v>
      </c>
    </row>
    <row r="283" spans="1:8" ht="21.75" customHeight="1" x14ac:dyDescent="0.35">
      <c r="A283" t="s">
        <v>405</v>
      </c>
      <c r="B283" s="3">
        <v>45432</v>
      </c>
      <c r="C283" t="s">
        <v>396</v>
      </c>
      <c r="D283" t="s">
        <v>197</v>
      </c>
      <c r="E283" t="s">
        <v>11</v>
      </c>
      <c r="F283" t="s">
        <v>42</v>
      </c>
      <c r="G283" t="s">
        <v>36</v>
      </c>
      <c r="H283">
        <v>9</v>
      </c>
    </row>
    <row r="284" spans="1:8" ht="21.75" customHeight="1" x14ac:dyDescent="0.35">
      <c r="A284" t="s">
        <v>406</v>
      </c>
      <c r="B284" s="3">
        <v>45333</v>
      </c>
      <c r="C284" t="s">
        <v>99</v>
      </c>
      <c r="D284" t="s">
        <v>31</v>
      </c>
      <c r="E284" t="s">
        <v>11</v>
      </c>
      <c r="F284" t="s">
        <v>56</v>
      </c>
      <c r="G284" t="s">
        <v>13</v>
      </c>
      <c r="H284">
        <v>5</v>
      </c>
    </row>
    <row r="285" spans="1:8" ht="21.75" customHeight="1" x14ac:dyDescent="0.35">
      <c r="A285" t="s">
        <v>407</v>
      </c>
      <c r="B285" s="3">
        <v>45504</v>
      </c>
      <c r="C285" t="s">
        <v>408</v>
      </c>
      <c r="D285" t="s">
        <v>70</v>
      </c>
      <c r="E285" t="s">
        <v>17</v>
      </c>
      <c r="F285" t="s">
        <v>306</v>
      </c>
      <c r="G285" t="s">
        <v>23</v>
      </c>
      <c r="H285">
        <v>14</v>
      </c>
    </row>
    <row r="286" spans="1:8" ht="21.75" customHeight="1" x14ac:dyDescent="0.35">
      <c r="A286" t="s">
        <v>409</v>
      </c>
      <c r="B286" s="3">
        <v>45491</v>
      </c>
      <c r="C286" t="s">
        <v>337</v>
      </c>
      <c r="D286" t="s">
        <v>119</v>
      </c>
      <c r="E286" t="s">
        <v>22</v>
      </c>
      <c r="F286" t="s">
        <v>12</v>
      </c>
      <c r="G286" t="s">
        <v>13</v>
      </c>
      <c r="H286">
        <v>19</v>
      </c>
    </row>
    <row r="287" spans="1:8" ht="21.75" customHeight="1" x14ac:dyDescent="0.35">
      <c r="A287" t="s">
        <v>410</v>
      </c>
      <c r="B287" s="3">
        <v>45472</v>
      </c>
      <c r="C287" t="s">
        <v>68</v>
      </c>
      <c r="D287" t="s">
        <v>174</v>
      </c>
      <c r="E287" t="s">
        <v>17</v>
      </c>
      <c r="F287" t="s">
        <v>27</v>
      </c>
      <c r="G287" t="s">
        <v>28</v>
      </c>
      <c r="H287">
        <v>18</v>
      </c>
    </row>
    <row r="288" spans="1:8" ht="21.75" customHeight="1" x14ac:dyDescent="0.35">
      <c r="A288" t="s">
        <v>411</v>
      </c>
      <c r="B288" s="3">
        <v>45541</v>
      </c>
      <c r="C288" t="s">
        <v>240</v>
      </c>
      <c r="D288" t="s">
        <v>35</v>
      </c>
      <c r="E288" t="s">
        <v>17</v>
      </c>
      <c r="F288" t="s">
        <v>27</v>
      </c>
      <c r="G288" t="s">
        <v>23</v>
      </c>
      <c r="H288">
        <v>1</v>
      </c>
    </row>
    <row r="289" spans="1:8" ht="21.75" customHeight="1" x14ac:dyDescent="0.35">
      <c r="A289" t="s">
        <v>412</v>
      </c>
      <c r="B289" s="3">
        <v>45376</v>
      </c>
      <c r="C289" t="s">
        <v>319</v>
      </c>
      <c r="D289" t="s">
        <v>174</v>
      </c>
      <c r="E289" t="s">
        <v>11</v>
      </c>
      <c r="F289" t="s">
        <v>306</v>
      </c>
      <c r="G289" t="s">
        <v>36</v>
      </c>
      <c r="H289">
        <v>1</v>
      </c>
    </row>
    <row r="290" spans="1:8" ht="21.75" customHeight="1" x14ac:dyDescent="0.35">
      <c r="A290" t="s">
        <v>413</v>
      </c>
      <c r="B290" s="3">
        <v>45580</v>
      </c>
      <c r="C290" t="s">
        <v>371</v>
      </c>
      <c r="D290" t="s">
        <v>21</v>
      </c>
      <c r="E290" t="s">
        <v>11</v>
      </c>
      <c r="F290" t="s">
        <v>12</v>
      </c>
      <c r="G290" t="s">
        <v>23</v>
      </c>
      <c r="H290">
        <v>14</v>
      </c>
    </row>
    <row r="291" spans="1:8" ht="21.75" customHeight="1" x14ac:dyDescent="0.35">
      <c r="A291" t="s">
        <v>414</v>
      </c>
      <c r="B291" s="3">
        <v>45385</v>
      </c>
      <c r="C291" t="s">
        <v>9</v>
      </c>
      <c r="D291" t="s">
        <v>72</v>
      </c>
      <c r="E291" t="s">
        <v>17</v>
      </c>
      <c r="F291" t="s">
        <v>27</v>
      </c>
      <c r="G291" t="s">
        <v>32</v>
      </c>
      <c r="H291">
        <v>7</v>
      </c>
    </row>
    <row r="292" spans="1:8" ht="21.75" customHeight="1" x14ac:dyDescent="0.35">
      <c r="A292" t="s">
        <v>415</v>
      </c>
      <c r="B292" s="3">
        <v>45486</v>
      </c>
      <c r="C292" t="s">
        <v>89</v>
      </c>
      <c r="D292" t="s">
        <v>10</v>
      </c>
      <c r="E292" t="s">
        <v>17</v>
      </c>
      <c r="F292" t="s">
        <v>42</v>
      </c>
      <c r="G292" t="s">
        <v>36</v>
      </c>
      <c r="H292">
        <v>16</v>
      </c>
    </row>
    <row r="293" spans="1:8" ht="21.75" customHeight="1" x14ac:dyDescent="0.35">
      <c r="A293" t="s">
        <v>416</v>
      </c>
      <c r="B293" s="3">
        <v>45318</v>
      </c>
      <c r="C293" t="s">
        <v>20</v>
      </c>
      <c r="D293" t="s">
        <v>119</v>
      </c>
      <c r="E293" t="s">
        <v>11</v>
      </c>
      <c r="F293" t="s">
        <v>12</v>
      </c>
      <c r="G293" t="s">
        <v>28</v>
      </c>
      <c r="H293">
        <v>2</v>
      </c>
    </row>
    <row r="294" spans="1:8" ht="21.75" customHeight="1" x14ac:dyDescent="0.35">
      <c r="A294" t="s">
        <v>417</v>
      </c>
      <c r="B294" s="3">
        <v>45394</v>
      </c>
      <c r="C294" t="s">
        <v>138</v>
      </c>
      <c r="D294" t="s">
        <v>197</v>
      </c>
      <c r="E294" t="s">
        <v>22</v>
      </c>
      <c r="F294" t="s">
        <v>56</v>
      </c>
      <c r="G294" t="s">
        <v>13</v>
      </c>
      <c r="H294">
        <v>5</v>
      </c>
    </row>
    <row r="295" spans="1:8" ht="21.75" customHeight="1" x14ac:dyDescent="0.35">
      <c r="A295" t="s">
        <v>418</v>
      </c>
      <c r="B295" s="3">
        <v>45580</v>
      </c>
      <c r="C295" t="s">
        <v>133</v>
      </c>
      <c r="D295" t="s">
        <v>119</v>
      </c>
      <c r="E295" t="s">
        <v>17</v>
      </c>
      <c r="F295" t="s">
        <v>42</v>
      </c>
      <c r="G295" t="s">
        <v>36</v>
      </c>
      <c r="H295">
        <v>12</v>
      </c>
    </row>
    <row r="296" spans="1:8" ht="21.75" customHeight="1" x14ac:dyDescent="0.35">
      <c r="A296" t="s">
        <v>419</v>
      </c>
      <c r="B296" s="3">
        <v>45350</v>
      </c>
      <c r="C296" t="s">
        <v>420</v>
      </c>
      <c r="D296" t="s">
        <v>102</v>
      </c>
      <c r="E296" t="s">
        <v>11</v>
      </c>
      <c r="F296" t="s">
        <v>42</v>
      </c>
      <c r="G296" t="s">
        <v>32</v>
      </c>
      <c r="H296">
        <v>19</v>
      </c>
    </row>
    <row r="297" spans="1:8" ht="21.75" customHeight="1" x14ac:dyDescent="0.35">
      <c r="A297" t="s">
        <v>421</v>
      </c>
      <c r="B297" s="3">
        <v>45586</v>
      </c>
      <c r="C297" t="s">
        <v>422</v>
      </c>
      <c r="D297" t="s">
        <v>62</v>
      </c>
      <c r="E297" t="s">
        <v>17</v>
      </c>
      <c r="F297" t="s">
        <v>27</v>
      </c>
      <c r="G297" t="s">
        <v>28</v>
      </c>
      <c r="H297">
        <v>7</v>
      </c>
    </row>
    <row r="298" spans="1:8" ht="21.75" customHeight="1" x14ac:dyDescent="0.35">
      <c r="A298" t="s">
        <v>423</v>
      </c>
      <c r="B298" s="3">
        <v>45344</v>
      </c>
      <c r="C298" t="s">
        <v>424</v>
      </c>
      <c r="D298" t="s">
        <v>102</v>
      </c>
      <c r="E298" t="s">
        <v>17</v>
      </c>
      <c r="F298" t="s">
        <v>306</v>
      </c>
      <c r="G298" t="s">
        <v>32</v>
      </c>
      <c r="H298">
        <v>19</v>
      </c>
    </row>
    <row r="299" spans="1:8" ht="21.75" customHeight="1" x14ac:dyDescent="0.35">
      <c r="A299" t="s">
        <v>425</v>
      </c>
      <c r="B299" s="3">
        <v>45564</v>
      </c>
      <c r="C299" t="s">
        <v>309</v>
      </c>
      <c r="D299" t="s">
        <v>10</v>
      </c>
      <c r="E299" t="s">
        <v>22</v>
      </c>
      <c r="F299" t="s">
        <v>42</v>
      </c>
      <c r="G299" t="s">
        <v>13</v>
      </c>
      <c r="H299">
        <v>17</v>
      </c>
    </row>
    <row r="300" spans="1:8" ht="21.75" customHeight="1" x14ac:dyDescent="0.35">
      <c r="A300" t="s">
        <v>426</v>
      </c>
      <c r="B300" s="3">
        <v>45507</v>
      </c>
      <c r="C300" t="s">
        <v>374</v>
      </c>
      <c r="D300" t="s">
        <v>48</v>
      </c>
      <c r="E300" t="s">
        <v>11</v>
      </c>
      <c r="F300" t="s">
        <v>27</v>
      </c>
      <c r="G300" t="s">
        <v>23</v>
      </c>
      <c r="H300">
        <v>15</v>
      </c>
    </row>
    <row r="301" spans="1:8" ht="21.75" customHeight="1" x14ac:dyDescent="0.35">
      <c r="A301" t="s">
        <v>427</v>
      </c>
      <c r="B301" s="3">
        <v>45382</v>
      </c>
      <c r="C301" t="s">
        <v>388</v>
      </c>
      <c r="D301" t="s">
        <v>109</v>
      </c>
      <c r="E301" t="s">
        <v>22</v>
      </c>
      <c r="F301" t="s">
        <v>42</v>
      </c>
      <c r="G301" t="s">
        <v>23</v>
      </c>
      <c r="H301">
        <v>18</v>
      </c>
    </row>
    <row r="302" spans="1:8" ht="21.75" customHeight="1" x14ac:dyDescent="0.35">
      <c r="A302" t="s">
        <v>428</v>
      </c>
      <c r="B302" s="3">
        <v>45515</v>
      </c>
      <c r="C302" t="s">
        <v>388</v>
      </c>
      <c r="D302" t="s">
        <v>72</v>
      </c>
      <c r="E302" t="s">
        <v>22</v>
      </c>
      <c r="F302" t="s">
        <v>42</v>
      </c>
      <c r="G302" t="s">
        <v>13</v>
      </c>
      <c r="H302">
        <v>8</v>
      </c>
    </row>
    <row r="303" spans="1:8" ht="21.75" customHeight="1" x14ac:dyDescent="0.35">
      <c r="A303" t="s">
        <v>429</v>
      </c>
      <c r="B303" s="3">
        <v>45434</v>
      </c>
      <c r="C303" t="s">
        <v>430</v>
      </c>
      <c r="D303" t="s">
        <v>59</v>
      </c>
      <c r="E303" t="s">
        <v>11</v>
      </c>
      <c r="F303" t="s">
        <v>27</v>
      </c>
      <c r="G303" t="s">
        <v>32</v>
      </c>
      <c r="H303">
        <v>20</v>
      </c>
    </row>
    <row r="304" spans="1:8" ht="21.75" customHeight="1" x14ac:dyDescent="0.35">
      <c r="A304" t="s">
        <v>431</v>
      </c>
      <c r="B304" s="3">
        <v>45306</v>
      </c>
      <c r="C304" t="s">
        <v>432</v>
      </c>
      <c r="D304" t="s">
        <v>35</v>
      </c>
      <c r="E304" t="s">
        <v>17</v>
      </c>
      <c r="F304" t="s">
        <v>56</v>
      </c>
      <c r="G304" t="s">
        <v>32</v>
      </c>
      <c r="H304">
        <v>7</v>
      </c>
    </row>
    <row r="305" spans="1:8" ht="21.75" customHeight="1" x14ac:dyDescent="0.35">
      <c r="A305" t="s">
        <v>433</v>
      </c>
      <c r="B305" s="3">
        <v>45466</v>
      </c>
      <c r="C305" t="s">
        <v>89</v>
      </c>
      <c r="D305" t="s">
        <v>174</v>
      </c>
      <c r="E305" t="s">
        <v>22</v>
      </c>
      <c r="F305" t="s">
        <v>42</v>
      </c>
      <c r="G305" t="s">
        <v>28</v>
      </c>
      <c r="H305">
        <v>1</v>
      </c>
    </row>
    <row r="306" spans="1:8" ht="21.75" customHeight="1" x14ac:dyDescent="0.35">
      <c r="A306" t="s">
        <v>434</v>
      </c>
      <c r="B306" s="3">
        <v>45335</v>
      </c>
      <c r="C306" t="s">
        <v>93</v>
      </c>
      <c r="D306" t="s">
        <v>35</v>
      </c>
      <c r="E306" t="s">
        <v>22</v>
      </c>
      <c r="F306" t="s">
        <v>27</v>
      </c>
      <c r="G306" t="s">
        <v>23</v>
      </c>
      <c r="H306">
        <v>18</v>
      </c>
    </row>
    <row r="307" spans="1:8" ht="21.75" customHeight="1" x14ac:dyDescent="0.35">
      <c r="A307" t="s">
        <v>435</v>
      </c>
      <c r="B307" s="3">
        <v>45622</v>
      </c>
      <c r="C307" t="s">
        <v>436</v>
      </c>
      <c r="D307" t="s">
        <v>96</v>
      </c>
      <c r="E307" t="s">
        <v>17</v>
      </c>
      <c r="F307" t="s">
        <v>27</v>
      </c>
      <c r="G307" t="s">
        <v>23</v>
      </c>
      <c r="H307">
        <v>3</v>
      </c>
    </row>
    <row r="308" spans="1:8" ht="21.75" customHeight="1" x14ac:dyDescent="0.35">
      <c r="A308" t="s">
        <v>437</v>
      </c>
      <c r="B308" s="3">
        <v>45646</v>
      </c>
      <c r="C308" t="s">
        <v>78</v>
      </c>
      <c r="D308" t="s">
        <v>48</v>
      </c>
      <c r="E308" t="s">
        <v>17</v>
      </c>
      <c r="F308" t="s">
        <v>306</v>
      </c>
      <c r="G308" t="s">
        <v>32</v>
      </c>
      <c r="H308">
        <v>16</v>
      </c>
    </row>
    <row r="309" spans="1:8" ht="21.75" customHeight="1" x14ac:dyDescent="0.35">
      <c r="A309" t="s">
        <v>438</v>
      </c>
      <c r="B309" s="3">
        <v>45509</v>
      </c>
      <c r="C309" t="s">
        <v>323</v>
      </c>
      <c r="D309" t="s">
        <v>48</v>
      </c>
      <c r="E309" t="s">
        <v>22</v>
      </c>
      <c r="F309" t="s">
        <v>42</v>
      </c>
      <c r="G309" t="s">
        <v>32</v>
      </c>
      <c r="H309">
        <v>15</v>
      </c>
    </row>
    <row r="310" spans="1:8" ht="21.75" customHeight="1" x14ac:dyDescent="0.35">
      <c r="A310" t="s">
        <v>439</v>
      </c>
      <c r="B310" s="3">
        <v>45410</v>
      </c>
      <c r="C310" t="s">
        <v>114</v>
      </c>
      <c r="D310" t="s">
        <v>72</v>
      </c>
      <c r="E310" t="s">
        <v>22</v>
      </c>
      <c r="F310" t="s">
        <v>56</v>
      </c>
      <c r="G310" t="s">
        <v>28</v>
      </c>
      <c r="H310">
        <v>4</v>
      </c>
    </row>
    <row r="311" spans="1:8" ht="21.75" customHeight="1" x14ac:dyDescent="0.35">
      <c r="A311" t="s">
        <v>440</v>
      </c>
      <c r="B311" s="3">
        <v>45390</v>
      </c>
      <c r="C311" t="s">
        <v>133</v>
      </c>
      <c r="D311" t="s">
        <v>26</v>
      </c>
      <c r="E311" t="s">
        <v>22</v>
      </c>
      <c r="F311" t="s">
        <v>27</v>
      </c>
      <c r="G311" t="s">
        <v>36</v>
      </c>
      <c r="H311">
        <v>19</v>
      </c>
    </row>
    <row r="312" spans="1:8" ht="21.75" customHeight="1" x14ac:dyDescent="0.35">
      <c r="A312" t="s">
        <v>441</v>
      </c>
      <c r="B312" s="3">
        <v>45597</v>
      </c>
      <c r="C312" t="s">
        <v>55</v>
      </c>
      <c r="D312" t="s">
        <v>74</v>
      </c>
      <c r="E312" t="s">
        <v>11</v>
      </c>
      <c r="F312" t="s">
        <v>56</v>
      </c>
      <c r="G312" t="s">
        <v>32</v>
      </c>
      <c r="H312">
        <v>8</v>
      </c>
    </row>
    <row r="313" spans="1:8" ht="21.75" customHeight="1" x14ac:dyDescent="0.35">
      <c r="A313" t="s">
        <v>442</v>
      </c>
      <c r="B313" s="3">
        <v>45299</v>
      </c>
      <c r="C313" t="s">
        <v>369</v>
      </c>
      <c r="D313" t="s">
        <v>26</v>
      </c>
      <c r="E313" t="s">
        <v>22</v>
      </c>
      <c r="F313" t="s">
        <v>56</v>
      </c>
      <c r="G313" t="s">
        <v>36</v>
      </c>
      <c r="H313">
        <v>2</v>
      </c>
    </row>
    <row r="314" spans="1:8" ht="21.75" customHeight="1" x14ac:dyDescent="0.35">
      <c r="A314" t="s">
        <v>443</v>
      </c>
      <c r="B314" s="3">
        <v>45441</v>
      </c>
      <c r="C314" t="s">
        <v>424</v>
      </c>
      <c r="D314" t="s">
        <v>102</v>
      </c>
      <c r="E314" t="s">
        <v>11</v>
      </c>
      <c r="F314" t="s">
        <v>27</v>
      </c>
      <c r="G314" t="s">
        <v>23</v>
      </c>
      <c r="H314">
        <v>1</v>
      </c>
    </row>
    <row r="315" spans="1:8" ht="21.75" customHeight="1" x14ac:dyDescent="0.35">
      <c r="A315" t="s">
        <v>444</v>
      </c>
      <c r="B315" s="3">
        <v>45537</v>
      </c>
      <c r="C315" t="s">
        <v>396</v>
      </c>
      <c r="D315" t="s">
        <v>79</v>
      </c>
      <c r="E315" t="s">
        <v>17</v>
      </c>
      <c r="F315" t="s">
        <v>56</v>
      </c>
      <c r="G315" t="s">
        <v>23</v>
      </c>
      <c r="H315">
        <v>9</v>
      </c>
    </row>
    <row r="316" spans="1:8" ht="21.75" customHeight="1" x14ac:dyDescent="0.35">
      <c r="A316" t="s">
        <v>445</v>
      </c>
      <c r="B316" s="3">
        <v>45350</v>
      </c>
      <c r="C316" t="s">
        <v>58</v>
      </c>
      <c r="D316" t="s">
        <v>10</v>
      </c>
      <c r="E316" t="s">
        <v>17</v>
      </c>
      <c r="F316" t="s">
        <v>27</v>
      </c>
      <c r="G316" t="s">
        <v>13</v>
      </c>
      <c r="H316">
        <v>19</v>
      </c>
    </row>
    <row r="317" spans="1:8" ht="21.75" customHeight="1" x14ac:dyDescent="0.35">
      <c r="A317" t="s">
        <v>446</v>
      </c>
      <c r="B317" s="3">
        <v>45369</v>
      </c>
      <c r="C317" t="s">
        <v>125</v>
      </c>
      <c r="D317" t="s">
        <v>10</v>
      </c>
      <c r="E317" t="s">
        <v>22</v>
      </c>
      <c r="F317" t="s">
        <v>42</v>
      </c>
      <c r="G317" t="s">
        <v>23</v>
      </c>
      <c r="H317">
        <v>8</v>
      </c>
    </row>
    <row r="318" spans="1:8" ht="21.75" customHeight="1" x14ac:dyDescent="0.35">
      <c r="A318" t="s">
        <v>447</v>
      </c>
      <c r="B318" s="3">
        <v>45602</v>
      </c>
      <c r="C318" t="s">
        <v>327</v>
      </c>
      <c r="D318" t="s">
        <v>119</v>
      </c>
      <c r="E318" t="s">
        <v>22</v>
      </c>
      <c r="F318" t="s">
        <v>56</v>
      </c>
      <c r="G318" t="s">
        <v>23</v>
      </c>
      <c r="H318">
        <v>17</v>
      </c>
    </row>
    <row r="319" spans="1:8" ht="21.75" customHeight="1" x14ac:dyDescent="0.35">
      <c r="A319" t="s">
        <v>448</v>
      </c>
      <c r="B319" s="3">
        <v>45444</v>
      </c>
      <c r="C319" t="s">
        <v>449</v>
      </c>
      <c r="D319" t="s">
        <v>59</v>
      </c>
      <c r="E319" t="s">
        <v>17</v>
      </c>
      <c r="F319" t="s">
        <v>42</v>
      </c>
      <c r="G319" t="s">
        <v>13</v>
      </c>
      <c r="H319">
        <v>20</v>
      </c>
    </row>
    <row r="320" spans="1:8" ht="21.75" customHeight="1" x14ac:dyDescent="0.35">
      <c r="A320" t="s">
        <v>450</v>
      </c>
      <c r="B320" s="3">
        <v>45398</v>
      </c>
      <c r="C320" t="s">
        <v>451</v>
      </c>
      <c r="D320" t="s">
        <v>41</v>
      </c>
      <c r="E320" t="s">
        <v>11</v>
      </c>
      <c r="F320" t="s">
        <v>42</v>
      </c>
      <c r="G320" t="s">
        <v>28</v>
      </c>
      <c r="H320">
        <v>3</v>
      </c>
    </row>
    <row r="321" spans="1:8" ht="21.75" customHeight="1" x14ac:dyDescent="0.35">
      <c r="A321" t="s">
        <v>452</v>
      </c>
      <c r="B321" s="3">
        <v>45574</v>
      </c>
      <c r="C321" t="s">
        <v>208</v>
      </c>
      <c r="D321" t="s">
        <v>87</v>
      </c>
      <c r="E321" t="s">
        <v>11</v>
      </c>
      <c r="F321" t="s">
        <v>12</v>
      </c>
      <c r="G321" t="s">
        <v>23</v>
      </c>
      <c r="H321">
        <v>15</v>
      </c>
    </row>
    <row r="322" spans="1:8" ht="21.75" customHeight="1" x14ac:dyDescent="0.35">
      <c r="A322" t="s">
        <v>453</v>
      </c>
      <c r="B322" s="3">
        <v>45441</v>
      </c>
      <c r="C322" t="s">
        <v>122</v>
      </c>
      <c r="D322" t="s">
        <v>62</v>
      </c>
      <c r="E322" t="s">
        <v>11</v>
      </c>
      <c r="F322" t="s">
        <v>42</v>
      </c>
      <c r="G322" t="s">
        <v>23</v>
      </c>
      <c r="H322">
        <v>10</v>
      </c>
    </row>
    <row r="323" spans="1:8" ht="21.75" customHeight="1" x14ac:dyDescent="0.35">
      <c r="A323" t="s">
        <v>454</v>
      </c>
      <c r="B323" s="3">
        <v>45328</v>
      </c>
      <c r="C323" t="s">
        <v>455</v>
      </c>
      <c r="D323" t="s">
        <v>21</v>
      </c>
      <c r="E323" t="s">
        <v>11</v>
      </c>
      <c r="F323" t="s">
        <v>42</v>
      </c>
      <c r="G323" t="s">
        <v>28</v>
      </c>
      <c r="H323">
        <v>19</v>
      </c>
    </row>
    <row r="324" spans="1:8" ht="21.75" customHeight="1" x14ac:dyDescent="0.35">
      <c r="A324" t="s">
        <v>456</v>
      </c>
      <c r="B324" s="3">
        <v>45509</v>
      </c>
      <c r="C324" t="s">
        <v>40</v>
      </c>
      <c r="D324" t="s">
        <v>21</v>
      </c>
      <c r="E324" t="s">
        <v>22</v>
      </c>
      <c r="F324" t="s">
        <v>56</v>
      </c>
      <c r="G324" t="s">
        <v>28</v>
      </c>
      <c r="H324">
        <v>5</v>
      </c>
    </row>
    <row r="325" spans="1:8" ht="21.75" customHeight="1" x14ac:dyDescent="0.35">
      <c r="A325" t="s">
        <v>457</v>
      </c>
      <c r="B325" s="3">
        <v>45328</v>
      </c>
      <c r="C325" t="s">
        <v>131</v>
      </c>
      <c r="D325" t="s">
        <v>109</v>
      </c>
      <c r="E325" t="s">
        <v>11</v>
      </c>
      <c r="F325" t="s">
        <v>42</v>
      </c>
      <c r="G325" t="s">
        <v>23</v>
      </c>
      <c r="H325">
        <v>19</v>
      </c>
    </row>
    <row r="326" spans="1:8" ht="21.75" customHeight="1" x14ac:dyDescent="0.35">
      <c r="A326" t="s">
        <v>458</v>
      </c>
      <c r="B326" s="3">
        <v>45355</v>
      </c>
      <c r="C326" t="s">
        <v>319</v>
      </c>
      <c r="D326" t="s">
        <v>62</v>
      </c>
      <c r="E326" t="s">
        <v>22</v>
      </c>
      <c r="F326" t="s">
        <v>42</v>
      </c>
      <c r="G326" t="s">
        <v>36</v>
      </c>
      <c r="H326">
        <v>13</v>
      </c>
    </row>
    <row r="327" spans="1:8" ht="21.75" customHeight="1" x14ac:dyDescent="0.35">
      <c r="A327" t="s">
        <v>459</v>
      </c>
      <c r="B327" s="3">
        <v>45568</v>
      </c>
      <c r="C327" t="s">
        <v>432</v>
      </c>
      <c r="D327" t="s">
        <v>109</v>
      </c>
      <c r="E327" t="s">
        <v>17</v>
      </c>
      <c r="F327" t="s">
        <v>12</v>
      </c>
      <c r="G327" t="s">
        <v>32</v>
      </c>
      <c r="H327">
        <v>2</v>
      </c>
    </row>
    <row r="328" spans="1:8" ht="21.75" customHeight="1" x14ac:dyDescent="0.35">
      <c r="A328" t="s">
        <v>460</v>
      </c>
      <c r="B328" s="3">
        <v>45601</v>
      </c>
      <c r="C328" t="s">
        <v>230</v>
      </c>
      <c r="D328" t="s">
        <v>197</v>
      </c>
      <c r="E328" t="s">
        <v>11</v>
      </c>
      <c r="F328" t="s">
        <v>12</v>
      </c>
      <c r="G328" t="s">
        <v>13</v>
      </c>
      <c r="H328">
        <v>19</v>
      </c>
    </row>
    <row r="329" spans="1:8" ht="21.75" customHeight="1" x14ac:dyDescent="0.35">
      <c r="A329" t="s">
        <v>461</v>
      </c>
      <c r="B329" s="3">
        <v>45636</v>
      </c>
      <c r="C329" t="s">
        <v>101</v>
      </c>
      <c r="D329" t="s">
        <v>119</v>
      </c>
      <c r="E329" t="s">
        <v>22</v>
      </c>
      <c r="F329" t="s">
        <v>12</v>
      </c>
      <c r="G329" t="s">
        <v>23</v>
      </c>
      <c r="H329">
        <v>6</v>
      </c>
    </row>
    <row r="330" spans="1:8" ht="21.75" customHeight="1" x14ac:dyDescent="0.35">
      <c r="A330" t="s">
        <v>462</v>
      </c>
      <c r="B330" s="3">
        <v>45434</v>
      </c>
      <c r="C330" t="s">
        <v>44</v>
      </c>
      <c r="D330" t="s">
        <v>21</v>
      </c>
      <c r="E330" t="s">
        <v>22</v>
      </c>
      <c r="F330" t="s">
        <v>27</v>
      </c>
      <c r="G330" t="s">
        <v>23</v>
      </c>
      <c r="H330">
        <v>16</v>
      </c>
    </row>
    <row r="331" spans="1:8" ht="21.75" customHeight="1" x14ac:dyDescent="0.35">
      <c r="A331" t="s">
        <v>463</v>
      </c>
      <c r="B331" s="3">
        <v>45470</v>
      </c>
      <c r="C331" t="s">
        <v>408</v>
      </c>
      <c r="D331" t="s">
        <v>41</v>
      </c>
      <c r="E331" t="s">
        <v>17</v>
      </c>
      <c r="F331" t="s">
        <v>42</v>
      </c>
      <c r="G331" t="s">
        <v>32</v>
      </c>
      <c r="H331">
        <v>4</v>
      </c>
    </row>
    <row r="332" spans="1:8" ht="21.75" customHeight="1" x14ac:dyDescent="0.35">
      <c r="A332" t="s">
        <v>464</v>
      </c>
      <c r="B332" s="3">
        <v>45502</v>
      </c>
      <c r="C332" t="s">
        <v>465</v>
      </c>
      <c r="D332" t="s">
        <v>41</v>
      </c>
      <c r="E332" t="s">
        <v>17</v>
      </c>
      <c r="F332" t="s">
        <v>42</v>
      </c>
      <c r="G332" t="s">
        <v>36</v>
      </c>
      <c r="H332">
        <v>13</v>
      </c>
    </row>
    <row r="333" spans="1:8" ht="21.75" customHeight="1" x14ac:dyDescent="0.35">
      <c r="A333" t="s">
        <v>466</v>
      </c>
      <c r="B333" s="3">
        <v>45310</v>
      </c>
      <c r="C333" t="s">
        <v>366</v>
      </c>
      <c r="D333" t="s">
        <v>26</v>
      </c>
      <c r="E333" t="s">
        <v>11</v>
      </c>
      <c r="F333" t="s">
        <v>42</v>
      </c>
      <c r="G333" t="s">
        <v>23</v>
      </c>
      <c r="H333">
        <v>11</v>
      </c>
    </row>
    <row r="334" spans="1:8" ht="21.75" customHeight="1" x14ac:dyDescent="0.35">
      <c r="A334" t="s">
        <v>467</v>
      </c>
      <c r="B334" s="3">
        <v>45555</v>
      </c>
      <c r="C334" t="s">
        <v>25</v>
      </c>
      <c r="D334" t="s">
        <v>70</v>
      </c>
      <c r="E334" t="s">
        <v>22</v>
      </c>
      <c r="F334" t="s">
        <v>306</v>
      </c>
      <c r="G334" t="s">
        <v>36</v>
      </c>
      <c r="H334">
        <v>14</v>
      </c>
    </row>
    <row r="335" spans="1:8" ht="21.75" customHeight="1" x14ac:dyDescent="0.35">
      <c r="A335" t="s">
        <v>468</v>
      </c>
      <c r="B335" s="3">
        <v>45477</v>
      </c>
      <c r="C335" t="s">
        <v>381</v>
      </c>
      <c r="D335" t="s">
        <v>119</v>
      </c>
      <c r="E335" t="s">
        <v>17</v>
      </c>
      <c r="F335" t="s">
        <v>27</v>
      </c>
      <c r="G335" t="s">
        <v>36</v>
      </c>
      <c r="H335">
        <v>2</v>
      </c>
    </row>
    <row r="336" spans="1:8" ht="21.75" customHeight="1" x14ac:dyDescent="0.35">
      <c r="A336" t="s">
        <v>469</v>
      </c>
      <c r="B336" s="3">
        <v>45359</v>
      </c>
      <c r="C336" t="s">
        <v>55</v>
      </c>
      <c r="D336" t="s">
        <v>102</v>
      </c>
      <c r="E336" t="s">
        <v>17</v>
      </c>
      <c r="F336" t="s">
        <v>27</v>
      </c>
      <c r="G336" t="s">
        <v>36</v>
      </c>
      <c r="H336">
        <v>1</v>
      </c>
    </row>
    <row r="337" spans="1:8" ht="21.75" customHeight="1" x14ac:dyDescent="0.35">
      <c r="A337" t="s">
        <v>470</v>
      </c>
      <c r="B337" s="3">
        <v>45414</v>
      </c>
      <c r="C337" t="s">
        <v>369</v>
      </c>
      <c r="D337" t="s">
        <v>174</v>
      </c>
      <c r="E337" t="s">
        <v>11</v>
      </c>
      <c r="F337" t="s">
        <v>42</v>
      </c>
      <c r="G337" t="s">
        <v>13</v>
      </c>
      <c r="H337">
        <v>1</v>
      </c>
    </row>
    <row r="338" spans="1:8" ht="21.75" customHeight="1" x14ac:dyDescent="0.35">
      <c r="A338" t="s">
        <v>471</v>
      </c>
      <c r="B338" s="3">
        <v>45407</v>
      </c>
      <c r="C338" t="s">
        <v>40</v>
      </c>
      <c r="D338" t="s">
        <v>21</v>
      </c>
      <c r="E338" t="s">
        <v>17</v>
      </c>
      <c r="F338" t="s">
        <v>12</v>
      </c>
      <c r="G338" t="s">
        <v>32</v>
      </c>
      <c r="H338">
        <v>5</v>
      </c>
    </row>
    <row r="339" spans="1:8" ht="21.75" customHeight="1" x14ac:dyDescent="0.35">
      <c r="A339" t="s">
        <v>472</v>
      </c>
      <c r="B339" s="3">
        <v>45552</v>
      </c>
      <c r="C339" t="s">
        <v>369</v>
      </c>
      <c r="D339" t="s">
        <v>35</v>
      </c>
      <c r="E339" t="s">
        <v>17</v>
      </c>
      <c r="F339" t="s">
        <v>27</v>
      </c>
      <c r="G339" t="s">
        <v>36</v>
      </c>
      <c r="H339">
        <v>16</v>
      </c>
    </row>
    <row r="340" spans="1:8" ht="21.75" customHeight="1" x14ac:dyDescent="0.35">
      <c r="A340" t="s">
        <v>473</v>
      </c>
      <c r="B340" s="3">
        <v>45366</v>
      </c>
      <c r="C340" t="s">
        <v>53</v>
      </c>
      <c r="D340" t="s">
        <v>160</v>
      </c>
      <c r="E340" t="s">
        <v>11</v>
      </c>
      <c r="F340" t="s">
        <v>306</v>
      </c>
      <c r="G340" t="s">
        <v>32</v>
      </c>
      <c r="H340">
        <v>5</v>
      </c>
    </row>
    <row r="341" spans="1:8" ht="21.75" customHeight="1" x14ac:dyDescent="0.35">
      <c r="A341" t="s">
        <v>474</v>
      </c>
      <c r="B341" s="3">
        <v>45504</v>
      </c>
      <c r="C341" t="s">
        <v>47</v>
      </c>
      <c r="D341" t="s">
        <v>96</v>
      </c>
      <c r="E341" t="s">
        <v>22</v>
      </c>
      <c r="F341" t="s">
        <v>42</v>
      </c>
      <c r="G341" t="s">
        <v>36</v>
      </c>
      <c r="H341">
        <v>10</v>
      </c>
    </row>
    <row r="342" spans="1:8" ht="21.75" customHeight="1" x14ac:dyDescent="0.35">
      <c r="A342" t="s">
        <v>475</v>
      </c>
      <c r="B342" s="3">
        <v>45588</v>
      </c>
      <c r="C342" t="s">
        <v>371</v>
      </c>
      <c r="D342" t="s">
        <v>70</v>
      </c>
      <c r="E342" t="s">
        <v>17</v>
      </c>
      <c r="F342" t="s">
        <v>56</v>
      </c>
      <c r="G342" t="s">
        <v>32</v>
      </c>
      <c r="H342">
        <v>18</v>
      </c>
    </row>
    <row r="343" spans="1:8" ht="21.75" customHeight="1" x14ac:dyDescent="0.35">
      <c r="A343" t="s">
        <v>476</v>
      </c>
      <c r="B343" s="3">
        <v>45574</v>
      </c>
      <c r="C343" t="s">
        <v>332</v>
      </c>
      <c r="D343" t="s">
        <v>70</v>
      </c>
      <c r="E343" t="s">
        <v>22</v>
      </c>
      <c r="F343" t="s">
        <v>27</v>
      </c>
      <c r="G343" t="s">
        <v>28</v>
      </c>
      <c r="H343">
        <v>11</v>
      </c>
    </row>
    <row r="344" spans="1:8" ht="21.75" customHeight="1" x14ac:dyDescent="0.35">
      <c r="A344" t="s">
        <v>477</v>
      </c>
      <c r="B344" s="3">
        <v>45584</v>
      </c>
      <c r="C344" t="s">
        <v>53</v>
      </c>
      <c r="D344" t="s">
        <v>79</v>
      </c>
      <c r="E344" t="s">
        <v>11</v>
      </c>
      <c r="F344" t="s">
        <v>27</v>
      </c>
      <c r="G344" t="s">
        <v>23</v>
      </c>
      <c r="H344">
        <v>11</v>
      </c>
    </row>
    <row r="345" spans="1:8" ht="21.75" customHeight="1" x14ac:dyDescent="0.35">
      <c r="A345" t="s">
        <v>478</v>
      </c>
      <c r="B345" s="3">
        <v>45489</v>
      </c>
      <c r="C345" t="s">
        <v>371</v>
      </c>
      <c r="D345" t="s">
        <v>35</v>
      </c>
      <c r="E345" t="s">
        <v>22</v>
      </c>
      <c r="F345" t="s">
        <v>56</v>
      </c>
      <c r="G345" t="s">
        <v>36</v>
      </c>
      <c r="H345">
        <v>2</v>
      </c>
    </row>
    <row r="346" spans="1:8" ht="21.75" customHeight="1" x14ac:dyDescent="0.35">
      <c r="A346" t="s">
        <v>479</v>
      </c>
      <c r="B346" s="3">
        <v>45461</v>
      </c>
      <c r="C346" t="s">
        <v>108</v>
      </c>
      <c r="D346" t="s">
        <v>160</v>
      </c>
      <c r="E346" t="s">
        <v>17</v>
      </c>
      <c r="F346" t="s">
        <v>12</v>
      </c>
      <c r="G346" t="s">
        <v>28</v>
      </c>
      <c r="H346">
        <v>15</v>
      </c>
    </row>
    <row r="347" spans="1:8" ht="21.75" customHeight="1" x14ac:dyDescent="0.35">
      <c r="A347" t="s">
        <v>480</v>
      </c>
      <c r="B347" s="3">
        <v>45501</v>
      </c>
      <c r="C347" t="s">
        <v>350</v>
      </c>
      <c r="D347" t="s">
        <v>35</v>
      </c>
      <c r="E347" t="s">
        <v>11</v>
      </c>
      <c r="F347" t="s">
        <v>12</v>
      </c>
      <c r="G347" t="s">
        <v>23</v>
      </c>
      <c r="H347">
        <v>9</v>
      </c>
    </row>
    <row r="348" spans="1:8" ht="21.75" customHeight="1" x14ac:dyDescent="0.35">
      <c r="A348" t="s">
        <v>481</v>
      </c>
      <c r="B348" s="3">
        <v>45624</v>
      </c>
      <c r="C348" t="s">
        <v>81</v>
      </c>
      <c r="D348" t="s">
        <v>31</v>
      </c>
      <c r="E348" t="s">
        <v>17</v>
      </c>
      <c r="F348" t="s">
        <v>306</v>
      </c>
      <c r="G348" t="s">
        <v>23</v>
      </c>
      <c r="H348">
        <v>11</v>
      </c>
    </row>
    <row r="349" spans="1:8" ht="21.75" customHeight="1" x14ac:dyDescent="0.35">
      <c r="A349" t="s">
        <v>482</v>
      </c>
      <c r="B349" s="3">
        <v>45569</v>
      </c>
      <c r="C349" t="s">
        <v>122</v>
      </c>
      <c r="D349" t="s">
        <v>197</v>
      </c>
      <c r="E349" t="s">
        <v>22</v>
      </c>
      <c r="F349" t="s">
        <v>12</v>
      </c>
      <c r="G349" t="s">
        <v>13</v>
      </c>
      <c r="H349">
        <v>10</v>
      </c>
    </row>
    <row r="350" spans="1:8" ht="21.75" customHeight="1" x14ac:dyDescent="0.35">
      <c r="A350" t="s">
        <v>483</v>
      </c>
      <c r="B350" s="3">
        <v>45514</v>
      </c>
      <c r="C350" t="s">
        <v>108</v>
      </c>
      <c r="D350" t="s">
        <v>70</v>
      </c>
      <c r="E350" t="s">
        <v>22</v>
      </c>
      <c r="F350" t="s">
        <v>12</v>
      </c>
      <c r="G350" t="s">
        <v>13</v>
      </c>
      <c r="H350">
        <v>6</v>
      </c>
    </row>
    <row r="351" spans="1:8" ht="21.75" customHeight="1" x14ac:dyDescent="0.35">
      <c r="A351" t="s">
        <v>484</v>
      </c>
      <c r="B351" s="3">
        <v>45315</v>
      </c>
      <c r="C351" t="s">
        <v>187</v>
      </c>
      <c r="D351" t="s">
        <v>48</v>
      </c>
      <c r="E351" t="s">
        <v>11</v>
      </c>
      <c r="F351" t="s">
        <v>42</v>
      </c>
      <c r="G351" t="s">
        <v>28</v>
      </c>
      <c r="H351">
        <v>12</v>
      </c>
    </row>
    <row r="352" spans="1:8" ht="21.75" customHeight="1" x14ac:dyDescent="0.35">
      <c r="A352" t="s">
        <v>485</v>
      </c>
      <c r="B352" s="3">
        <v>45563</v>
      </c>
      <c r="C352" t="s">
        <v>408</v>
      </c>
      <c r="D352" t="s">
        <v>45</v>
      </c>
      <c r="E352" t="s">
        <v>22</v>
      </c>
      <c r="F352" t="s">
        <v>56</v>
      </c>
      <c r="G352" t="s">
        <v>23</v>
      </c>
      <c r="H352">
        <v>6</v>
      </c>
    </row>
    <row r="353" spans="1:8" ht="21.75" customHeight="1" x14ac:dyDescent="0.35">
      <c r="A353" t="s">
        <v>486</v>
      </c>
      <c r="B353" s="3">
        <v>45609</v>
      </c>
      <c r="C353" t="s">
        <v>455</v>
      </c>
      <c r="D353" t="s">
        <v>59</v>
      </c>
      <c r="E353" t="s">
        <v>11</v>
      </c>
      <c r="F353" t="s">
        <v>27</v>
      </c>
      <c r="G353" t="s">
        <v>32</v>
      </c>
      <c r="H353">
        <v>5</v>
      </c>
    </row>
    <row r="354" spans="1:8" ht="21.75" customHeight="1" x14ac:dyDescent="0.35">
      <c r="A354" t="s">
        <v>487</v>
      </c>
      <c r="B354" s="3">
        <v>45527</v>
      </c>
      <c r="C354" t="s">
        <v>230</v>
      </c>
      <c r="D354" t="s">
        <v>70</v>
      </c>
      <c r="E354" t="s">
        <v>22</v>
      </c>
      <c r="F354" t="s">
        <v>12</v>
      </c>
      <c r="G354" t="s">
        <v>28</v>
      </c>
      <c r="H354">
        <v>10</v>
      </c>
    </row>
    <row r="355" spans="1:8" ht="21.75" customHeight="1" x14ac:dyDescent="0.35">
      <c r="A355" t="s">
        <v>488</v>
      </c>
      <c r="B355" s="3">
        <v>45329</v>
      </c>
      <c r="C355" t="s">
        <v>396</v>
      </c>
      <c r="D355" t="s">
        <v>74</v>
      </c>
      <c r="E355" t="s">
        <v>17</v>
      </c>
      <c r="F355" t="s">
        <v>306</v>
      </c>
      <c r="G355" t="s">
        <v>23</v>
      </c>
      <c r="H355">
        <v>14</v>
      </c>
    </row>
    <row r="356" spans="1:8" ht="21.75" customHeight="1" x14ac:dyDescent="0.35">
      <c r="A356" t="s">
        <v>489</v>
      </c>
      <c r="B356" s="3">
        <v>45446</v>
      </c>
      <c r="C356" t="s">
        <v>104</v>
      </c>
      <c r="D356" t="s">
        <v>102</v>
      </c>
      <c r="E356" t="s">
        <v>17</v>
      </c>
      <c r="F356" t="s">
        <v>27</v>
      </c>
      <c r="G356" t="s">
        <v>32</v>
      </c>
      <c r="H356">
        <v>8</v>
      </c>
    </row>
    <row r="357" spans="1:8" ht="21.75" customHeight="1" x14ac:dyDescent="0.35">
      <c r="A357" t="s">
        <v>490</v>
      </c>
      <c r="B357" s="3">
        <v>45586</v>
      </c>
      <c r="C357" t="s">
        <v>61</v>
      </c>
      <c r="D357" t="s">
        <v>96</v>
      </c>
      <c r="E357" t="s">
        <v>22</v>
      </c>
      <c r="F357" t="s">
        <v>42</v>
      </c>
      <c r="G357" t="s">
        <v>36</v>
      </c>
      <c r="H357">
        <v>13</v>
      </c>
    </row>
    <row r="358" spans="1:8" ht="21.75" customHeight="1" x14ac:dyDescent="0.35">
      <c r="A358" t="s">
        <v>491</v>
      </c>
      <c r="B358" s="3">
        <v>45643</v>
      </c>
      <c r="C358" t="s">
        <v>420</v>
      </c>
      <c r="D358" t="s">
        <v>109</v>
      </c>
      <c r="E358" t="s">
        <v>22</v>
      </c>
      <c r="F358" t="s">
        <v>12</v>
      </c>
      <c r="G358" t="s">
        <v>32</v>
      </c>
      <c r="H358">
        <v>16</v>
      </c>
    </row>
    <row r="359" spans="1:8" ht="21.75" customHeight="1" x14ac:dyDescent="0.35">
      <c r="A359" t="s">
        <v>492</v>
      </c>
      <c r="B359" s="3">
        <v>45409</v>
      </c>
      <c r="C359" t="s">
        <v>493</v>
      </c>
      <c r="D359" t="s">
        <v>21</v>
      </c>
      <c r="E359" t="s">
        <v>17</v>
      </c>
      <c r="F359" t="s">
        <v>56</v>
      </c>
      <c r="G359" t="s">
        <v>28</v>
      </c>
      <c r="H359">
        <v>7</v>
      </c>
    </row>
    <row r="360" spans="1:8" ht="21.75" customHeight="1" x14ac:dyDescent="0.35">
      <c r="A360" t="s">
        <v>494</v>
      </c>
      <c r="B360" s="3">
        <v>45613</v>
      </c>
      <c r="C360" t="s">
        <v>108</v>
      </c>
      <c r="D360" t="s">
        <v>74</v>
      </c>
      <c r="E360" t="s">
        <v>22</v>
      </c>
      <c r="F360" t="s">
        <v>12</v>
      </c>
      <c r="G360" t="s">
        <v>32</v>
      </c>
      <c r="H360">
        <v>15</v>
      </c>
    </row>
    <row r="361" spans="1:8" ht="21.75" customHeight="1" x14ac:dyDescent="0.35">
      <c r="A361" t="s">
        <v>495</v>
      </c>
      <c r="B361" s="3">
        <v>45359</v>
      </c>
      <c r="C361" t="s">
        <v>203</v>
      </c>
      <c r="D361" t="s">
        <v>84</v>
      </c>
      <c r="E361" t="s">
        <v>17</v>
      </c>
      <c r="F361" t="s">
        <v>42</v>
      </c>
      <c r="G361" t="s">
        <v>28</v>
      </c>
      <c r="H361">
        <v>14</v>
      </c>
    </row>
    <row r="362" spans="1:8" ht="21.75" customHeight="1" x14ac:dyDescent="0.35">
      <c r="A362" t="s">
        <v>496</v>
      </c>
      <c r="B362" s="3">
        <v>45568</v>
      </c>
      <c r="C362" t="s">
        <v>83</v>
      </c>
      <c r="D362" t="s">
        <v>26</v>
      </c>
      <c r="E362" t="s">
        <v>22</v>
      </c>
      <c r="F362" t="s">
        <v>306</v>
      </c>
      <c r="G362" t="s">
        <v>23</v>
      </c>
      <c r="H362">
        <v>6</v>
      </c>
    </row>
    <row r="363" spans="1:8" ht="21.75" customHeight="1" x14ac:dyDescent="0.35">
      <c r="A363" t="s">
        <v>497</v>
      </c>
      <c r="B363" s="3">
        <v>45443</v>
      </c>
      <c r="C363" t="s">
        <v>323</v>
      </c>
      <c r="D363" t="s">
        <v>70</v>
      </c>
      <c r="E363" t="s">
        <v>17</v>
      </c>
      <c r="F363" t="s">
        <v>12</v>
      </c>
      <c r="G363" t="s">
        <v>28</v>
      </c>
      <c r="H363">
        <v>3</v>
      </c>
    </row>
    <row r="364" spans="1:8" ht="21.75" customHeight="1" x14ac:dyDescent="0.35">
      <c r="A364" t="s">
        <v>498</v>
      </c>
      <c r="B364" s="3">
        <v>45638</v>
      </c>
      <c r="C364" t="s">
        <v>329</v>
      </c>
      <c r="D364" t="s">
        <v>174</v>
      </c>
      <c r="E364" t="s">
        <v>22</v>
      </c>
      <c r="F364" t="s">
        <v>27</v>
      </c>
      <c r="G364" t="s">
        <v>23</v>
      </c>
      <c r="H364">
        <v>12</v>
      </c>
    </row>
    <row r="365" spans="1:8" ht="21.75" customHeight="1" x14ac:dyDescent="0.35">
      <c r="A365" t="s">
        <v>499</v>
      </c>
      <c r="B365" s="3">
        <v>45299</v>
      </c>
      <c r="C365" t="s">
        <v>86</v>
      </c>
      <c r="D365" t="s">
        <v>70</v>
      </c>
      <c r="E365" t="s">
        <v>22</v>
      </c>
      <c r="F365" t="s">
        <v>12</v>
      </c>
      <c r="G365" t="s">
        <v>32</v>
      </c>
      <c r="H365">
        <v>12</v>
      </c>
    </row>
    <row r="366" spans="1:8" ht="21.75" customHeight="1" x14ac:dyDescent="0.35">
      <c r="A366" t="s">
        <v>500</v>
      </c>
      <c r="B366" s="3">
        <v>45591</v>
      </c>
      <c r="C366" t="s">
        <v>159</v>
      </c>
      <c r="D366" t="s">
        <v>102</v>
      </c>
      <c r="E366" t="s">
        <v>22</v>
      </c>
      <c r="F366" t="s">
        <v>42</v>
      </c>
      <c r="G366" t="s">
        <v>36</v>
      </c>
      <c r="H366">
        <v>8</v>
      </c>
    </row>
    <row r="367" spans="1:8" ht="21.75" customHeight="1" x14ac:dyDescent="0.35">
      <c r="A367" t="s">
        <v>501</v>
      </c>
      <c r="B367" s="3">
        <v>45579</v>
      </c>
      <c r="C367" t="s">
        <v>187</v>
      </c>
      <c r="D367" t="s">
        <v>21</v>
      </c>
      <c r="E367" t="s">
        <v>22</v>
      </c>
      <c r="F367" t="s">
        <v>56</v>
      </c>
      <c r="G367" t="s">
        <v>23</v>
      </c>
      <c r="H367">
        <v>3</v>
      </c>
    </row>
    <row r="368" spans="1:8" ht="21.75" customHeight="1" x14ac:dyDescent="0.35">
      <c r="A368" t="s">
        <v>502</v>
      </c>
      <c r="B368" s="3">
        <v>45650</v>
      </c>
      <c r="C368" t="s">
        <v>68</v>
      </c>
      <c r="D368" t="s">
        <v>102</v>
      </c>
      <c r="E368" t="s">
        <v>22</v>
      </c>
      <c r="F368" t="s">
        <v>27</v>
      </c>
      <c r="G368" t="s">
        <v>13</v>
      </c>
      <c r="H368">
        <v>5</v>
      </c>
    </row>
    <row r="369" spans="1:8" ht="21.75" customHeight="1" x14ac:dyDescent="0.35">
      <c r="A369" t="s">
        <v>503</v>
      </c>
      <c r="B369" s="3">
        <v>45447</v>
      </c>
      <c r="C369" t="s">
        <v>432</v>
      </c>
      <c r="D369" t="s">
        <v>197</v>
      </c>
      <c r="E369" t="s">
        <v>11</v>
      </c>
      <c r="F369" t="s">
        <v>12</v>
      </c>
      <c r="G369" t="s">
        <v>23</v>
      </c>
      <c r="H369">
        <v>18</v>
      </c>
    </row>
    <row r="370" spans="1:8" ht="21.75" customHeight="1" x14ac:dyDescent="0.35">
      <c r="A370" t="s">
        <v>504</v>
      </c>
      <c r="B370" s="3">
        <v>45481</v>
      </c>
      <c r="C370" t="s">
        <v>317</v>
      </c>
      <c r="D370" t="s">
        <v>87</v>
      </c>
      <c r="E370" t="s">
        <v>22</v>
      </c>
      <c r="F370" t="s">
        <v>306</v>
      </c>
      <c r="G370" t="s">
        <v>28</v>
      </c>
      <c r="H370">
        <v>19</v>
      </c>
    </row>
    <row r="371" spans="1:8" ht="21.75" customHeight="1" x14ac:dyDescent="0.35">
      <c r="A371" t="s">
        <v>505</v>
      </c>
      <c r="B371" s="3">
        <v>45504</v>
      </c>
      <c r="C371" t="s">
        <v>350</v>
      </c>
      <c r="D371" t="s">
        <v>109</v>
      </c>
      <c r="E371" t="s">
        <v>11</v>
      </c>
      <c r="F371" t="s">
        <v>27</v>
      </c>
      <c r="G371" t="s">
        <v>32</v>
      </c>
      <c r="H371">
        <v>14</v>
      </c>
    </row>
    <row r="372" spans="1:8" ht="21.75" customHeight="1" x14ac:dyDescent="0.35">
      <c r="A372" t="s">
        <v>506</v>
      </c>
      <c r="B372" s="3">
        <v>45308</v>
      </c>
      <c r="C372" t="s">
        <v>465</v>
      </c>
      <c r="D372" t="s">
        <v>70</v>
      </c>
      <c r="E372" t="s">
        <v>17</v>
      </c>
      <c r="F372" t="s">
        <v>56</v>
      </c>
      <c r="G372" t="s">
        <v>32</v>
      </c>
      <c r="H372">
        <v>15</v>
      </c>
    </row>
    <row r="373" spans="1:8" ht="21.75" customHeight="1" x14ac:dyDescent="0.35">
      <c r="A373" t="s">
        <v>507</v>
      </c>
      <c r="B373" s="3">
        <v>45342</v>
      </c>
      <c r="C373" t="s">
        <v>455</v>
      </c>
      <c r="D373" t="s">
        <v>21</v>
      </c>
      <c r="E373" t="s">
        <v>17</v>
      </c>
      <c r="F373" t="s">
        <v>306</v>
      </c>
      <c r="G373" t="s">
        <v>32</v>
      </c>
      <c r="H373">
        <v>12</v>
      </c>
    </row>
    <row r="374" spans="1:8" ht="21.75" customHeight="1" x14ac:dyDescent="0.35">
      <c r="A374" t="s">
        <v>508</v>
      </c>
      <c r="B374" s="3">
        <v>45389</v>
      </c>
      <c r="C374" t="s">
        <v>114</v>
      </c>
      <c r="D374" t="s">
        <v>41</v>
      </c>
      <c r="E374" t="s">
        <v>17</v>
      </c>
      <c r="F374" t="s">
        <v>12</v>
      </c>
      <c r="G374" t="s">
        <v>36</v>
      </c>
      <c r="H374">
        <v>7</v>
      </c>
    </row>
    <row r="375" spans="1:8" ht="21.75" customHeight="1" x14ac:dyDescent="0.35">
      <c r="A375" t="s">
        <v>509</v>
      </c>
      <c r="B375" s="3">
        <v>45302</v>
      </c>
      <c r="C375" t="s">
        <v>9</v>
      </c>
      <c r="D375" t="s">
        <v>16</v>
      </c>
      <c r="E375" t="s">
        <v>17</v>
      </c>
      <c r="F375" t="s">
        <v>56</v>
      </c>
      <c r="G375" t="s">
        <v>36</v>
      </c>
      <c r="H375">
        <v>19</v>
      </c>
    </row>
    <row r="376" spans="1:8" ht="21.75" customHeight="1" x14ac:dyDescent="0.35">
      <c r="A376" t="s">
        <v>510</v>
      </c>
      <c r="B376" s="3">
        <v>45398</v>
      </c>
      <c r="C376" t="s">
        <v>449</v>
      </c>
      <c r="D376" t="s">
        <v>72</v>
      </c>
      <c r="E376" t="s">
        <v>11</v>
      </c>
      <c r="F376" t="s">
        <v>56</v>
      </c>
      <c r="G376" t="s">
        <v>36</v>
      </c>
      <c r="H376">
        <v>5</v>
      </c>
    </row>
    <row r="377" spans="1:8" ht="21.75" customHeight="1" x14ac:dyDescent="0.35">
      <c r="A377" t="s">
        <v>511</v>
      </c>
      <c r="B377" s="3">
        <v>45293</v>
      </c>
      <c r="C377" t="s">
        <v>89</v>
      </c>
      <c r="D377" t="s">
        <v>174</v>
      </c>
      <c r="E377" t="s">
        <v>11</v>
      </c>
      <c r="F377" t="s">
        <v>56</v>
      </c>
      <c r="G377" t="s">
        <v>13</v>
      </c>
      <c r="H377">
        <v>9</v>
      </c>
    </row>
    <row r="378" spans="1:8" ht="21.75" customHeight="1" x14ac:dyDescent="0.35">
      <c r="A378" t="s">
        <v>512</v>
      </c>
      <c r="B378" s="3">
        <v>45630</v>
      </c>
      <c r="C378" t="s">
        <v>64</v>
      </c>
      <c r="D378" t="s">
        <v>48</v>
      </c>
      <c r="E378" t="s">
        <v>11</v>
      </c>
      <c r="F378" t="s">
        <v>12</v>
      </c>
      <c r="G378" t="s">
        <v>13</v>
      </c>
      <c r="H378">
        <v>8</v>
      </c>
    </row>
    <row r="379" spans="1:8" ht="21.75" customHeight="1" x14ac:dyDescent="0.35">
      <c r="A379" t="s">
        <v>513</v>
      </c>
      <c r="B379" s="3">
        <v>45381</v>
      </c>
      <c r="C379" t="s">
        <v>86</v>
      </c>
      <c r="D379" t="s">
        <v>84</v>
      </c>
      <c r="E379" t="s">
        <v>11</v>
      </c>
      <c r="F379" t="s">
        <v>56</v>
      </c>
      <c r="G379" t="s">
        <v>13</v>
      </c>
      <c r="H379">
        <v>14</v>
      </c>
    </row>
    <row r="380" spans="1:8" ht="21.75" customHeight="1" x14ac:dyDescent="0.35">
      <c r="A380" t="s">
        <v>514</v>
      </c>
      <c r="B380" s="3">
        <v>45535</v>
      </c>
      <c r="C380" t="s">
        <v>430</v>
      </c>
      <c r="D380" t="s">
        <v>59</v>
      </c>
      <c r="E380" t="s">
        <v>17</v>
      </c>
      <c r="F380" t="s">
        <v>306</v>
      </c>
      <c r="G380" t="s">
        <v>28</v>
      </c>
      <c r="H380">
        <v>4</v>
      </c>
    </row>
    <row r="381" spans="1:8" ht="21.75" customHeight="1" x14ac:dyDescent="0.35">
      <c r="A381" t="s">
        <v>515</v>
      </c>
      <c r="B381" s="3">
        <v>45606</v>
      </c>
      <c r="C381" t="s">
        <v>116</v>
      </c>
      <c r="D381" t="s">
        <v>74</v>
      </c>
      <c r="E381" t="s">
        <v>22</v>
      </c>
      <c r="F381" t="s">
        <v>306</v>
      </c>
      <c r="G381" t="s">
        <v>13</v>
      </c>
      <c r="H381">
        <v>15</v>
      </c>
    </row>
    <row r="382" spans="1:8" ht="21.75" customHeight="1" x14ac:dyDescent="0.35">
      <c r="A382" t="s">
        <v>516</v>
      </c>
      <c r="B382" s="3">
        <v>45323</v>
      </c>
      <c r="C382" t="s">
        <v>517</v>
      </c>
      <c r="D382" t="s">
        <v>41</v>
      </c>
      <c r="E382" t="s">
        <v>17</v>
      </c>
      <c r="F382" t="s">
        <v>27</v>
      </c>
      <c r="G382" t="s">
        <v>23</v>
      </c>
      <c r="H382">
        <v>4</v>
      </c>
    </row>
    <row r="383" spans="1:8" ht="21.75" customHeight="1" x14ac:dyDescent="0.35">
      <c r="A383" t="s">
        <v>518</v>
      </c>
      <c r="B383" s="3">
        <v>45329</v>
      </c>
      <c r="C383" t="s">
        <v>81</v>
      </c>
      <c r="D383" t="s">
        <v>16</v>
      </c>
      <c r="E383" t="s">
        <v>17</v>
      </c>
      <c r="F383" t="s">
        <v>306</v>
      </c>
      <c r="G383" t="s">
        <v>36</v>
      </c>
      <c r="H383">
        <v>3</v>
      </c>
    </row>
    <row r="384" spans="1:8" ht="21.75" customHeight="1" x14ac:dyDescent="0.35">
      <c r="A384" t="s">
        <v>519</v>
      </c>
      <c r="B384" s="3">
        <v>45616</v>
      </c>
      <c r="C384" t="s">
        <v>361</v>
      </c>
      <c r="D384" t="s">
        <v>31</v>
      </c>
      <c r="E384" t="s">
        <v>22</v>
      </c>
      <c r="F384" t="s">
        <v>42</v>
      </c>
      <c r="G384" t="s">
        <v>23</v>
      </c>
      <c r="H384">
        <v>20</v>
      </c>
    </row>
    <row r="385" spans="1:8" ht="21.75" customHeight="1" x14ac:dyDescent="0.35">
      <c r="A385" t="s">
        <v>520</v>
      </c>
      <c r="B385" s="3">
        <v>45550</v>
      </c>
      <c r="C385" t="s">
        <v>493</v>
      </c>
      <c r="D385" t="s">
        <v>62</v>
      </c>
      <c r="E385" t="s">
        <v>17</v>
      </c>
      <c r="F385" t="s">
        <v>12</v>
      </c>
      <c r="G385" t="s">
        <v>36</v>
      </c>
      <c r="H385">
        <v>4</v>
      </c>
    </row>
    <row r="386" spans="1:8" ht="21.75" customHeight="1" x14ac:dyDescent="0.35">
      <c r="A386" t="s">
        <v>521</v>
      </c>
      <c r="B386" s="3">
        <v>45402</v>
      </c>
      <c r="C386" t="s">
        <v>348</v>
      </c>
      <c r="D386" t="s">
        <v>87</v>
      </c>
      <c r="E386" t="s">
        <v>17</v>
      </c>
      <c r="F386" t="s">
        <v>56</v>
      </c>
      <c r="G386" t="s">
        <v>23</v>
      </c>
      <c r="H386">
        <v>11</v>
      </c>
    </row>
    <row r="387" spans="1:8" ht="21.75" customHeight="1" x14ac:dyDescent="0.35">
      <c r="A387" t="s">
        <v>522</v>
      </c>
      <c r="B387" s="3">
        <v>45504</v>
      </c>
      <c r="C387" t="s">
        <v>388</v>
      </c>
      <c r="D387" t="s">
        <v>87</v>
      </c>
      <c r="E387" t="s">
        <v>11</v>
      </c>
      <c r="F387" t="s">
        <v>42</v>
      </c>
      <c r="G387" t="s">
        <v>32</v>
      </c>
      <c r="H387">
        <v>11</v>
      </c>
    </row>
    <row r="388" spans="1:8" ht="21.75" customHeight="1" x14ac:dyDescent="0.35">
      <c r="A388" t="s">
        <v>523</v>
      </c>
      <c r="B388" s="3">
        <v>45370</v>
      </c>
      <c r="C388" t="s">
        <v>455</v>
      </c>
      <c r="D388" t="s">
        <v>10</v>
      </c>
      <c r="E388" t="s">
        <v>17</v>
      </c>
      <c r="F388" t="s">
        <v>12</v>
      </c>
      <c r="G388" t="s">
        <v>13</v>
      </c>
      <c r="H388">
        <v>3</v>
      </c>
    </row>
    <row r="389" spans="1:8" ht="21.75" customHeight="1" x14ac:dyDescent="0.35">
      <c r="A389" t="s">
        <v>524</v>
      </c>
      <c r="B389" s="3">
        <v>45482</v>
      </c>
      <c r="C389" t="s">
        <v>34</v>
      </c>
      <c r="D389" t="s">
        <v>59</v>
      </c>
      <c r="E389" t="s">
        <v>22</v>
      </c>
      <c r="F389" t="s">
        <v>12</v>
      </c>
      <c r="G389" t="s">
        <v>13</v>
      </c>
      <c r="H389">
        <v>18</v>
      </c>
    </row>
    <row r="390" spans="1:8" ht="21.75" customHeight="1" x14ac:dyDescent="0.35">
      <c r="A390" t="s">
        <v>525</v>
      </c>
      <c r="B390" s="3">
        <v>45502</v>
      </c>
      <c r="C390" t="s">
        <v>182</v>
      </c>
      <c r="D390" t="s">
        <v>84</v>
      </c>
      <c r="E390" t="s">
        <v>22</v>
      </c>
      <c r="F390" t="s">
        <v>27</v>
      </c>
      <c r="G390" t="s">
        <v>36</v>
      </c>
      <c r="H390">
        <v>2</v>
      </c>
    </row>
    <row r="391" spans="1:8" ht="21.75" customHeight="1" x14ac:dyDescent="0.35">
      <c r="A391" t="s">
        <v>526</v>
      </c>
      <c r="B391" s="3">
        <v>45451</v>
      </c>
      <c r="C391" t="s">
        <v>182</v>
      </c>
      <c r="D391" t="s">
        <v>160</v>
      </c>
      <c r="E391" t="s">
        <v>11</v>
      </c>
      <c r="F391" t="s">
        <v>306</v>
      </c>
      <c r="G391" t="s">
        <v>23</v>
      </c>
      <c r="H391">
        <v>7</v>
      </c>
    </row>
    <row r="392" spans="1:8" ht="21.75" customHeight="1" x14ac:dyDescent="0.35">
      <c r="A392" t="s">
        <v>527</v>
      </c>
      <c r="B392" s="3">
        <v>45406</v>
      </c>
      <c r="C392" t="s">
        <v>15</v>
      </c>
      <c r="D392" t="s">
        <v>48</v>
      </c>
      <c r="E392" t="s">
        <v>17</v>
      </c>
      <c r="F392" t="s">
        <v>306</v>
      </c>
      <c r="G392" t="s">
        <v>36</v>
      </c>
      <c r="H392">
        <v>4</v>
      </c>
    </row>
    <row r="393" spans="1:8" ht="21.75" customHeight="1" x14ac:dyDescent="0.35">
      <c r="A393" t="s">
        <v>528</v>
      </c>
      <c r="B393" s="3">
        <v>45407</v>
      </c>
      <c r="C393" t="s">
        <v>309</v>
      </c>
      <c r="D393" t="s">
        <v>109</v>
      </c>
      <c r="E393" t="s">
        <v>22</v>
      </c>
      <c r="F393" t="s">
        <v>306</v>
      </c>
      <c r="G393" t="s">
        <v>32</v>
      </c>
      <c r="H393">
        <v>18</v>
      </c>
    </row>
    <row r="394" spans="1:8" ht="21.75" customHeight="1" x14ac:dyDescent="0.35">
      <c r="A394" t="s">
        <v>529</v>
      </c>
      <c r="B394" s="3">
        <v>45306</v>
      </c>
      <c r="C394" t="s">
        <v>44</v>
      </c>
      <c r="D394" t="s">
        <v>72</v>
      </c>
      <c r="E394" t="s">
        <v>17</v>
      </c>
      <c r="F394" t="s">
        <v>42</v>
      </c>
      <c r="G394" t="s">
        <v>28</v>
      </c>
      <c r="H394">
        <v>12</v>
      </c>
    </row>
    <row r="395" spans="1:8" ht="21.75" customHeight="1" x14ac:dyDescent="0.35">
      <c r="A395" t="s">
        <v>530</v>
      </c>
      <c r="B395" s="3">
        <v>45581</v>
      </c>
      <c r="C395" t="s">
        <v>371</v>
      </c>
      <c r="D395" t="s">
        <v>16</v>
      </c>
      <c r="E395" t="s">
        <v>17</v>
      </c>
      <c r="F395" t="s">
        <v>12</v>
      </c>
      <c r="G395" t="s">
        <v>36</v>
      </c>
      <c r="H395">
        <v>1</v>
      </c>
    </row>
    <row r="396" spans="1:8" ht="21.75" customHeight="1" x14ac:dyDescent="0.35">
      <c r="A396" t="s">
        <v>531</v>
      </c>
      <c r="B396" s="3">
        <v>45402</v>
      </c>
      <c r="C396" t="s">
        <v>159</v>
      </c>
      <c r="D396" t="s">
        <v>72</v>
      </c>
      <c r="E396" t="s">
        <v>17</v>
      </c>
      <c r="F396" t="s">
        <v>27</v>
      </c>
      <c r="G396" t="s">
        <v>32</v>
      </c>
      <c r="H396">
        <v>6</v>
      </c>
    </row>
    <row r="397" spans="1:8" ht="21.75" customHeight="1" x14ac:dyDescent="0.35">
      <c r="A397" t="s">
        <v>532</v>
      </c>
      <c r="B397" s="3">
        <v>45582</v>
      </c>
      <c r="C397" t="s">
        <v>327</v>
      </c>
      <c r="D397" t="s">
        <v>16</v>
      </c>
      <c r="E397" t="s">
        <v>11</v>
      </c>
      <c r="F397" t="s">
        <v>12</v>
      </c>
      <c r="G397" t="s">
        <v>13</v>
      </c>
      <c r="H397">
        <v>6</v>
      </c>
    </row>
    <row r="398" spans="1:8" ht="21.75" customHeight="1" x14ac:dyDescent="0.35">
      <c r="A398" t="s">
        <v>533</v>
      </c>
      <c r="B398" s="3">
        <v>45637</v>
      </c>
      <c r="C398" t="s">
        <v>81</v>
      </c>
      <c r="D398" t="s">
        <v>41</v>
      </c>
      <c r="E398" t="s">
        <v>17</v>
      </c>
      <c r="F398" t="s">
        <v>27</v>
      </c>
      <c r="G398" t="s">
        <v>23</v>
      </c>
      <c r="H398">
        <v>14</v>
      </c>
    </row>
    <row r="399" spans="1:8" ht="21.75" customHeight="1" x14ac:dyDescent="0.35">
      <c r="A399" t="s">
        <v>534</v>
      </c>
      <c r="B399" s="3">
        <v>45504</v>
      </c>
      <c r="C399" t="s">
        <v>101</v>
      </c>
      <c r="D399" t="s">
        <v>102</v>
      </c>
      <c r="E399" t="s">
        <v>11</v>
      </c>
      <c r="F399" t="s">
        <v>306</v>
      </c>
      <c r="G399" t="s">
        <v>32</v>
      </c>
      <c r="H399">
        <v>12</v>
      </c>
    </row>
    <row r="400" spans="1:8" ht="21.75" customHeight="1" x14ac:dyDescent="0.35">
      <c r="A400" t="s">
        <v>535</v>
      </c>
      <c r="B400" s="3">
        <v>45639</v>
      </c>
      <c r="C400" t="s">
        <v>422</v>
      </c>
      <c r="D400" t="s">
        <v>160</v>
      </c>
      <c r="E400" t="s">
        <v>22</v>
      </c>
      <c r="F400" t="s">
        <v>27</v>
      </c>
      <c r="G400" t="s">
        <v>23</v>
      </c>
      <c r="H400">
        <v>10</v>
      </c>
    </row>
    <row r="401" spans="1:8" ht="21.75" customHeight="1" x14ac:dyDescent="0.35">
      <c r="A401" t="s">
        <v>536</v>
      </c>
      <c r="B401" s="3">
        <v>45598</v>
      </c>
      <c r="C401" t="s">
        <v>131</v>
      </c>
      <c r="D401" t="s">
        <v>74</v>
      </c>
      <c r="E401" t="s">
        <v>11</v>
      </c>
      <c r="F401" t="s">
        <v>56</v>
      </c>
      <c r="G401" t="s">
        <v>32</v>
      </c>
      <c r="H401">
        <v>7</v>
      </c>
    </row>
    <row r="402" spans="1:8" ht="21.75" customHeight="1" x14ac:dyDescent="0.35">
      <c r="A402" t="s">
        <v>537</v>
      </c>
      <c r="B402" s="3">
        <v>45440</v>
      </c>
      <c r="C402" t="s">
        <v>187</v>
      </c>
      <c r="D402" t="s">
        <v>35</v>
      </c>
      <c r="E402" t="s">
        <v>11</v>
      </c>
      <c r="F402" t="s">
        <v>12</v>
      </c>
      <c r="G402" t="s">
        <v>23</v>
      </c>
      <c r="H402">
        <v>14</v>
      </c>
    </row>
    <row r="403" spans="1:8" ht="21.75" customHeight="1" x14ac:dyDescent="0.35">
      <c r="A403" t="s">
        <v>538</v>
      </c>
      <c r="B403" s="3">
        <v>45564</v>
      </c>
      <c r="C403" t="s">
        <v>369</v>
      </c>
      <c r="D403" t="s">
        <v>174</v>
      </c>
      <c r="E403" t="s">
        <v>11</v>
      </c>
      <c r="F403" t="s">
        <v>306</v>
      </c>
      <c r="G403" t="s">
        <v>13</v>
      </c>
      <c r="H403">
        <v>12</v>
      </c>
    </row>
    <row r="404" spans="1:8" ht="21.75" customHeight="1" x14ac:dyDescent="0.35">
      <c r="A404" t="s">
        <v>539</v>
      </c>
      <c r="B404" s="3">
        <v>45515</v>
      </c>
      <c r="C404" t="s">
        <v>138</v>
      </c>
      <c r="D404" t="s">
        <v>72</v>
      </c>
      <c r="E404" t="s">
        <v>17</v>
      </c>
      <c r="F404" t="s">
        <v>12</v>
      </c>
      <c r="G404" t="s">
        <v>23</v>
      </c>
      <c r="H404">
        <v>19</v>
      </c>
    </row>
    <row r="405" spans="1:8" ht="21.75" customHeight="1" x14ac:dyDescent="0.35">
      <c r="A405" t="s">
        <v>540</v>
      </c>
      <c r="B405" s="3">
        <v>45655</v>
      </c>
      <c r="C405" t="s">
        <v>541</v>
      </c>
      <c r="D405" t="s">
        <v>102</v>
      </c>
      <c r="E405" t="s">
        <v>17</v>
      </c>
      <c r="F405" t="s">
        <v>42</v>
      </c>
      <c r="G405" t="s">
        <v>32</v>
      </c>
      <c r="H405">
        <v>13</v>
      </c>
    </row>
    <row r="406" spans="1:8" ht="21.75" customHeight="1" x14ac:dyDescent="0.35">
      <c r="A406" t="s">
        <v>542</v>
      </c>
      <c r="B406" s="3">
        <v>45379</v>
      </c>
      <c r="C406" t="s">
        <v>381</v>
      </c>
      <c r="D406" t="s">
        <v>10</v>
      </c>
      <c r="E406" t="s">
        <v>17</v>
      </c>
      <c r="F406" t="s">
        <v>42</v>
      </c>
      <c r="G406" t="s">
        <v>28</v>
      </c>
      <c r="H406">
        <v>14</v>
      </c>
    </row>
    <row r="407" spans="1:8" ht="21.75" customHeight="1" x14ac:dyDescent="0.35">
      <c r="A407" t="s">
        <v>543</v>
      </c>
      <c r="B407" s="3">
        <v>45515</v>
      </c>
      <c r="C407" t="s">
        <v>449</v>
      </c>
      <c r="D407" t="s">
        <v>10</v>
      </c>
      <c r="E407" t="s">
        <v>17</v>
      </c>
      <c r="F407" t="s">
        <v>306</v>
      </c>
      <c r="G407" t="s">
        <v>32</v>
      </c>
      <c r="H407">
        <v>13</v>
      </c>
    </row>
    <row r="408" spans="1:8" ht="21.75" customHeight="1" x14ac:dyDescent="0.35">
      <c r="A408" t="s">
        <v>544</v>
      </c>
      <c r="B408" s="3">
        <v>45405</v>
      </c>
      <c r="C408" t="s">
        <v>118</v>
      </c>
      <c r="D408" t="s">
        <v>160</v>
      </c>
      <c r="E408" t="s">
        <v>11</v>
      </c>
      <c r="F408" t="s">
        <v>12</v>
      </c>
      <c r="G408" t="s">
        <v>28</v>
      </c>
      <c r="H408">
        <v>4</v>
      </c>
    </row>
    <row r="409" spans="1:8" ht="21.75" customHeight="1" x14ac:dyDescent="0.35">
      <c r="A409" t="s">
        <v>545</v>
      </c>
      <c r="B409" s="3">
        <v>45470</v>
      </c>
      <c r="C409" t="s">
        <v>20</v>
      </c>
      <c r="D409" t="s">
        <v>197</v>
      </c>
      <c r="E409" t="s">
        <v>22</v>
      </c>
      <c r="F409" t="s">
        <v>56</v>
      </c>
      <c r="G409" t="s">
        <v>28</v>
      </c>
      <c r="H409">
        <v>4</v>
      </c>
    </row>
    <row r="410" spans="1:8" ht="21.75" customHeight="1" x14ac:dyDescent="0.35">
      <c r="A410" t="s">
        <v>546</v>
      </c>
      <c r="B410" s="3">
        <v>45380</v>
      </c>
      <c r="C410" t="s">
        <v>493</v>
      </c>
      <c r="D410" t="s">
        <v>45</v>
      </c>
      <c r="E410" t="s">
        <v>11</v>
      </c>
      <c r="F410" t="s">
        <v>12</v>
      </c>
      <c r="G410" t="s">
        <v>36</v>
      </c>
      <c r="H410">
        <v>16</v>
      </c>
    </row>
    <row r="411" spans="1:8" ht="21.75" customHeight="1" x14ac:dyDescent="0.35">
      <c r="A411" t="s">
        <v>547</v>
      </c>
      <c r="B411" s="3">
        <v>45588</v>
      </c>
      <c r="C411" t="s">
        <v>430</v>
      </c>
      <c r="D411" t="s">
        <v>21</v>
      </c>
      <c r="E411" t="s">
        <v>22</v>
      </c>
      <c r="F411" t="s">
        <v>306</v>
      </c>
      <c r="G411" t="s">
        <v>32</v>
      </c>
      <c r="H411">
        <v>20</v>
      </c>
    </row>
    <row r="412" spans="1:8" ht="21.75" customHeight="1" x14ac:dyDescent="0.35">
      <c r="A412" t="s">
        <v>548</v>
      </c>
      <c r="B412" s="3">
        <v>45369</v>
      </c>
      <c r="C412" t="s">
        <v>396</v>
      </c>
      <c r="D412" t="s">
        <v>70</v>
      </c>
      <c r="E412" t="s">
        <v>11</v>
      </c>
      <c r="F412" t="s">
        <v>27</v>
      </c>
      <c r="G412" t="s">
        <v>36</v>
      </c>
      <c r="H412">
        <v>10</v>
      </c>
    </row>
    <row r="413" spans="1:8" ht="21.75" customHeight="1" x14ac:dyDescent="0.35">
      <c r="A413" t="s">
        <v>549</v>
      </c>
      <c r="B413" s="3">
        <v>45320</v>
      </c>
      <c r="C413" t="s">
        <v>182</v>
      </c>
      <c r="D413" t="s">
        <v>74</v>
      </c>
      <c r="E413" t="s">
        <v>22</v>
      </c>
      <c r="F413" t="s">
        <v>12</v>
      </c>
      <c r="G413" t="s">
        <v>13</v>
      </c>
      <c r="H413">
        <v>15</v>
      </c>
    </row>
    <row r="414" spans="1:8" ht="21.75" customHeight="1" x14ac:dyDescent="0.35">
      <c r="A414" t="s">
        <v>550</v>
      </c>
      <c r="B414" s="3">
        <v>45480</v>
      </c>
      <c r="C414" t="s">
        <v>55</v>
      </c>
      <c r="D414" t="s">
        <v>109</v>
      </c>
      <c r="E414" t="s">
        <v>11</v>
      </c>
      <c r="F414" t="s">
        <v>12</v>
      </c>
      <c r="G414" t="s">
        <v>23</v>
      </c>
      <c r="H414">
        <v>20</v>
      </c>
    </row>
    <row r="415" spans="1:8" ht="21.75" customHeight="1" x14ac:dyDescent="0.35">
      <c r="A415" t="s">
        <v>551</v>
      </c>
      <c r="B415" s="3">
        <v>45589</v>
      </c>
      <c r="C415" t="s">
        <v>378</v>
      </c>
      <c r="D415" t="s">
        <v>70</v>
      </c>
      <c r="E415" t="s">
        <v>22</v>
      </c>
      <c r="F415" t="s">
        <v>12</v>
      </c>
      <c r="G415" t="s">
        <v>32</v>
      </c>
      <c r="H415">
        <v>19</v>
      </c>
    </row>
    <row r="416" spans="1:8" ht="21.75" customHeight="1" x14ac:dyDescent="0.35">
      <c r="A416" t="s">
        <v>552</v>
      </c>
      <c r="B416" s="3">
        <v>45601</v>
      </c>
      <c r="C416" t="s">
        <v>553</v>
      </c>
      <c r="D416" t="s">
        <v>79</v>
      </c>
      <c r="E416" t="s">
        <v>22</v>
      </c>
      <c r="F416" t="s">
        <v>56</v>
      </c>
      <c r="G416" t="s">
        <v>32</v>
      </c>
      <c r="H416">
        <v>15</v>
      </c>
    </row>
    <row r="417" spans="1:8" ht="21.75" customHeight="1" x14ac:dyDescent="0.35">
      <c r="A417" t="s">
        <v>554</v>
      </c>
      <c r="B417" s="3">
        <v>45335</v>
      </c>
      <c r="C417" t="s">
        <v>358</v>
      </c>
      <c r="D417" t="s">
        <v>79</v>
      </c>
      <c r="E417" t="s">
        <v>22</v>
      </c>
      <c r="F417" t="s">
        <v>56</v>
      </c>
      <c r="G417" t="s">
        <v>23</v>
      </c>
      <c r="H417">
        <v>8</v>
      </c>
    </row>
    <row r="418" spans="1:8" ht="21.75" customHeight="1" x14ac:dyDescent="0.35">
      <c r="A418" t="s">
        <v>555</v>
      </c>
      <c r="B418" s="3">
        <v>45560</v>
      </c>
      <c r="C418" t="s">
        <v>363</v>
      </c>
      <c r="D418" t="s">
        <v>48</v>
      </c>
      <c r="E418" t="s">
        <v>22</v>
      </c>
      <c r="F418" t="s">
        <v>56</v>
      </c>
      <c r="G418" t="s">
        <v>23</v>
      </c>
      <c r="H418">
        <v>12</v>
      </c>
    </row>
    <row r="419" spans="1:8" ht="21.75" customHeight="1" x14ac:dyDescent="0.35">
      <c r="A419" t="s">
        <v>556</v>
      </c>
      <c r="B419" s="3">
        <v>45501</v>
      </c>
      <c r="C419" t="s">
        <v>420</v>
      </c>
      <c r="D419" t="s">
        <v>79</v>
      </c>
      <c r="E419" t="s">
        <v>17</v>
      </c>
      <c r="F419" t="s">
        <v>306</v>
      </c>
      <c r="G419" t="s">
        <v>13</v>
      </c>
      <c r="H419">
        <v>11</v>
      </c>
    </row>
    <row r="420" spans="1:8" ht="21.75" customHeight="1" x14ac:dyDescent="0.35">
      <c r="A420" t="s">
        <v>557</v>
      </c>
      <c r="B420" s="3">
        <v>45577</v>
      </c>
      <c r="C420" t="s">
        <v>422</v>
      </c>
      <c r="D420" t="s">
        <v>26</v>
      </c>
      <c r="E420" t="s">
        <v>17</v>
      </c>
      <c r="F420" t="s">
        <v>42</v>
      </c>
      <c r="G420" t="s">
        <v>32</v>
      </c>
      <c r="H420">
        <v>20</v>
      </c>
    </row>
    <row r="421" spans="1:8" ht="21.75" customHeight="1" x14ac:dyDescent="0.35">
      <c r="A421" t="s">
        <v>558</v>
      </c>
      <c r="B421" s="3">
        <v>45333</v>
      </c>
      <c r="C421" t="s">
        <v>361</v>
      </c>
      <c r="D421" t="s">
        <v>48</v>
      </c>
      <c r="E421" t="s">
        <v>22</v>
      </c>
      <c r="F421" t="s">
        <v>56</v>
      </c>
      <c r="G421" t="s">
        <v>23</v>
      </c>
      <c r="H421">
        <v>10</v>
      </c>
    </row>
    <row r="422" spans="1:8" ht="21.75" customHeight="1" x14ac:dyDescent="0.35">
      <c r="A422" t="s">
        <v>559</v>
      </c>
      <c r="B422" s="3">
        <v>45358</v>
      </c>
      <c r="C422" t="s">
        <v>327</v>
      </c>
      <c r="D422" t="s">
        <v>74</v>
      </c>
      <c r="E422" t="s">
        <v>22</v>
      </c>
      <c r="F422" t="s">
        <v>12</v>
      </c>
      <c r="G422" t="s">
        <v>32</v>
      </c>
      <c r="H422">
        <v>18</v>
      </c>
    </row>
    <row r="423" spans="1:8" ht="21.75" customHeight="1" x14ac:dyDescent="0.35">
      <c r="A423" t="s">
        <v>560</v>
      </c>
      <c r="B423" s="3">
        <v>45357</v>
      </c>
      <c r="C423" t="s">
        <v>317</v>
      </c>
      <c r="D423" t="s">
        <v>10</v>
      </c>
      <c r="E423" t="s">
        <v>22</v>
      </c>
      <c r="F423" t="s">
        <v>306</v>
      </c>
      <c r="G423" t="s">
        <v>13</v>
      </c>
      <c r="H423">
        <v>14</v>
      </c>
    </row>
    <row r="424" spans="1:8" ht="21.75" customHeight="1" x14ac:dyDescent="0.35">
      <c r="A424" t="s">
        <v>561</v>
      </c>
      <c r="B424" s="3">
        <v>45477</v>
      </c>
      <c r="C424" t="s">
        <v>147</v>
      </c>
      <c r="D424" t="s">
        <v>72</v>
      </c>
      <c r="E424" t="s">
        <v>11</v>
      </c>
      <c r="F424" t="s">
        <v>56</v>
      </c>
      <c r="G424" t="s">
        <v>28</v>
      </c>
      <c r="H424">
        <v>16</v>
      </c>
    </row>
    <row r="425" spans="1:8" ht="21.75" customHeight="1" x14ac:dyDescent="0.35">
      <c r="A425" t="s">
        <v>562</v>
      </c>
      <c r="B425" s="3">
        <v>45371</v>
      </c>
      <c r="C425" t="s">
        <v>208</v>
      </c>
      <c r="D425" t="s">
        <v>160</v>
      </c>
      <c r="E425" t="s">
        <v>17</v>
      </c>
      <c r="F425" t="s">
        <v>12</v>
      </c>
      <c r="G425" t="s">
        <v>36</v>
      </c>
      <c r="H425">
        <v>18</v>
      </c>
    </row>
    <row r="426" spans="1:8" ht="21.75" customHeight="1" x14ac:dyDescent="0.35">
      <c r="A426" t="s">
        <v>563</v>
      </c>
      <c r="B426" s="3">
        <v>45311</v>
      </c>
      <c r="C426" t="s">
        <v>371</v>
      </c>
      <c r="D426" t="s">
        <v>16</v>
      </c>
      <c r="E426" t="s">
        <v>17</v>
      </c>
      <c r="F426" t="s">
        <v>306</v>
      </c>
      <c r="G426" t="s">
        <v>28</v>
      </c>
      <c r="H426">
        <v>20</v>
      </c>
    </row>
    <row r="427" spans="1:8" ht="21.75" customHeight="1" x14ac:dyDescent="0.35">
      <c r="A427" t="s">
        <v>564</v>
      </c>
      <c r="B427" s="3">
        <v>45384</v>
      </c>
      <c r="C427" t="s">
        <v>465</v>
      </c>
      <c r="D427" t="s">
        <v>84</v>
      </c>
      <c r="E427" t="s">
        <v>22</v>
      </c>
      <c r="F427" t="s">
        <v>56</v>
      </c>
      <c r="G427" t="s">
        <v>32</v>
      </c>
      <c r="H427">
        <v>15</v>
      </c>
    </row>
    <row r="428" spans="1:8" ht="21.75" customHeight="1" x14ac:dyDescent="0.35">
      <c r="A428" t="s">
        <v>565</v>
      </c>
      <c r="B428" s="3">
        <v>45638</v>
      </c>
      <c r="C428" t="s">
        <v>329</v>
      </c>
      <c r="D428" t="s">
        <v>109</v>
      </c>
      <c r="E428" t="s">
        <v>11</v>
      </c>
      <c r="F428" t="s">
        <v>27</v>
      </c>
      <c r="G428" t="s">
        <v>23</v>
      </c>
      <c r="H428">
        <v>10</v>
      </c>
    </row>
    <row r="429" spans="1:8" ht="21.75" customHeight="1" x14ac:dyDescent="0.35">
      <c r="A429" t="s">
        <v>566</v>
      </c>
      <c r="B429" s="3">
        <v>45411</v>
      </c>
      <c r="C429" t="s">
        <v>312</v>
      </c>
      <c r="D429" t="s">
        <v>35</v>
      </c>
      <c r="E429" t="s">
        <v>11</v>
      </c>
      <c r="F429" t="s">
        <v>42</v>
      </c>
      <c r="G429" t="s">
        <v>36</v>
      </c>
      <c r="H429">
        <v>7</v>
      </c>
    </row>
    <row r="430" spans="1:8" ht="21.75" customHeight="1" x14ac:dyDescent="0.35">
      <c r="A430" t="s">
        <v>567</v>
      </c>
      <c r="B430" s="3">
        <v>45517</v>
      </c>
      <c r="C430" t="s">
        <v>319</v>
      </c>
      <c r="D430" t="s">
        <v>160</v>
      </c>
      <c r="E430" t="s">
        <v>17</v>
      </c>
      <c r="F430" t="s">
        <v>27</v>
      </c>
      <c r="G430" t="s">
        <v>28</v>
      </c>
      <c r="H430">
        <v>17</v>
      </c>
    </row>
    <row r="431" spans="1:8" ht="21.75" customHeight="1" x14ac:dyDescent="0.35">
      <c r="A431" t="s">
        <v>568</v>
      </c>
      <c r="B431" s="3">
        <v>45394</v>
      </c>
      <c r="C431" t="s">
        <v>493</v>
      </c>
      <c r="D431" t="s">
        <v>79</v>
      </c>
      <c r="E431" t="s">
        <v>11</v>
      </c>
      <c r="F431" t="s">
        <v>42</v>
      </c>
      <c r="G431" t="s">
        <v>36</v>
      </c>
      <c r="H431">
        <v>16</v>
      </c>
    </row>
    <row r="432" spans="1:8" ht="21.75" customHeight="1" x14ac:dyDescent="0.35">
      <c r="A432" t="s">
        <v>569</v>
      </c>
      <c r="B432" s="3">
        <v>45344</v>
      </c>
      <c r="C432" t="s">
        <v>436</v>
      </c>
      <c r="D432" t="s">
        <v>74</v>
      </c>
      <c r="E432" t="s">
        <v>22</v>
      </c>
      <c r="F432" t="s">
        <v>12</v>
      </c>
      <c r="G432" t="s">
        <v>32</v>
      </c>
      <c r="H432">
        <v>3</v>
      </c>
    </row>
    <row r="433" spans="1:8" ht="21.75" customHeight="1" x14ac:dyDescent="0.35">
      <c r="A433" t="s">
        <v>570</v>
      </c>
      <c r="B433" s="3">
        <v>45522</v>
      </c>
      <c r="C433" t="s">
        <v>345</v>
      </c>
      <c r="D433" t="s">
        <v>10</v>
      </c>
      <c r="E433" t="s">
        <v>11</v>
      </c>
      <c r="F433" t="s">
        <v>27</v>
      </c>
      <c r="G433" t="s">
        <v>32</v>
      </c>
      <c r="H433">
        <v>8</v>
      </c>
    </row>
    <row r="434" spans="1:8" ht="21.75" customHeight="1" x14ac:dyDescent="0.35">
      <c r="A434" t="s">
        <v>571</v>
      </c>
      <c r="B434" s="3">
        <v>45305</v>
      </c>
      <c r="C434" t="s">
        <v>572</v>
      </c>
      <c r="D434" t="s">
        <v>160</v>
      </c>
      <c r="E434" t="s">
        <v>11</v>
      </c>
      <c r="F434" t="s">
        <v>27</v>
      </c>
      <c r="G434" t="s">
        <v>13</v>
      </c>
      <c r="H434">
        <v>12</v>
      </c>
    </row>
    <row r="435" spans="1:8" ht="21.75" customHeight="1" x14ac:dyDescent="0.35">
      <c r="A435" t="s">
        <v>573</v>
      </c>
      <c r="B435" s="3">
        <v>45483</v>
      </c>
      <c r="C435" t="s">
        <v>240</v>
      </c>
      <c r="D435" t="s">
        <v>102</v>
      </c>
      <c r="E435" t="s">
        <v>11</v>
      </c>
      <c r="F435" t="s">
        <v>42</v>
      </c>
      <c r="G435" t="s">
        <v>28</v>
      </c>
      <c r="H435">
        <v>11</v>
      </c>
    </row>
    <row r="436" spans="1:8" ht="21.75" customHeight="1" x14ac:dyDescent="0.35">
      <c r="A436" t="s">
        <v>574</v>
      </c>
      <c r="B436" s="3">
        <v>45311</v>
      </c>
      <c r="C436" t="s">
        <v>55</v>
      </c>
      <c r="D436" t="s">
        <v>119</v>
      </c>
      <c r="E436" t="s">
        <v>17</v>
      </c>
      <c r="F436" t="s">
        <v>56</v>
      </c>
      <c r="G436" t="s">
        <v>13</v>
      </c>
      <c r="H436">
        <v>16</v>
      </c>
    </row>
    <row r="437" spans="1:8" ht="21.75" customHeight="1" x14ac:dyDescent="0.35">
      <c r="A437" t="s">
        <v>575</v>
      </c>
      <c r="B437" s="3">
        <v>45332</v>
      </c>
      <c r="C437" t="s">
        <v>138</v>
      </c>
      <c r="D437" t="s">
        <v>16</v>
      </c>
      <c r="E437" t="s">
        <v>17</v>
      </c>
      <c r="F437" t="s">
        <v>56</v>
      </c>
      <c r="G437" t="s">
        <v>36</v>
      </c>
      <c r="H437">
        <v>18</v>
      </c>
    </row>
    <row r="438" spans="1:8" ht="21.75" customHeight="1" x14ac:dyDescent="0.35">
      <c r="A438" t="s">
        <v>576</v>
      </c>
      <c r="B438" s="3">
        <v>45562</v>
      </c>
      <c r="C438" t="s">
        <v>309</v>
      </c>
      <c r="D438" t="s">
        <v>197</v>
      </c>
      <c r="E438" t="s">
        <v>11</v>
      </c>
      <c r="F438" t="s">
        <v>42</v>
      </c>
      <c r="G438" t="s">
        <v>28</v>
      </c>
      <c r="H438">
        <v>10</v>
      </c>
    </row>
    <row r="439" spans="1:8" ht="21.75" customHeight="1" x14ac:dyDescent="0.35">
      <c r="A439" t="s">
        <v>577</v>
      </c>
      <c r="B439" s="3">
        <v>45506</v>
      </c>
      <c r="C439" t="s">
        <v>541</v>
      </c>
      <c r="D439" t="s">
        <v>10</v>
      </c>
      <c r="E439" t="s">
        <v>22</v>
      </c>
      <c r="F439" t="s">
        <v>27</v>
      </c>
      <c r="G439" t="s">
        <v>23</v>
      </c>
      <c r="H439">
        <v>4</v>
      </c>
    </row>
    <row r="440" spans="1:8" ht="21.75" customHeight="1" x14ac:dyDescent="0.35">
      <c r="A440" t="s">
        <v>578</v>
      </c>
      <c r="B440" s="3">
        <v>45597</v>
      </c>
      <c r="C440" t="s">
        <v>312</v>
      </c>
      <c r="D440" t="s">
        <v>59</v>
      </c>
      <c r="E440" t="s">
        <v>11</v>
      </c>
      <c r="F440" t="s">
        <v>306</v>
      </c>
      <c r="G440" t="s">
        <v>32</v>
      </c>
      <c r="H440">
        <v>8</v>
      </c>
    </row>
    <row r="441" spans="1:8" ht="21.75" customHeight="1" x14ac:dyDescent="0.35">
      <c r="A441" t="s">
        <v>579</v>
      </c>
      <c r="B441" s="3">
        <v>45511</v>
      </c>
      <c r="C441" t="s">
        <v>25</v>
      </c>
      <c r="D441" t="s">
        <v>197</v>
      </c>
      <c r="E441" t="s">
        <v>22</v>
      </c>
      <c r="F441" t="s">
        <v>42</v>
      </c>
      <c r="G441" t="s">
        <v>13</v>
      </c>
      <c r="H441">
        <v>19</v>
      </c>
    </row>
    <row r="442" spans="1:8" ht="21.75" customHeight="1" x14ac:dyDescent="0.35">
      <c r="A442" t="s">
        <v>580</v>
      </c>
      <c r="B442" s="3">
        <v>45560</v>
      </c>
      <c r="C442" t="s">
        <v>83</v>
      </c>
      <c r="D442" t="s">
        <v>174</v>
      </c>
      <c r="E442" t="s">
        <v>11</v>
      </c>
      <c r="F442" t="s">
        <v>306</v>
      </c>
      <c r="G442" t="s">
        <v>36</v>
      </c>
      <c r="H442">
        <v>17</v>
      </c>
    </row>
    <row r="443" spans="1:8" ht="21.75" customHeight="1" x14ac:dyDescent="0.35">
      <c r="A443" t="s">
        <v>581</v>
      </c>
      <c r="B443" s="3">
        <v>45575</v>
      </c>
      <c r="C443" t="s">
        <v>138</v>
      </c>
      <c r="D443" t="s">
        <v>79</v>
      </c>
      <c r="E443" t="s">
        <v>17</v>
      </c>
      <c r="F443" t="s">
        <v>27</v>
      </c>
      <c r="G443" t="s">
        <v>32</v>
      </c>
      <c r="H443">
        <v>13</v>
      </c>
    </row>
    <row r="444" spans="1:8" ht="21.75" customHeight="1" x14ac:dyDescent="0.35">
      <c r="A444" t="s">
        <v>582</v>
      </c>
      <c r="B444" s="3">
        <v>45300</v>
      </c>
      <c r="C444" t="s">
        <v>182</v>
      </c>
      <c r="D444" t="s">
        <v>197</v>
      </c>
      <c r="E444" t="s">
        <v>11</v>
      </c>
      <c r="F444" t="s">
        <v>42</v>
      </c>
      <c r="G444" t="s">
        <v>32</v>
      </c>
      <c r="H444">
        <v>4</v>
      </c>
    </row>
    <row r="445" spans="1:8" ht="21.75" customHeight="1" x14ac:dyDescent="0.35">
      <c r="A445" t="s">
        <v>583</v>
      </c>
      <c r="B445" s="3">
        <v>45360</v>
      </c>
      <c r="C445" t="s">
        <v>116</v>
      </c>
      <c r="D445" t="s">
        <v>72</v>
      </c>
      <c r="E445" t="s">
        <v>17</v>
      </c>
      <c r="F445" t="s">
        <v>306</v>
      </c>
      <c r="G445" t="s">
        <v>23</v>
      </c>
      <c r="H445">
        <v>6</v>
      </c>
    </row>
    <row r="446" spans="1:8" ht="21.75" customHeight="1" x14ac:dyDescent="0.35">
      <c r="A446" t="s">
        <v>584</v>
      </c>
      <c r="B446" s="3">
        <v>45648</v>
      </c>
      <c r="C446" t="s">
        <v>517</v>
      </c>
      <c r="D446" t="s">
        <v>16</v>
      </c>
      <c r="E446" t="s">
        <v>22</v>
      </c>
      <c r="F446" t="s">
        <v>56</v>
      </c>
      <c r="G446" t="s">
        <v>23</v>
      </c>
      <c r="H446">
        <v>3</v>
      </c>
    </row>
    <row r="447" spans="1:8" ht="21.75" customHeight="1" x14ac:dyDescent="0.35">
      <c r="A447" t="s">
        <v>585</v>
      </c>
      <c r="B447" s="3">
        <v>45310</v>
      </c>
      <c r="C447" t="s">
        <v>61</v>
      </c>
      <c r="D447" t="s">
        <v>65</v>
      </c>
      <c r="E447" t="s">
        <v>11</v>
      </c>
      <c r="F447" t="s">
        <v>12</v>
      </c>
      <c r="G447" t="s">
        <v>32</v>
      </c>
      <c r="H447">
        <v>2</v>
      </c>
    </row>
    <row r="448" spans="1:8" ht="21.75" customHeight="1" x14ac:dyDescent="0.35">
      <c r="A448" t="s">
        <v>586</v>
      </c>
      <c r="B448" s="3">
        <v>45555</v>
      </c>
      <c r="C448" t="s">
        <v>106</v>
      </c>
      <c r="D448" t="s">
        <v>26</v>
      </c>
      <c r="E448" t="s">
        <v>22</v>
      </c>
      <c r="F448" t="s">
        <v>27</v>
      </c>
      <c r="G448" t="s">
        <v>28</v>
      </c>
      <c r="H448">
        <v>2</v>
      </c>
    </row>
    <row r="449" spans="1:8" ht="21.75" customHeight="1" x14ac:dyDescent="0.35">
      <c r="A449" t="s">
        <v>587</v>
      </c>
      <c r="B449" s="3">
        <v>45438</v>
      </c>
      <c r="C449" t="s">
        <v>182</v>
      </c>
      <c r="D449" t="s">
        <v>26</v>
      </c>
      <c r="E449" t="s">
        <v>11</v>
      </c>
      <c r="F449" t="s">
        <v>42</v>
      </c>
      <c r="G449" t="s">
        <v>23</v>
      </c>
      <c r="H449">
        <v>4</v>
      </c>
    </row>
    <row r="450" spans="1:8" ht="21.75" customHeight="1" x14ac:dyDescent="0.35">
      <c r="A450" t="s">
        <v>588</v>
      </c>
      <c r="B450" s="3">
        <v>45496</v>
      </c>
      <c r="C450" t="s">
        <v>323</v>
      </c>
      <c r="D450" t="s">
        <v>72</v>
      </c>
      <c r="E450" t="s">
        <v>17</v>
      </c>
      <c r="F450" t="s">
        <v>27</v>
      </c>
      <c r="G450" t="s">
        <v>23</v>
      </c>
      <c r="H450">
        <v>6</v>
      </c>
    </row>
    <row r="451" spans="1:8" ht="21.75" customHeight="1" x14ac:dyDescent="0.35">
      <c r="A451" t="s">
        <v>589</v>
      </c>
      <c r="B451" s="3">
        <v>45480</v>
      </c>
      <c r="C451" t="s">
        <v>363</v>
      </c>
      <c r="D451" t="s">
        <v>84</v>
      </c>
      <c r="E451" t="s">
        <v>17</v>
      </c>
      <c r="F451" t="s">
        <v>12</v>
      </c>
      <c r="G451" t="s">
        <v>36</v>
      </c>
      <c r="H451">
        <v>14</v>
      </c>
    </row>
    <row r="452" spans="1:8" ht="21.75" customHeight="1" x14ac:dyDescent="0.35">
      <c r="A452" t="s">
        <v>590</v>
      </c>
      <c r="B452" s="3">
        <v>45384</v>
      </c>
      <c r="C452" t="s">
        <v>591</v>
      </c>
      <c r="D452" t="s">
        <v>102</v>
      </c>
      <c r="E452" t="s">
        <v>17</v>
      </c>
      <c r="F452" t="s">
        <v>42</v>
      </c>
      <c r="G452" t="s">
        <v>32</v>
      </c>
      <c r="H452">
        <v>3</v>
      </c>
    </row>
    <row r="453" spans="1:8" ht="21.75" customHeight="1" x14ac:dyDescent="0.35">
      <c r="A453" t="s">
        <v>592</v>
      </c>
      <c r="B453" s="3">
        <v>45448</v>
      </c>
      <c r="C453" t="s">
        <v>430</v>
      </c>
      <c r="D453" t="s">
        <v>45</v>
      </c>
      <c r="E453" t="s">
        <v>22</v>
      </c>
      <c r="F453" t="s">
        <v>27</v>
      </c>
      <c r="G453" t="s">
        <v>13</v>
      </c>
      <c r="H453">
        <v>15</v>
      </c>
    </row>
    <row r="454" spans="1:8" ht="21.75" customHeight="1" x14ac:dyDescent="0.35">
      <c r="A454" t="s">
        <v>593</v>
      </c>
      <c r="B454" s="3">
        <v>45472</v>
      </c>
      <c r="C454" t="s">
        <v>594</v>
      </c>
      <c r="D454" t="s">
        <v>21</v>
      </c>
      <c r="E454" t="s">
        <v>17</v>
      </c>
      <c r="F454" t="s">
        <v>42</v>
      </c>
      <c r="G454" t="s">
        <v>23</v>
      </c>
      <c r="H454">
        <v>2</v>
      </c>
    </row>
    <row r="455" spans="1:8" ht="21.75" customHeight="1" x14ac:dyDescent="0.35">
      <c r="A455" t="s">
        <v>595</v>
      </c>
      <c r="B455" s="3">
        <v>45478</v>
      </c>
      <c r="C455" t="s">
        <v>345</v>
      </c>
      <c r="D455" t="s">
        <v>96</v>
      </c>
      <c r="E455" t="s">
        <v>22</v>
      </c>
      <c r="F455" t="s">
        <v>56</v>
      </c>
      <c r="G455" t="s">
        <v>23</v>
      </c>
      <c r="H455">
        <v>5</v>
      </c>
    </row>
    <row r="456" spans="1:8" ht="21.75" customHeight="1" x14ac:dyDescent="0.35">
      <c r="A456" t="s">
        <v>596</v>
      </c>
      <c r="B456" s="3">
        <v>45309</v>
      </c>
      <c r="C456" t="s">
        <v>34</v>
      </c>
      <c r="D456" t="s">
        <v>119</v>
      </c>
      <c r="E456" t="s">
        <v>11</v>
      </c>
      <c r="F456" t="s">
        <v>56</v>
      </c>
      <c r="G456" t="s">
        <v>36</v>
      </c>
      <c r="H456">
        <v>12</v>
      </c>
    </row>
    <row r="457" spans="1:8" ht="21.75" customHeight="1" x14ac:dyDescent="0.35">
      <c r="A457" t="s">
        <v>597</v>
      </c>
      <c r="B457" s="3">
        <v>45308</v>
      </c>
      <c r="C457" t="s">
        <v>493</v>
      </c>
      <c r="D457" t="s">
        <v>48</v>
      </c>
      <c r="E457" t="s">
        <v>11</v>
      </c>
      <c r="F457" t="s">
        <v>27</v>
      </c>
      <c r="G457" t="s">
        <v>13</v>
      </c>
      <c r="H457">
        <v>12</v>
      </c>
    </row>
    <row r="458" spans="1:8" ht="21.75" customHeight="1" x14ac:dyDescent="0.35">
      <c r="A458" t="s">
        <v>598</v>
      </c>
      <c r="B458" s="3">
        <v>45585</v>
      </c>
      <c r="C458" t="s">
        <v>99</v>
      </c>
      <c r="D458" t="s">
        <v>31</v>
      </c>
      <c r="E458" t="s">
        <v>22</v>
      </c>
      <c r="F458" t="s">
        <v>42</v>
      </c>
      <c r="G458" t="s">
        <v>28</v>
      </c>
      <c r="H458">
        <v>11</v>
      </c>
    </row>
    <row r="459" spans="1:8" ht="21.75" customHeight="1" x14ac:dyDescent="0.35">
      <c r="A459" t="s">
        <v>599</v>
      </c>
      <c r="B459" s="3">
        <v>45350</v>
      </c>
      <c r="C459" t="s">
        <v>64</v>
      </c>
      <c r="D459" t="s">
        <v>35</v>
      </c>
      <c r="E459" t="s">
        <v>22</v>
      </c>
      <c r="F459" t="s">
        <v>56</v>
      </c>
      <c r="G459" t="s">
        <v>36</v>
      </c>
      <c r="H459">
        <v>17</v>
      </c>
    </row>
    <row r="460" spans="1:8" ht="21.75" customHeight="1" x14ac:dyDescent="0.35">
      <c r="A460" t="s">
        <v>600</v>
      </c>
      <c r="B460" s="3">
        <v>45352</v>
      </c>
      <c r="C460" t="s">
        <v>86</v>
      </c>
      <c r="D460" t="s">
        <v>65</v>
      </c>
      <c r="E460" t="s">
        <v>17</v>
      </c>
      <c r="F460" t="s">
        <v>27</v>
      </c>
      <c r="G460" t="s">
        <v>23</v>
      </c>
      <c r="H460">
        <v>20</v>
      </c>
    </row>
    <row r="461" spans="1:8" ht="21.75" customHeight="1" x14ac:dyDescent="0.35">
      <c r="A461" t="s">
        <v>601</v>
      </c>
      <c r="B461" s="3">
        <v>45394</v>
      </c>
      <c r="C461" t="s">
        <v>114</v>
      </c>
      <c r="D461" t="s">
        <v>70</v>
      </c>
      <c r="E461" t="s">
        <v>11</v>
      </c>
      <c r="F461" t="s">
        <v>12</v>
      </c>
      <c r="G461" t="s">
        <v>23</v>
      </c>
      <c r="H461">
        <v>6</v>
      </c>
    </row>
    <row r="462" spans="1:8" ht="21.75" customHeight="1" x14ac:dyDescent="0.35">
      <c r="A462" t="s">
        <v>602</v>
      </c>
      <c r="B462" s="3">
        <v>45336</v>
      </c>
      <c r="C462" t="s">
        <v>455</v>
      </c>
      <c r="D462" t="s">
        <v>62</v>
      </c>
      <c r="E462" t="s">
        <v>17</v>
      </c>
      <c r="F462" t="s">
        <v>42</v>
      </c>
      <c r="G462" t="s">
        <v>32</v>
      </c>
      <c r="H462">
        <v>3</v>
      </c>
    </row>
    <row r="463" spans="1:8" ht="21.75" customHeight="1" x14ac:dyDescent="0.35">
      <c r="A463" t="s">
        <v>603</v>
      </c>
      <c r="B463" s="3">
        <v>45445</v>
      </c>
      <c r="C463" t="s">
        <v>111</v>
      </c>
      <c r="D463" t="s">
        <v>48</v>
      </c>
      <c r="E463" t="s">
        <v>22</v>
      </c>
      <c r="F463" t="s">
        <v>56</v>
      </c>
      <c r="G463" t="s">
        <v>28</v>
      </c>
      <c r="H463">
        <v>17</v>
      </c>
    </row>
    <row r="464" spans="1:8" ht="21.75" customHeight="1" x14ac:dyDescent="0.35">
      <c r="A464" t="s">
        <v>604</v>
      </c>
      <c r="B464" s="3">
        <v>45363</v>
      </c>
      <c r="C464" t="s">
        <v>93</v>
      </c>
      <c r="D464" t="s">
        <v>48</v>
      </c>
      <c r="E464" t="s">
        <v>17</v>
      </c>
      <c r="F464" t="s">
        <v>12</v>
      </c>
      <c r="G464" t="s">
        <v>23</v>
      </c>
      <c r="H464">
        <v>18</v>
      </c>
    </row>
    <row r="465" spans="1:8" ht="21.75" customHeight="1" x14ac:dyDescent="0.35">
      <c r="A465" t="s">
        <v>605</v>
      </c>
      <c r="B465" s="3">
        <v>45574</v>
      </c>
      <c r="C465" t="s">
        <v>34</v>
      </c>
      <c r="D465" t="s">
        <v>10</v>
      </c>
      <c r="E465" t="s">
        <v>22</v>
      </c>
      <c r="F465" t="s">
        <v>12</v>
      </c>
      <c r="G465" t="s">
        <v>23</v>
      </c>
      <c r="H465">
        <v>10</v>
      </c>
    </row>
    <row r="466" spans="1:8" ht="21.75" customHeight="1" x14ac:dyDescent="0.35">
      <c r="A466" t="s">
        <v>606</v>
      </c>
      <c r="B466" s="3">
        <v>45561</v>
      </c>
      <c r="C466" t="s">
        <v>408</v>
      </c>
      <c r="D466" t="s">
        <v>10</v>
      </c>
      <c r="E466" t="s">
        <v>17</v>
      </c>
      <c r="F466" t="s">
        <v>306</v>
      </c>
      <c r="G466" t="s">
        <v>13</v>
      </c>
      <c r="H466">
        <v>5</v>
      </c>
    </row>
    <row r="467" spans="1:8" ht="21.75" customHeight="1" x14ac:dyDescent="0.35">
      <c r="A467" t="s">
        <v>607</v>
      </c>
      <c r="B467" s="3">
        <v>45522</v>
      </c>
      <c r="C467" t="s">
        <v>319</v>
      </c>
      <c r="D467" t="s">
        <v>48</v>
      </c>
      <c r="E467" t="s">
        <v>22</v>
      </c>
      <c r="F467" t="s">
        <v>306</v>
      </c>
      <c r="G467" t="s">
        <v>36</v>
      </c>
      <c r="H467">
        <v>5</v>
      </c>
    </row>
    <row r="468" spans="1:8" ht="21.75" customHeight="1" x14ac:dyDescent="0.35">
      <c r="A468" t="s">
        <v>608</v>
      </c>
      <c r="B468" s="3">
        <v>45619</v>
      </c>
      <c r="C468" t="s">
        <v>449</v>
      </c>
      <c r="D468" t="s">
        <v>87</v>
      </c>
      <c r="E468" t="s">
        <v>11</v>
      </c>
      <c r="F468" t="s">
        <v>56</v>
      </c>
      <c r="G468" t="s">
        <v>13</v>
      </c>
      <c r="H468">
        <v>17</v>
      </c>
    </row>
    <row r="469" spans="1:8" ht="21.75" customHeight="1" x14ac:dyDescent="0.35">
      <c r="A469" t="s">
        <v>609</v>
      </c>
      <c r="B469" s="3">
        <v>45355</v>
      </c>
      <c r="C469" t="s">
        <v>363</v>
      </c>
      <c r="D469" t="s">
        <v>45</v>
      </c>
      <c r="E469" t="s">
        <v>11</v>
      </c>
      <c r="F469" t="s">
        <v>42</v>
      </c>
      <c r="G469" t="s">
        <v>28</v>
      </c>
      <c r="H469">
        <v>6</v>
      </c>
    </row>
    <row r="470" spans="1:8" ht="21.75" customHeight="1" x14ac:dyDescent="0.35">
      <c r="A470" t="s">
        <v>610</v>
      </c>
      <c r="B470" s="3">
        <v>45469</v>
      </c>
      <c r="C470" t="s">
        <v>363</v>
      </c>
      <c r="D470" t="s">
        <v>26</v>
      </c>
      <c r="E470" t="s">
        <v>17</v>
      </c>
      <c r="F470" t="s">
        <v>12</v>
      </c>
      <c r="G470" t="s">
        <v>36</v>
      </c>
      <c r="H470">
        <v>7</v>
      </c>
    </row>
    <row r="471" spans="1:8" ht="21.75" customHeight="1" x14ac:dyDescent="0.35">
      <c r="A471" t="s">
        <v>611</v>
      </c>
      <c r="B471" s="3">
        <v>45432</v>
      </c>
      <c r="C471" t="s">
        <v>34</v>
      </c>
      <c r="D471" t="s">
        <v>109</v>
      </c>
      <c r="E471" t="s">
        <v>22</v>
      </c>
      <c r="F471" t="s">
        <v>42</v>
      </c>
      <c r="G471" t="s">
        <v>28</v>
      </c>
      <c r="H471">
        <v>18</v>
      </c>
    </row>
    <row r="472" spans="1:8" ht="21.75" customHeight="1" x14ac:dyDescent="0.35">
      <c r="A472" t="s">
        <v>612</v>
      </c>
      <c r="B472" s="3">
        <v>45595</v>
      </c>
      <c r="C472" t="s">
        <v>361</v>
      </c>
      <c r="D472" t="s">
        <v>41</v>
      </c>
      <c r="E472" t="s">
        <v>11</v>
      </c>
      <c r="F472" t="s">
        <v>56</v>
      </c>
      <c r="G472" t="s">
        <v>36</v>
      </c>
      <c r="H472">
        <v>20</v>
      </c>
    </row>
    <row r="473" spans="1:8" ht="21.75" customHeight="1" x14ac:dyDescent="0.35">
      <c r="A473" t="s">
        <v>613</v>
      </c>
      <c r="B473" s="3">
        <v>45464</v>
      </c>
      <c r="C473" t="s">
        <v>614</v>
      </c>
      <c r="D473" t="s">
        <v>10</v>
      </c>
      <c r="E473" t="s">
        <v>11</v>
      </c>
      <c r="F473" t="s">
        <v>12</v>
      </c>
      <c r="G473" t="s">
        <v>36</v>
      </c>
      <c r="H473">
        <v>2</v>
      </c>
    </row>
    <row r="474" spans="1:8" ht="21.75" customHeight="1" x14ac:dyDescent="0.35">
      <c r="A474" t="s">
        <v>615</v>
      </c>
      <c r="B474" s="3">
        <v>45427</v>
      </c>
      <c r="C474" t="s">
        <v>350</v>
      </c>
      <c r="D474" t="s">
        <v>87</v>
      </c>
      <c r="E474" t="s">
        <v>11</v>
      </c>
      <c r="F474" t="s">
        <v>306</v>
      </c>
      <c r="G474" t="s">
        <v>23</v>
      </c>
      <c r="H474">
        <v>20</v>
      </c>
    </row>
    <row r="475" spans="1:8" ht="21.75" customHeight="1" x14ac:dyDescent="0.35">
      <c r="A475" t="s">
        <v>616</v>
      </c>
      <c r="B475" s="3">
        <v>45613</v>
      </c>
      <c r="C475" t="s">
        <v>591</v>
      </c>
      <c r="D475" t="s">
        <v>35</v>
      </c>
      <c r="E475" t="s">
        <v>17</v>
      </c>
      <c r="F475" t="s">
        <v>42</v>
      </c>
      <c r="G475" t="s">
        <v>23</v>
      </c>
      <c r="H475">
        <v>8</v>
      </c>
    </row>
    <row r="476" spans="1:8" ht="21.75" customHeight="1" x14ac:dyDescent="0.35">
      <c r="A476" t="s">
        <v>617</v>
      </c>
      <c r="B476" s="3">
        <v>45444</v>
      </c>
      <c r="C476" t="s">
        <v>366</v>
      </c>
      <c r="D476" t="s">
        <v>45</v>
      </c>
      <c r="E476" t="s">
        <v>11</v>
      </c>
      <c r="F476" t="s">
        <v>12</v>
      </c>
      <c r="G476" t="s">
        <v>23</v>
      </c>
      <c r="H476">
        <v>15</v>
      </c>
    </row>
    <row r="477" spans="1:8" ht="21.75" customHeight="1" x14ac:dyDescent="0.35">
      <c r="A477" t="s">
        <v>618</v>
      </c>
      <c r="B477" s="3">
        <v>45396</v>
      </c>
      <c r="C477" t="s">
        <v>47</v>
      </c>
      <c r="D477" t="s">
        <v>72</v>
      </c>
      <c r="E477" t="s">
        <v>22</v>
      </c>
      <c r="F477" t="s">
        <v>56</v>
      </c>
      <c r="G477" t="s">
        <v>32</v>
      </c>
      <c r="H477">
        <v>11</v>
      </c>
    </row>
    <row r="478" spans="1:8" ht="21.75" customHeight="1" x14ac:dyDescent="0.35">
      <c r="A478" t="s">
        <v>619</v>
      </c>
      <c r="B478" s="3">
        <v>45496</v>
      </c>
      <c r="C478" t="s">
        <v>34</v>
      </c>
      <c r="D478" t="s">
        <v>174</v>
      </c>
      <c r="E478" t="s">
        <v>17</v>
      </c>
      <c r="F478" t="s">
        <v>306</v>
      </c>
      <c r="G478" t="s">
        <v>23</v>
      </c>
      <c r="H478">
        <v>4</v>
      </c>
    </row>
    <row r="479" spans="1:8" ht="21.75" customHeight="1" x14ac:dyDescent="0.35">
      <c r="A479" t="s">
        <v>620</v>
      </c>
      <c r="B479" s="3">
        <v>45354</v>
      </c>
      <c r="C479" t="s">
        <v>101</v>
      </c>
      <c r="D479" t="s">
        <v>16</v>
      </c>
      <c r="E479" t="s">
        <v>17</v>
      </c>
      <c r="F479" t="s">
        <v>56</v>
      </c>
      <c r="G479" t="s">
        <v>23</v>
      </c>
      <c r="H479">
        <v>4</v>
      </c>
    </row>
    <row r="480" spans="1:8" ht="21.75" customHeight="1" x14ac:dyDescent="0.35">
      <c r="A480" t="s">
        <v>621</v>
      </c>
      <c r="B480" s="3">
        <v>45607</v>
      </c>
      <c r="C480" t="s">
        <v>572</v>
      </c>
      <c r="D480" t="s">
        <v>72</v>
      </c>
      <c r="E480" t="s">
        <v>11</v>
      </c>
      <c r="F480" t="s">
        <v>56</v>
      </c>
      <c r="G480" t="s">
        <v>28</v>
      </c>
      <c r="H480">
        <v>19</v>
      </c>
    </row>
    <row r="481" spans="1:8" ht="21.75" customHeight="1" x14ac:dyDescent="0.35">
      <c r="A481" t="s">
        <v>622</v>
      </c>
      <c r="B481" s="3">
        <v>45373</v>
      </c>
      <c r="C481" t="s">
        <v>432</v>
      </c>
      <c r="D481" t="s">
        <v>35</v>
      </c>
      <c r="E481" t="s">
        <v>22</v>
      </c>
      <c r="F481" t="s">
        <v>27</v>
      </c>
      <c r="G481" t="s">
        <v>13</v>
      </c>
      <c r="H481">
        <v>10</v>
      </c>
    </row>
    <row r="482" spans="1:8" ht="21.75" customHeight="1" x14ac:dyDescent="0.35">
      <c r="A482" t="s">
        <v>623</v>
      </c>
      <c r="B482" s="3">
        <v>45493</v>
      </c>
      <c r="C482" t="s">
        <v>358</v>
      </c>
      <c r="D482" t="s">
        <v>65</v>
      </c>
      <c r="E482" t="s">
        <v>17</v>
      </c>
      <c r="F482" t="s">
        <v>56</v>
      </c>
      <c r="G482" t="s">
        <v>13</v>
      </c>
      <c r="H482">
        <v>19</v>
      </c>
    </row>
    <row r="483" spans="1:8" ht="21.75" customHeight="1" x14ac:dyDescent="0.35">
      <c r="A483" t="s">
        <v>624</v>
      </c>
      <c r="B483" s="3">
        <v>45436</v>
      </c>
      <c r="C483" t="s">
        <v>432</v>
      </c>
      <c r="D483" t="s">
        <v>74</v>
      </c>
      <c r="E483" t="s">
        <v>22</v>
      </c>
      <c r="F483" t="s">
        <v>27</v>
      </c>
      <c r="G483" t="s">
        <v>13</v>
      </c>
      <c r="H483">
        <v>18</v>
      </c>
    </row>
    <row r="484" spans="1:8" ht="21.75" customHeight="1" x14ac:dyDescent="0.35">
      <c r="A484" t="s">
        <v>625</v>
      </c>
      <c r="B484" s="3">
        <v>45512</v>
      </c>
      <c r="C484" t="s">
        <v>99</v>
      </c>
      <c r="D484" t="s">
        <v>119</v>
      </c>
      <c r="E484" t="s">
        <v>17</v>
      </c>
      <c r="F484" t="s">
        <v>42</v>
      </c>
      <c r="G484" t="s">
        <v>23</v>
      </c>
      <c r="H484">
        <v>13</v>
      </c>
    </row>
    <row r="485" spans="1:8" ht="21.75" customHeight="1" x14ac:dyDescent="0.35">
      <c r="A485" t="s">
        <v>626</v>
      </c>
      <c r="B485" s="3">
        <v>45318</v>
      </c>
      <c r="C485" t="s">
        <v>614</v>
      </c>
      <c r="D485" t="s">
        <v>48</v>
      </c>
      <c r="E485" t="s">
        <v>22</v>
      </c>
      <c r="F485" t="s">
        <v>56</v>
      </c>
      <c r="G485" t="s">
        <v>23</v>
      </c>
      <c r="H485">
        <v>18</v>
      </c>
    </row>
    <row r="486" spans="1:8" ht="21.75" customHeight="1" x14ac:dyDescent="0.35">
      <c r="A486" t="s">
        <v>627</v>
      </c>
      <c r="B486" s="3">
        <v>45550</v>
      </c>
      <c r="C486" t="s">
        <v>430</v>
      </c>
      <c r="D486" t="s">
        <v>109</v>
      </c>
      <c r="E486" t="s">
        <v>22</v>
      </c>
      <c r="F486" t="s">
        <v>42</v>
      </c>
      <c r="G486" t="s">
        <v>13</v>
      </c>
      <c r="H486">
        <v>20</v>
      </c>
    </row>
    <row r="487" spans="1:8" ht="21.75" customHeight="1" x14ac:dyDescent="0.35">
      <c r="A487" t="s">
        <v>628</v>
      </c>
      <c r="B487" s="3">
        <v>45493</v>
      </c>
      <c r="C487" t="s">
        <v>200</v>
      </c>
      <c r="D487" t="s">
        <v>48</v>
      </c>
      <c r="E487" t="s">
        <v>17</v>
      </c>
      <c r="F487" t="s">
        <v>306</v>
      </c>
      <c r="G487" t="s">
        <v>36</v>
      </c>
      <c r="H487">
        <v>5</v>
      </c>
    </row>
    <row r="488" spans="1:8" ht="21.75" customHeight="1" x14ac:dyDescent="0.35">
      <c r="A488" t="s">
        <v>629</v>
      </c>
      <c r="B488" s="3">
        <v>45497</v>
      </c>
      <c r="C488" t="s">
        <v>358</v>
      </c>
      <c r="D488" t="s">
        <v>79</v>
      </c>
      <c r="E488" t="s">
        <v>11</v>
      </c>
      <c r="F488" t="s">
        <v>12</v>
      </c>
      <c r="G488" t="s">
        <v>23</v>
      </c>
      <c r="H488">
        <v>5</v>
      </c>
    </row>
    <row r="489" spans="1:8" ht="21.75" customHeight="1" x14ac:dyDescent="0.35">
      <c r="A489" t="s">
        <v>630</v>
      </c>
      <c r="B489" s="3">
        <v>45557</v>
      </c>
      <c r="C489" t="s">
        <v>366</v>
      </c>
      <c r="D489" t="s">
        <v>160</v>
      </c>
      <c r="E489" t="s">
        <v>11</v>
      </c>
      <c r="F489" t="s">
        <v>306</v>
      </c>
      <c r="G489" t="s">
        <v>36</v>
      </c>
      <c r="H489">
        <v>5</v>
      </c>
    </row>
    <row r="490" spans="1:8" ht="21.75" customHeight="1" x14ac:dyDescent="0.35">
      <c r="A490" t="s">
        <v>631</v>
      </c>
      <c r="B490" s="3">
        <v>45455</v>
      </c>
      <c r="C490" t="s">
        <v>111</v>
      </c>
      <c r="D490" t="s">
        <v>84</v>
      </c>
      <c r="E490" t="s">
        <v>17</v>
      </c>
      <c r="F490" t="s">
        <v>306</v>
      </c>
      <c r="G490" t="s">
        <v>36</v>
      </c>
      <c r="H490">
        <v>10</v>
      </c>
    </row>
    <row r="491" spans="1:8" ht="21.75" customHeight="1" x14ac:dyDescent="0.35">
      <c r="A491" t="s">
        <v>632</v>
      </c>
      <c r="B491" s="3">
        <v>45552</v>
      </c>
      <c r="C491" t="s">
        <v>312</v>
      </c>
      <c r="D491" t="s">
        <v>74</v>
      </c>
      <c r="E491" t="s">
        <v>17</v>
      </c>
      <c r="F491" t="s">
        <v>306</v>
      </c>
      <c r="G491" t="s">
        <v>32</v>
      </c>
      <c r="H491">
        <v>16</v>
      </c>
    </row>
    <row r="492" spans="1:8" ht="21.75" customHeight="1" x14ac:dyDescent="0.35">
      <c r="A492" t="s">
        <v>633</v>
      </c>
      <c r="B492" s="3">
        <v>45461</v>
      </c>
      <c r="C492" t="s">
        <v>422</v>
      </c>
      <c r="D492" t="s">
        <v>59</v>
      </c>
      <c r="E492" t="s">
        <v>11</v>
      </c>
      <c r="F492" t="s">
        <v>27</v>
      </c>
      <c r="G492" t="s">
        <v>13</v>
      </c>
      <c r="H492">
        <v>10</v>
      </c>
    </row>
    <row r="493" spans="1:8" ht="21.75" customHeight="1" x14ac:dyDescent="0.35">
      <c r="A493" t="s">
        <v>634</v>
      </c>
      <c r="B493" s="3">
        <v>45597</v>
      </c>
      <c r="C493" t="s">
        <v>553</v>
      </c>
      <c r="D493" t="s">
        <v>59</v>
      </c>
      <c r="E493" t="s">
        <v>17</v>
      </c>
      <c r="F493" t="s">
        <v>306</v>
      </c>
      <c r="G493" t="s">
        <v>36</v>
      </c>
      <c r="H493">
        <v>8</v>
      </c>
    </row>
    <row r="494" spans="1:8" ht="21.75" customHeight="1" x14ac:dyDescent="0.35">
      <c r="A494" t="s">
        <v>635</v>
      </c>
      <c r="B494" s="3">
        <v>45537</v>
      </c>
      <c r="C494" t="s">
        <v>30</v>
      </c>
      <c r="D494" t="s">
        <v>119</v>
      </c>
      <c r="E494" t="s">
        <v>22</v>
      </c>
      <c r="F494" t="s">
        <v>306</v>
      </c>
      <c r="G494" t="s">
        <v>28</v>
      </c>
      <c r="H494">
        <v>13</v>
      </c>
    </row>
    <row r="495" spans="1:8" ht="21.75" customHeight="1" x14ac:dyDescent="0.35">
      <c r="A495" t="s">
        <v>636</v>
      </c>
      <c r="B495" s="3">
        <v>45308</v>
      </c>
      <c r="C495" t="s">
        <v>314</v>
      </c>
      <c r="D495" t="s">
        <v>65</v>
      </c>
      <c r="E495" t="s">
        <v>22</v>
      </c>
      <c r="F495" t="s">
        <v>12</v>
      </c>
      <c r="G495" t="s">
        <v>23</v>
      </c>
      <c r="H495">
        <v>1</v>
      </c>
    </row>
    <row r="496" spans="1:8" ht="21.75" customHeight="1" x14ac:dyDescent="0.35">
      <c r="A496" t="s">
        <v>637</v>
      </c>
      <c r="B496" s="3">
        <v>45369</v>
      </c>
      <c r="C496" t="s">
        <v>408</v>
      </c>
      <c r="D496" t="s">
        <v>87</v>
      </c>
      <c r="E496" t="s">
        <v>22</v>
      </c>
      <c r="F496" t="s">
        <v>56</v>
      </c>
      <c r="G496" t="s">
        <v>23</v>
      </c>
      <c r="H496">
        <v>17</v>
      </c>
    </row>
    <row r="497" spans="1:8" ht="21.75" customHeight="1" x14ac:dyDescent="0.35">
      <c r="A497" t="s">
        <v>638</v>
      </c>
      <c r="B497" s="3">
        <v>45323</v>
      </c>
      <c r="C497" t="s">
        <v>369</v>
      </c>
      <c r="D497" t="s">
        <v>65</v>
      </c>
      <c r="E497" t="s">
        <v>11</v>
      </c>
      <c r="F497" t="s">
        <v>306</v>
      </c>
      <c r="G497" t="s">
        <v>23</v>
      </c>
      <c r="H497">
        <v>18</v>
      </c>
    </row>
    <row r="498" spans="1:8" ht="21.75" customHeight="1" x14ac:dyDescent="0.35">
      <c r="A498" t="s">
        <v>639</v>
      </c>
      <c r="B498" s="3">
        <v>45561</v>
      </c>
      <c r="C498" t="s">
        <v>159</v>
      </c>
      <c r="D498" t="s">
        <v>70</v>
      </c>
      <c r="E498" t="s">
        <v>17</v>
      </c>
      <c r="F498" t="s">
        <v>56</v>
      </c>
      <c r="G498" t="s">
        <v>32</v>
      </c>
      <c r="H498">
        <v>18</v>
      </c>
    </row>
    <row r="499" spans="1:8" ht="21.75" customHeight="1" x14ac:dyDescent="0.35">
      <c r="A499" t="s">
        <v>640</v>
      </c>
      <c r="B499" s="3">
        <v>45638</v>
      </c>
      <c r="C499" t="s">
        <v>337</v>
      </c>
      <c r="D499" t="s">
        <v>109</v>
      </c>
      <c r="E499" t="s">
        <v>22</v>
      </c>
      <c r="F499" t="s">
        <v>42</v>
      </c>
      <c r="G499" t="s">
        <v>28</v>
      </c>
      <c r="H499">
        <v>16</v>
      </c>
    </row>
    <row r="500" spans="1:8" ht="21.75" customHeight="1" x14ac:dyDescent="0.35">
      <c r="A500" t="s">
        <v>641</v>
      </c>
      <c r="B500" s="3">
        <v>45434</v>
      </c>
      <c r="C500" t="s">
        <v>642</v>
      </c>
      <c r="D500" t="s">
        <v>74</v>
      </c>
      <c r="E500" t="s">
        <v>17</v>
      </c>
      <c r="F500" t="s">
        <v>56</v>
      </c>
      <c r="G500" t="s">
        <v>23</v>
      </c>
      <c r="H500">
        <v>10</v>
      </c>
    </row>
    <row r="501" spans="1:8" ht="21.75" customHeight="1" x14ac:dyDescent="0.35">
      <c r="A501" t="s">
        <v>643</v>
      </c>
      <c r="B501" s="3">
        <v>45454</v>
      </c>
      <c r="C501" t="s">
        <v>517</v>
      </c>
      <c r="D501" t="s">
        <v>84</v>
      </c>
      <c r="E501" t="s">
        <v>17</v>
      </c>
      <c r="F501" t="s">
        <v>306</v>
      </c>
      <c r="G501" t="s">
        <v>36</v>
      </c>
      <c r="H501">
        <v>9</v>
      </c>
    </row>
    <row r="502" spans="1:8" ht="21.75" customHeight="1" x14ac:dyDescent="0.35">
      <c r="A502" t="s">
        <v>644</v>
      </c>
      <c r="B502" s="3">
        <v>45638</v>
      </c>
      <c r="C502" t="s">
        <v>591</v>
      </c>
      <c r="D502" t="s">
        <v>48</v>
      </c>
      <c r="E502" t="s">
        <v>17</v>
      </c>
      <c r="F502" t="s">
        <v>27</v>
      </c>
      <c r="G502" t="s">
        <v>32</v>
      </c>
      <c r="H502">
        <v>5</v>
      </c>
    </row>
    <row r="503" spans="1:8" ht="21.75" customHeight="1" x14ac:dyDescent="0.35">
      <c r="A503" t="s">
        <v>645</v>
      </c>
      <c r="B503" s="3">
        <v>45332</v>
      </c>
      <c r="C503" t="s">
        <v>20</v>
      </c>
      <c r="D503" t="s">
        <v>84</v>
      </c>
      <c r="E503" t="s">
        <v>17</v>
      </c>
      <c r="F503" t="s">
        <v>42</v>
      </c>
      <c r="G503" t="s">
        <v>36</v>
      </c>
      <c r="H503">
        <v>16</v>
      </c>
    </row>
    <row r="504" spans="1:8" ht="21.75" customHeight="1" x14ac:dyDescent="0.35">
      <c r="A504" t="s">
        <v>646</v>
      </c>
      <c r="B504" s="3">
        <v>45430</v>
      </c>
      <c r="C504" t="s">
        <v>642</v>
      </c>
      <c r="D504" t="s">
        <v>16</v>
      </c>
      <c r="E504" t="s">
        <v>22</v>
      </c>
      <c r="F504" t="s">
        <v>42</v>
      </c>
      <c r="G504" t="s">
        <v>36</v>
      </c>
      <c r="H504">
        <v>4</v>
      </c>
    </row>
    <row r="505" spans="1:8" ht="21.75" customHeight="1" x14ac:dyDescent="0.35">
      <c r="A505" t="s">
        <v>647</v>
      </c>
      <c r="B505" s="3">
        <v>45414</v>
      </c>
      <c r="C505" t="s">
        <v>78</v>
      </c>
      <c r="D505" t="s">
        <v>197</v>
      </c>
      <c r="E505" t="s">
        <v>11</v>
      </c>
      <c r="F505" t="s">
        <v>306</v>
      </c>
      <c r="G505" t="s">
        <v>23</v>
      </c>
      <c r="H505">
        <v>8</v>
      </c>
    </row>
    <row r="506" spans="1:8" ht="21.75" customHeight="1" x14ac:dyDescent="0.35">
      <c r="A506" t="s">
        <v>648</v>
      </c>
      <c r="B506" s="3">
        <v>45461</v>
      </c>
      <c r="C506" t="s">
        <v>436</v>
      </c>
      <c r="D506" t="s">
        <v>41</v>
      </c>
      <c r="E506" t="s">
        <v>17</v>
      </c>
      <c r="F506" t="s">
        <v>12</v>
      </c>
      <c r="G506" t="s">
        <v>36</v>
      </c>
      <c r="H506">
        <v>5</v>
      </c>
    </row>
    <row r="507" spans="1:8" ht="21.75" customHeight="1" x14ac:dyDescent="0.35">
      <c r="A507" t="s">
        <v>649</v>
      </c>
      <c r="B507" s="3">
        <v>45372</v>
      </c>
      <c r="C507" t="s">
        <v>408</v>
      </c>
      <c r="D507" t="s">
        <v>35</v>
      </c>
      <c r="E507" t="s">
        <v>22</v>
      </c>
      <c r="F507" t="s">
        <v>27</v>
      </c>
      <c r="G507" t="s">
        <v>32</v>
      </c>
      <c r="H507">
        <v>7</v>
      </c>
    </row>
    <row r="508" spans="1:8" ht="21.75" customHeight="1" x14ac:dyDescent="0.35">
      <c r="A508" t="s">
        <v>650</v>
      </c>
      <c r="B508" s="3">
        <v>45456</v>
      </c>
      <c r="C508" t="s">
        <v>55</v>
      </c>
      <c r="D508" t="s">
        <v>119</v>
      </c>
      <c r="E508" t="s">
        <v>22</v>
      </c>
      <c r="F508" t="s">
        <v>12</v>
      </c>
      <c r="G508" t="s">
        <v>28</v>
      </c>
      <c r="H508">
        <v>3</v>
      </c>
    </row>
    <row r="509" spans="1:8" ht="21.75" customHeight="1" x14ac:dyDescent="0.35">
      <c r="A509" t="s">
        <v>651</v>
      </c>
      <c r="B509" s="3">
        <v>45565</v>
      </c>
      <c r="C509" t="s">
        <v>304</v>
      </c>
      <c r="D509" t="s">
        <v>45</v>
      </c>
      <c r="E509" t="s">
        <v>22</v>
      </c>
      <c r="F509" t="s">
        <v>12</v>
      </c>
      <c r="G509" t="s">
        <v>28</v>
      </c>
      <c r="H509">
        <v>14</v>
      </c>
    </row>
    <row r="510" spans="1:8" ht="21.75" customHeight="1" x14ac:dyDescent="0.35">
      <c r="A510" t="s">
        <v>652</v>
      </c>
      <c r="B510" s="3">
        <v>45310</v>
      </c>
      <c r="C510" t="s">
        <v>106</v>
      </c>
      <c r="D510" t="s">
        <v>84</v>
      </c>
      <c r="E510" t="s">
        <v>17</v>
      </c>
      <c r="F510" t="s">
        <v>56</v>
      </c>
      <c r="G510" t="s">
        <v>13</v>
      </c>
      <c r="H510">
        <v>10</v>
      </c>
    </row>
    <row r="511" spans="1:8" ht="21.75" customHeight="1" x14ac:dyDescent="0.35">
      <c r="A511" t="s">
        <v>653</v>
      </c>
      <c r="B511" s="3">
        <v>45444</v>
      </c>
      <c r="C511" t="s">
        <v>614</v>
      </c>
      <c r="D511" t="s">
        <v>72</v>
      </c>
      <c r="E511" t="s">
        <v>22</v>
      </c>
      <c r="F511" t="s">
        <v>12</v>
      </c>
      <c r="G511" t="s">
        <v>36</v>
      </c>
      <c r="H511">
        <v>10</v>
      </c>
    </row>
    <row r="512" spans="1:8" ht="21.75" customHeight="1" x14ac:dyDescent="0.35">
      <c r="A512" t="s">
        <v>654</v>
      </c>
      <c r="B512" s="3">
        <v>45560</v>
      </c>
      <c r="C512" t="s">
        <v>432</v>
      </c>
      <c r="D512" t="s">
        <v>70</v>
      </c>
      <c r="E512" t="s">
        <v>11</v>
      </c>
      <c r="F512" t="s">
        <v>306</v>
      </c>
      <c r="G512" t="s">
        <v>13</v>
      </c>
      <c r="H512">
        <v>9</v>
      </c>
    </row>
    <row r="513" spans="1:8" ht="21.75" customHeight="1" x14ac:dyDescent="0.35">
      <c r="A513" t="s">
        <v>655</v>
      </c>
      <c r="B513" s="3">
        <v>45461</v>
      </c>
      <c r="C513" t="s">
        <v>111</v>
      </c>
      <c r="D513" t="s">
        <v>21</v>
      </c>
      <c r="E513" t="s">
        <v>22</v>
      </c>
      <c r="F513" t="s">
        <v>27</v>
      </c>
      <c r="G513" t="s">
        <v>13</v>
      </c>
      <c r="H513">
        <v>9</v>
      </c>
    </row>
    <row r="514" spans="1:8" ht="21.75" customHeight="1" x14ac:dyDescent="0.35">
      <c r="A514" t="s">
        <v>656</v>
      </c>
      <c r="B514" s="3">
        <v>45464</v>
      </c>
      <c r="C514" t="s">
        <v>61</v>
      </c>
      <c r="D514" t="s">
        <v>45</v>
      </c>
      <c r="E514" t="s">
        <v>22</v>
      </c>
      <c r="F514" t="s">
        <v>56</v>
      </c>
      <c r="G514" t="s">
        <v>23</v>
      </c>
      <c r="H514">
        <v>20</v>
      </c>
    </row>
    <row r="515" spans="1:8" ht="21.75" customHeight="1" x14ac:dyDescent="0.35">
      <c r="A515" t="s">
        <v>657</v>
      </c>
      <c r="B515" s="3">
        <v>45510</v>
      </c>
      <c r="C515" t="s">
        <v>345</v>
      </c>
      <c r="D515" t="s">
        <v>31</v>
      </c>
      <c r="E515" t="s">
        <v>17</v>
      </c>
      <c r="F515" t="s">
        <v>12</v>
      </c>
      <c r="G515" t="s">
        <v>28</v>
      </c>
      <c r="H515">
        <v>4</v>
      </c>
    </row>
    <row r="516" spans="1:8" ht="21.75" customHeight="1" x14ac:dyDescent="0.35">
      <c r="A516" t="s">
        <v>658</v>
      </c>
      <c r="B516" s="3">
        <v>45536</v>
      </c>
      <c r="C516" t="s">
        <v>187</v>
      </c>
      <c r="D516" t="s">
        <v>26</v>
      </c>
      <c r="E516" t="s">
        <v>11</v>
      </c>
      <c r="F516" t="s">
        <v>12</v>
      </c>
      <c r="G516" t="s">
        <v>32</v>
      </c>
      <c r="H516">
        <v>13</v>
      </c>
    </row>
    <row r="517" spans="1:8" ht="21.75" customHeight="1" x14ac:dyDescent="0.35">
      <c r="A517" t="s">
        <v>659</v>
      </c>
      <c r="B517" s="3">
        <v>45460</v>
      </c>
      <c r="C517" t="s">
        <v>68</v>
      </c>
      <c r="D517" t="s">
        <v>96</v>
      </c>
      <c r="E517" t="s">
        <v>22</v>
      </c>
      <c r="F517" t="s">
        <v>306</v>
      </c>
      <c r="G517" t="s">
        <v>28</v>
      </c>
      <c r="H517">
        <v>9</v>
      </c>
    </row>
    <row r="518" spans="1:8" ht="21.75" customHeight="1" x14ac:dyDescent="0.35">
      <c r="A518" t="s">
        <v>660</v>
      </c>
      <c r="B518" s="3">
        <v>45323</v>
      </c>
      <c r="C518" t="s">
        <v>317</v>
      </c>
      <c r="D518" t="s">
        <v>74</v>
      </c>
      <c r="E518" t="s">
        <v>11</v>
      </c>
      <c r="F518" t="s">
        <v>27</v>
      </c>
      <c r="G518" t="s">
        <v>36</v>
      </c>
      <c r="H518">
        <v>6</v>
      </c>
    </row>
    <row r="519" spans="1:8" ht="21.75" customHeight="1" x14ac:dyDescent="0.35">
      <c r="A519" t="s">
        <v>661</v>
      </c>
      <c r="B519" s="3">
        <v>45652</v>
      </c>
      <c r="C519" t="s">
        <v>337</v>
      </c>
      <c r="D519" t="s">
        <v>21</v>
      </c>
      <c r="E519" t="s">
        <v>17</v>
      </c>
      <c r="F519" t="s">
        <v>12</v>
      </c>
      <c r="G519" t="s">
        <v>28</v>
      </c>
      <c r="H519">
        <v>10</v>
      </c>
    </row>
    <row r="520" spans="1:8" ht="21.75" customHeight="1" x14ac:dyDescent="0.35">
      <c r="A520" t="s">
        <v>662</v>
      </c>
      <c r="B520" s="3">
        <v>45404</v>
      </c>
      <c r="C520" t="s">
        <v>99</v>
      </c>
      <c r="D520" t="s">
        <v>70</v>
      </c>
      <c r="E520" t="s">
        <v>17</v>
      </c>
      <c r="F520" t="s">
        <v>56</v>
      </c>
      <c r="G520" t="s">
        <v>36</v>
      </c>
      <c r="H520">
        <v>20</v>
      </c>
    </row>
    <row r="521" spans="1:8" ht="21.75" customHeight="1" x14ac:dyDescent="0.35">
      <c r="A521" t="s">
        <v>663</v>
      </c>
      <c r="B521" s="3">
        <v>45533</v>
      </c>
      <c r="C521" t="s">
        <v>664</v>
      </c>
      <c r="D521" t="s">
        <v>119</v>
      </c>
      <c r="E521" t="s">
        <v>22</v>
      </c>
      <c r="F521" t="s">
        <v>56</v>
      </c>
      <c r="G521" t="s">
        <v>36</v>
      </c>
      <c r="H521">
        <v>8</v>
      </c>
    </row>
    <row r="522" spans="1:8" ht="21.75" customHeight="1" x14ac:dyDescent="0.35">
      <c r="A522" t="s">
        <v>665</v>
      </c>
      <c r="B522" s="3">
        <v>45333</v>
      </c>
      <c r="C522" t="s">
        <v>339</v>
      </c>
      <c r="D522" t="s">
        <v>62</v>
      </c>
      <c r="E522" t="s">
        <v>17</v>
      </c>
      <c r="F522" t="s">
        <v>306</v>
      </c>
      <c r="G522" t="s">
        <v>36</v>
      </c>
      <c r="H522">
        <v>12</v>
      </c>
    </row>
    <row r="523" spans="1:8" ht="21.75" customHeight="1" x14ac:dyDescent="0.35">
      <c r="A523" t="s">
        <v>666</v>
      </c>
      <c r="B523" s="3">
        <v>45349</v>
      </c>
      <c r="C523" t="s">
        <v>131</v>
      </c>
      <c r="D523" t="s">
        <v>65</v>
      </c>
      <c r="E523" t="s">
        <v>22</v>
      </c>
      <c r="F523" t="s">
        <v>306</v>
      </c>
      <c r="G523" t="s">
        <v>28</v>
      </c>
      <c r="H523">
        <v>19</v>
      </c>
    </row>
    <row r="524" spans="1:8" ht="21.75" customHeight="1" x14ac:dyDescent="0.35">
      <c r="A524" t="s">
        <v>667</v>
      </c>
      <c r="B524" s="3">
        <v>45459</v>
      </c>
      <c r="C524" t="s">
        <v>363</v>
      </c>
      <c r="D524" t="s">
        <v>41</v>
      </c>
      <c r="E524" t="s">
        <v>17</v>
      </c>
      <c r="F524" t="s">
        <v>12</v>
      </c>
      <c r="G524" t="s">
        <v>23</v>
      </c>
      <c r="H524">
        <v>7</v>
      </c>
    </row>
    <row r="525" spans="1:8" ht="21.75" customHeight="1" x14ac:dyDescent="0.35">
      <c r="A525" t="s">
        <v>668</v>
      </c>
      <c r="B525" s="3">
        <v>45338</v>
      </c>
      <c r="C525" t="s">
        <v>345</v>
      </c>
      <c r="D525" t="s">
        <v>70</v>
      </c>
      <c r="E525" t="s">
        <v>17</v>
      </c>
      <c r="F525" t="s">
        <v>12</v>
      </c>
      <c r="G525" t="s">
        <v>23</v>
      </c>
      <c r="H525">
        <v>5</v>
      </c>
    </row>
    <row r="526" spans="1:8" ht="21.75" customHeight="1" x14ac:dyDescent="0.35">
      <c r="A526" t="s">
        <v>669</v>
      </c>
      <c r="B526" s="3">
        <v>45580</v>
      </c>
      <c r="C526" t="s">
        <v>131</v>
      </c>
      <c r="D526" t="s">
        <v>41</v>
      </c>
      <c r="E526" t="s">
        <v>22</v>
      </c>
      <c r="F526" t="s">
        <v>27</v>
      </c>
      <c r="G526" t="s">
        <v>23</v>
      </c>
      <c r="H526">
        <v>10</v>
      </c>
    </row>
    <row r="527" spans="1:8" ht="21.75" customHeight="1" x14ac:dyDescent="0.35">
      <c r="A527" t="s">
        <v>670</v>
      </c>
      <c r="B527" s="3">
        <v>45422</v>
      </c>
      <c r="C527" t="s">
        <v>25</v>
      </c>
      <c r="D527" t="s">
        <v>59</v>
      </c>
      <c r="E527" t="s">
        <v>22</v>
      </c>
      <c r="F527" t="s">
        <v>56</v>
      </c>
      <c r="G527" t="s">
        <v>32</v>
      </c>
      <c r="H527">
        <v>3</v>
      </c>
    </row>
    <row r="528" spans="1:8" ht="21.75" customHeight="1" x14ac:dyDescent="0.35">
      <c r="A528" t="s">
        <v>671</v>
      </c>
      <c r="B528" s="3">
        <v>45650</v>
      </c>
      <c r="C528" t="s">
        <v>58</v>
      </c>
      <c r="D528" t="s">
        <v>10</v>
      </c>
      <c r="E528" t="s">
        <v>22</v>
      </c>
      <c r="F528" t="s">
        <v>12</v>
      </c>
      <c r="G528" t="s">
        <v>23</v>
      </c>
      <c r="H528">
        <v>16</v>
      </c>
    </row>
    <row r="529" spans="1:8" ht="21.75" customHeight="1" x14ac:dyDescent="0.35">
      <c r="A529" t="s">
        <v>672</v>
      </c>
      <c r="B529" s="3">
        <v>45384</v>
      </c>
      <c r="C529" t="s">
        <v>337</v>
      </c>
      <c r="D529" t="s">
        <v>48</v>
      </c>
      <c r="E529" t="s">
        <v>11</v>
      </c>
      <c r="F529" t="s">
        <v>27</v>
      </c>
      <c r="G529" t="s">
        <v>23</v>
      </c>
      <c r="H529">
        <v>13</v>
      </c>
    </row>
    <row r="530" spans="1:8" ht="21.75" customHeight="1" x14ac:dyDescent="0.35">
      <c r="A530" t="s">
        <v>673</v>
      </c>
      <c r="B530" s="3">
        <v>45484</v>
      </c>
      <c r="C530" t="s">
        <v>81</v>
      </c>
      <c r="D530" t="s">
        <v>16</v>
      </c>
      <c r="E530" t="s">
        <v>22</v>
      </c>
      <c r="F530" t="s">
        <v>306</v>
      </c>
      <c r="G530" t="s">
        <v>36</v>
      </c>
      <c r="H530">
        <v>12</v>
      </c>
    </row>
    <row r="531" spans="1:8" ht="21.75" customHeight="1" x14ac:dyDescent="0.35">
      <c r="A531" t="s">
        <v>674</v>
      </c>
      <c r="B531" s="3">
        <v>45493</v>
      </c>
      <c r="C531" t="s">
        <v>339</v>
      </c>
      <c r="D531" t="s">
        <v>96</v>
      </c>
      <c r="E531" t="s">
        <v>11</v>
      </c>
      <c r="F531" t="s">
        <v>56</v>
      </c>
      <c r="G531" t="s">
        <v>23</v>
      </c>
      <c r="H531">
        <v>1</v>
      </c>
    </row>
    <row r="532" spans="1:8" ht="21.75" customHeight="1" x14ac:dyDescent="0.35">
      <c r="A532" t="s">
        <v>675</v>
      </c>
      <c r="B532" s="3">
        <v>45636</v>
      </c>
      <c r="C532" t="s">
        <v>329</v>
      </c>
      <c r="D532" t="s">
        <v>174</v>
      </c>
      <c r="E532" t="s">
        <v>22</v>
      </c>
      <c r="F532" t="s">
        <v>27</v>
      </c>
      <c r="G532" t="s">
        <v>28</v>
      </c>
      <c r="H532">
        <v>13</v>
      </c>
    </row>
    <row r="533" spans="1:8" ht="21.75" customHeight="1" x14ac:dyDescent="0.35">
      <c r="A533" t="s">
        <v>676</v>
      </c>
      <c r="B533" s="3">
        <v>45527</v>
      </c>
      <c r="C533" t="s">
        <v>20</v>
      </c>
      <c r="D533" t="s">
        <v>65</v>
      </c>
      <c r="E533" t="s">
        <v>11</v>
      </c>
      <c r="F533" t="s">
        <v>42</v>
      </c>
      <c r="G533" t="s">
        <v>23</v>
      </c>
      <c r="H533">
        <v>4</v>
      </c>
    </row>
    <row r="534" spans="1:8" ht="21.75" customHeight="1" x14ac:dyDescent="0.35">
      <c r="A534" t="s">
        <v>677</v>
      </c>
      <c r="B534" s="3">
        <v>45606</v>
      </c>
      <c r="C534" t="s">
        <v>337</v>
      </c>
      <c r="D534" t="s">
        <v>65</v>
      </c>
      <c r="E534" t="s">
        <v>11</v>
      </c>
      <c r="F534" t="s">
        <v>56</v>
      </c>
      <c r="G534" t="s">
        <v>13</v>
      </c>
      <c r="H534">
        <v>3</v>
      </c>
    </row>
    <row r="535" spans="1:8" ht="21.75" customHeight="1" x14ac:dyDescent="0.35">
      <c r="A535" t="s">
        <v>678</v>
      </c>
      <c r="B535" s="3">
        <v>45520</v>
      </c>
      <c r="C535" t="s">
        <v>327</v>
      </c>
      <c r="D535" t="s">
        <v>197</v>
      </c>
      <c r="E535" t="s">
        <v>22</v>
      </c>
      <c r="F535" t="s">
        <v>12</v>
      </c>
      <c r="G535" t="s">
        <v>28</v>
      </c>
      <c r="H535">
        <v>2</v>
      </c>
    </row>
    <row r="536" spans="1:8" ht="21.75" customHeight="1" x14ac:dyDescent="0.35">
      <c r="A536" t="s">
        <v>679</v>
      </c>
      <c r="B536" s="3">
        <v>45568</v>
      </c>
      <c r="C536" t="s">
        <v>133</v>
      </c>
      <c r="D536" t="s">
        <v>160</v>
      </c>
      <c r="E536" t="s">
        <v>11</v>
      </c>
      <c r="F536" t="s">
        <v>56</v>
      </c>
      <c r="G536" t="s">
        <v>36</v>
      </c>
      <c r="H536">
        <v>10</v>
      </c>
    </row>
    <row r="537" spans="1:8" ht="21.75" customHeight="1" x14ac:dyDescent="0.35">
      <c r="A537" t="s">
        <v>680</v>
      </c>
      <c r="B537" s="3">
        <v>45455</v>
      </c>
      <c r="C537" t="s">
        <v>314</v>
      </c>
      <c r="D537" t="s">
        <v>197</v>
      </c>
      <c r="E537" t="s">
        <v>22</v>
      </c>
      <c r="F537" t="s">
        <v>42</v>
      </c>
      <c r="G537" t="s">
        <v>36</v>
      </c>
      <c r="H537">
        <v>10</v>
      </c>
    </row>
    <row r="538" spans="1:8" ht="21.75" customHeight="1" x14ac:dyDescent="0.35">
      <c r="A538" t="s">
        <v>681</v>
      </c>
      <c r="B538" s="3">
        <v>45405</v>
      </c>
      <c r="C538" t="s">
        <v>408</v>
      </c>
      <c r="D538" t="s">
        <v>79</v>
      </c>
      <c r="E538" t="s">
        <v>17</v>
      </c>
      <c r="F538" t="s">
        <v>42</v>
      </c>
      <c r="G538" t="s">
        <v>28</v>
      </c>
      <c r="H538">
        <v>18</v>
      </c>
    </row>
    <row r="539" spans="1:8" ht="21.75" customHeight="1" x14ac:dyDescent="0.35">
      <c r="A539" t="s">
        <v>682</v>
      </c>
      <c r="B539" s="3">
        <v>45612</v>
      </c>
      <c r="C539" t="s">
        <v>422</v>
      </c>
      <c r="D539" t="s">
        <v>35</v>
      </c>
      <c r="E539" t="s">
        <v>17</v>
      </c>
      <c r="F539" t="s">
        <v>306</v>
      </c>
      <c r="G539" t="s">
        <v>23</v>
      </c>
      <c r="H539">
        <v>2</v>
      </c>
    </row>
    <row r="540" spans="1:8" ht="21.75" customHeight="1" x14ac:dyDescent="0.35">
      <c r="A540" t="s">
        <v>683</v>
      </c>
      <c r="B540" s="3">
        <v>45560</v>
      </c>
      <c r="C540" t="s">
        <v>38</v>
      </c>
      <c r="D540" t="s">
        <v>87</v>
      </c>
      <c r="E540" t="s">
        <v>22</v>
      </c>
      <c r="F540" t="s">
        <v>27</v>
      </c>
      <c r="G540" t="s">
        <v>28</v>
      </c>
      <c r="H540">
        <v>5</v>
      </c>
    </row>
    <row r="541" spans="1:8" ht="21.75" customHeight="1" x14ac:dyDescent="0.35">
      <c r="A541" t="s">
        <v>684</v>
      </c>
      <c r="B541" s="3">
        <v>45567</v>
      </c>
      <c r="C541" t="s">
        <v>553</v>
      </c>
      <c r="D541" t="s">
        <v>74</v>
      </c>
      <c r="E541" t="s">
        <v>11</v>
      </c>
      <c r="F541" t="s">
        <v>56</v>
      </c>
      <c r="G541" t="s">
        <v>13</v>
      </c>
      <c r="H541">
        <v>5</v>
      </c>
    </row>
    <row r="542" spans="1:8" ht="21.75" customHeight="1" x14ac:dyDescent="0.35">
      <c r="A542" t="s">
        <v>685</v>
      </c>
      <c r="B542" s="3">
        <v>45579</v>
      </c>
      <c r="C542" t="s">
        <v>408</v>
      </c>
      <c r="D542" t="s">
        <v>160</v>
      </c>
      <c r="E542" t="s">
        <v>17</v>
      </c>
      <c r="F542" t="s">
        <v>306</v>
      </c>
      <c r="G542" t="s">
        <v>32</v>
      </c>
      <c r="H542">
        <v>5</v>
      </c>
    </row>
    <row r="543" spans="1:8" ht="21.75" customHeight="1" x14ac:dyDescent="0.35">
      <c r="A543" t="s">
        <v>686</v>
      </c>
      <c r="B543" s="3">
        <v>45396</v>
      </c>
      <c r="C543" t="s">
        <v>118</v>
      </c>
      <c r="D543" t="s">
        <v>70</v>
      </c>
      <c r="E543" t="s">
        <v>22</v>
      </c>
      <c r="F543" t="s">
        <v>12</v>
      </c>
      <c r="G543" t="s">
        <v>28</v>
      </c>
      <c r="H543">
        <v>12</v>
      </c>
    </row>
    <row r="544" spans="1:8" ht="21.75" customHeight="1" x14ac:dyDescent="0.35">
      <c r="A544" t="s">
        <v>687</v>
      </c>
      <c r="B544" s="3">
        <v>45318</v>
      </c>
      <c r="C544" t="s">
        <v>101</v>
      </c>
      <c r="D544" t="s">
        <v>109</v>
      </c>
      <c r="E544" t="s">
        <v>17</v>
      </c>
      <c r="F544" t="s">
        <v>306</v>
      </c>
      <c r="G544" t="s">
        <v>28</v>
      </c>
      <c r="H544">
        <v>2</v>
      </c>
    </row>
    <row r="545" spans="1:8" ht="21.75" customHeight="1" x14ac:dyDescent="0.35">
      <c r="A545" t="s">
        <v>688</v>
      </c>
      <c r="B545" s="3">
        <v>45592</v>
      </c>
      <c r="C545" t="s">
        <v>329</v>
      </c>
      <c r="D545" t="s">
        <v>65</v>
      </c>
      <c r="E545" t="s">
        <v>22</v>
      </c>
      <c r="F545" t="s">
        <v>306</v>
      </c>
      <c r="G545" t="s">
        <v>32</v>
      </c>
      <c r="H545">
        <v>16</v>
      </c>
    </row>
    <row r="546" spans="1:8" ht="21.75" customHeight="1" x14ac:dyDescent="0.35">
      <c r="A546" t="s">
        <v>689</v>
      </c>
      <c r="B546" s="3">
        <v>45447</v>
      </c>
      <c r="C546" t="s">
        <v>142</v>
      </c>
      <c r="D546" t="s">
        <v>84</v>
      </c>
      <c r="E546" t="s">
        <v>11</v>
      </c>
      <c r="F546" t="s">
        <v>56</v>
      </c>
      <c r="G546" t="s">
        <v>23</v>
      </c>
      <c r="H546">
        <v>4</v>
      </c>
    </row>
    <row r="547" spans="1:8" ht="21.75" customHeight="1" x14ac:dyDescent="0.35">
      <c r="A547" t="s">
        <v>690</v>
      </c>
      <c r="B547" s="3">
        <v>45416</v>
      </c>
      <c r="C547" t="s">
        <v>424</v>
      </c>
      <c r="D547" t="s">
        <v>31</v>
      </c>
      <c r="E547" t="s">
        <v>22</v>
      </c>
      <c r="F547" t="s">
        <v>56</v>
      </c>
      <c r="G547" t="s">
        <v>32</v>
      </c>
      <c r="H547">
        <v>8</v>
      </c>
    </row>
    <row r="548" spans="1:8" ht="21.75" customHeight="1" x14ac:dyDescent="0.35">
      <c r="A548" t="s">
        <v>691</v>
      </c>
      <c r="B548" s="3">
        <v>45486</v>
      </c>
      <c r="C548" t="s">
        <v>319</v>
      </c>
      <c r="D548" t="s">
        <v>74</v>
      </c>
      <c r="E548" t="s">
        <v>22</v>
      </c>
      <c r="F548" t="s">
        <v>42</v>
      </c>
      <c r="G548" t="s">
        <v>23</v>
      </c>
      <c r="H548">
        <v>9</v>
      </c>
    </row>
    <row r="549" spans="1:8" ht="21.75" customHeight="1" x14ac:dyDescent="0.35">
      <c r="A549" t="s">
        <v>692</v>
      </c>
      <c r="B549" s="3">
        <v>45530</v>
      </c>
      <c r="C549" t="s">
        <v>108</v>
      </c>
      <c r="D549" t="s">
        <v>119</v>
      </c>
      <c r="E549" t="s">
        <v>22</v>
      </c>
      <c r="F549" t="s">
        <v>27</v>
      </c>
      <c r="G549" t="s">
        <v>32</v>
      </c>
      <c r="H549">
        <v>11</v>
      </c>
    </row>
    <row r="550" spans="1:8" ht="21.75" customHeight="1" x14ac:dyDescent="0.35">
      <c r="A550" t="s">
        <v>693</v>
      </c>
      <c r="B550" s="3">
        <v>45452</v>
      </c>
      <c r="C550" t="s">
        <v>408</v>
      </c>
      <c r="D550" t="s">
        <v>197</v>
      </c>
      <c r="E550" t="s">
        <v>11</v>
      </c>
      <c r="F550" t="s">
        <v>306</v>
      </c>
      <c r="G550" t="s">
        <v>36</v>
      </c>
      <c r="H550">
        <v>5</v>
      </c>
    </row>
    <row r="551" spans="1:8" ht="21.75" customHeight="1" x14ac:dyDescent="0.35">
      <c r="A551" t="s">
        <v>694</v>
      </c>
      <c r="B551" s="3">
        <v>45591</v>
      </c>
      <c r="C551" t="s">
        <v>361</v>
      </c>
      <c r="D551" t="s">
        <v>74</v>
      </c>
      <c r="E551" t="s">
        <v>22</v>
      </c>
      <c r="F551" t="s">
        <v>27</v>
      </c>
      <c r="G551" t="s">
        <v>28</v>
      </c>
      <c r="H551">
        <v>5</v>
      </c>
    </row>
    <row r="552" spans="1:8" ht="21.75" customHeight="1" x14ac:dyDescent="0.35">
      <c r="A552" t="s">
        <v>695</v>
      </c>
      <c r="B552" s="3">
        <v>45486</v>
      </c>
      <c r="C552" t="s">
        <v>614</v>
      </c>
      <c r="D552" t="s">
        <v>174</v>
      </c>
      <c r="E552" t="s">
        <v>11</v>
      </c>
      <c r="F552" t="s">
        <v>27</v>
      </c>
      <c r="G552" t="s">
        <v>23</v>
      </c>
      <c r="H552">
        <v>11</v>
      </c>
    </row>
    <row r="553" spans="1:8" ht="21.75" customHeight="1" x14ac:dyDescent="0.35">
      <c r="A553" t="s">
        <v>696</v>
      </c>
      <c r="B553" s="3">
        <v>45620</v>
      </c>
      <c r="C553" t="s">
        <v>304</v>
      </c>
      <c r="D553" t="s">
        <v>45</v>
      </c>
      <c r="E553" t="s">
        <v>17</v>
      </c>
      <c r="F553" t="s">
        <v>27</v>
      </c>
      <c r="G553" t="s">
        <v>36</v>
      </c>
      <c r="H553">
        <v>12</v>
      </c>
    </row>
    <row r="554" spans="1:8" ht="21.75" customHeight="1" x14ac:dyDescent="0.35">
      <c r="A554" t="s">
        <v>697</v>
      </c>
      <c r="B554" s="3">
        <v>45542</v>
      </c>
      <c r="C554" t="s">
        <v>44</v>
      </c>
      <c r="D554" t="s">
        <v>160</v>
      </c>
      <c r="E554" t="s">
        <v>22</v>
      </c>
      <c r="F554" t="s">
        <v>12</v>
      </c>
      <c r="G554" t="s">
        <v>13</v>
      </c>
      <c r="H554">
        <v>2</v>
      </c>
    </row>
    <row r="555" spans="1:8" ht="21.75" customHeight="1" x14ac:dyDescent="0.35">
      <c r="A555" t="s">
        <v>698</v>
      </c>
      <c r="B555" s="3">
        <v>45634</v>
      </c>
      <c r="C555" t="s">
        <v>9</v>
      </c>
      <c r="D555" t="s">
        <v>16</v>
      </c>
      <c r="E555" t="s">
        <v>11</v>
      </c>
      <c r="F555" t="s">
        <v>27</v>
      </c>
      <c r="G555" t="s">
        <v>28</v>
      </c>
      <c r="H555">
        <v>8</v>
      </c>
    </row>
    <row r="556" spans="1:8" ht="21.75" customHeight="1" x14ac:dyDescent="0.35">
      <c r="A556" t="s">
        <v>699</v>
      </c>
      <c r="B556" s="3">
        <v>45296</v>
      </c>
      <c r="C556" t="s">
        <v>133</v>
      </c>
      <c r="D556" t="s">
        <v>48</v>
      </c>
      <c r="E556" t="s">
        <v>22</v>
      </c>
      <c r="F556" t="s">
        <v>27</v>
      </c>
      <c r="G556" t="s">
        <v>36</v>
      </c>
      <c r="H556">
        <v>2</v>
      </c>
    </row>
    <row r="557" spans="1:8" ht="21.75" customHeight="1" x14ac:dyDescent="0.35">
      <c r="A557" t="s">
        <v>700</v>
      </c>
      <c r="B557" s="3">
        <v>45539</v>
      </c>
      <c r="C557" t="s">
        <v>371</v>
      </c>
      <c r="D557" t="s">
        <v>96</v>
      </c>
      <c r="E557" t="s">
        <v>17</v>
      </c>
      <c r="F557" t="s">
        <v>12</v>
      </c>
      <c r="G557" t="s">
        <v>13</v>
      </c>
      <c r="H557">
        <v>18</v>
      </c>
    </row>
    <row r="558" spans="1:8" ht="21.75" customHeight="1" x14ac:dyDescent="0.35">
      <c r="A558" t="s">
        <v>701</v>
      </c>
      <c r="B558" s="3">
        <v>45300</v>
      </c>
      <c r="C558" t="s">
        <v>339</v>
      </c>
      <c r="D558" t="s">
        <v>174</v>
      </c>
      <c r="E558" t="s">
        <v>22</v>
      </c>
      <c r="F558" t="s">
        <v>42</v>
      </c>
      <c r="G558" t="s">
        <v>23</v>
      </c>
      <c r="H558">
        <v>10</v>
      </c>
    </row>
    <row r="559" spans="1:8" ht="21.75" customHeight="1" x14ac:dyDescent="0.35">
      <c r="A559" t="s">
        <v>702</v>
      </c>
      <c r="B559" s="3">
        <v>45383</v>
      </c>
      <c r="C559" t="s">
        <v>15</v>
      </c>
      <c r="D559" t="s">
        <v>16</v>
      </c>
      <c r="E559" t="s">
        <v>11</v>
      </c>
      <c r="F559" t="s">
        <v>306</v>
      </c>
      <c r="G559" t="s">
        <v>36</v>
      </c>
      <c r="H559">
        <v>8</v>
      </c>
    </row>
    <row r="560" spans="1:8" ht="21.75" customHeight="1" x14ac:dyDescent="0.35">
      <c r="A560" t="s">
        <v>703</v>
      </c>
      <c r="B560" s="3">
        <v>45421</v>
      </c>
      <c r="C560" t="s">
        <v>182</v>
      </c>
      <c r="D560" t="s">
        <v>10</v>
      </c>
      <c r="E560" t="s">
        <v>17</v>
      </c>
      <c r="F560" t="s">
        <v>27</v>
      </c>
      <c r="G560" t="s">
        <v>23</v>
      </c>
      <c r="H560">
        <v>12</v>
      </c>
    </row>
    <row r="561" spans="1:8" ht="21.75" customHeight="1" x14ac:dyDescent="0.35">
      <c r="A561" t="s">
        <v>704</v>
      </c>
      <c r="B561" s="3">
        <v>45581</v>
      </c>
      <c r="C561" t="s">
        <v>78</v>
      </c>
      <c r="D561" t="s">
        <v>74</v>
      </c>
      <c r="E561" t="s">
        <v>22</v>
      </c>
      <c r="F561" t="s">
        <v>56</v>
      </c>
      <c r="G561" t="s">
        <v>13</v>
      </c>
      <c r="H561">
        <v>3</v>
      </c>
    </row>
    <row r="562" spans="1:8" ht="21.75" customHeight="1" x14ac:dyDescent="0.35">
      <c r="A562" t="s">
        <v>705</v>
      </c>
      <c r="B562" s="3">
        <v>45339</v>
      </c>
      <c r="C562" t="s">
        <v>341</v>
      </c>
      <c r="D562" t="s">
        <v>174</v>
      </c>
      <c r="E562" t="s">
        <v>17</v>
      </c>
      <c r="F562" t="s">
        <v>27</v>
      </c>
      <c r="G562" t="s">
        <v>13</v>
      </c>
      <c r="H562">
        <v>16</v>
      </c>
    </row>
    <row r="563" spans="1:8" ht="21.75" customHeight="1" x14ac:dyDescent="0.35">
      <c r="A563" t="s">
        <v>706</v>
      </c>
      <c r="B563" s="3">
        <v>45651</v>
      </c>
      <c r="C563" t="s">
        <v>30</v>
      </c>
      <c r="D563" t="s">
        <v>87</v>
      </c>
      <c r="E563" t="s">
        <v>11</v>
      </c>
      <c r="F563" t="s">
        <v>27</v>
      </c>
      <c r="G563" t="s">
        <v>13</v>
      </c>
      <c r="H563">
        <v>11</v>
      </c>
    </row>
    <row r="564" spans="1:8" ht="21.75" customHeight="1" x14ac:dyDescent="0.35">
      <c r="A564" t="s">
        <v>707</v>
      </c>
      <c r="B564" s="3">
        <v>45562</v>
      </c>
      <c r="C564" t="s">
        <v>116</v>
      </c>
      <c r="D564" t="s">
        <v>62</v>
      </c>
      <c r="E564" t="s">
        <v>11</v>
      </c>
      <c r="F564" t="s">
        <v>56</v>
      </c>
      <c r="G564" t="s">
        <v>13</v>
      </c>
      <c r="H564">
        <v>19</v>
      </c>
    </row>
    <row r="565" spans="1:8" ht="21.75" customHeight="1" x14ac:dyDescent="0.35">
      <c r="A565" t="s">
        <v>708</v>
      </c>
      <c r="B565" s="3">
        <v>45330</v>
      </c>
      <c r="C565" t="s">
        <v>455</v>
      </c>
      <c r="D565" t="s">
        <v>59</v>
      </c>
      <c r="E565" t="s">
        <v>17</v>
      </c>
      <c r="F565" t="s">
        <v>306</v>
      </c>
      <c r="G565" t="s">
        <v>32</v>
      </c>
      <c r="H565">
        <v>2</v>
      </c>
    </row>
    <row r="566" spans="1:8" ht="21.75" customHeight="1" x14ac:dyDescent="0.35">
      <c r="A566" t="s">
        <v>709</v>
      </c>
      <c r="B566" s="3">
        <v>45300</v>
      </c>
      <c r="C566" t="s">
        <v>95</v>
      </c>
      <c r="D566" t="s">
        <v>119</v>
      </c>
      <c r="E566" t="s">
        <v>22</v>
      </c>
      <c r="F566" t="s">
        <v>56</v>
      </c>
      <c r="G566" t="s">
        <v>32</v>
      </c>
      <c r="H566">
        <v>13</v>
      </c>
    </row>
    <row r="567" spans="1:8" ht="21.75" customHeight="1" x14ac:dyDescent="0.35">
      <c r="A567" t="s">
        <v>710</v>
      </c>
      <c r="B567" s="3">
        <v>45375</v>
      </c>
      <c r="C567" t="s">
        <v>614</v>
      </c>
      <c r="D567" t="s">
        <v>31</v>
      </c>
      <c r="E567" t="s">
        <v>11</v>
      </c>
      <c r="F567" t="s">
        <v>306</v>
      </c>
      <c r="G567" t="s">
        <v>28</v>
      </c>
      <c r="H567">
        <v>18</v>
      </c>
    </row>
    <row r="568" spans="1:8" ht="21.75" customHeight="1" x14ac:dyDescent="0.35">
      <c r="A568" t="s">
        <v>711</v>
      </c>
      <c r="B568" s="3">
        <v>45644</v>
      </c>
      <c r="C568" t="s">
        <v>329</v>
      </c>
      <c r="D568" t="s">
        <v>84</v>
      </c>
      <c r="E568" t="s">
        <v>11</v>
      </c>
      <c r="F568" t="s">
        <v>306</v>
      </c>
      <c r="G568" t="s">
        <v>23</v>
      </c>
      <c r="H568">
        <v>12</v>
      </c>
    </row>
    <row r="569" spans="1:8" ht="21.75" customHeight="1" x14ac:dyDescent="0.35">
      <c r="A569" t="s">
        <v>712</v>
      </c>
      <c r="B569" s="3">
        <v>45410</v>
      </c>
      <c r="C569" t="s">
        <v>208</v>
      </c>
      <c r="D569" t="s">
        <v>119</v>
      </c>
      <c r="E569" t="s">
        <v>17</v>
      </c>
      <c r="F569" t="s">
        <v>306</v>
      </c>
      <c r="G569" t="s">
        <v>23</v>
      </c>
      <c r="H569">
        <v>20</v>
      </c>
    </row>
    <row r="570" spans="1:8" ht="21.75" customHeight="1" x14ac:dyDescent="0.35">
      <c r="A570" t="s">
        <v>713</v>
      </c>
      <c r="B570" s="3">
        <v>45459</v>
      </c>
      <c r="C570" t="s">
        <v>64</v>
      </c>
      <c r="D570" t="s">
        <v>70</v>
      </c>
      <c r="E570" t="s">
        <v>22</v>
      </c>
      <c r="F570" t="s">
        <v>42</v>
      </c>
      <c r="G570" t="s">
        <v>36</v>
      </c>
      <c r="H570">
        <v>16</v>
      </c>
    </row>
    <row r="571" spans="1:8" ht="21.75" customHeight="1" x14ac:dyDescent="0.35">
      <c r="A571" t="s">
        <v>714</v>
      </c>
      <c r="B571" s="3">
        <v>45484</v>
      </c>
      <c r="C571" t="s">
        <v>348</v>
      </c>
      <c r="D571" t="s">
        <v>41</v>
      </c>
      <c r="E571" t="s">
        <v>11</v>
      </c>
      <c r="F571" t="s">
        <v>306</v>
      </c>
      <c r="G571" t="s">
        <v>36</v>
      </c>
      <c r="H571">
        <v>13</v>
      </c>
    </row>
    <row r="572" spans="1:8" ht="21.75" customHeight="1" x14ac:dyDescent="0.35">
      <c r="A572" t="s">
        <v>715</v>
      </c>
      <c r="B572" s="3">
        <v>45443</v>
      </c>
      <c r="C572" t="s">
        <v>78</v>
      </c>
      <c r="D572" t="s">
        <v>10</v>
      </c>
      <c r="E572" t="s">
        <v>22</v>
      </c>
      <c r="F572" t="s">
        <v>12</v>
      </c>
      <c r="G572" t="s">
        <v>28</v>
      </c>
      <c r="H572">
        <v>9</v>
      </c>
    </row>
    <row r="573" spans="1:8" ht="21.75" customHeight="1" x14ac:dyDescent="0.35">
      <c r="A573" t="s">
        <v>716</v>
      </c>
      <c r="B573" s="3">
        <v>45491</v>
      </c>
      <c r="C573" t="s">
        <v>38</v>
      </c>
      <c r="D573" t="s">
        <v>10</v>
      </c>
      <c r="E573" t="s">
        <v>17</v>
      </c>
      <c r="F573" t="s">
        <v>12</v>
      </c>
      <c r="G573" t="s">
        <v>23</v>
      </c>
      <c r="H573">
        <v>1</v>
      </c>
    </row>
    <row r="574" spans="1:8" ht="21.75" customHeight="1" x14ac:dyDescent="0.35">
      <c r="A574" t="s">
        <v>717</v>
      </c>
      <c r="B574" s="3">
        <v>45476</v>
      </c>
      <c r="C574" t="s">
        <v>332</v>
      </c>
      <c r="D574" t="s">
        <v>16</v>
      </c>
      <c r="E574" t="s">
        <v>17</v>
      </c>
      <c r="F574" t="s">
        <v>12</v>
      </c>
      <c r="G574" t="s">
        <v>23</v>
      </c>
      <c r="H574">
        <v>3</v>
      </c>
    </row>
    <row r="575" spans="1:8" ht="21.75" customHeight="1" x14ac:dyDescent="0.35">
      <c r="A575" t="s">
        <v>718</v>
      </c>
      <c r="B575" s="3">
        <v>45577</v>
      </c>
      <c r="C575" t="s">
        <v>642</v>
      </c>
      <c r="D575" t="s">
        <v>102</v>
      </c>
      <c r="E575" t="s">
        <v>22</v>
      </c>
      <c r="F575" t="s">
        <v>27</v>
      </c>
      <c r="G575" t="s">
        <v>36</v>
      </c>
      <c r="H575">
        <v>1</v>
      </c>
    </row>
    <row r="576" spans="1:8" ht="21.75" customHeight="1" x14ac:dyDescent="0.35">
      <c r="A576" t="s">
        <v>719</v>
      </c>
      <c r="B576" s="3">
        <v>45339</v>
      </c>
      <c r="C576" t="s">
        <v>327</v>
      </c>
      <c r="D576" t="s">
        <v>31</v>
      </c>
      <c r="E576" t="s">
        <v>22</v>
      </c>
      <c r="F576" t="s">
        <v>42</v>
      </c>
      <c r="G576" t="s">
        <v>23</v>
      </c>
      <c r="H576">
        <v>1</v>
      </c>
    </row>
    <row r="577" spans="1:8" ht="21.75" customHeight="1" x14ac:dyDescent="0.35">
      <c r="A577" t="s">
        <v>720</v>
      </c>
      <c r="B577" s="3">
        <v>45335</v>
      </c>
      <c r="C577" t="s">
        <v>329</v>
      </c>
      <c r="D577" t="s">
        <v>59</v>
      </c>
      <c r="E577" t="s">
        <v>22</v>
      </c>
      <c r="F577" t="s">
        <v>56</v>
      </c>
      <c r="G577" t="s">
        <v>23</v>
      </c>
      <c r="H577">
        <v>17</v>
      </c>
    </row>
    <row r="578" spans="1:8" ht="21.75" customHeight="1" x14ac:dyDescent="0.35">
      <c r="A578" t="s">
        <v>721</v>
      </c>
      <c r="B578" s="3">
        <v>45378</v>
      </c>
      <c r="C578" t="s">
        <v>99</v>
      </c>
      <c r="D578" t="s">
        <v>26</v>
      </c>
      <c r="E578" t="s">
        <v>17</v>
      </c>
      <c r="F578" t="s">
        <v>42</v>
      </c>
      <c r="G578" t="s">
        <v>28</v>
      </c>
      <c r="H578">
        <v>16</v>
      </c>
    </row>
    <row r="579" spans="1:8" ht="21.75" customHeight="1" x14ac:dyDescent="0.35">
      <c r="A579" t="s">
        <v>722</v>
      </c>
      <c r="B579" s="3">
        <v>45514</v>
      </c>
      <c r="C579" t="s">
        <v>89</v>
      </c>
      <c r="D579" t="s">
        <v>35</v>
      </c>
      <c r="E579" t="s">
        <v>17</v>
      </c>
      <c r="F579" t="s">
        <v>42</v>
      </c>
      <c r="G579" t="s">
        <v>28</v>
      </c>
      <c r="H579">
        <v>3</v>
      </c>
    </row>
    <row r="580" spans="1:8" ht="21.75" customHeight="1" x14ac:dyDescent="0.35">
      <c r="A580" t="s">
        <v>723</v>
      </c>
      <c r="B580" s="3">
        <v>45612</v>
      </c>
      <c r="C580" t="s">
        <v>432</v>
      </c>
      <c r="D580" t="s">
        <v>65</v>
      </c>
      <c r="E580" t="s">
        <v>22</v>
      </c>
      <c r="F580" t="s">
        <v>306</v>
      </c>
      <c r="G580" t="s">
        <v>32</v>
      </c>
      <c r="H580">
        <v>15</v>
      </c>
    </row>
    <row r="581" spans="1:8" ht="21.75" customHeight="1" x14ac:dyDescent="0.35">
      <c r="A581" t="s">
        <v>724</v>
      </c>
      <c r="B581" s="3">
        <v>45295</v>
      </c>
      <c r="C581" t="s">
        <v>106</v>
      </c>
      <c r="D581" t="s">
        <v>31</v>
      </c>
      <c r="E581" t="s">
        <v>17</v>
      </c>
      <c r="F581" t="s">
        <v>306</v>
      </c>
      <c r="G581" t="s">
        <v>23</v>
      </c>
      <c r="H581">
        <v>11</v>
      </c>
    </row>
    <row r="582" spans="1:8" ht="21.75" customHeight="1" x14ac:dyDescent="0.35">
      <c r="A582" t="s">
        <v>725</v>
      </c>
      <c r="B582" s="3">
        <v>45625</v>
      </c>
      <c r="C582" t="s">
        <v>327</v>
      </c>
      <c r="D582" t="s">
        <v>72</v>
      </c>
      <c r="E582" t="s">
        <v>11</v>
      </c>
      <c r="F582" t="s">
        <v>42</v>
      </c>
      <c r="G582" t="s">
        <v>28</v>
      </c>
      <c r="H582">
        <v>20</v>
      </c>
    </row>
    <row r="583" spans="1:8" ht="21.75" customHeight="1" x14ac:dyDescent="0.35">
      <c r="A583" t="s">
        <v>726</v>
      </c>
      <c r="B583" s="3">
        <v>45537</v>
      </c>
      <c r="C583" t="s">
        <v>38</v>
      </c>
      <c r="D583" t="s">
        <v>72</v>
      </c>
      <c r="E583" t="s">
        <v>11</v>
      </c>
      <c r="F583" t="s">
        <v>27</v>
      </c>
      <c r="G583" t="s">
        <v>23</v>
      </c>
      <c r="H583">
        <v>10</v>
      </c>
    </row>
    <row r="584" spans="1:8" ht="21.75" customHeight="1" x14ac:dyDescent="0.35">
      <c r="A584" t="s">
        <v>727</v>
      </c>
      <c r="B584" s="3">
        <v>45586</v>
      </c>
      <c r="C584" t="s">
        <v>728</v>
      </c>
      <c r="D584" t="s">
        <v>31</v>
      </c>
      <c r="E584" t="s">
        <v>11</v>
      </c>
      <c r="F584" t="s">
        <v>42</v>
      </c>
      <c r="G584" t="s">
        <v>23</v>
      </c>
      <c r="H584">
        <v>9</v>
      </c>
    </row>
    <row r="585" spans="1:8" ht="21.75" customHeight="1" x14ac:dyDescent="0.35">
      <c r="A585" t="s">
        <v>729</v>
      </c>
      <c r="B585" s="3">
        <v>45478</v>
      </c>
      <c r="C585" t="s">
        <v>40</v>
      </c>
      <c r="D585" t="s">
        <v>59</v>
      </c>
      <c r="E585" t="s">
        <v>22</v>
      </c>
      <c r="F585" t="s">
        <v>56</v>
      </c>
      <c r="G585" t="s">
        <v>36</v>
      </c>
      <c r="H585">
        <v>18</v>
      </c>
    </row>
    <row r="586" spans="1:8" ht="21.75" customHeight="1" x14ac:dyDescent="0.35">
      <c r="A586" t="s">
        <v>730</v>
      </c>
      <c r="B586" s="3">
        <v>45305</v>
      </c>
      <c r="C586" t="s">
        <v>388</v>
      </c>
      <c r="D586" t="s">
        <v>70</v>
      </c>
      <c r="E586" t="s">
        <v>17</v>
      </c>
      <c r="F586" t="s">
        <v>56</v>
      </c>
      <c r="G586" t="s">
        <v>13</v>
      </c>
      <c r="H586">
        <v>10</v>
      </c>
    </row>
    <row r="587" spans="1:8" ht="21.75" customHeight="1" x14ac:dyDescent="0.35">
      <c r="A587" t="s">
        <v>731</v>
      </c>
      <c r="B587" s="3">
        <v>45501</v>
      </c>
      <c r="C587" t="s">
        <v>422</v>
      </c>
      <c r="D587" t="s">
        <v>21</v>
      </c>
      <c r="E587" t="s">
        <v>17</v>
      </c>
      <c r="F587" t="s">
        <v>56</v>
      </c>
      <c r="G587" t="s">
        <v>28</v>
      </c>
      <c r="H587">
        <v>10</v>
      </c>
    </row>
    <row r="588" spans="1:8" ht="21.75" customHeight="1" x14ac:dyDescent="0.35">
      <c r="A588" t="s">
        <v>732</v>
      </c>
      <c r="B588" s="3">
        <v>45508</v>
      </c>
      <c r="C588" t="s">
        <v>159</v>
      </c>
      <c r="D588" t="s">
        <v>109</v>
      </c>
      <c r="E588" t="s">
        <v>11</v>
      </c>
      <c r="F588" t="s">
        <v>27</v>
      </c>
      <c r="G588" t="s">
        <v>36</v>
      </c>
      <c r="H588">
        <v>16</v>
      </c>
    </row>
    <row r="589" spans="1:8" ht="21.75" customHeight="1" x14ac:dyDescent="0.35">
      <c r="A589" t="s">
        <v>733</v>
      </c>
      <c r="B589" s="3">
        <v>45551</v>
      </c>
      <c r="C589" t="s">
        <v>465</v>
      </c>
      <c r="D589" t="s">
        <v>79</v>
      </c>
      <c r="E589" t="s">
        <v>17</v>
      </c>
      <c r="F589" t="s">
        <v>306</v>
      </c>
      <c r="G589" t="s">
        <v>36</v>
      </c>
      <c r="H589">
        <v>12</v>
      </c>
    </row>
    <row r="590" spans="1:8" ht="21.75" customHeight="1" x14ac:dyDescent="0.35">
      <c r="A590" t="s">
        <v>734</v>
      </c>
      <c r="B590" s="3">
        <v>45596</v>
      </c>
      <c r="C590" t="s">
        <v>541</v>
      </c>
      <c r="D590" t="s">
        <v>119</v>
      </c>
      <c r="E590" t="s">
        <v>11</v>
      </c>
      <c r="F590" t="s">
        <v>12</v>
      </c>
      <c r="G590" t="s">
        <v>32</v>
      </c>
      <c r="H590">
        <v>8</v>
      </c>
    </row>
    <row r="591" spans="1:8" ht="21.75" customHeight="1" x14ac:dyDescent="0.35">
      <c r="A591" t="s">
        <v>735</v>
      </c>
      <c r="B591" s="3">
        <v>45377</v>
      </c>
      <c r="C591" t="s">
        <v>736</v>
      </c>
      <c r="D591" t="s">
        <v>59</v>
      </c>
      <c r="E591" t="s">
        <v>22</v>
      </c>
      <c r="F591" t="s">
        <v>12</v>
      </c>
      <c r="G591" t="s">
        <v>32</v>
      </c>
      <c r="H591">
        <v>13</v>
      </c>
    </row>
    <row r="592" spans="1:8" ht="21.75" customHeight="1" x14ac:dyDescent="0.35">
      <c r="A592" t="s">
        <v>737</v>
      </c>
      <c r="B592" s="3">
        <v>45512</v>
      </c>
      <c r="C592" t="s">
        <v>15</v>
      </c>
      <c r="D592" t="s">
        <v>26</v>
      </c>
      <c r="E592" t="s">
        <v>11</v>
      </c>
      <c r="F592" t="s">
        <v>12</v>
      </c>
      <c r="G592" t="s">
        <v>36</v>
      </c>
      <c r="H592">
        <v>8</v>
      </c>
    </row>
    <row r="593" spans="1:8" ht="21.75" customHeight="1" x14ac:dyDescent="0.35">
      <c r="A593" t="s">
        <v>738</v>
      </c>
      <c r="B593" s="3">
        <v>45577</v>
      </c>
      <c r="C593" t="s">
        <v>361</v>
      </c>
      <c r="D593" t="s">
        <v>197</v>
      </c>
      <c r="E593" t="s">
        <v>22</v>
      </c>
      <c r="F593" t="s">
        <v>306</v>
      </c>
      <c r="G593" t="s">
        <v>23</v>
      </c>
      <c r="H593">
        <v>15</v>
      </c>
    </row>
    <row r="594" spans="1:8" ht="21.75" customHeight="1" x14ac:dyDescent="0.35">
      <c r="A594" t="s">
        <v>739</v>
      </c>
      <c r="B594" s="3">
        <v>45639</v>
      </c>
      <c r="C594" t="s">
        <v>449</v>
      </c>
      <c r="D594" t="s">
        <v>16</v>
      </c>
      <c r="E594" t="s">
        <v>22</v>
      </c>
      <c r="F594" t="s">
        <v>306</v>
      </c>
      <c r="G594" t="s">
        <v>23</v>
      </c>
      <c r="H594">
        <v>12</v>
      </c>
    </row>
    <row r="595" spans="1:8" ht="21.75" customHeight="1" x14ac:dyDescent="0.35">
      <c r="A595" t="s">
        <v>740</v>
      </c>
      <c r="B595" s="3">
        <v>45345</v>
      </c>
      <c r="C595" t="s">
        <v>61</v>
      </c>
      <c r="D595" t="s">
        <v>102</v>
      </c>
      <c r="E595" t="s">
        <v>17</v>
      </c>
      <c r="F595" t="s">
        <v>12</v>
      </c>
      <c r="G595" t="s">
        <v>32</v>
      </c>
      <c r="H595">
        <v>5</v>
      </c>
    </row>
    <row r="596" spans="1:8" ht="21.75" customHeight="1" x14ac:dyDescent="0.35">
      <c r="A596" t="s">
        <v>741</v>
      </c>
      <c r="B596" s="3">
        <v>45525</v>
      </c>
      <c r="C596" t="s">
        <v>728</v>
      </c>
      <c r="D596" t="s">
        <v>35</v>
      </c>
      <c r="E596" t="s">
        <v>11</v>
      </c>
      <c r="F596" t="s">
        <v>306</v>
      </c>
      <c r="G596" t="s">
        <v>23</v>
      </c>
      <c r="H596">
        <v>12</v>
      </c>
    </row>
    <row r="597" spans="1:8" ht="21.75" customHeight="1" x14ac:dyDescent="0.35">
      <c r="A597" t="s">
        <v>742</v>
      </c>
      <c r="B597" s="3">
        <v>45648</v>
      </c>
      <c r="C597" t="s">
        <v>430</v>
      </c>
      <c r="D597" t="s">
        <v>74</v>
      </c>
      <c r="E597" t="s">
        <v>17</v>
      </c>
      <c r="F597" t="s">
        <v>12</v>
      </c>
      <c r="G597" t="s">
        <v>13</v>
      </c>
      <c r="H597">
        <v>2</v>
      </c>
    </row>
    <row r="598" spans="1:8" ht="21.75" customHeight="1" x14ac:dyDescent="0.35">
      <c r="A598" t="s">
        <v>743</v>
      </c>
      <c r="B598" s="3">
        <v>45303</v>
      </c>
      <c r="C598" t="s">
        <v>47</v>
      </c>
      <c r="D598" t="s">
        <v>41</v>
      </c>
      <c r="E598" t="s">
        <v>22</v>
      </c>
      <c r="F598" t="s">
        <v>12</v>
      </c>
      <c r="G598" t="s">
        <v>28</v>
      </c>
      <c r="H598">
        <v>6</v>
      </c>
    </row>
    <row r="599" spans="1:8" ht="21.75" customHeight="1" x14ac:dyDescent="0.35">
      <c r="A599" t="s">
        <v>744</v>
      </c>
      <c r="B599" s="3">
        <v>45556</v>
      </c>
      <c r="C599" t="s">
        <v>235</v>
      </c>
      <c r="D599" t="s">
        <v>72</v>
      </c>
      <c r="E599" t="s">
        <v>22</v>
      </c>
      <c r="F599" t="s">
        <v>56</v>
      </c>
      <c r="G599" t="s">
        <v>23</v>
      </c>
      <c r="H599">
        <v>18</v>
      </c>
    </row>
    <row r="600" spans="1:8" ht="21.75" customHeight="1" x14ac:dyDescent="0.35">
      <c r="A600" t="s">
        <v>745</v>
      </c>
      <c r="B600" s="3">
        <v>45410</v>
      </c>
      <c r="C600" t="s">
        <v>341</v>
      </c>
      <c r="D600" t="s">
        <v>45</v>
      </c>
      <c r="E600" t="s">
        <v>22</v>
      </c>
      <c r="F600" t="s">
        <v>56</v>
      </c>
      <c r="G600" t="s">
        <v>36</v>
      </c>
      <c r="H600">
        <v>14</v>
      </c>
    </row>
    <row r="601" spans="1:8" ht="21.75" customHeight="1" x14ac:dyDescent="0.35">
      <c r="A601" t="s">
        <v>746</v>
      </c>
      <c r="B601" s="3">
        <v>45393</v>
      </c>
      <c r="C601" t="s">
        <v>430</v>
      </c>
      <c r="D601" t="s">
        <v>31</v>
      </c>
      <c r="E601" t="s">
        <v>22</v>
      </c>
      <c r="F601" t="s">
        <v>27</v>
      </c>
      <c r="G601" t="s">
        <v>28</v>
      </c>
      <c r="H601">
        <v>1</v>
      </c>
    </row>
    <row r="602" spans="1:8" ht="21.75" customHeight="1" x14ac:dyDescent="0.35">
      <c r="A602" t="s">
        <v>747</v>
      </c>
      <c r="B602" s="3">
        <v>45434</v>
      </c>
      <c r="C602" t="s">
        <v>664</v>
      </c>
      <c r="D602" t="s">
        <v>59</v>
      </c>
      <c r="E602" t="s">
        <v>22</v>
      </c>
      <c r="F602" t="s">
        <v>12</v>
      </c>
      <c r="G602" t="s">
        <v>36</v>
      </c>
      <c r="H602">
        <v>4</v>
      </c>
    </row>
    <row r="603" spans="1:8" ht="21.75" customHeight="1" x14ac:dyDescent="0.35">
      <c r="A603" t="s">
        <v>748</v>
      </c>
      <c r="B603" s="3">
        <v>45387</v>
      </c>
      <c r="C603" t="s">
        <v>83</v>
      </c>
      <c r="D603" t="s">
        <v>70</v>
      </c>
      <c r="E603" t="s">
        <v>17</v>
      </c>
      <c r="F603" t="s">
        <v>56</v>
      </c>
      <c r="G603" t="s">
        <v>23</v>
      </c>
      <c r="H603">
        <v>4</v>
      </c>
    </row>
    <row r="604" spans="1:8" ht="21.75" customHeight="1" x14ac:dyDescent="0.35">
      <c r="A604" t="s">
        <v>749</v>
      </c>
      <c r="B604" s="3">
        <v>45562</v>
      </c>
      <c r="C604" t="s">
        <v>541</v>
      </c>
      <c r="D604" t="s">
        <v>31</v>
      </c>
      <c r="E604" t="s">
        <v>17</v>
      </c>
      <c r="F604" t="s">
        <v>306</v>
      </c>
      <c r="G604" t="s">
        <v>13</v>
      </c>
      <c r="H604">
        <v>20</v>
      </c>
    </row>
    <row r="605" spans="1:8" ht="21.75" customHeight="1" x14ac:dyDescent="0.35">
      <c r="A605" t="s">
        <v>750</v>
      </c>
      <c r="B605" s="3">
        <v>45470</v>
      </c>
      <c r="C605" t="s">
        <v>182</v>
      </c>
      <c r="D605" t="s">
        <v>45</v>
      </c>
      <c r="E605" t="s">
        <v>17</v>
      </c>
      <c r="F605" t="s">
        <v>306</v>
      </c>
      <c r="G605" t="s">
        <v>36</v>
      </c>
      <c r="H605">
        <v>10</v>
      </c>
    </row>
    <row r="606" spans="1:8" ht="21.75" customHeight="1" x14ac:dyDescent="0.35">
      <c r="A606" t="s">
        <v>751</v>
      </c>
      <c r="B606" s="3">
        <v>45335</v>
      </c>
      <c r="C606" t="s">
        <v>422</v>
      </c>
      <c r="D606" t="s">
        <v>102</v>
      </c>
      <c r="E606" t="s">
        <v>11</v>
      </c>
      <c r="F606" t="s">
        <v>42</v>
      </c>
      <c r="G606" t="s">
        <v>28</v>
      </c>
      <c r="H606">
        <v>8</v>
      </c>
    </row>
    <row r="607" spans="1:8" ht="21.75" customHeight="1" x14ac:dyDescent="0.35">
      <c r="A607" t="s">
        <v>752</v>
      </c>
      <c r="B607" s="3">
        <v>45483</v>
      </c>
      <c r="C607" t="s">
        <v>465</v>
      </c>
      <c r="D607" t="s">
        <v>31</v>
      </c>
      <c r="E607" t="s">
        <v>11</v>
      </c>
      <c r="F607" t="s">
        <v>306</v>
      </c>
      <c r="G607" t="s">
        <v>36</v>
      </c>
      <c r="H607">
        <v>14</v>
      </c>
    </row>
    <row r="608" spans="1:8" ht="21.75" customHeight="1" x14ac:dyDescent="0.35">
      <c r="A608" t="s">
        <v>753</v>
      </c>
      <c r="B608" s="3">
        <v>45488</v>
      </c>
      <c r="C608" t="s">
        <v>309</v>
      </c>
      <c r="D608" t="s">
        <v>21</v>
      </c>
      <c r="E608" t="s">
        <v>11</v>
      </c>
      <c r="F608" t="s">
        <v>27</v>
      </c>
      <c r="G608" t="s">
        <v>28</v>
      </c>
      <c r="H608">
        <v>18</v>
      </c>
    </row>
    <row r="609" spans="1:8" ht="21.75" customHeight="1" x14ac:dyDescent="0.35">
      <c r="A609" t="s">
        <v>754</v>
      </c>
      <c r="B609" s="3">
        <v>45576</v>
      </c>
      <c r="C609" t="s">
        <v>30</v>
      </c>
      <c r="D609" t="s">
        <v>16</v>
      </c>
      <c r="E609" t="s">
        <v>17</v>
      </c>
      <c r="F609" t="s">
        <v>42</v>
      </c>
      <c r="G609" t="s">
        <v>23</v>
      </c>
      <c r="H609">
        <v>6</v>
      </c>
    </row>
    <row r="610" spans="1:8" ht="21.75" customHeight="1" x14ac:dyDescent="0.35">
      <c r="A610" t="s">
        <v>755</v>
      </c>
      <c r="B610" s="3">
        <v>45609</v>
      </c>
      <c r="C610" t="s">
        <v>9</v>
      </c>
      <c r="D610" t="s">
        <v>35</v>
      </c>
      <c r="E610" t="s">
        <v>17</v>
      </c>
      <c r="F610" t="s">
        <v>12</v>
      </c>
      <c r="G610" t="s">
        <v>23</v>
      </c>
      <c r="H610">
        <v>5</v>
      </c>
    </row>
    <row r="611" spans="1:8" ht="21.75" customHeight="1" x14ac:dyDescent="0.35">
      <c r="A611" t="s">
        <v>756</v>
      </c>
      <c r="B611" s="3">
        <v>45579</v>
      </c>
      <c r="C611" t="s">
        <v>358</v>
      </c>
      <c r="D611" t="s">
        <v>87</v>
      </c>
      <c r="E611" t="s">
        <v>22</v>
      </c>
      <c r="F611" t="s">
        <v>27</v>
      </c>
      <c r="G611" t="s">
        <v>23</v>
      </c>
      <c r="H611">
        <v>16</v>
      </c>
    </row>
    <row r="612" spans="1:8" ht="21.75" customHeight="1" x14ac:dyDescent="0.35">
      <c r="A612" t="s">
        <v>757</v>
      </c>
      <c r="B612" s="3">
        <v>45542</v>
      </c>
      <c r="C612" t="s">
        <v>30</v>
      </c>
      <c r="D612" t="s">
        <v>96</v>
      </c>
      <c r="E612" t="s">
        <v>11</v>
      </c>
      <c r="F612" t="s">
        <v>306</v>
      </c>
      <c r="G612" t="s">
        <v>32</v>
      </c>
      <c r="H612">
        <v>8</v>
      </c>
    </row>
    <row r="613" spans="1:8" ht="21.75" customHeight="1" x14ac:dyDescent="0.35">
      <c r="A613" t="s">
        <v>758</v>
      </c>
      <c r="B613" s="3">
        <v>45407</v>
      </c>
      <c r="C613" t="s">
        <v>312</v>
      </c>
      <c r="D613" t="s">
        <v>119</v>
      </c>
      <c r="E613" t="s">
        <v>17</v>
      </c>
      <c r="F613" t="s">
        <v>56</v>
      </c>
      <c r="G613" t="s">
        <v>23</v>
      </c>
      <c r="H613">
        <v>15</v>
      </c>
    </row>
    <row r="614" spans="1:8" ht="21.75" customHeight="1" x14ac:dyDescent="0.35">
      <c r="A614" t="s">
        <v>759</v>
      </c>
      <c r="B614" s="3">
        <v>45573</v>
      </c>
      <c r="C614" t="s">
        <v>345</v>
      </c>
      <c r="D614" t="s">
        <v>102</v>
      </c>
      <c r="E614" t="s">
        <v>11</v>
      </c>
      <c r="F614" t="s">
        <v>306</v>
      </c>
      <c r="G614" t="s">
        <v>32</v>
      </c>
      <c r="H614">
        <v>9</v>
      </c>
    </row>
    <row r="615" spans="1:8" ht="21.75" customHeight="1" x14ac:dyDescent="0.35">
      <c r="A615" t="s">
        <v>760</v>
      </c>
      <c r="B615" s="3">
        <v>45569</v>
      </c>
      <c r="C615" t="s">
        <v>664</v>
      </c>
      <c r="D615" t="s">
        <v>174</v>
      </c>
      <c r="E615" t="s">
        <v>11</v>
      </c>
      <c r="F615" t="s">
        <v>27</v>
      </c>
      <c r="G615" t="s">
        <v>13</v>
      </c>
      <c r="H615">
        <v>7</v>
      </c>
    </row>
    <row r="616" spans="1:8" ht="21.75" customHeight="1" x14ac:dyDescent="0.35">
      <c r="A616" t="s">
        <v>761</v>
      </c>
      <c r="B616" s="3">
        <v>45626</v>
      </c>
      <c r="C616" t="s">
        <v>664</v>
      </c>
      <c r="D616" t="s">
        <v>79</v>
      </c>
      <c r="E616" t="s">
        <v>11</v>
      </c>
      <c r="F616" t="s">
        <v>42</v>
      </c>
      <c r="G616" t="s">
        <v>13</v>
      </c>
      <c r="H616">
        <v>15</v>
      </c>
    </row>
    <row r="617" spans="1:8" ht="21.75" customHeight="1" x14ac:dyDescent="0.35">
      <c r="A617" t="s">
        <v>762</v>
      </c>
      <c r="B617" s="3">
        <v>45516</v>
      </c>
      <c r="C617" t="s">
        <v>114</v>
      </c>
      <c r="D617" t="s">
        <v>84</v>
      </c>
      <c r="E617" t="s">
        <v>11</v>
      </c>
      <c r="F617" t="s">
        <v>56</v>
      </c>
      <c r="G617" t="s">
        <v>36</v>
      </c>
      <c r="H617">
        <v>19</v>
      </c>
    </row>
    <row r="618" spans="1:8" ht="21.75" customHeight="1" x14ac:dyDescent="0.35">
      <c r="A618" t="s">
        <v>763</v>
      </c>
      <c r="B618" s="3">
        <v>45615</v>
      </c>
      <c r="C618" t="s">
        <v>309</v>
      </c>
      <c r="D618" t="s">
        <v>16</v>
      </c>
      <c r="E618" t="s">
        <v>11</v>
      </c>
      <c r="F618" t="s">
        <v>306</v>
      </c>
      <c r="G618" t="s">
        <v>13</v>
      </c>
      <c r="H618">
        <v>7</v>
      </c>
    </row>
    <row r="619" spans="1:8" ht="21.75" customHeight="1" x14ac:dyDescent="0.35">
      <c r="A619" t="s">
        <v>764</v>
      </c>
      <c r="B619" s="3">
        <v>45583</v>
      </c>
      <c r="C619" t="s">
        <v>20</v>
      </c>
      <c r="D619" t="s">
        <v>109</v>
      </c>
      <c r="E619" t="s">
        <v>22</v>
      </c>
      <c r="F619" t="s">
        <v>42</v>
      </c>
      <c r="G619" t="s">
        <v>32</v>
      </c>
      <c r="H619">
        <v>18</v>
      </c>
    </row>
    <row r="620" spans="1:8" ht="21.75" customHeight="1" x14ac:dyDescent="0.35">
      <c r="A620" t="s">
        <v>765</v>
      </c>
      <c r="B620" s="3">
        <v>45440</v>
      </c>
      <c r="C620" t="s">
        <v>314</v>
      </c>
      <c r="D620" t="s">
        <v>41</v>
      </c>
      <c r="E620" t="s">
        <v>17</v>
      </c>
      <c r="F620" t="s">
        <v>306</v>
      </c>
      <c r="G620" t="s">
        <v>23</v>
      </c>
      <c r="H620">
        <v>4</v>
      </c>
    </row>
    <row r="621" spans="1:8" ht="21.75" customHeight="1" x14ac:dyDescent="0.35">
      <c r="A621" t="s">
        <v>766</v>
      </c>
      <c r="B621" s="3">
        <v>45322</v>
      </c>
      <c r="C621" t="s">
        <v>89</v>
      </c>
      <c r="D621" t="s">
        <v>62</v>
      </c>
      <c r="E621" t="s">
        <v>22</v>
      </c>
      <c r="F621" t="s">
        <v>56</v>
      </c>
      <c r="G621" t="s">
        <v>32</v>
      </c>
      <c r="H621">
        <v>5</v>
      </c>
    </row>
    <row r="622" spans="1:8" ht="21.75" customHeight="1" x14ac:dyDescent="0.35">
      <c r="A622" t="s">
        <v>767</v>
      </c>
      <c r="B622" s="3">
        <v>45418</v>
      </c>
      <c r="C622" t="s">
        <v>332</v>
      </c>
      <c r="D622" t="s">
        <v>35</v>
      </c>
      <c r="E622" t="s">
        <v>22</v>
      </c>
      <c r="F622" t="s">
        <v>27</v>
      </c>
      <c r="G622" t="s">
        <v>32</v>
      </c>
      <c r="H622">
        <v>5</v>
      </c>
    </row>
    <row r="623" spans="1:8" ht="21.75" customHeight="1" x14ac:dyDescent="0.35">
      <c r="A623" t="s">
        <v>768</v>
      </c>
      <c r="B623" s="3">
        <v>45613</v>
      </c>
      <c r="C623" t="s">
        <v>572</v>
      </c>
      <c r="D623" t="s">
        <v>10</v>
      </c>
      <c r="E623" t="s">
        <v>17</v>
      </c>
      <c r="F623" t="s">
        <v>27</v>
      </c>
      <c r="G623" t="s">
        <v>32</v>
      </c>
      <c r="H623">
        <v>3</v>
      </c>
    </row>
    <row r="624" spans="1:8" ht="21.75" customHeight="1" x14ac:dyDescent="0.35">
      <c r="A624" t="s">
        <v>769</v>
      </c>
      <c r="B624" s="3">
        <v>45647</v>
      </c>
      <c r="C624" t="s">
        <v>200</v>
      </c>
      <c r="D624" t="s">
        <v>72</v>
      </c>
      <c r="E624" t="s">
        <v>17</v>
      </c>
      <c r="F624" t="s">
        <v>27</v>
      </c>
      <c r="G624" t="s">
        <v>13</v>
      </c>
      <c r="H624">
        <v>19</v>
      </c>
    </row>
    <row r="625" spans="1:8" ht="21.75" customHeight="1" x14ac:dyDescent="0.35">
      <c r="A625" t="s">
        <v>770</v>
      </c>
      <c r="B625" s="3">
        <v>45526</v>
      </c>
      <c r="C625" t="s">
        <v>541</v>
      </c>
      <c r="D625" t="s">
        <v>10</v>
      </c>
      <c r="E625" t="s">
        <v>22</v>
      </c>
      <c r="F625" t="s">
        <v>42</v>
      </c>
      <c r="G625" t="s">
        <v>23</v>
      </c>
      <c r="H625">
        <v>18</v>
      </c>
    </row>
    <row r="626" spans="1:8" ht="21.75" customHeight="1" x14ac:dyDescent="0.35">
      <c r="A626" t="s">
        <v>771</v>
      </c>
      <c r="B626" s="3">
        <v>45400</v>
      </c>
      <c r="C626" t="s">
        <v>432</v>
      </c>
      <c r="D626" t="s">
        <v>74</v>
      </c>
      <c r="E626" t="s">
        <v>17</v>
      </c>
      <c r="F626" t="s">
        <v>42</v>
      </c>
      <c r="G626" t="s">
        <v>28</v>
      </c>
      <c r="H626">
        <v>11</v>
      </c>
    </row>
    <row r="627" spans="1:8" ht="21.75" customHeight="1" x14ac:dyDescent="0.35">
      <c r="A627" t="s">
        <v>772</v>
      </c>
      <c r="B627" s="3">
        <v>45581</v>
      </c>
      <c r="C627" t="s">
        <v>374</v>
      </c>
      <c r="D627" t="s">
        <v>79</v>
      </c>
      <c r="E627" t="s">
        <v>17</v>
      </c>
      <c r="F627" t="s">
        <v>12</v>
      </c>
      <c r="G627" t="s">
        <v>23</v>
      </c>
      <c r="H627">
        <v>4</v>
      </c>
    </row>
    <row r="628" spans="1:8" ht="21.75" customHeight="1" x14ac:dyDescent="0.35">
      <c r="A628" t="s">
        <v>773</v>
      </c>
      <c r="B628" s="3">
        <v>45300</v>
      </c>
      <c r="C628" t="s">
        <v>114</v>
      </c>
      <c r="D628" t="s">
        <v>70</v>
      </c>
      <c r="E628" t="s">
        <v>11</v>
      </c>
      <c r="F628" t="s">
        <v>27</v>
      </c>
      <c r="G628" t="s">
        <v>23</v>
      </c>
      <c r="H628">
        <v>1</v>
      </c>
    </row>
    <row r="629" spans="1:8" ht="21.75" customHeight="1" x14ac:dyDescent="0.35">
      <c r="A629" t="s">
        <v>774</v>
      </c>
      <c r="B629" s="3">
        <v>45395</v>
      </c>
      <c r="C629" t="s">
        <v>465</v>
      </c>
      <c r="D629" t="s">
        <v>45</v>
      </c>
      <c r="E629" t="s">
        <v>11</v>
      </c>
      <c r="F629" t="s">
        <v>42</v>
      </c>
      <c r="G629" t="s">
        <v>32</v>
      </c>
      <c r="H629">
        <v>9</v>
      </c>
    </row>
    <row r="630" spans="1:8" ht="21.75" customHeight="1" x14ac:dyDescent="0.35">
      <c r="A630" t="s">
        <v>775</v>
      </c>
      <c r="B630" s="3">
        <v>45420</v>
      </c>
      <c r="C630" t="s">
        <v>81</v>
      </c>
      <c r="D630" t="s">
        <v>79</v>
      </c>
      <c r="E630" t="s">
        <v>17</v>
      </c>
      <c r="F630" t="s">
        <v>56</v>
      </c>
      <c r="G630" t="s">
        <v>28</v>
      </c>
      <c r="H630">
        <v>13</v>
      </c>
    </row>
    <row r="631" spans="1:8" ht="21.75" customHeight="1" x14ac:dyDescent="0.35">
      <c r="A631" t="s">
        <v>776</v>
      </c>
      <c r="B631" s="3">
        <v>45511</v>
      </c>
      <c r="C631" t="s">
        <v>350</v>
      </c>
      <c r="D631" t="s">
        <v>96</v>
      </c>
      <c r="E631" t="s">
        <v>11</v>
      </c>
      <c r="F631" t="s">
        <v>12</v>
      </c>
      <c r="G631" t="s">
        <v>28</v>
      </c>
      <c r="H631">
        <v>7</v>
      </c>
    </row>
    <row r="632" spans="1:8" ht="21.75" customHeight="1" x14ac:dyDescent="0.35">
      <c r="A632" t="s">
        <v>777</v>
      </c>
      <c r="B632" s="3">
        <v>45595</v>
      </c>
      <c r="C632" t="s">
        <v>240</v>
      </c>
      <c r="D632" t="s">
        <v>96</v>
      </c>
      <c r="E632" t="s">
        <v>22</v>
      </c>
      <c r="F632" t="s">
        <v>27</v>
      </c>
      <c r="G632" t="s">
        <v>13</v>
      </c>
      <c r="H632">
        <v>1</v>
      </c>
    </row>
    <row r="633" spans="1:8" ht="21.75" customHeight="1" x14ac:dyDescent="0.35">
      <c r="A633" t="s">
        <v>778</v>
      </c>
      <c r="B633" s="3">
        <v>45508</v>
      </c>
      <c r="C633" t="s">
        <v>465</v>
      </c>
      <c r="D633" t="s">
        <v>10</v>
      </c>
      <c r="E633" t="s">
        <v>11</v>
      </c>
      <c r="F633" t="s">
        <v>27</v>
      </c>
      <c r="G633" t="s">
        <v>13</v>
      </c>
      <c r="H633">
        <v>8</v>
      </c>
    </row>
    <row r="634" spans="1:8" ht="21.75" customHeight="1" x14ac:dyDescent="0.35">
      <c r="A634" t="s">
        <v>779</v>
      </c>
      <c r="B634" s="3">
        <v>45344</v>
      </c>
      <c r="C634" t="s">
        <v>38</v>
      </c>
      <c r="D634" t="s">
        <v>16</v>
      </c>
      <c r="E634" t="s">
        <v>17</v>
      </c>
      <c r="F634" t="s">
        <v>42</v>
      </c>
      <c r="G634" t="s">
        <v>28</v>
      </c>
      <c r="H634">
        <v>13</v>
      </c>
    </row>
    <row r="635" spans="1:8" ht="21.75" customHeight="1" x14ac:dyDescent="0.35">
      <c r="A635" t="s">
        <v>780</v>
      </c>
      <c r="B635" s="3">
        <v>45620</v>
      </c>
      <c r="C635" t="s">
        <v>422</v>
      </c>
      <c r="D635" t="s">
        <v>160</v>
      </c>
      <c r="E635" t="s">
        <v>11</v>
      </c>
      <c r="F635" t="s">
        <v>12</v>
      </c>
      <c r="G635" t="s">
        <v>28</v>
      </c>
      <c r="H635">
        <v>19</v>
      </c>
    </row>
    <row r="636" spans="1:8" ht="21.75" customHeight="1" x14ac:dyDescent="0.35">
      <c r="A636" t="s">
        <v>781</v>
      </c>
      <c r="B636" s="3">
        <v>45517</v>
      </c>
      <c r="C636" t="s">
        <v>20</v>
      </c>
      <c r="D636" t="s">
        <v>21</v>
      </c>
      <c r="E636" t="s">
        <v>22</v>
      </c>
      <c r="F636" t="s">
        <v>56</v>
      </c>
      <c r="G636" t="s">
        <v>36</v>
      </c>
      <c r="H636">
        <v>5</v>
      </c>
    </row>
    <row r="637" spans="1:8" ht="21.75" customHeight="1" x14ac:dyDescent="0.35">
      <c r="A637" t="s">
        <v>782</v>
      </c>
      <c r="B637" s="3">
        <v>45643</v>
      </c>
      <c r="C637" t="s">
        <v>396</v>
      </c>
      <c r="D637" t="s">
        <v>102</v>
      </c>
      <c r="E637" t="s">
        <v>11</v>
      </c>
      <c r="F637" t="s">
        <v>12</v>
      </c>
      <c r="G637" t="s">
        <v>36</v>
      </c>
      <c r="H637">
        <v>5</v>
      </c>
    </row>
    <row r="638" spans="1:8" ht="21.75" customHeight="1" x14ac:dyDescent="0.35">
      <c r="A638" t="s">
        <v>783</v>
      </c>
      <c r="B638" s="3">
        <v>45488</v>
      </c>
      <c r="C638" t="s">
        <v>20</v>
      </c>
      <c r="D638" t="s">
        <v>16</v>
      </c>
      <c r="E638" t="s">
        <v>17</v>
      </c>
      <c r="F638" t="s">
        <v>42</v>
      </c>
      <c r="G638" t="s">
        <v>13</v>
      </c>
      <c r="H638">
        <v>8</v>
      </c>
    </row>
    <row r="639" spans="1:8" ht="21.75" customHeight="1" x14ac:dyDescent="0.35">
      <c r="A639" t="s">
        <v>784</v>
      </c>
      <c r="B639" s="3">
        <v>45419</v>
      </c>
      <c r="C639" t="s">
        <v>378</v>
      </c>
      <c r="D639" t="s">
        <v>84</v>
      </c>
      <c r="E639" t="s">
        <v>22</v>
      </c>
      <c r="F639" t="s">
        <v>306</v>
      </c>
      <c r="G639" t="s">
        <v>13</v>
      </c>
      <c r="H639">
        <v>20</v>
      </c>
    </row>
    <row r="640" spans="1:8" ht="21.75" customHeight="1" x14ac:dyDescent="0.35">
      <c r="A640" t="s">
        <v>785</v>
      </c>
      <c r="B640" s="3">
        <v>45629</v>
      </c>
      <c r="C640" t="s">
        <v>68</v>
      </c>
      <c r="D640" t="s">
        <v>109</v>
      </c>
      <c r="E640" t="s">
        <v>11</v>
      </c>
      <c r="F640" t="s">
        <v>306</v>
      </c>
      <c r="G640" t="s">
        <v>23</v>
      </c>
      <c r="H640">
        <v>17</v>
      </c>
    </row>
    <row r="641" spans="1:8" ht="21.75" customHeight="1" x14ac:dyDescent="0.35">
      <c r="A641" t="s">
        <v>786</v>
      </c>
      <c r="B641" s="3">
        <v>45443</v>
      </c>
      <c r="C641" t="s">
        <v>736</v>
      </c>
      <c r="D641" t="s">
        <v>35</v>
      </c>
      <c r="E641" t="s">
        <v>11</v>
      </c>
      <c r="F641" t="s">
        <v>56</v>
      </c>
      <c r="G641" t="s">
        <v>23</v>
      </c>
      <c r="H641">
        <v>13</v>
      </c>
    </row>
    <row r="642" spans="1:8" ht="21.75" customHeight="1" x14ac:dyDescent="0.35">
      <c r="A642" t="s">
        <v>787</v>
      </c>
      <c r="B642" s="3">
        <v>45618</v>
      </c>
      <c r="C642" t="s">
        <v>327</v>
      </c>
      <c r="D642" t="s">
        <v>96</v>
      </c>
      <c r="E642" t="s">
        <v>11</v>
      </c>
      <c r="F642" t="s">
        <v>306</v>
      </c>
      <c r="G642" t="s">
        <v>28</v>
      </c>
      <c r="H642">
        <v>12</v>
      </c>
    </row>
    <row r="643" spans="1:8" ht="21.75" customHeight="1" x14ac:dyDescent="0.35">
      <c r="A643" t="s">
        <v>788</v>
      </c>
      <c r="B643" s="3">
        <v>45490</v>
      </c>
      <c r="C643" t="s">
        <v>614</v>
      </c>
      <c r="D643" t="s">
        <v>174</v>
      </c>
      <c r="E643" t="s">
        <v>17</v>
      </c>
      <c r="F643" t="s">
        <v>42</v>
      </c>
      <c r="G643" t="s">
        <v>13</v>
      </c>
      <c r="H643">
        <v>6</v>
      </c>
    </row>
    <row r="644" spans="1:8" ht="21.75" customHeight="1" x14ac:dyDescent="0.35">
      <c r="A644" t="s">
        <v>789</v>
      </c>
      <c r="B644" s="3">
        <v>45300</v>
      </c>
      <c r="C644" t="s">
        <v>449</v>
      </c>
      <c r="D644" t="s">
        <v>26</v>
      </c>
      <c r="E644" t="s">
        <v>11</v>
      </c>
      <c r="F644" t="s">
        <v>12</v>
      </c>
      <c r="G644" t="s">
        <v>13</v>
      </c>
      <c r="H644">
        <v>7</v>
      </c>
    </row>
    <row r="645" spans="1:8" ht="21.75" customHeight="1" x14ac:dyDescent="0.35">
      <c r="A645" t="s">
        <v>790</v>
      </c>
      <c r="B645" s="3">
        <v>45495</v>
      </c>
      <c r="C645" t="s">
        <v>358</v>
      </c>
      <c r="D645" t="s">
        <v>119</v>
      </c>
      <c r="E645" t="s">
        <v>17</v>
      </c>
      <c r="F645" t="s">
        <v>306</v>
      </c>
      <c r="G645" t="s">
        <v>23</v>
      </c>
      <c r="H645">
        <v>14</v>
      </c>
    </row>
    <row r="646" spans="1:8" ht="21.75" customHeight="1" x14ac:dyDescent="0.35">
      <c r="A646" t="s">
        <v>791</v>
      </c>
      <c r="B646" s="3">
        <v>45334</v>
      </c>
      <c r="C646" t="s">
        <v>541</v>
      </c>
      <c r="D646" t="s">
        <v>109</v>
      </c>
      <c r="E646" t="s">
        <v>22</v>
      </c>
      <c r="F646" t="s">
        <v>306</v>
      </c>
      <c r="G646" t="s">
        <v>32</v>
      </c>
      <c r="H646">
        <v>5</v>
      </c>
    </row>
    <row r="647" spans="1:8" ht="21.75" customHeight="1" x14ac:dyDescent="0.35">
      <c r="A647" t="s">
        <v>792</v>
      </c>
      <c r="B647" s="3">
        <v>45332</v>
      </c>
      <c r="C647" t="s">
        <v>345</v>
      </c>
      <c r="D647" t="s">
        <v>174</v>
      </c>
      <c r="E647" t="s">
        <v>11</v>
      </c>
      <c r="F647" t="s">
        <v>56</v>
      </c>
      <c r="G647" t="s">
        <v>13</v>
      </c>
      <c r="H647">
        <v>11</v>
      </c>
    </row>
    <row r="648" spans="1:8" ht="21.75" customHeight="1" x14ac:dyDescent="0.35">
      <c r="A648" t="s">
        <v>793</v>
      </c>
      <c r="B648" s="3">
        <v>45450</v>
      </c>
      <c r="C648" t="s">
        <v>424</v>
      </c>
      <c r="D648" t="s">
        <v>79</v>
      </c>
      <c r="E648" t="s">
        <v>17</v>
      </c>
      <c r="F648" t="s">
        <v>56</v>
      </c>
      <c r="G648" t="s">
        <v>23</v>
      </c>
      <c r="H648">
        <v>8</v>
      </c>
    </row>
    <row r="649" spans="1:8" ht="21.75" customHeight="1" x14ac:dyDescent="0.35">
      <c r="A649" t="s">
        <v>794</v>
      </c>
      <c r="B649" s="3">
        <v>45351</v>
      </c>
      <c r="C649" t="s">
        <v>366</v>
      </c>
      <c r="D649" t="s">
        <v>79</v>
      </c>
      <c r="E649" t="s">
        <v>22</v>
      </c>
      <c r="F649" t="s">
        <v>306</v>
      </c>
      <c r="G649" t="s">
        <v>28</v>
      </c>
      <c r="H649">
        <v>10</v>
      </c>
    </row>
    <row r="650" spans="1:8" ht="21.75" customHeight="1" x14ac:dyDescent="0.35">
      <c r="A650" t="s">
        <v>795</v>
      </c>
      <c r="B650" s="3">
        <v>45353</v>
      </c>
      <c r="C650" t="s">
        <v>142</v>
      </c>
      <c r="D650" t="s">
        <v>62</v>
      </c>
      <c r="E650" t="s">
        <v>22</v>
      </c>
      <c r="F650" t="s">
        <v>56</v>
      </c>
      <c r="G650" t="s">
        <v>32</v>
      </c>
      <c r="H650">
        <v>1</v>
      </c>
    </row>
    <row r="651" spans="1:8" ht="21.75" customHeight="1" x14ac:dyDescent="0.35">
      <c r="A651" t="s">
        <v>796</v>
      </c>
      <c r="B651" s="3">
        <v>45559</v>
      </c>
      <c r="C651" t="s">
        <v>363</v>
      </c>
      <c r="D651" t="s">
        <v>45</v>
      </c>
      <c r="E651" t="s">
        <v>22</v>
      </c>
      <c r="F651" t="s">
        <v>42</v>
      </c>
      <c r="G651" t="s">
        <v>32</v>
      </c>
      <c r="H651">
        <v>12</v>
      </c>
    </row>
    <row r="652" spans="1:8" ht="21.75" customHeight="1" x14ac:dyDescent="0.35">
      <c r="A652" t="s">
        <v>797</v>
      </c>
      <c r="B652" s="3">
        <v>45352</v>
      </c>
      <c r="C652" t="s">
        <v>337</v>
      </c>
      <c r="D652" t="s">
        <v>87</v>
      </c>
      <c r="E652" t="s">
        <v>11</v>
      </c>
      <c r="F652" t="s">
        <v>42</v>
      </c>
      <c r="G652" t="s">
        <v>32</v>
      </c>
      <c r="H652">
        <v>9</v>
      </c>
    </row>
    <row r="653" spans="1:8" ht="21.75" customHeight="1" x14ac:dyDescent="0.35">
      <c r="A653" t="s">
        <v>798</v>
      </c>
      <c r="B653" s="3">
        <v>45656</v>
      </c>
      <c r="C653" t="s">
        <v>314</v>
      </c>
      <c r="D653" t="s">
        <v>35</v>
      </c>
      <c r="E653" t="s">
        <v>22</v>
      </c>
      <c r="F653" t="s">
        <v>12</v>
      </c>
      <c r="G653" t="s">
        <v>13</v>
      </c>
      <c r="H653">
        <v>15</v>
      </c>
    </row>
    <row r="654" spans="1:8" ht="21.75" customHeight="1" x14ac:dyDescent="0.35">
      <c r="A654" t="s">
        <v>799</v>
      </c>
      <c r="B654" s="3">
        <v>45547</v>
      </c>
      <c r="C654" t="s">
        <v>614</v>
      </c>
      <c r="D654" t="s">
        <v>45</v>
      </c>
      <c r="E654" t="s">
        <v>11</v>
      </c>
      <c r="F654" t="s">
        <v>42</v>
      </c>
      <c r="G654" t="s">
        <v>36</v>
      </c>
      <c r="H654">
        <v>9</v>
      </c>
    </row>
    <row r="655" spans="1:8" ht="21.75" customHeight="1" x14ac:dyDescent="0.35">
      <c r="A655" t="s">
        <v>800</v>
      </c>
      <c r="B655" s="3">
        <v>45637</v>
      </c>
      <c r="C655" t="s">
        <v>329</v>
      </c>
      <c r="D655" t="s">
        <v>84</v>
      </c>
      <c r="E655" t="s">
        <v>11</v>
      </c>
      <c r="F655" t="s">
        <v>56</v>
      </c>
      <c r="G655" t="s">
        <v>13</v>
      </c>
      <c r="H655">
        <v>17</v>
      </c>
    </row>
    <row r="656" spans="1:8" ht="21.75" customHeight="1" x14ac:dyDescent="0.35">
      <c r="A656" t="s">
        <v>801</v>
      </c>
      <c r="B656" s="3">
        <v>45417</v>
      </c>
      <c r="C656" t="s">
        <v>116</v>
      </c>
      <c r="D656" t="s">
        <v>31</v>
      </c>
      <c r="E656" t="s">
        <v>17</v>
      </c>
      <c r="F656" t="s">
        <v>42</v>
      </c>
      <c r="G656" t="s">
        <v>13</v>
      </c>
      <c r="H656">
        <v>5</v>
      </c>
    </row>
    <row r="657" spans="1:8" ht="21.75" customHeight="1" x14ac:dyDescent="0.35">
      <c r="A657" t="s">
        <v>802</v>
      </c>
      <c r="B657" s="3">
        <v>45575</v>
      </c>
      <c r="C657" t="s">
        <v>436</v>
      </c>
      <c r="D657" t="s">
        <v>197</v>
      </c>
      <c r="E657" t="s">
        <v>22</v>
      </c>
      <c r="F657" t="s">
        <v>27</v>
      </c>
      <c r="G657" t="s">
        <v>32</v>
      </c>
      <c r="H657">
        <v>11</v>
      </c>
    </row>
    <row r="658" spans="1:8" ht="21.75" customHeight="1" x14ac:dyDescent="0.35">
      <c r="A658" t="s">
        <v>803</v>
      </c>
      <c r="B658" s="3">
        <v>45430</v>
      </c>
      <c r="C658" t="s">
        <v>208</v>
      </c>
      <c r="D658" t="s">
        <v>102</v>
      </c>
      <c r="E658" t="s">
        <v>22</v>
      </c>
      <c r="F658" t="s">
        <v>42</v>
      </c>
      <c r="G658" t="s">
        <v>13</v>
      </c>
      <c r="H658">
        <v>17</v>
      </c>
    </row>
    <row r="659" spans="1:8" ht="21.75" customHeight="1" x14ac:dyDescent="0.35">
      <c r="A659" t="s">
        <v>804</v>
      </c>
      <c r="B659" s="3">
        <v>45383</v>
      </c>
      <c r="C659" t="s">
        <v>240</v>
      </c>
      <c r="D659" t="s">
        <v>31</v>
      </c>
      <c r="E659" t="s">
        <v>22</v>
      </c>
      <c r="F659" t="s">
        <v>12</v>
      </c>
      <c r="G659" t="s">
        <v>32</v>
      </c>
      <c r="H659">
        <v>3</v>
      </c>
    </row>
    <row r="660" spans="1:8" ht="21.75" customHeight="1" x14ac:dyDescent="0.35">
      <c r="A660" t="s">
        <v>805</v>
      </c>
      <c r="B660" s="3">
        <v>45451</v>
      </c>
      <c r="C660" t="s">
        <v>187</v>
      </c>
      <c r="D660" t="s">
        <v>70</v>
      </c>
      <c r="E660" t="s">
        <v>11</v>
      </c>
      <c r="F660" t="s">
        <v>306</v>
      </c>
      <c r="G660" t="s">
        <v>32</v>
      </c>
      <c r="H660">
        <v>1</v>
      </c>
    </row>
    <row r="661" spans="1:8" ht="21.75" customHeight="1" x14ac:dyDescent="0.35">
      <c r="A661" t="s">
        <v>806</v>
      </c>
      <c r="B661" s="3">
        <v>45580</v>
      </c>
      <c r="C661" t="s">
        <v>728</v>
      </c>
      <c r="D661" t="s">
        <v>197</v>
      </c>
      <c r="E661" t="s">
        <v>17</v>
      </c>
      <c r="F661" t="s">
        <v>306</v>
      </c>
      <c r="G661" t="s">
        <v>23</v>
      </c>
      <c r="H661">
        <v>15</v>
      </c>
    </row>
    <row r="662" spans="1:8" ht="21.75" customHeight="1" x14ac:dyDescent="0.35">
      <c r="A662" t="s">
        <v>807</v>
      </c>
      <c r="B662" s="3">
        <v>45392</v>
      </c>
      <c r="C662" t="s">
        <v>388</v>
      </c>
      <c r="D662" t="s">
        <v>16</v>
      </c>
      <c r="E662" t="s">
        <v>22</v>
      </c>
      <c r="F662" t="s">
        <v>56</v>
      </c>
      <c r="G662" t="s">
        <v>13</v>
      </c>
      <c r="H662">
        <v>1</v>
      </c>
    </row>
    <row r="663" spans="1:8" ht="21.75" customHeight="1" x14ac:dyDescent="0.35">
      <c r="A663" t="s">
        <v>808</v>
      </c>
      <c r="B663" s="3">
        <v>45411</v>
      </c>
      <c r="C663" t="s">
        <v>591</v>
      </c>
      <c r="D663" t="s">
        <v>72</v>
      </c>
      <c r="E663" t="s">
        <v>17</v>
      </c>
      <c r="F663" t="s">
        <v>12</v>
      </c>
      <c r="G663" t="s">
        <v>23</v>
      </c>
      <c r="H663">
        <v>1</v>
      </c>
    </row>
    <row r="664" spans="1:8" ht="21.75" customHeight="1" x14ac:dyDescent="0.35">
      <c r="A664" t="s">
        <v>809</v>
      </c>
      <c r="B664" s="3">
        <v>45449</v>
      </c>
      <c r="C664" t="s">
        <v>15</v>
      </c>
      <c r="D664" t="s">
        <v>197</v>
      </c>
      <c r="E664" t="s">
        <v>11</v>
      </c>
      <c r="F664" t="s">
        <v>306</v>
      </c>
      <c r="G664" t="s">
        <v>13</v>
      </c>
      <c r="H664">
        <v>14</v>
      </c>
    </row>
    <row r="665" spans="1:8" ht="21.75" customHeight="1" x14ac:dyDescent="0.35">
      <c r="A665" t="s">
        <v>810</v>
      </c>
      <c r="B665" s="3">
        <v>45364</v>
      </c>
      <c r="C665" t="s">
        <v>436</v>
      </c>
      <c r="D665" t="s">
        <v>79</v>
      </c>
      <c r="E665" t="s">
        <v>17</v>
      </c>
      <c r="F665" t="s">
        <v>12</v>
      </c>
      <c r="G665" t="s">
        <v>36</v>
      </c>
      <c r="H665">
        <v>8</v>
      </c>
    </row>
    <row r="666" spans="1:8" ht="21.75" customHeight="1" x14ac:dyDescent="0.35">
      <c r="A666" t="s">
        <v>811</v>
      </c>
      <c r="B666" s="3">
        <v>45503</v>
      </c>
      <c r="C666" t="s">
        <v>424</v>
      </c>
      <c r="D666" t="s">
        <v>84</v>
      </c>
      <c r="E666" t="s">
        <v>17</v>
      </c>
      <c r="F666" t="s">
        <v>27</v>
      </c>
      <c r="G666" t="s">
        <v>36</v>
      </c>
      <c r="H666">
        <v>3</v>
      </c>
    </row>
    <row r="667" spans="1:8" ht="21.75" customHeight="1" x14ac:dyDescent="0.35">
      <c r="A667" t="s">
        <v>812</v>
      </c>
      <c r="B667" s="3">
        <v>45360</v>
      </c>
      <c r="C667" t="s">
        <v>541</v>
      </c>
      <c r="D667" t="s">
        <v>59</v>
      </c>
      <c r="E667" t="s">
        <v>17</v>
      </c>
      <c r="F667" t="s">
        <v>12</v>
      </c>
      <c r="G667" t="s">
        <v>28</v>
      </c>
      <c r="H667">
        <v>19</v>
      </c>
    </row>
    <row r="668" spans="1:8" ht="21.75" customHeight="1" x14ac:dyDescent="0.35">
      <c r="A668" t="s">
        <v>813</v>
      </c>
      <c r="B668" s="3">
        <v>45413</v>
      </c>
      <c r="C668" t="s">
        <v>61</v>
      </c>
      <c r="D668" t="s">
        <v>31</v>
      </c>
      <c r="E668" t="s">
        <v>17</v>
      </c>
      <c r="F668" t="s">
        <v>42</v>
      </c>
      <c r="G668" t="s">
        <v>32</v>
      </c>
      <c r="H668">
        <v>11</v>
      </c>
    </row>
    <row r="669" spans="1:8" ht="21.75" customHeight="1" x14ac:dyDescent="0.35">
      <c r="A669" t="s">
        <v>814</v>
      </c>
      <c r="B669" s="3">
        <v>45411</v>
      </c>
      <c r="C669" t="s">
        <v>208</v>
      </c>
      <c r="D669" t="s">
        <v>119</v>
      </c>
      <c r="E669" t="s">
        <v>11</v>
      </c>
      <c r="F669" t="s">
        <v>56</v>
      </c>
      <c r="G669" t="s">
        <v>13</v>
      </c>
      <c r="H669">
        <v>19</v>
      </c>
    </row>
    <row r="670" spans="1:8" ht="21.75" customHeight="1" x14ac:dyDescent="0.35">
      <c r="A670" t="s">
        <v>815</v>
      </c>
      <c r="B670" s="3">
        <v>45376</v>
      </c>
      <c r="C670" t="s">
        <v>430</v>
      </c>
      <c r="D670" t="s">
        <v>87</v>
      </c>
      <c r="E670" t="s">
        <v>17</v>
      </c>
      <c r="F670" t="s">
        <v>42</v>
      </c>
      <c r="G670" t="s">
        <v>28</v>
      </c>
      <c r="H670">
        <v>4</v>
      </c>
    </row>
    <row r="671" spans="1:8" ht="21.75" customHeight="1" x14ac:dyDescent="0.35">
      <c r="A671" t="s">
        <v>816</v>
      </c>
      <c r="B671" s="3">
        <v>45523</v>
      </c>
      <c r="C671" t="s">
        <v>147</v>
      </c>
      <c r="D671" t="s">
        <v>102</v>
      </c>
      <c r="E671" t="s">
        <v>17</v>
      </c>
      <c r="F671" t="s">
        <v>42</v>
      </c>
      <c r="G671" t="s">
        <v>32</v>
      </c>
      <c r="H671">
        <v>3</v>
      </c>
    </row>
    <row r="672" spans="1:8" ht="21.75" customHeight="1" x14ac:dyDescent="0.35">
      <c r="A672" t="s">
        <v>817</v>
      </c>
      <c r="B672" s="3">
        <v>45652</v>
      </c>
      <c r="C672" t="s">
        <v>424</v>
      </c>
      <c r="D672" t="s">
        <v>65</v>
      </c>
      <c r="E672" t="s">
        <v>22</v>
      </c>
      <c r="F672" t="s">
        <v>12</v>
      </c>
      <c r="G672" t="s">
        <v>28</v>
      </c>
      <c r="H672">
        <v>11</v>
      </c>
    </row>
    <row r="673" spans="1:8" ht="21.75" customHeight="1" x14ac:dyDescent="0.35">
      <c r="A673" t="s">
        <v>818</v>
      </c>
      <c r="B673" s="3">
        <v>45474</v>
      </c>
      <c r="C673" t="s">
        <v>106</v>
      </c>
      <c r="D673" t="s">
        <v>41</v>
      </c>
      <c r="E673" t="s">
        <v>22</v>
      </c>
      <c r="F673" t="s">
        <v>12</v>
      </c>
      <c r="G673" t="s">
        <v>28</v>
      </c>
      <c r="H673">
        <v>10</v>
      </c>
    </row>
    <row r="674" spans="1:8" ht="21.75" customHeight="1" x14ac:dyDescent="0.35">
      <c r="A674" t="s">
        <v>819</v>
      </c>
      <c r="B674" s="3">
        <v>45307</v>
      </c>
      <c r="C674" t="s">
        <v>341</v>
      </c>
      <c r="D674" t="s">
        <v>84</v>
      </c>
      <c r="E674" t="s">
        <v>17</v>
      </c>
      <c r="F674" t="s">
        <v>306</v>
      </c>
      <c r="G674" t="s">
        <v>23</v>
      </c>
      <c r="H674">
        <v>18</v>
      </c>
    </row>
    <row r="675" spans="1:8" ht="21.75" customHeight="1" x14ac:dyDescent="0.35">
      <c r="A675" t="s">
        <v>820</v>
      </c>
      <c r="B675" s="3">
        <v>45344</v>
      </c>
      <c r="C675" t="s">
        <v>99</v>
      </c>
      <c r="D675" t="s">
        <v>79</v>
      </c>
      <c r="E675" t="s">
        <v>11</v>
      </c>
      <c r="F675" t="s">
        <v>12</v>
      </c>
      <c r="G675" t="s">
        <v>23</v>
      </c>
      <c r="H675">
        <v>8</v>
      </c>
    </row>
    <row r="676" spans="1:8" ht="21.75" customHeight="1" x14ac:dyDescent="0.35">
      <c r="A676" t="s">
        <v>821</v>
      </c>
      <c r="B676" s="3">
        <v>45482</v>
      </c>
      <c r="C676" t="s">
        <v>455</v>
      </c>
      <c r="D676" t="s">
        <v>59</v>
      </c>
      <c r="E676" t="s">
        <v>22</v>
      </c>
      <c r="F676" t="s">
        <v>12</v>
      </c>
      <c r="G676" t="s">
        <v>13</v>
      </c>
      <c r="H676">
        <v>19</v>
      </c>
    </row>
    <row r="677" spans="1:8" ht="21.75" customHeight="1" x14ac:dyDescent="0.35">
      <c r="A677" t="s">
        <v>822</v>
      </c>
      <c r="B677" s="3">
        <v>45303</v>
      </c>
      <c r="C677" t="s">
        <v>58</v>
      </c>
      <c r="D677" t="s">
        <v>16</v>
      </c>
      <c r="E677" t="s">
        <v>11</v>
      </c>
      <c r="F677" t="s">
        <v>27</v>
      </c>
      <c r="G677" t="s">
        <v>32</v>
      </c>
      <c r="H677">
        <v>3</v>
      </c>
    </row>
    <row r="678" spans="1:8" ht="21.75" customHeight="1" x14ac:dyDescent="0.35">
      <c r="A678" t="s">
        <v>823</v>
      </c>
      <c r="B678" s="3">
        <v>45354</v>
      </c>
      <c r="C678" t="s">
        <v>116</v>
      </c>
      <c r="D678" t="s">
        <v>45</v>
      </c>
      <c r="E678" t="s">
        <v>17</v>
      </c>
      <c r="F678" t="s">
        <v>12</v>
      </c>
      <c r="G678" t="s">
        <v>23</v>
      </c>
      <c r="H678">
        <v>19</v>
      </c>
    </row>
    <row r="679" spans="1:8" ht="21.75" customHeight="1" x14ac:dyDescent="0.35">
      <c r="A679" t="s">
        <v>824</v>
      </c>
      <c r="B679" s="3">
        <v>45546</v>
      </c>
      <c r="C679" t="s">
        <v>64</v>
      </c>
      <c r="D679" t="s">
        <v>45</v>
      </c>
      <c r="E679" t="s">
        <v>17</v>
      </c>
      <c r="F679" t="s">
        <v>27</v>
      </c>
      <c r="G679" t="s">
        <v>28</v>
      </c>
      <c r="H679">
        <v>12</v>
      </c>
    </row>
    <row r="680" spans="1:8" ht="21.75" customHeight="1" x14ac:dyDescent="0.35">
      <c r="A680" t="s">
        <v>825</v>
      </c>
      <c r="B680" s="3">
        <v>45432</v>
      </c>
      <c r="C680" t="s">
        <v>89</v>
      </c>
      <c r="D680" t="s">
        <v>79</v>
      </c>
      <c r="E680" t="s">
        <v>17</v>
      </c>
      <c r="F680" t="s">
        <v>56</v>
      </c>
      <c r="G680" t="s">
        <v>28</v>
      </c>
      <c r="H680">
        <v>20</v>
      </c>
    </row>
    <row r="681" spans="1:8" ht="21.75" customHeight="1" x14ac:dyDescent="0.35">
      <c r="A681" t="s">
        <v>826</v>
      </c>
      <c r="B681" s="3">
        <v>45623</v>
      </c>
      <c r="C681" t="s">
        <v>61</v>
      </c>
      <c r="D681" t="s">
        <v>174</v>
      </c>
      <c r="E681" t="s">
        <v>17</v>
      </c>
      <c r="F681" t="s">
        <v>27</v>
      </c>
      <c r="G681" t="s">
        <v>32</v>
      </c>
      <c r="H681">
        <v>16</v>
      </c>
    </row>
    <row r="682" spans="1:8" ht="21.75" customHeight="1" x14ac:dyDescent="0.35">
      <c r="A682" t="s">
        <v>827</v>
      </c>
      <c r="B682" s="3">
        <v>45488</v>
      </c>
      <c r="C682" t="s">
        <v>99</v>
      </c>
      <c r="D682" t="s">
        <v>21</v>
      </c>
      <c r="E682" t="s">
        <v>17</v>
      </c>
      <c r="F682" t="s">
        <v>56</v>
      </c>
      <c r="G682" t="s">
        <v>36</v>
      </c>
      <c r="H682">
        <v>17</v>
      </c>
    </row>
    <row r="683" spans="1:8" ht="21.75" customHeight="1" x14ac:dyDescent="0.35">
      <c r="A683" t="s">
        <v>828</v>
      </c>
      <c r="B683" s="3">
        <v>45301</v>
      </c>
      <c r="C683" t="s">
        <v>159</v>
      </c>
      <c r="D683" t="s">
        <v>35</v>
      </c>
      <c r="E683" t="s">
        <v>22</v>
      </c>
      <c r="F683" t="s">
        <v>42</v>
      </c>
      <c r="G683" t="s">
        <v>32</v>
      </c>
      <c r="H683">
        <v>18</v>
      </c>
    </row>
    <row r="684" spans="1:8" ht="21.75" customHeight="1" x14ac:dyDescent="0.35">
      <c r="A684" t="s">
        <v>829</v>
      </c>
      <c r="B684" s="3">
        <v>45581</v>
      </c>
      <c r="C684" t="s">
        <v>358</v>
      </c>
      <c r="D684" t="s">
        <v>26</v>
      </c>
      <c r="E684" t="s">
        <v>17</v>
      </c>
      <c r="F684" t="s">
        <v>27</v>
      </c>
      <c r="G684" t="s">
        <v>36</v>
      </c>
      <c r="H684">
        <v>6</v>
      </c>
    </row>
    <row r="685" spans="1:8" ht="21.75" customHeight="1" x14ac:dyDescent="0.35">
      <c r="A685" t="s">
        <v>830</v>
      </c>
      <c r="B685" s="3">
        <v>45404</v>
      </c>
      <c r="C685" t="s">
        <v>64</v>
      </c>
      <c r="D685" t="s">
        <v>35</v>
      </c>
      <c r="E685" t="s">
        <v>17</v>
      </c>
      <c r="F685" t="s">
        <v>12</v>
      </c>
      <c r="G685" t="s">
        <v>36</v>
      </c>
      <c r="H685">
        <v>17</v>
      </c>
    </row>
    <row r="686" spans="1:8" ht="21.75" customHeight="1" x14ac:dyDescent="0.35">
      <c r="A686" t="s">
        <v>831</v>
      </c>
      <c r="B686" s="3">
        <v>45411</v>
      </c>
      <c r="C686" t="s">
        <v>111</v>
      </c>
      <c r="D686" t="s">
        <v>41</v>
      </c>
      <c r="E686" t="s">
        <v>11</v>
      </c>
      <c r="F686" t="s">
        <v>56</v>
      </c>
      <c r="G686" t="s">
        <v>13</v>
      </c>
      <c r="H686">
        <v>8</v>
      </c>
    </row>
    <row r="687" spans="1:8" ht="21.75" customHeight="1" x14ac:dyDescent="0.35">
      <c r="A687" t="s">
        <v>832</v>
      </c>
      <c r="B687" s="3">
        <v>45404</v>
      </c>
      <c r="C687" t="s">
        <v>314</v>
      </c>
      <c r="D687" t="s">
        <v>45</v>
      </c>
      <c r="E687" t="s">
        <v>17</v>
      </c>
      <c r="F687" t="s">
        <v>42</v>
      </c>
      <c r="G687" t="s">
        <v>32</v>
      </c>
      <c r="H687">
        <v>6</v>
      </c>
    </row>
    <row r="688" spans="1:8" ht="21.75" customHeight="1" x14ac:dyDescent="0.35">
      <c r="A688" t="s">
        <v>833</v>
      </c>
      <c r="B688" s="3">
        <v>45649</v>
      </c>
      <c r="C688" t="s">
        <v>182</v>
      </c>
      <c r="D688" t="s">
        <v>62</v>
      </c>
      <c r="E688" t="s">
        <v>22</v>
      </c>
      <c r="F688" t="s">
        <v>12</v>
      </c>
      <c r="G688" t="s">
        <v>36</v>
      </c>
      <c r="H688">
        <v>12</v>
      </c>
    </row>
    <row r="689" spans="1:8" ht="21.75" customHeight="1" x14ac:dyDescent="0.35">
      <c r="A689" t="s">
        <v>834</v>
      </c>
      <c r="B689" s="3">
        <v>45364</v>
      </c>
      <c r="C689" t="s">
        <v>614</v>
      </c>
      <c r="D689" t="s">
        <v>174</v>
      </c>
      <c r="E689" t="s">
        <v>11</v>
      </c>
      <c r="F689" t="s">
        <v>27</v>
      </c>
      <c r="G689" t="s">
        <v>13</v>
      </c>
      <c r="H689">
        <v>10</v>
      </c>
    </row>
    <row r="690" spans="1:8" ht="21.75" customHeight="1" x14ac:dyDescent="0.35">
      <c r="A690" t="s">
        <v>835</v>
      </c>
      <c r="B690" s="3">
        <v>45338</v>
      </c>
      <c r="C690" t="s">
        <v>131</v>
      </c>
      <c r="D690" t="s">
        <v>197</v>
      </c>
      <c r="E690" t="s">
        <v>11</v>
      </c>
      <c r="F690" t="s">
        <v>306</v>
      </c>
      <c r="G690" t="s">
        <v>13</v>
      </c>
      <c r="H690">
        <v>1</v>
      </c>
    </row>
    <row r="691" spans="1:8" ht="21.75" customHeight="1" x14ac:dyDescent="0.35">
      <c r="A691" t="s">
        <v>836</v>
      </c>
      <c r="B691" s="3">
        <v>45461</v>
      </c>
      <c r="C691" t="s">
        <v>594</v>
      </c>
      <c r="D691" t="s">
        <v>72</v>
      </c>
      <c r="E691" t="s">
        <v>11</v>
      </c>
      <c r="F691" t="s">
        <v>56</v>
      </c>
      <c r="G691" t="s">
        <v>32</v>
      </c>
      <c r="H691">
        <v>6</v>
      </c>
    </row>
    <row r="692" spans="1:8" ht="21.75" customHeight="1" x14ac:dyDescent="0.35">
      <c r="A692" t="s">
        <v>837</v>
      </c>
      <c r="B692" s="3">
        <v>45322</v>
      </c>
      <c r="C692" t="s">
        <v>138</v>
      </c>
      <c r="D692" t="s">
        <v>62</v>
      </c>
      <c r="E692" t="s">
        <v>11</v>
      </c>
      <c r="F692" t="s">
        <v>306</v>
      </c>
      <c r="G692" t="s">
        <v>36</v>
      </c>
      <c r="H692">
        <v>5</v>
      </c>
    </row>
    <row r="693" spans="1:8" ht="21.75" customHeight="1" x14ac:dyDescent="0.35">
      <c r="A693" t="s">
        <v>838</v>
      </c>
      <c r="B693" s="3">
        <v>45478</v>
      </c>
      <c r="C693" t="s">
        <v>208</v>
      </c>
      <c r="D693" t="s">
        <v>59</v>
      </c>
      <c r="E693" t="s">
        <v>17</v>
      </c>
      <c r="F693" t="s">
        <v>27</v>
      </c>
      <c r="G693" t="s">
        <v>32</v>
      </c>
      <c r="H693">
        <v>4</v>
      </c>
    </row>
    <row r="694" spans="1:8" ht="21.75" customHeight="1" x14ac:dyDescent="0.35">
      <c r="A694" t="s">
        <v>839</v>
      </c>
      <c r="B694" s="3">
        <v>45361</v>
      </c>
      <c r="C694" t="s">
        <v>111</v>
      </c>
      <c r="D694" t="s">
        <v>21</v>
      </c>
      <c r="E694" t="s">
        <v>22</v>
      </c>
      <c r="F694" t="s">
        <v>27</v>
      </c>
      <c r="G694" t="s">
        <v>28</v>
      </c>
      <c r="H694">
        <v>16</v>
      </c>
    </row>
    <row r="695" spans="1:8" ht="21.75" customHeight="1" x14ac:dyDescent="0.35">
      <c r="A695" t="s">
        <v>840</v>
      </c>
      <c r="B695" s="3">
        <v>45654</v>
      </c>
      <c r="C695" t="s">
        <v>642</v>
      </c>
      <c r="D695" t="s">
        <v>48</v>
      </c>
      <c r="E695" t="s">
        <v>22</v>
      </c>
      <c r="F695" t="s">
        <v>306</v>
      </c>
      <c r="G695" t="s">
        <v>28</v>
      </c>
      <c r="H695">
        <v>8</v>
      </c>
    </row>
    <row r="696" spans="1:8" ht="21.75" customHeight="1" x14ac:dyDescent="0.35">
      <c r="A696" t="s">
        <v>841</v>
      </c>
      <c r="B696" s="3">
        <v>45485</v>
      </c>
      <c r="C696" t="s">
        <v>147</v>
      </c>
      <c r="D696" t="s">
        <v>16</v>
      </c>
      <c r="E696" t="s">
        <v>22</v>
      </c>
      <c r="F696" t="s">
        <v>42</v>
      </c>
      <c r="G696" t="s">
        <v>36</v>
      </c>
      <c r="H696">
        <v>6</v>
      </c>
    </row>
    <row r="697" spans="1:8" ht="21.75" customHeight="1" x14ac:dyDescent="0.35">
      <c r="A697" t="s">
        <v>842</v>
      </c>
      <c r="B697" s="3">
        <v>45492</v>
      </c>
      <c r="C697" t="s">
        <v>337</v>
      </c>
      <c r="D697" t="s">
        <v>45</v>
      </c>
      <c r="E697" t="s">
        <v>22</v>
      </c>
      <c r="F697" t="s">
        <v>12</v>
      </c>
      <c r="G697" t="s">
        <v>36</v>
      </c>
      <c r="H697">
        <v>20</v>
      </c>
    </row>
    <row r="698" spans="1:8" ht="21.75" customHeight="1" x14ac:dyDescent="0.35">
      <c r="A698" t="s">
        <v>843</v>
      </c>
      <c r="B698" s="3">
        <v>45405</v>
      </c>
      <c r="C698" t="s">
        <v>541</v>
      </c>
      <c r="D698" t="s">
        <v>35</v>
      </c>
      <c r="E698" t="s">
        <v>22</v>
      </c>
      <c r="F698" t="s">
        <v>12</v>
      </c>
      <c r="G698" t="s">
        <v>13</v>
      </c>
      <c r="H698">
        <v>5</v>
      </c>
    </row>
    <row r="699" spans="1:8" ht="21.75" customHeight="1" x14ac:dyDescent="0.35">
      <c r="A699" t="s">
        <v>844</v>
      </c>
      <c r="B699" s="3">
        <v>45413</v>
      </c>
      <c r="C699" t="s">
        <v>20</v>
      </c>
      <c r="D699" t="s">
        <v>21</v>
      </c>
      <c r="E699" t="s">
        <v>17</v>
      </c>
      <c r="F699" t="s">
        <v>56</v>
      </c>
      <c r="G699" t="s">
        <v>32</v>
      </c>
      <c r="H699">
        <v>3</v>
      </c>
    </row>
    <row r="700" spans="1:8" ht="21.75" customHeight="1" x14ac:dyDescent="0.35">
      <c r="A700" t="s">
        <v>845</v>
      </c>
      <c r="B700" s="3">
        <v>45520</v>
      </c>
      <c r="C700" t="s">
        <v>142</v>
      </c>
      <c r="D700" t="s">
        <v>197</v>
      </c>
      <c r="E700" t="s">
        <v>17</v>
      </c>
      <c r="F700" t="s">
        <v>56</v>
      </c>
      <c r="G700" t="s">
        <v>13</v>
      </c>
      <c r="H700">
        <v>3</v>
      </c>
    </row>
    <row r="701" spans="1:8" ht="21.75" customHeight="1" x14ac:dyDescent="0.35">
      <c r="A701" t="s">
        <v>846</v>
      </c>
      <c r="B701" s="3">
        <v>45292</v>
      </c>
      <c r="C701" t="s">
        <v>9</v>
      </c>
      <c r="D701" t="s">
        <v>84</v>
      </c>
      <c r="E701" t="s">
        <v>17</v>
      </c>
      <c r="F701" t="s">
        <v>27</v>
      </c>
      <c r="G701" t="s">
        <v>23</v>
      </c>
      <c r="H701">
        <v>14</v>
      </c>
    </row>
    <row r="702" spans="1:8" ht="21.75" customHeight="1" x14ac:dyDescent="0.35">
      <c r="A702" t="s">
        <v>847</v>
      </c>
      <c r="B702" s="3">
        <v>45544</v>
      </c>
      <c r="C702" t="s">
        <v>159</v>
      </c>
      <c r="D702" t="s">
        <v>31</v>
      </c>
      <c r="E702" t="s">
        <v>17</v>
      </c>
      <c r="F702" t="s">
        <v>306</v>
      </c>
      <c r="G702" t="s">
        <v>36</v>
      </c>
      <c r="H702">
        <v>4</v>
      </c>
    </row>
    <row r="703" spans="1:8" ht="21.75" customHeight="1" x14ac:dyDescent="0.35">
      <c r="A703" t="s">
        <v>848</v>
      </c>
      <c r="B703" s="3">
        <v>45625</v>
      </c>
      <c r="C703" t="s">
        <v>332</v>
      </c>
      <c r="D703" t="s">
        <v>45</v>
      </c>
      <c r="E703" t="s">
        <v>22</v>
      </c>
      <c r="F703" t="s">
        <v>56</v>
      </c>
      <c r="G703" t="s">
        <v>13</v>
      </c>
      <c r="H703">
        <v>15</v>
      </c>
    </row>
    <row r="704" spans="1:8" ht="21.75" customHeight="1" x14ac:dyDescent="0.35">
      <c r="A704" t="s">
        <v>849</v>
      </c>
      <c r="B704" s="3">
        <v>45442</v>
      </c>
      <c r="C704" t="s">
        <v>138</v>
      </c>
      <c r="D704" t="s">
        <v>102</v>
      </c>
      <c r="E704" t="s">
        <v>17</v>
      </c>
      <c r="F704" t="s">
        <v>42</v>
      </c>
      <c r="G704" t="s">
        <v>23</v>
      </c>
      <c r="H704">
        <v>3</v>
      </c>
    </row>
    <row r="705" spans="1:8" ht="21.75" customHeight="1" x14ac:dyDescent="0.35">
      <c r="A705" t="s">
        <v>850</v>
      </c>
      <c r="B705" s="3">
        <v>45374</v>
      </c>
      <c r="C705" t="s">
        <v>388</v>
      </c>
      <c r="D705" t="s">
        <v>10</v>
      </c>
      <c r="E705" t="s">
        <v>11</v>
      </c>
      <c r="F705" t="s">
        <v>306</v>
      </c>
      <c r="G705" t="s">
        <v>36</v>
      </c>
      <c r="H705">
        <v>11</v>
      </c>
    </row>
    <row r="706" spans="1:8" ht="21.75" customHeight="1" x14ac:dyDescent="0.35">
      <c r="A706" t="s">
        <v>851</v>
      </c>
      <c r="B706" s="3">
        <v>45539</v>
      </c>
      <c r="C706" t="s">
        <v>369</v>
      </c>
      <c r="D706" t="s">
        <v>21</v>
      </c>
      <c r="E706" t="s">
        <v>11</v>
      </c>
      <c r="F706" t="s">
        <v>27</v>
      </c>
      <c r="G706" t="s">
        <v>23</v>
      </c>
      <c r="H706">
        <v>6</v>
      </c>
    </row>
    <row r="707" spans="1:8" ht="21.75" customHeight="1" x14ac:dyDescent="0.35">
      <c r="A707" t="s">
        <v>852</v>
      </c>
      <c r="B707" s="3">
        <v>45372</v>
      </c>
      <c r="C707" t="s">
        <v>9</v>
      </c>
      <c r="D707" t="s">
        <v>65</v>
      </c>
      <c r="E707" t="s">
        <v>11</v>
      </c>
      <c r="F707" t="s">
        <v>42</v>
      </c>
      <c r="G707" t="s">
        <v>36</v>
      </c>
      <c r="H707">
        <v>7</v>
      </c>
    </row>
    <row r="708" spans="1:8" ht="21.75" customHeight="1" x14ac:dyDescent="0.35">
      <c r="A708" t="s">
        <v>853</v>
      </c>
      <c r="B708" s="3">
        <v>45568</v>
      </c>
      <c r="C708" t="s">
        <v>86</v>
      </c>
      <c r="D708" t="s">
        <v>74</v>
      </c>
      <c r="E708" t="s">
        <v>22</v>
      </c>
      <c r="F708" t="s">
        <v>42</v>
      </c>
      <c r="G708" t="s">
        <v>23</v>
      </c>
      <c r="H708">
        <v>8</v>
      </c>
    </row>
    <row r="709" spans="1:8" ht="21.75" customHeight="1" x14ac:dyDescent="0.35">
      <c r="A709" t="s">
        <v>854</v>
      </c>
      <c r="B709" s="3">
        <v>45584</v>
      </c>
      <c r="C709" t="s">
        <v>378</v>
      </c>
      <c r="D709" t="s">
        <v>79</v>
      </c>
      <c r="E709" t="s">
        <v>17</v>
      </c>
      <c r="F709" t="s">
        <v>56</v>
      </c>
      <c r="G709" t="s">
        <v>13</v>
      </c>
      <c r="H709">
        <v>12</v>
      </c>
    </row>
    <row r="710" spans="1:8" ht="21.75" customHeight="1" x14ac:dyDescent="0.35">
      <c r="A710" t="s">
        <v>855</v>
      </c>
      <c r="B710" s="3">
        <v>45442</v>
      </c>
      <c r="C710" t="s">
        <v>371</v>
      </c>
      <c r="D710" t="s">
        <v>35</v>
      </c>
      <c r="E710" t="s">
        <v>22</v>
      </c>
      <c r="F710" t="s">
        <v>306</v>
      </c>
      <c r="G710" t="s">
        <v>28</v>
      </c>
      <c r="H710">
        <v>7</v>
      </c>
    </row>
    <row r="711" spans="1:8" ht="21.75" customHeight="1" x14ac:dyDescent="0.35">
      <c r="A711" t="s">
        <v>856</v>
      </c>
      <c r="B711" s="3">
        <v>45379</v>
      </c>
      <c r="C711" t="s">
        <v>541</v>
      </c>
      <c r="D711" t="s">
        <v>35</v>
      </c>
      <c r="E711" t="s">
        <v>17</v>
      </c>
      <c r="F711" t="s">
        <v>12</v>
      </c>
      <c r="G711" t="s">
        <v>23</v>
      </c>
      <c r="H711">
        <v>4</v>
      </c>
    </row>
    <row r="712" spans="1:8" ht="21.75" customHeight="1" x14ac:dyDescent="0.35">
      <c r="A712" t="s">
        <v>857</v>
      </c>
      <c r="B712" s="3">
        <v>45533</v>
      </c>
      <c r="C712" t="s">
        <v>374</v>
      </c>
      <c r="D712" t="s">
        <v>10</v>
      </c>
      <c r="E712" t="s">
        <v>22</v>
      </c>
      <c r="F712" t="s">
        <v>42</v>
      </c>
      <c r="G712" t="s">
        <v>32</v>
      </c>
      <c r="H712">
        <v>18</v>
      </c>
    </row>
    <row r="713" spans="1:8" ht="21.75" customHeight="1" x14ac:dyDescent="0.35">
      <c r="A713" t="s">
        <v>858</v>
      </c>
      <c r="B713" s="3">
        <v>45487</v>
      </c>
      <c r="C713" t="s">
        <v>200</v>
      </c>
      <c r="D713" t="s">
        <v>79</v>
      </c>
      <c r="E713" t="s">
        <v>11</v>
      </c>
      <c r="F713" t="s">
        <v>27</v>
      </c>
      <c r="G713" t="s">
        <v>32</v>
      </c>
      <c r="H713">
        <v>9</v>
      </c>
    </row>
    <row r="714" spans="1:8" ht="21.75" customHeight="1" x14ac:dyDescent="0.35">
      <c r="A714" t="s">
        <v>859</v>
      </c>
      <c r="B714" s="3">
        <v>45407</v>
      </c>
      <c r="C714" t="s">
        <v>101</v>
      </c>
      <c r="D714" t="s">
        <v>16</v>
      </c>
      <c r="E714" t="s">
        <v>22</v>
      </c>
      <c r="F714" t="s">
        <v>12</v>
      </c>
      <c r="G714" t="s">
        <v>32</v>
      </c>
      <c r="H714">
        <v>4</v>
      </c>
    </row>
    <row r="715" spans="1:8" ht="21.75" customHeight="1" x14ac:dyDescent="0.35">
      <c r="A715" t="s">
        <v>860</v>
      </c>
      <c r="B715" s="3">
        <v>45569</v>
      </c>
      <c r="C715" t="s">
        <v>408</v>
      </c>
      <c r="D715" t="s">
        <v>174</v>
      </c>
      <c r="E715" t="s">
        <v>22</v>
      </c>
      <c r="F715" t="s">
        <v>56</v>
      </c>
      <c r="G715" t="s">
        <v>36</v>
      </c>
      <c r="H715">
        <v>2</v>
      </c>
    </row>
    <row r="716" spans="1:8" ht="21.75" customHeight="1" x14ac:dyDescent="0.35">
      <c r="A716" t="s">
        <v>861</v>
      </c>
      <c r="B716" s="3">
        <v>45506</v>
      </c>
      <c r="C716" t="s">
        <v>312</v>
      </c>
      <c r="D716" t="s">
        <v>59</v>
      </c>
      <c r="E716" t="s">
        <v>22</v>
      </c>
      <c r="F716" t="s">
        <v>27</v>
      </c>
      <c r="G716" t="s">
        <v>13</v>
      </c>
      <c r="H716">
        <v>8</v>
      </c>
    </row>
    <row r="717" spans="1:8" ht="21.75" customHeight="1" x14ac:dyDescent="0.35">
      <c r="A717" t="s">
        <v>862</v>
      </c>
      <c r="B717" s="3">
        <v>45494</v>
      </c>
      <c r="C717" t="s">
        <v>436</v>
      </c>
      <c r="D717" t="s">
        <v>59</v>
      </c>
      <c r="E717" t="s">
        <v>11</v>
      </c>
      <c r="F717" t="s">
        <v>306</v>
      </c>
      <c r="G717" t="s">
        <v>36</v>
      </c>
      <c r="H717">
        <v>17</v>
      </c>
    </row>
    <row r="718" spans="1:8" ht="21.75" customHeight="1" x14ac:dyDescent="0.35">
      <c r="A718" t="s">
        <v>863</v>
      </c>
      <c r="B718" s="3">
        <v>45367</v>
      </c>
      <c r="C718" t="s">
        <v>114</v>
      </c>
      <c r="D718" t="s">
        <v>45</v>
      </c>
      <c r="E718" t="s">
        <v>17</v>
      </c>
      <c r="F718" t="s">
        <v>56</v>
      </c>
      <c r="G718" t="s">
        <v>28</v>
      </c>
      <c r="H718">
        <v>7</v>
      </c>
    </row>
    <row r="719" spans="1:8" ht="21.75" customHeight="1" x14ac:dyDescent="0.35">
      <c r="A719" t="s">
        <v>864</v>
      </c>
      <c r="B719" s="3">
        <v>45313</v>
      </c>
      <c r="C719" t="s">
        <v>309</v>
      </c>
      <c r="D719" t="s">
        <v>65</v>
      </c>
      <c r="E719" t="s">
        <v>11</v>
      </c>
      <c r="F719" t="s">
        <v>27</v>
      </c>
      <c r="G719" t="s">
        <v>32</v>
      </c>
      <c r="H719">
        <v>5</v>
      </c>
    </row>
    <row r="720" spans="1:8" ht="21.75" customHeight="1" x14ac:dyDescent="0.35">
      <c r="A720" t="s">
        <v>865</v>
      </c>
      <c r="B720" s="3">
        <v>45455</v>
      </c>
      <c r="C720" t="s">
        <v>388</v>
      </c>
      <c r="D720" t="s">
        <v>31</v>
      </c>
      <c r="E720" t="s">
        <v>11</v>
      </c>
      <c r="F720" t="s">
        <v>12</v>
      </c>
      <c r="G720" t="s">
        <v>32</v>
      </c>
      <c r="H720">
        <v>18</v>
      </c>
    </row>
    <row r="721" spans="1:8" ht="21.75" customHeight="1" x14ac:dyDescent="0.35">
      <c r="A721" t="s">
        <v>866</v>
      </c>
      <c r="B721" s="3">
        <v>45433</v>
      </c>
      <c r="C721" t="s">
        <v>363</v>
      </c>
      <c r="D721" t="s">
        <v>62</v>
      </c>
      <c r="E721" t="s">
        <v>17</v>
      </c>
      <c r="F721" t="s">
        <v>12</v>
      </c>
      <c r="G721" t="s">
        <v>23</v>
      </c>
      <c r="H721">
        <v>20</v>
      </c>
    </row>
    <row r="722" spans="1:8" ht="21.75" customHeight="1" x14ac:dyDescent="0.35">
      <c r="A722" t="s">
        <v>867</v>
      </c>
      <c r="B722" s="3">
        <v>45349</v>
      </c>
      <c r="C722" t="s">
        <v>572</v>
      </c>
      <c r="D722" t="s">
        <v>59</v>
      </c>
      <c r="E722" t="s">
        <v>11</v>
      </c>
      <c r="F722" t="s">
        <v>56</v>
      </c>
      <c r="G722" t="s">
        <v>13</v>
      </c>
      <c r="H722">
        <v>19</v>
      </c>
    </row>
    <row r="723" spans="1:8" ht="21.75" customHeight="1" x14ac:dyDescent="0.35">
      <c r="A723" t="s">
        <v>868</v>
      </c>
      <c r="B723" s="3">
        <v>45346</v>
      </c>
      <c r="C723" t="s">
        <v>614</v>
      </c>
      <c r="D723" t="s">
        <v>174</v>
      </c>
      <c r="E723" t="s">
        <v>11</v>
      </c>
      <c r="F723" t="s">
        <v>42</v>
      </c>
      <c r="G723" t="s">
        <v>32</v>
      </c>
      <c r="H723">
        <v>12</v>
      </c>
    </row>
    <row r="724" spans="1:8" ht="21.75" customHeight="1" x14ac:dyDescent="0.35">
      <c r="A724" t="s">
        <v>869</v>
      </c>
      <c r="B724" s="3">
        <v>45488</v>
      </c>
      <c r="C724" t="s">
        <v>350</v>
      </c>
      <c r="D724" t="s">
        <v>109</v>
      </c>
      <c r="E724" t="s">
        <v>17</v>
      </c>
      <c r="F724" t="s">
        <v>306</v>
      </c>
      <c r="G724" t="s">
        <v>32</v>
      </c>
      <c r="H724">
        <v>16</v>
      </c>
    </row>
    <row r="725" spans="1:8" ht="21.75" customHeight="1" x14ac:dyDescent="0.35">
      <c r="A725" t="s">
        <v>870</v>
      </c>
      <c r="B725" s="3">
        <v>45498</v>
      </c>
      <c r="C725" t="s">
        <v>167</v>
      </c>
      <c r="D725" t="s">
        <v>41</v>
      </c>
      <c r="E725" t="s">
        <v>22</v>
      </c>
      <c r="F725" t="s">
        <v>306</v>
      </c>
      <c r="G725" t="s">
        <v>32</v>
      </c>
      <c r="H725">
        <v>13</v>
      </c>
    </row>
    <row r="726" spans="1:8" ht="21.75" customHeight="1" x14ac:dyDescent="0.35">
      <c r="A726" t="s">
        <v>871</v>
      </c>
      <c r="B726" s="3">
        <v>45645</v>
      </c>
      <c r="C726" t="s">
        <v>93</v>
      </c>
      <c r="D726" t="s">
        <v>26</v>
      </c>
      <c r="E726" t="s">
        <v>11</v>
      </c>
      <c r="F726" t="s">
        <v>27</v>
      </c>
      <c r="G726" t="s">
        <v>32</v>
      </c>
      <c r="H726">
        <v>12</v>
      </c>
    </row>
    <row r="727" spans="1:8" ht="21.75" customHeight="1" x14ac:dyDescent="0.35">
      <c r="A727" t="s">
        <v>872</v>
      </c>
      <c r="B727" s="3">
        <v>45451</v>
      </c>
      <c r="C727" t="s">
        <v>89</v>
      </c>
      <c r="D727" t="s">
        <v>197</v>
      </c>
      <c r="E727" t="s">
        <v>17</v>
      </c>
      <c r="F727" t="s">
        <v>12</v>
      </c>
      <c r="G727" t="s">
        <v>23</v>
      </c>
      <c r="H727">
        <v>5</v>
      </c>
    </row>
    <row r="728" spans="1:8" ht="21.75" customHeight="1" x14ac:dyDescent="0.35">
      <c r="A728" t="s">
        <v>873</v>
      </c>
      <c r="B728" s="3">
        <v>45456</v>
      </c>
      <c r="C728" t="s">
        <v>101</v>
      </c>
      <c r="D728" t="s">
        <v>109</v>
      </c>
      <c r="E728" t="s">
        <v>22</v>
      </c>
      <c r="F728" t="s">
        <v>27</v>
      </c>
      <c r="G728" t="s">
        <v>28</v>
      </c>
      <c r="H728">
        <v>3</v>
      </c>
    </row>
    <row r="729" spans="1:8" ht="21.75" customHeight="1" x14ac:dyDescent="0.35">
      <c r="A729" t="s">
        <v>874</v>
      </c>
      <c r="B729" s="3">
        <v>45500</v>
      </c>
      <c r="C729" t="s">
        <v>304</v>
      </c>
      <c r="D729" t="s">
        <v>48</v>
      </c>
      <c r="E729" t="s">
        <v>17</v>
      </c>
      <c r="F729" t="s">
        <v>306</v>
      </c>
      <c r="G729" t="s">
        <v>28</v>
      </c>
      <c r="H729">
        <v>2</v>
      </c>
    </row>
    <row r="730" spans="1:8" ht="21.75" customHeight="1" x14ac:dyDescent="0.35">
      <c r="A730" t="s">
        <v>875</v>
      </c>
      <c r="B730" s="3">
        <v>45325</v>
      </c>
      <c r="C730" t="s">
        <v>147</v>
      </c>
      <c r="D730" t="s">
        <v>31</v>
      </c>
      <c r="E730" t="s">
        <v>22</v>
      </c>
      <c r="F730" t="s">
        <v>306</v>
      </c>
      <c r="G730" t="s">
        <v>36</v>
      </c>
      <c r="H730">
        <v>5</v>
      </c>
    </row>
    <row r="731" spans="1:8" ht="21.75" customHeight="1" x14ac:dyDescent="0.35">
      <c r="A731" t="s">
        <v>876</v>
      </c>
      <c r="B731" s="3">
        <v>45583</v>
      </c>
      <c r="C731" t="s">
        <v>64</v>
      </c>
      <c r="D731" t="s">
        <v>65</v>
      </c>
      <c r="E731" t="s">
        <v>11</v>
      </c>
      <c r="F731" t="s">
        <v>56</v>
      </c>
      <c r="G731" t="s">
        <v>23</v>
      </c>
      <c r="H731">
        <v>2</v>
      </c>
    </row>
    <row r="732" spans="1:8" ht="21.75" customHeight="1" x14ac:dyDescent="0.35">
      <c r="A732" t="s">
        <v>877</v>
      </c>
      <c r="B732" s="3">
        <v>45317</v>
      </c>
      <c r="C732" t="s">
        <v>83</v>
      </c>
      <c r="D732" t="s">
        <v>26</v>
      </c>
      <c r="E732" t="s">
        <v>22</v>
      </c>
      <c r="F732" t="s">
        <v>56</v>
      </c>
      <c r="G732" t="s">
        <v>36</v>
      </c>
      <c r="H732">
        <v>12</v>
      </c>
    </row>
    <row r="733" spans="1:8" ht="21.75" customHeight="1" x14ac:dyDescent="0.35">
      <c r="A733" t="s">
        <v>878</v>
      </c>
      <c r="B733" s="3">
        <v>45495</v>
      </c>
      <c r="C733" t="s">
        <v>541</v>
      </c>
      <c r="D733" t="s">
        <v>197</v>
      </c>
      <c r="E733" t="s">
        <v>11</v>
      </c>
      <c r="F733" t="s">
        <v>12</v>
      </c>
      <c r="G733" t="s">
        <v>23</v>
      </c>
      <c r="H733">
        <v>12</v>
      </c>
    </row>
    <row r="734" spans="1:8" ht="21.75" customHeight="1" x14ac:dyDescent="0.35">
      <c r="A734" t="s">
        <v>879</v>
      </c>
      <c r="B734" s="3">
        <v>45382</v>
      </c>
      <c r="C734" t="s">
        <v>553</v>
      </c>
      <c r="D734" t="s">
        <v>48</v>
      </c>
      <c r="E734" t="s">
        <v>22</v>
      </c>
      <c r="F734" t="s">
        <v>306</v>
      </c>
      <c r="G734" t="s">
        <v>32</v>
      </c>
      <c r="H734">
        <v>12</v>
      </c>
    </row>
    <row r="735" spans="1:8" ht="21.75" customHeight="1" x14ac:dyDescent="0.35">
      <c r="A735" t="s">
        <v>880</v>
      </c>
      <c r="B735" s="3">
        <v>45644</v>
      </c>
      <c r="C735" t="s">
        <v>203</v>
      </c>
      <c r="D735" t="s">
        <v>31</v>
      </c>
      <c r="E735" t="s">
        <v>17</v>
      </c>
      <c r="F735" t="s">
        <v>12</v>
      </c>
      <c r="G735" t="s">
        <v>36</v>
      </c>
      <c r="H735">
        <v>2</v>
      </c>
    </row>
    <row r="736" spans="1:8" ht="21.75" customHeight="1" x14ac:dyDescent="0.35">
      <c r="A736" t="s">
        <v>881</v>
      </c>
      <c r="B736" s="3">
        <v>45401</v>
      </c>
      <c r="C736" t="s">
        <v>240</v>
      </c>
      <c r="D736" t="s">
        <v>41</v>
      </c>
      <c r="E736" t="s">
        <v>22</v>
      </c>
      <c r="F736" t="s">
        <v>56</v>
      </c>
      <c r="G736" t="s">
        <v>23</v>
      </c>
      <c r="H736">
        <v>7</v>
      </c>
    </row>
    <row r="737" spans="1:8" ht="21.75" customHeight="1" x14ac:dyDescent="0.35">
      <c r="A737" t="s">
        <v>882</v>
      </c>
      <c r="B737" s="3">
        <v>45554</v>
      </c>
      <c r="C737" t="s">
        <v>138</v>
      </c>
      <c r="D737" t="s">
        <v>35</v>
      </c>
      <c r="E737" t="s">
        <v>22</v>
      </c>
      <c r="F737" t="s">
        <v>12</v>
      </c>
      <c r="G737" t="s">
        <v>36</v>
      </c>
      <c r="H737">
        <v>5</v>
      </c>
    </row>
    <row r="738" spans="1:8" ht="21.75" customHeight="1" x14ac:dyDescent="0.35">
      <c r="A738" t="s">
        <v>883</v>
      </c>
      <c r="B738" s="3">
        <v>45296</v>
      </c>
      <c r="C738" t="s">
        <v>240</v>
      </c>
      <c r="D738" t="s">
        <v>74</v>
      </c>
      <c r="E738" t="s">
        <v>17</v>
      </c>
      <c r="F738" t="s">
        <v>306</v>
      </c>
      <c r="G738" t="s">
        <v>23</v>
      </c>
      <c r="H738">
        <v>9</v>
      </c>
    </row>
    <row r="739" spans="1:8" ht="21.75" customHeight="1" x14ac:dyDescent="0.35">
      <c r="A739" t="s">
        <v>884</v>
      </c>
      <c r="B739" s="3">
        <v>45470</v>
      </c>
      <c r="C739" t="s">
        <v>366</v>
      </c>
      <c r="D739" t="s">
        <v>70</v>
      </c>
      <c r="E739" t="s">
        <v>17</v>
      </c>
      <c r="F739" t="s">
        <v>56</v>
      </c>
      <c r="G739" t="s">
        <v>36</v>
      </c>
      <c r="H739">
        <v>10</v>
      </c>
    </row>
    <row r="740" spans="1:8" ht="21.75" customHeight="1" x14ac:dyDescent="0.35">
      <c r="A740" t="s">
        <v>885</v>
      </c>
      <c r="B740" s="3">
        <v>45495</v>
      </c>
      <c r="C740" t="s">
        <v>361</v>
      </c>
      <c r="D740" t="s">
        <v>160</v>
      </c>
      <c r="E740" t="s">
        <v>11</v>
      </c>
      <c r="F740" t="s">
        <v>12</v>
      </c>
      <c r="G740" t="s">
        <v>36</v>
      </c>
      <c r="H740">
        <v>12</v>
      </c>
    </row>
    <row r="741" spans="1:8" ht="21.75" customHeight="1" x14ac:dyDescent="0.35">
      <c r="A741" t="s">
        <v>886</v>
      </c>
      <c r="B741" s="3">
        <v>45603</v>
      </c>
      <c r="C741" t="s">
        <v>55</v>
      </c>
      <c r="D741" t="s">
        <v>35</v>
      </c>
      <c r="E741" t="s">
        <v>17</v>
      </c>
      <c r="F741" t="s">
        <v>12</v>
      </c>
      <c r="G741" t="s">
        <v>32</v>
      </c>
      <c r="H741">
        <v>3</v>
      </c>
    </row>
    <row r="742" spans="1:8" ht="21.75" customHeight="1" x14ac:dyDescent="0.35">
      <c r="A742" t="s">
        <v>887</v>
      </c>
      <c r="B742" s="3">
        <v>45619</v>
      </c>
      <c r="C742" t="s">
        <v>187</v>
      </c>
      <c r="D742" t="s">
        <v>21</v>
      </c>
      <c r="E742" t="s">
        <v>17</v>
      </c>
      <c r="F742" t="s">
        <v>42</v>
      </c>
      <c r="G742" t="s">
        <v>36</v>
      </c>
      <c r="H742">
        <v>10</v>
      </c>
    </row>
    <row r="743" spans="1:8" ht="21.75" customHeight="1" x14ac:dyDescent="0.35">
      <c r="A743" t="s">
        <v>888</v>
      </c>
      <c r="B743" s="3">
        <v>45415</v>
      </c>
      <c r="C743" t="s">
        <v>131</v>
      </c>
      <c r="D743" t="s">
        <v>41</v>
      </c>
      <c r="E743" t="s">
        <v>22</v>
      </c>
      <c r="F743" t="s">
        <v>27</v>
      </c>
      <c r="G743" t="s">
        <v>13</v>
      </c>
      <c r="H743">
        <v>11</v>
      </c>
    </row>
    <row r="744" spans="1:8" ht="21.75" customHeight="1" x14ac:dyDescent="0.35">
      <c r="A744" t="s">
        <v>889</v>
      </c>
      <c r="B744" s="3">
        <v>45627</v>
      </c>
      <c r="C744" t="s">
        <v>432</v>
      </c>
      <c r="D744" t="s">
        <v>87</v>
      </c>
      <c r="E744" t="s">
        <v>17</v>
      </c>
      <c r="F744" t="s">
        <v>42</v>
      </c>
      <c r="G744" t="s">
        <v>13</v>
      </c>
      <c r="H744">
        <v>13</v>
      </c>
    </row>
    <row r="745" spans="1:8" ht="21.75" customHeight="1" x14ac:dyDescent="0.35">
      <c r="A745" t="s">
        <v>890</v>
      </c>
      <c r="B745" s="3">
        <v>45590</v>
      </c>
      <c r="C745" t="s">
        <v>369</v>
      </c>
      <c r="D745" t="s">
        <v>72</v>
      </c>
      <c r="E745" t="s">
        <v>22</v>
      </c>
      <c r="F745" t="s">
        <v>56</v>
      </c>
      <c r="G745" t="s">
        <v>23</v>
      </c>
      <c r="H745">
        <v>8</v>
      </c>
    </row>
    <row r="746" spans="1:8" ht="21.75" customHeight="1" x14ac:dyDescent="0.35">
      <c r="A746" t="s">
        <v>891</v>
      </c>
      <c r="B746" s="3">
        <v>45635</v>
      </c>
      <c r="C746" t="s">
        <v>182</v>
      </c>
      <c r="D746" t="s">
        <v>45</v>
      </c>
      <c r="E746" t="s">
        <v>22</v>
      </c>
      <c r="F746" t="s">
        <v>42</v>
      </c>
      <c r="G746" t="s">
        <v>13</v>
      </c>
      <c r="H746">
        <v>18</v>
      </c>
    </row>
    <row r="747" spans="1:8" ht="21.75" customHeight="1" x14ac:dyDescent="0.35">
      <c r="A747" t="s">
        <v>892</v>
      </c>
      <c r="B747" s="3">
        <v>45533</v>
      </c>
      <c r="C747" t="s">
        <v>34</v>
      </c>
      <c r="D747" t="s">
        <v>84</v>
      </c>
      <c r="E747" t="s">
        <v>22</v>
      </c>
      <c r="F747" t="s">
        <v>42</v>
      </c>
      <c r="G747" t="s">
        <v>28</v>
      </c>
      <c r="H747">
        <v>18</v>
      </c>
    </row>
    <row r="748" spans="1:8" ht="21.75" customHeight="1" x14ac:dyDescent="0.35">
      <c r="A748" t="s">
        <v>893</v>
      </c>
      <c r="B748" s="3">
        <v>45640</v>
      </c>
      <c r="C748" t="s">
        <v>118</v>
      </c>
      <c r="D748" t="s">
        <v>197</v>
      </c>
      <c r="E748" t="s">
        <v>22</v>
      </c>
      <c r="F748" t="s">
        <v>12</v>
      </c>
      <c r="G748" t="s">
        <v>32</v>
      </c>
      <c r="H748">
        <v>12</v>
      </c>
    </row>
    <row r="749" spans="1:8" ht="21.75" customHeight="1" x14ac:dyDescent="0.35">
      <c r="A749" t="s">
        <v>894</v>
      </c>
      <c r="B749" s="3">
        <v>45507</v>
      </c>
      <c r="C749" t="s">
        <v>728</v>
      </c>
      <c r="D749" t="s">
        <v>26</v>
      </c>
      <c r="E749" t="s">
        <v>17</v>
      </c>
      <c r="F749" t="s">
        <v>42</v>
      </c>
      <c r="G749" t="s">
        <v>13</v>
      </c>
      <c r="H749">
        <v>19</v>
      </c>
    </row>
    <row r="750" spans="1:8" ht="21.75" customHeight="1" x14ac:dyDescent="0.35">
      <c r="A750" t="s">
        <v>895</v>
      </c>
      <c r="B750" s="3">
        <v>45532</v>
      </c>
      <c r="C750" t="s">
        <v>9</v>
      </c>
      <c r="D750" t="s">
        <v>59</v>
      </c>
      <c r="E750" t="s">
        <v>22</v>
      </c>
      <c r="F750" t="s">
        <v>306</v>
      </c>
      <c r="G750" t="s">
        <v>28</v>
      </c>
      <c r="H750">
        <v>20</v>
      </c>
    </row>
    <row r="751" spans="1:8" ht="21.75" customHeight="1" x14ac:dyDescent="0.35">
      <c r="A751" t="s">
        <v>896</v>
      </c>
      <c r="B751" s="3">
        <v>45548</v>
      </c>
      <c r="C751" t="s">
        <v>114</v>
      </c>
      <c r="D751" t="s">
        <v>160</v>
      </c>
      <c r="E751" t="s">
        <v>22</v>
      </c>
      <c r="F751" t="s">
        <v>27</v>
      </c>
      <c r="G751" t="s">
        <v>28</v>
      </c>
      <c r="H751">
        <v>10</v>
      </c>
    </row>
    <row r="752" spans="1:8" ht="21.75" customHeight="1" x14ac:dyDescent="0.35">
      <c r="A752" t="s">
        <v>897</v>
      </c>
      <c r="B752" s="3">
        <v>45362</v>
      </c>
      <c r="C752" t="s">
        <v>104</v>
      </c>
      <c r="D752" t="s">
        <v>59</v>
      </c>
      <c r="E752" t="s">
        <v>17</v>
      </c>
      <c r="F752" t="s">
        <v>27</v>
      </c>
      <c r="G752" t="s">
        <v>28</v>
      </c>
      <c r="H752">
        <v>15</v>
      </c>
    </row>
    <row r="753" spans="1:8" ht="21.75" customHeight="1" x14ac:dyDescent="0.35">
      <c r="A753" t="s">
        <v>898</v>
      </c>
      <c r="B753" s="3">
        <v>45333</v>
      </c>
      <c r="C753" t="s">
        <v>374</v>
      </c>
      <c r="D753" t="s">
        <v>72</v>
      </c>
      <c r="E753" t="s">
        <v>17</v>
      </c>
      <c r="F753" t="s">
        <v>56</v>
      </c>
      <c r="G753" t="s">
        <v>32</v>
      </c>
      <c r="H753">
        <v>2</v>
      </c>
    </row>
    <row r="754" spans="1:8" ht="21.75" customHeight="1" x14ac:dyDescent="0.35">
      <c r="A754" t="s">
        <v>899</v>
      </c>
      <c r="B754" s="3">
        <v>45399</v>
      </c>
      <c r="C754" t="s">
        <v>332</v>
      </c>
      <c r="D754" t="s">
        <v>119</v>
      </c>
      <c r="E754" t="s">
        <v>11</v>
      </c>
      <c r="F754" t="s">
        <v>306</v>
      </c>
      <c r="G754" t="s">
        <v>13</v>
      </c>
      <c r="H754">
        <v>6</v>
      </c>
    </row>
    <row r="755" spans="1:8" ht="21.75" customHeight="1" x14ac:dyDescent="0.35">
      <c r="A755" t="s">
        <v>900</v>
      </c>
      <c r="B755" s="3">
        <v>45358</v>
      </c>
      <c r="C755" t="s">
        <v>594</v>
      </c>
      <c r="D755" t="s">
        <v>31</v>
      </c>
      <c r="E755" t="s">
        <v>17</v>
      </c>
      <c r="F755" t="s">
        <v>27</v>
      </c>
      <c r="G755" t="s">
        <v>23</v>
      </c>
      <c r="H755">
        <v>14</v>
      </c>
    </row>
    <row r="756" spans="1:8" ht="21.75" customHeight="1" x14ac:dyDescent="0.35">
      <c r="A756" t="s">
        <v>901</v>
      </c>
      <c r="B756" s="3">
        <v>45294</v>
      </c>
      <c r="C756" t="s">
        <v>122</v>
      </c>
      <c r="D756" t="s">
        <v>84</v>
      </c>
      <c r="E756" t="s">
        <v>22</v>
      </c>
      <c r="F756" t="s">
        <v>56</v>
      </c>
      <c r="G756" t="s">
        <v>32</v>
      </c>
      <c r="H756">
        <v>12</v>
      </c>
    </row>
    <row r="757" spans="1:8" ht="21.75" customHeight="1" x14ac:dyDescent="0.35">
      <c r="A757" t="s">
        <v>902</v>
      </c>
      <c r="B757" s="3">
        <v>45563</v>
      </c>
      <c r="C757" t="s">
        <v>150</v>
      </c>
      <c r="D757" t="s">
        <v>21</v>
      </c>
      <c r="E757" t="s">
        <v>11</v>
      </c>
      <c r="F757" t="s">
        <v>12</v>
      </c>
      <c r="G757" t="s">
        <v>32</v>
      </c>
      <c r="H757">
        <v>8</v>
      </c>
    </row>
    <row r="758" spans="1:8" ht="21.75" customHeight="1" x14ac:dyDescent="0.35">
      <c r="A758" t="s">
        <v>903</v>
      </c>
      <c r="B758" s="3">
        <v>45451</v>
      </c>
      <c r="C758" t="s">
        <v>34</v>
      </c>
      <c r="D758" t="s">
        <v>160</v>
      </c>
      <c r="E758" t="s">
        <v>11</v>
      </c>
      <c r="F758" t="s">
        <v>27</v>
      </c>
      <c r="G758" t="s">
        <v>13</v>
      </c>
      <c r="H758">
        <v>19</v>
      </c>
    </row>
    <row r="759" spans="1:8" ht="21.75" customHeight="1" x14ac:dyDescent="0.35">
      <c r="A759" t="s">
        <v>904</v>
      </c>
      <c r="B759" s="3">
        <v>45315</v>
      </c>
      <c r="C759" t="s">
        <v>68</v>
      </c>
      <c r="D759" t="s">
        <v>84</v>
      </c>
      <c r="E759" t="s">
        <v>17</v>
      </c>
      <c r="F759" t="s">
        <v>27</v>
      </c>
      <c r="G759" t="s">
        <v>32</v>
      </c>
      <c r="H759">
        <v>17</v>
      </c>
    </row>
    <row r="760" spans="1:8" ht="21.75" customHeight="1" x14ac:dyDescent="0.35">
      <c r="A760" t="s">
        <v>905</v>
      </c>
      <c r="B760" s="3">
        <v>45514</v>
      </c>
      <c r="C760" t="s">
        <v>455</v>
      </c>
      <c r="D760" t="s">
        <v>35</v>
      </c>
      <c r="E760" t="s">
        <v>11</v>
      </c>
      <c r="F760" t="s">
        <v>42</v>
      </c>
      <c r="G760" t="s">
        <v>28</v>
      </c>
      <c r="H760">
        <v>12</v>
      </c>
    </row>
    <row r="761" spans="1:8" ht="21.75" customHeight="1" x14ac:dyDescent="0.35">
      <c r="A761" t="s">
        <v>906</v>
      </c>
      <c r="B761" s="3">
        <v>45498</v>
      </c>
      <c r="C761" t="s">
        <v>138</v>
      </c>
      <c r="D761" t="s">
        <v>84</v>
      </c>
      <c r="E761" t="s">
        <v>11</v>
      </c>
      <c r="F761" t="s">
        <v>56</v>
      </c>
      <c r="G761" t="s">
        <v>13</v>
      </c>
      <c r="H761">
        <v>5</v>
      </c>
    </row>
    <row r="762" spans="1:8" ht="21.75" customHeight="1" x14ac:dyDescent="0.35">
      <c r="A762" t="s">
        <v>907</v>
      </c>
      <c r="B762" s="3">
        <v>45593</v>
      </c>
      <c r="C762" t="s">
        <v>358</v>
      </c>
      <c r="D762" t="s">
        <v>48</v>
      </c>
      <c r="E762" t="s">
        <v>11</v>
      </c>
      <c r="F762" t="s">
        <v>12</v>
      </c>
      <c r="G762" t="s">
        <v>32</v>
      </c>
      <c r="H762">
        <v>2</v>
      </c>
    </row>
    <row r="763" spans="1:8" ht="21.75" customHeight="1" x14ac:dyDescent="0.35">
      <c r="A763" t="s">
        <v>908</v>
      </c>
      <c r="B763" s="3">
        <v>45565</v>
      </c>
      <c r="C763" t="s">
        <v>381</v>
      </c>
      <c r="D763" t="s">
        <v>79</v>
      </c>
      <c r="E763" t="s">
        <v>11</v>
      </c>
      <c r="F763" t="s">
        <v>306</v>
      </c>
      <c r="G763" t="s">
        <v>13</v>
      </c>
      <c r="H763">
        <v>4</v>
      </c>
    </row>
    <row r="764" spans="1:8" ht="21.75" customHeight="1" x14ac:dyDescent="0.35">
      <c r="A764" t="s">
        <v>909</v>
      </c>
      <c r="B764" s="3">
        <v>45316</v>
      </c>
      <c r="C764" t="s">
        <v>465</v>
      </c>
      <c r="D764" t="s">
        <v>70</v>
      </c>
      <c r="E764" t="s">
        <v>11</v>
      </c>
      <c r="F764" t="s">
        <v>27</v>
      </c>
      <c r="G764" t="s">
        <v>32</v>
      </c>
      <c r="H764">
        <v>13</v>
      </c>
    </row>
    <row r="765" spans="1:8" ht="21.75" customHeight="1" x14ac:dyDescent="0.35">
      <c r="A765" t="s">
        <v>910</v>
      </c>
      <c r="B765" s="3">
        <v>45534</v>
      </c>
      <c r="C765" t="s">
        <v>424</v>
      </c>
      <c r="D765" t="s">
        <v>62</v>
      </c>
      <c r="E765" t="s">
        <v>11</v>
      </c>
      <c r="F765" t="s">
        <v>56</v>
      </c>
      <c r="G765" t="s">
        <v>13</v>
      </c>
      <c r="H765">
        <v>1</v>
      </c>
    </row>
    <row r="766" spans="1:8" ht="21.75" customHeight="1" x14ac:dyDescent="0.35">
      <c r="A766" t="s">
        <v>911</v>
      </c>
      <c r="B766" s="3">
        <v>45631</v>
      </c>
      <c r="C766" t="s">
        <v>363</v>
      </c>
      <c r="D766" t="s">
        <v>109</v>
      </c>
      <c r="E766" t="s">
        <v>17</v>
      </c>
      <c r="F766" t="s">
        <v>306</v>
      </c>
      <c r="G766" t="s">
        <v>13</v>
      </c>
      <c r="H766">
        <v>5</v>
      </c>
    </row>
    <row r="767" spans="1:8" ht="21.75" customHeight="1" x14ac:dyDescent="0.35">
      <c r="A767" t="s">
        <v>912</v>
      </c>
      <c r="B767" s="3">
        <v>45553</v>
      </c>
      <c r="C767" t="s">
        <v>329</v>
      </c>
      <c r="D767" t="s">
        <v>74</v>
      </c>
      <c r="E767" t="s">
        <v>22</v>
      </c>
      <c r="F767" t="s">
        <v>12</v>
      </c>
      <c r="G767" t="s">
        <v>23</v>
      </c>
      <c r="H767">
        <v>4</v>
      </c>
    </row>
    <row r="768" spans="1:8" ht="21.75" customHeight="1" x14ac:dyDescent="0.35">
      <c r="A768" t="s">
        <v>913</v>
      </c>
      <c r="B768" s="3">
        <v>45393</v>
      </c>
      <c r="C768" t="s">
        <v>493</v>
      </c>
      <c r="D768" t="s">
        <v>160</v>
      </c>
      <c r="E768" t="s">
        <v>11</v>
      </c>
      <c r="F768" t="s">
        <v>42</v>
      </c>
      <c r="G768" t="s">
        <v>23</v>
      </c>
      <c r="H768">
        <v>7</v>
      </c>
    </row>
    <row r="769" spans="1:8" ht="21.75" customHeight="1" x14ac:dyDescent="0.35">
      <c r="A769" t="s">
        <v>914</v>
      </c>
      <c r="B769" s="3">
        <v>45443</v>
      </c>
      <c r="C769" t="s">
        <v>111</v>
      </c>
      <c r="D769" t="s">
        <v>35</v>
      </c>
      <c r="E769" t="s">
        <v>11</v>
      </c>
      <c r="F769" t="s">
        <v>306</v>
      </c>
      <c r="G769" t="s">
        <v>23</v>
      </c>
      <c r="H769">
        <v>7</v>
      </c>
    </row>
    <row r="770" spans="1:8" ht="21.75" customHeight="1" x14ac:dyDescent="0.35">
      <c r="A770" t="s">
        <v>915</v>
      </c>
      <c r="B770" s="3">
        <v>45461</v>
      </c>
      <c r="C770" t="s">
        <v>93</v>
      </c>
      <c r="D770" t="s">
        <v>41</v>
      </c>
      <c r="E770" t="s">
        <v>11</v>
      </c>
      <c r="F770" t="s">
        <v>12</v>
      </c>
      <c r="G770" t="s">
        <v>36</v>
      </c>
      <c r="H770">
        <v>3</v>
      </c>
    </row>
    <row r="771" spans="1:8" ht="21.75" customHeight="1" x14ac:dyDescent="0.35">
      <c r="A771" t="s">
        <v>916</v>
      </c>
      <c r="B771" s="3">
        <v>45634</v>
      </c>
      <c r="C771" t="s">
        <v>432</v>
      </c>
      <c r="D771" t="s">
        <v>119</v>
      </c>
      <c r="E771" t="s">
        <v>11</v>
      </c>
      <c r="F771" t="s">
        <v>12</v>
      </c>
      <c r="G771" t="s">
        <v>13</v>
      </c>
      <c r="H771">
        <v>17</v>
      </c>
    </row>
    <row r="772" spans="1:8" ht="21.75" customHeight="1" x14ac:dyDescent="0.35">
      <c r="A772" t="s">
        <v>917</v>
      </c>
      <c r="B772" s="3">
        <v>45423</v>
      </c>
      <c r="C772" t="s">
        <v>736</v>
      </c>
      <c r="D772" t="s">
        <v>74</v>
      </c>
      <c r="E772" t="s">
        <v>11</v>
      </c>
      <c r="F772" t="s">
        <v>27</v>
      </c>
      <c r="G772" t="s">
        <v>13</v>
      </c>
      <c r="H772">
        <v>9</v>
      </c>
    </row>
    <row r="773" spans="1:8" ht="21.75" customHeight="1" x14ac:dyDescent="0.35">
      <c r="A773" t="s">
        <v>918</v>
      </c>
      <c r="B773" s="3">
        <v>45381</v>
      </c>
      <c r="C773" t="s">
        <v>116</v>
      </c>
      <c r="D773" t="s">
        <v>41</v>
      </c>
      <c r="E773" t="s">
        <v>17</v>
      </c>
      <c r="F773" t="s">
        <v>42</v>
      </c>
      <c r="G773" t="s">
        <v>13</v>
      </c>
      <c r="H773">
        <v>11</v>
      </c>
    </row>
    <row r="774" spans="1:8" ht="21.75" customHeight="1" x14ac:dyDescent="0.35">
      <c r="A774" t="s">
        <v>919</v>
      </c>
      <c r="B774" s="3">
        <v>45340</v>
      </c>
      <c r="C774" t="s">
        <v>332</v>
      </c>
      <c r="D774" t="s">
        <v>16</v>
      </c>
      <c r="E774" t="s">
        <v>11</v>
      </c>
      <c r="F774" t="s">
        <v>12</v>
      </c>
      <c r="G774" t="s">
        <v>23</v>
      </c>
      <c r="H774">
        <v>6</v>
      </c>
    </row>
    <row r="775" spans="1:8" ht="21.75" customHeight="1" x14ac:dyDescent="0.35">
      <c r="A775" t="s">
        <v>920</v>
      </c>
      <c r="B775" s="3">
        <v>45610</v>
      </c>
      <c r="C775" t="s">
        <v>101</v>
      </c>
      <c r="D775" t="s">
        <v>48</v>
      </c>
      <c r="E775" t="s">
        <v>22</v>
      </c>
      <c r="F775" t="s">
        <v>12</v>
      </c>
      <c r="G775" t="s">
        <v>23</v>
      </c>
      <c r="H775">
        <v>11</v>
      </c>
    </row>
    <row r="776" spans="1:8" ht="21.75" customHeight="1" x14ac:dyDescent="0.35">
      <c r="A776" t="s">
        <v>921</v>
      </c>
      <c r="B776" s="3">
        <v>45496</v>
      </c>
      <c r="C776" t="s">
        <v>366</v>
      </c>
      <c r="D776" t="s">
        <v>62</v>
      </c>
      <c r="E776" t="s">
        <v>17</v>
      </c>
      <c r="F776" t="s">
        <v>27</v>
      </c>
      <c r="G776" t="s">
        <v>28</v>
      </c>
      <c r="H776">
        <v>16</v>
      </c>
    </row>
    <row r="777" spans="1:8" ht="21.75" customHeight="1" x14ac:dyDescent="0.35">
      <c r="A777" t="s">
        <v>922</v>
      </c>
      <c r="B777" s="3">
        <v>45349</v>
      </c>
      <c r="C777" t="s">
        <v>34</v>
      </c>
      <c r="D777" t="s">
        <v>45</v>
      </c>
      <c r="E777" t="s">
        <v>22</v>
      </c>
      <c r="F777" t="s">
        <v>12</v>
      </c>
      <c r="G777" t="s">
        <v>36</v>
      </c>
      <c r="H777">
        <v>4</v>
      </c>
    </row>
    <row r="778" spans="1:8" ht="21.75" customHeight="1" x14ac:dyDescent="0.35">
      <c r="A778" t="s">
        <v>923</v>
      </c>
      <c r="B778" s="3">
        <v>45539</v>
      </c>
      <c r="C778" t="s">
        <v>614</v>
      </c>
      <c r="D778" t="s">
        <v>45</v>
      </c>
      <c r="E778" t="s">
        <v>22</v>
      </c>
      <c r="F778" t="s">
        <v>27</v>
      </c>
      <c r="G778" t="s">
        <v>32</v>
      </c>
      <c r="H778">
        <v>20</v>
      </c>
    </row>
    <row r="779" spans="1:8" ht="21.75" customHeight="1" x14ac:dyDescent="0.35">
      <c r="A779" t="s">
        <v>924</v>
      </c>
      <c r="B779" s="3">
        <v>45605</v>
      </c>
      <c r="C779" t="s">
        <v>64</v>
      </c>
      <c r="D779" t="s">
        <v>35</v>
      </c>
      <c r="E779" t="s">
        <v>22</v>
      </c>
      <c r="F779" t="s">
        <v>56</v>
      </c>
      <c r="G779" t="s">
        <v>23</v>
      </c>
      <c r="H779">
        <v>16</v>
      </c>
    </row>
    <row r="780" spans="1:8" ht="21.75" customHeight="1" x14ac:dyDescent="0.35">
      <c r="A780" t="s">
        <v>925</v>
      </c>
      <c r="B780" s="3">
        <v>45517</v>
      </c>
      <c r="C780" t="s">
        <v>116</v>
      </c>
      <c r="D780" t="s">
        <v>21</v>
      </c>
      <c r="E780" t="s">
        <v>11</v>
      </c>
      <c r="F780" t="s">
        <v>42</v>
      </c>
      <c r="G780" t="s">
        <v>36</v>
      </c>
      <c r="H780">
        <v>11</v>
      </c>
    </row>
    <row r="781" spans="1:8" ht="21.75" customHeight="1" x14ac:dyDescent="0.35">
      <c r="A781" t="s">
        <v>926</v>
      </c>
      <c r="B781" s="3">
        <v>45587</v>
      </c>
      <c r="C781" t="s">
        <v>329</v>
      </c>
      <c r="D781" t="s">
        <v>41</v>
      </c>
      <c r="E781" t="s">
        <v>22</v>
      </c>
      <c r="F781" t="s">
        <v>56</v>
      </c>
      <c r="G781" t="s">
        <v>36</v>
      </c>
      <c r="H781">
        <v>11</v>
      </c>
    </row>
    <row r="782" spans="1:8" ht="21.75" customHeight="1" x14ac:dyDescent="0.35">
      <c r="A782" t="s">
        <v>927</v>
      </c>
      <c r="B782" s="3">
        <v>45340</v>
      </c>
      <c r="C782" t="s">
        <v>348</v>
      </c>
      <c r="D782" t="s">
        <v>35</v>
      </c>
      <c r="E782" t="s">
        <v>22</v>
      </c>
      <c r="F782" t="s">
        <v>56</v>
      </c>
      <c r="G782" t="s">
        <v>23</v>
      </c>
      <c r="H782">
        <v>12</v>
      </c>
    </row>
    <row r="783" spans="1:8" ht="21.75" customHeight="1" x14ac:dyDescent="0.35">
      <c r="A783" t="s">
        <v>928</v>
      </c>
      <c r="B783" s="3">
        <v>45368</v>
      </c>
      <c r="C783" t="s">
        <v>642</v>
      </c>
      <c r="D783" t="s">
        <v>96</v>
      </c>
      <c r="E783" t="s">
        <v>22</v>
      </c>
      <c r="F783" t="s">
        <v>12</v>
      </c>
      <c r="G783" t="s">
        <v>23</v>
      </c>
      <c r="H783">
        <v>6</v>
      </c>
    </row>
    <row r="784" spans="1:8" ht="21.75" customHeight="1" x14ac:dyDescent="0.35">
      <c r="A784" t="s">
        <v>929</v>
      </c>
      <c r="B784" s="3">
        <v>45545</v>
      </c>
      <c r="C784" t="s">
        <v>30</v>
      </c>
      <c r="D784" t="s">
        <v>72</v>
      </c>
      <c r="E784" t="s">
        <v>11</v>
      </c>
      <c r="F784" t="s">
        <v>27</v>
      </c>
      <c r="G784" t="s">
        <v>32</v>
      </c>
      <c r="H784">
        <v>8</v>
      </c>
    </row>
    <row r="785" spans="1:8" ht="21.75" customHeight="1" x14ac:dyDescent="0.35">
      <c r="A785" t="s">
        <v>930</v>
      </c>
      <c r="B785" s="3">
        <v>45317</v>
      </c>
      <c r="C785" t="s">
        <v>358</v>
      </c>
      <c r="D785" t="s">
        <v>21</v>
      </c>
      <c r="E785" t="s">
        <v>11</v>
      </c>
      <c r="F785" t="s">
        <v>306</v>
      </c>
      <c r="G785" t="s">
        <v>28</v>
      </c>
      <c r="H785">
        <v>13</v>
      </c>
    </row>
    <row r="786" spans="1:8" ht="21.75" customHeight="1" x14ac:dyDescent="0.35">
      <c r="A786" t="s">
        <v>931</v>
      </c>
      <c r="B786" s="3">
        <v>45332</v>
      </c>
      <c r="C786" t="s">
        <v>366</v>
      </c>
      <c r="D786" t="s">
        <v>70</v>
      </c>
      <c r="E786" t="s">
        <v>17</v>
      </c>
      <c r="F786" t="s">
        <v>306</v>
      </c>
      <c r="G786" t="s">
        <v>23</v>
      </c>
      <c r="H786">
        <v>3</v>
      </c>
    </row>
    <row r="787" spans="1:8" ht="21.75" customHeight="1" x14ac:dyDescent="0.35">
      <c r="A787" t="s">
        <v>932</v>
      </c>
      <c r="B787" s="3">
        <v>45453</v>
      </c>
      <c r="C787" t="s">
        <v>114</v>
      </c>
      <c r="D787" t="s">
        <v>102</v>
      </c>
      <c r="E787" t="s">
        <v>17</v>
      </c>
      <c r="F787" t="s">
        <v>12</v>
      </c>
      <c r="G787" t="s">
        <v>36</v>
      </c>
      <c r="H787">
        <v>13</v>
      </c>
    </row>
    <row r="788" spans="1:8" ht="21.75" customHeight="1" x14ac:dyDescent="0.35">
      <c r="A788" t="s">
        <v>933</v>
      </c>
      <c r="B788" s="3">
        <v>45573</v>
      </c>
      <c r="C788" t="s">
        <v>25</v>
      </c>
      <c r="D788" t="s">
        <v>109</v>
      </c>
      <c r="E788" t="s">
        <v>11</v>
      </c>
      <c r="F788" t="s">
        <v>306</v>
      </c>
      <c r="G788" t="s">
        <v>36</v>
      </c>
      <c r="H788">
        <v>10</v>
      </c>
    </row>
    <row r="789" spans="1:8" ht="21.75" customHeight="1" x14ac:dyDescent="0.35">
      <c r="A789" t="s">
        <v>934</v>
      </c>
      <c r="B789" s="3">
        <v>45397</v>
      </c>
      <c r="C789" t="s">
        <v>350</v>
      </c>
      <c r="D789" t="s">
        <v>72</v>
      </c>
      <c r="E789" t="s">
        <v>22</v>
      </c>
      <c r="F789" t="s">
        <v>27</v>
      </c>
      <c r="G789" t="s">
        <v>28</v>
      </c>
      <c r="H789">
        <v>12</v>
      </c>
    </row>
    <row r="790" spans="1:8" ht="21.75" customHeight="1" x14ac:dyDescent="0.35">
      <c r="A790" t="s">
        <v>935</v>
      </c>
      <c r="B790" s="3">
        <v>45524</v>
      </c>
      <c r="C790" t="s">
        <v>118</v>
      </c>
      <c r="D790" t="s">
        <v>109</v>
      </c>
      <c r="E790" t="s">
        <v>22</v>
      </c>
      <c r="F790" t="s">
        <v>306</v>
      </c>
      <c r="G790" t="s">
        <v>32</v>
      </c>
      <c r="H790">
        <v>16</v>
      </c>
    </row>
    <row r="791" spans="1:8" ht="21.75" customHeight="1" x14ac:dyDescent="0.35">
      <c r="A791" t="s">
        <v>936</v>
      </c>
      <c r="B791" s="3">
        <v>45523</v>
      </c>
      <c r="C791" t="s">
        <v>40</v>
      </c>
      <c r="D791" t="s">
        <v>96</v>
      </c>
      <c r="E791" t="s">
        <v>11</v>
      </c>
      <c r="F791" t="s">
        <v>56</v>
      </c>
      <c r="G791" t="s">
        <v>32</v>
      </c>
      <c r="H791">
        <v>11</v>
      </c>
    </row>
    <row r="792" spans="1:8" ht="21.75" customHeight="1" x14ac:dyDescent="0.35">
      <c r="A792" t="s">
        <v>937</v>
      </c>
      <c r="B792" s="3">
        <v>45572</v>
      </c>
      <c r="C792" t="s">
        <v>363</v>
      </c>
      <c r="D792" t="s">
        <v>79</v>
      </c>
      <c r="E792" t="s">
        <v>17</v>
      </c>
      <c r="F792" t="s">
        <v>12</v>
      </c>
      <c r="G792" t="s">
        <v>23</v>
      </c>
      <c r="H792">
        <v>6</v>
      </c>
    </row>
    <row r="793" spans="1:8" ht="21.75" customHeight="1" x14ac:dyDescent="0.35">
      <c r="A793" t="s">
        <v>938</v>
      </c>
      <c r="B793" s="3">
        <v>45346</v>
      </c>
      <c r="C793" t="s">
        <v>230</v>
      </c>
      <c r="D793" t="s">
        <v>65</v>
      </c>
      <c r="E793" t="s">
        <v>22</v>
      </c>
      <c r="F793" t="s">
        <v>56</v>
      </c>
      <c r="G793" t="s">
        <v>23</v>
      </c>
      <c r="H793">
        <v>4</v>
      </c>
    </row>
    <row r="794" spans="1:8" ht="21.75" customHeight="1" x14ac:dyDescent="0.35">
      <c r="A794" t="s">
        <v>939</v>
      </c>
      <c r="B794" s="3">
        <v>45402</v>
      </c>
      <c r="C794" t="s">
        <v>366</v>
      </c>
      <c r="D794" t="s">
        <v>102</v>
      </c>
      <c r="E794" t="s">
        <v>11</v>
      </c>
      <c r="F794" t="s">
        <v>42</v>
      </c>
      <c r="G794" t="s">
        <v>36</v>
      </c>
      <c r="H794">
        <v>14</v>
      </c>
    </row>
    <row r="795" spans="1:8" ht="21.75" customHeight="1" x14ac:dyDescent="0.35">
      <c r="A795" t="s">
        <v>940</v>
      </c>
      <c r="B795" s="3">
        <v>45355</v>
      </c>
      <c r="C795" t="s">
        <v>337</v>
      </c>
      <c r="D795" t="s">
        <v>41</v>
      </c>
      <c r="E795" t="s">
        <v>17</v>
      </c>
      <c r="F795" t="s">
        <v>27</v>
      </c>
      <c r="G795" t="s">
        <v>28</v>
      </c>
      <c r="H795">
        <v>19</v>
      </c>
    </row>
    <row r="796" spans="1:8" ht="21.75" customHeight="1" x14ac:dyDescent="0.35">
      <c r="A796" t="s">
        <v>941</v>
      </c>
      <c r="B796" s="3">
        <v>45547</v>
      </c>
      <c r="C796" t="s">
        <v>25</v>
      </c>
      <c r="D796" t="s">
        <v>174</v>
      </c>
      <c r="E796" t="s">
        <v>22</v>
      </c>
      <c r="F796" t="s">
        <v>12</v>
      </c>
      <c r="G796" t="s">
        <v>23</v>
      </c>
      <c r="H796">
        <v>14</v>
      </c>
    </row>
    <row r="797" spans="1:8" ht="21.75" customHeight="1" x14ac:dyDescent="0.35">
      <c r="A797" t="s">
        <v>942</v>
      </c>
      <c r="B797" s="3">
        <v>45552</v>
      </c>
      <c r="C797" t="s">
        <v>420</v>
      </c>
      <c r="D797" t="s">
        <v>45</v>
      </c>
      <c r="E797" t="s">
        <v>11</v>
      </c>
      <c r="F797" t="s">
        <v>306</v>
      </c>
      <c r="G797" t="s">
        <v>36</v>
      </c>
      <c r="H797">
        <v>5</v>
      </c>
    </row>
    <row r="798" spans="1:8" ht="21.75" customHeight="1" x14ac:dyDescent="0.35">
      <c r="A798" t="s">
        <v>943</v>
      </c>
      <c r="B798" s="3">
        <v>45602</v>
      </c>
      <c r="C798" t="s">
        <v>187</v>
      </c>
      <c r="D798" t="s">
        <v>87</v>
      </c>
      <c r="E798" t="s">
        <v>22</v>
      </c>
      <c r="F798" t="s">
        <v>27</v>
      </c>
      <c r="G798" t="s">
        <v>28</v>
      </c>
      <c r="H798">
        <v>20</v>
      </c>
    </row>
    <row r="799" spans="1:8" ht="21.75" customHeight="1" x14ac:dyDescent="0.35">
      <c r="A799" t="s">
        <v>944</v>
      </c>
      <c r="B799" s="3">
        <v>45432</v>
      </c>
      <c r="C799" t="s">
        <v>106</v>
      </c>
      <c r="D799" t="s">
        <v>70</v>
      </c>
      <c r="E799" t="s">
        <v>17</v>
      </c>
      <c r="F799" t="s">
        <v>42</v>
      </c>
      <c r="G799" t="s">
        <v>36</v>
      </c>
      <c r="H799">
        <v>5</v>
      </c>
    </row>
    <row r="800" spans="1:8" ht="21.75" customHeight="1" x14ac:dyDescent="0.35">
      <c r="A800" t="s">
        <v>945</v>
      </c>
      <c r="B800" s="3">
        <v>45650</v>
      </c>
      <c r="C800" t="s">
        <v>323</v>
      </c>
      <c r="D800" t="s">
        <v>62</v>
      </c>
      <c r="E800" t="s">
        <v>22</v>
      </c>
      <c r="F800" t="s">
        <v>42</v>
      </c>
      <c r="G800" t="s">
        <v>36</v>
      </c>
      <c r="H800">
        <v>18</v>
      </c>
    </row>
    <row r="801" spans="1:8" ht="21.75" customHeight="1" x14ac:dyDescent="0.35">
      <c r="A801" t="s">
        <v>946</v>
      </c>
      <c r="B801" s="3">
        <v>45615</v>
      </c>
      <c r="C801" t="s">
        <v>133</v>
      </c>
      <c r="D801" t="s">
        <v>109</v>
      </c>
      <c r="E801" t="s">
        <v>11</v>
      </c>
      <c r="F801" t="s">
        <v>56</v>
      </c>
      <c r="G801" t="s">
        <v>28</v>
      </c>
      <c r="H801">
        <v>10</v>
      </c>
    </row>
    <row r="802" spans="1:8" ht="21.75" customHeight="1" x14ac:dyDescent="0.35">
      <c r="A802" t="s">
        <v>947</v>
      </c>
      <c r="B802" s="3">
        <v>45655</v>
      </c>
      <c r="C802" t="s">
        <v>350</v>
      </c>
      <c r="D802" t="s">
        <v>174</v>
      </c>
      <c r="E802" t="s">
        <v>11</v>
      </c>
      <c r="F802" t="s">
        <v>306</v>
      </c>
      <c r="G802" t="s">
        <v>32</v>
      </c>
      <c r="H802">
        <v>11</v>
      </c>
    </row>
    <row r="803" spans="1:8" ht="21.75" customHeight="1" x14ac:dyDescent="0.35">
      <c r="A803" t="s">
        <v>948</v>
      </c>
      <c r="B803" s="3">
        <v>45579</v>
      </c>
      <c r="C803" t="s">
        <v>517</v>
      </c>
      <c r="D803" t="s">
        <v>41</v>
      </c>
      <c r="E803" t="s">
        <v>22</v>
      </c>
      <c r="F803" t="s">
        <v>306</v>
      </c>
      <c r="G803" t="s">
        <v>36</v>
      </c>
      <c r="H803">
        <v>14</v>
      </c>
    </row>
    <row r="804" spans="1:8" ht="21.75" customHeight="1" x14ac:dyDescent="0.35">
      <c r="A804" t="s">
        <v>949</v>
      </c>
      <c r="B804" s="3">
        <v>45438</v>
      </c>
      <c r="C804" t="s">
        <v>309</v>
      </c>
      <c r="D804" t="s">
        <v>102</v>
      </c>
      <c r="E804" t="s">
        <v>11</v>
      </c>
      <c r="F804" t="s">
        <v>306</v>
      </c>
      <c r="G804" t="s">
        <v>13</v>
      </c>
      <c r="H804">
        <v>1</v>
      </c>
    </row>
    <row r="805" spans="1:8" ht="21.75" customHeight="1" x14ac:dyDescent="0.35">
      <c r="A805" t="s">
        <v>950</v>
      </c>
      <c r="B805" s="3">
        <v>45635</v>
      </c>
      <c r="C805" t="s">
        <v>131</v>
      </c>
      <c r="D805" t="s">
        <v>119</v>
      </c>
      <c r="E805" t="s">
        <v>11</v>
      </c>
      <c r="F805" t="s">
        <v>42</v>
      </c>
      <c r="G805" t="s">
        <v>32</v>
      </c>
      <c r="H805">
        <v>6</v>
      </c>
    </row>
    <row r="806" spans="1:8" ht="21.75" customHeight="1" x14ac:dyDescent="0.35">
      <c r="A806" t="s">
        <v>951</v>
      </c>
      <c r="B806" s="3">
        <v>45366</v>
      </c>
      <c r="C806" t="s">
        <v>131</v>
      </c>
      <c r="D806" t="s">
        <v>65</v>
      </c>
      <c r="E806" t="s">
        <v>22</v>
      </c>
      <c r="F806" t="s">
        <v>42</v>
      </c>
      <c r="G806" t="s">
        <v>23</v>
      </c>
      <c r="H806">
        <v>18</v>
      </c>
    </row>
    <row r="807" spans="1:8" ht="21.75" customHeight="1" x14ac:dyDescent="0.35">
      <c r="A807" t="s">
        <v>952</v>
      </c>
      <c r="B807" s="3">
        <v>45344</v>
      </c>
      <c r="C807" t="s">
        <v>594</v>
      </c>
      <c r="D807" t="s">
        <v>197</v>
      </c>
      <c r="E807" t="s">
        <v>22</v>
      </c>
      <c r="F807" t="s">
        <v>306</v>
      </c>
      <c r="G807" t="s">
        <v>36</v>
      </c>
      <c r="H807">
        <v>18</v>
      </c>
    </row>
    <row r="808" spans="1:8" ht="21.75" customHeight="1" x14ac:dyDescent="0.35">
      <c r="A808" t="s">
        <v>953</v>
      </c>
      <c r="B808" s="3">
        <v>45648</v>
      </c>
      <c r="C808" t="s">
        <v>55</v>
      </c>
      <c r="D808" t="s">
        <v>31</v>
      </c>
      <c r="E808" t="s">
        <v>22</v>
      </c>
      <c r="F808" t="s">
        <v>12</v>
      </c>
      <c r="G808" t="s">
        <v>32</v>
      </c>
      <c r="H808">
        <v>13</v>
      </c>
    </row>
    <row r="809" spans="1:8" ht="21.75" customHeight="1" x14ac:dyDescent="0.35">
      <c r="A809" t="s">
        <v>954</v>
      </c>
      <c r="B809" s="3">
        <v>45574</v>
      </c>
      <c r="C809" t="s">
        <v>9</v>
      </c>
      <c r="D809" t="s">
        <v>65</v>
      </c>
      <c r="E809" t="s">
        <v>11</v>
      </c>
      <c r="F809" t="s">
        <v>42</v>
      </c>
      <c r="G809" t="s">
        <v>23</v>
      </c>
      <c r="H809">
        <v>20</v>
      </c>
    </row>
    <row r="810" spans="1:8" ht="21.75" customHeight="1" x14ac:dyDescent="0.35">
      <c r="A810" t="s">
        <v>955</v>
      </c>
      <c r="B810" s="3">
        <v>45407</v>
      </c>
      <c r="C810" t="s">
        <v>541</v>
      </c>
      <c r="D810" t="s">
        <v>119</v>
      </c>
      <c r="E810" t="s">
        <v>22</v>
      </c>
      <c r="F810" t="s">
        <v>42</v>
      </c>
      <c r="G810" t="s">
        <v>36</v>
      </c>
      <c r="H810">
        <v>19</v>
      </c>
    </row>
    <row r="811" spans="1:8" ht="21.75" customHeight="1" x14ac:dyDescent="0.35">
      <c r="A811" t="s">
        <v>956</v>
      </c>
      <c r="B811" s="3">
        <v>45392</v>
      </c>
      <c r="C811" t="s">
        <v>420</v>
      </c>
      <c r="D811" t="s">
        <v>74</v>
      </c>
      <c r="E811" t="s">
        <v>22</v>
      </c>
      <c r="F811" t="s">
        <v>56</v>
      </c>
      <c r="G811" t="s">
        <v>13</v>
      </c>
      <c r="H811">
        <v>15</v>
      </c>
    </row>
    <row r="812" spans="1:8" ht="21.75" customHeight="1" x14ac:dyDescent="0.35">
      <c r="A812" t="s">
        <v>957</v>
      </c>
      <c r="B812" s="3">
        <v>45387</v>
      </c>
      <c r="C812" t="s">
        <v>235</v>
      </c>
      <c r="D812" t="s">
        <v>102</v>
      </c>
      <c r="E812" t="s">
        <v>22</v>
      </c>
      <c r="F812" t="s">
        <v>306</v>
      </c>
      <c r="G812" t="s">
        <v>32</v>
      </c>
      <c r="H812">
        <v>13</v>
      </c>
    </row>
    <row r="813" spans="1:8" ht="21.75" customHeight="1" x14ac:dyDescent="0.35">
      <c r="A813" t="s">
        <v>958</v>
      </c>
      <c r="B813" s="3">
        <v>45576</v>
      </c>
      <c r="C813" t="s">
        <v>86</v>
      </c>
      <c r="D813" t="s">
        <v>59</v>
      </c>
      <c r="E813" t="s">
        <v>11</v>
      </c>
      <c r="F813" t="s">
        <v>56</v>
      </c>
      <c r="G813" t="s">
        <v>23</v>
      </c>
      <c r="H813">
        <v>9</v>
      </c>
    </row>
    <row r="814" spans="1:8" ht="21.75" customHeight="1" x14ac:dyDescent="0.35">
      <c r="A814" t="s">
        <v>959</v>
      </c>
      <c r="B814" s="3">
        <v>45655</v>
      </c>
      <c r="C814" t="s">
        <v>125</v>
      </c>
      <c r="D814" t="s">
        <v>72</v>
      </c>
      <c r="E814" t="s">
        <v>11</v>
      </c>
      <c r="F814" t="s">
        <v>56</v>
      </c>
      <c r="G814" t="s">
        <v>36</v>
      </c>
      <c r="H814">
        <v>20</v>
      </c>
    </row>
    <row r="815" spans="1:8" ht="21.75" customHeight="1" x14ac:dyDescent="0.35">
      <c r="A815" t="s">
        <v>960</v>
      </c>
      <c r="B815" s="3">
        <v>45630</v>
      </c>
      <c r="C815" t="s">
        <v>68</v>
      </c>
      <c r="D815" t="s">
        <v>174</v>
      </c>
      <c r="E815" t="s">
        <v>17</v>
      </c>
      <c r="F815" t="s">
        <v>306</v>
      </c>
      <c r="G815" t="s">
        <v>32</v>
      </c>
      <c r="H815">
        <v>12</v>
      </c>
    </row>
    <row r="816" spans="1:8" ht="21.75" customHeight="1" x14ac:dyDescent="0.35">
      <c r="A816" t="s">
        <v>961</v>
      </c>
      <c r="B816" s="3">
        <v>45561</v>
      </c>
      <c r="C816" t="s">
        <v>240</v>
      </c>
      <c r="D816" t="s">
        <v>10</v>
      </c>
      <c r="E816" t="s">
        <v>11</v>
      </c>
      <c r="F816" t="s">
        <v>306</v>
      </c>
      <c r="G816" t="s">
        <v>36</v>
      </c>
      <c r="H816">
        <v>17</v>
      </c>
    </row>
    <row r="817" spans="1:8" ht="21.75" customHeight="1" x14ac:dyDescent="0.35">
      <c r="A817" t="s">
        <v>962</v>
      </c>
      <c r="B817" s="3">
        <v>45566</v>
      </c>
      <c r="C817" t="s">
        <v>341</v>
      </c>
      <c r="D817" t="s">
        <v>197</v>
      </c>
      <c r="E817" t="s">
        <v>11</v>
      </c>
      <c r="F817" t="s">
        <v>42</v>
      </c>
      <c r="G817" t="s">
        <v>32</v>
      </c>
      <c r="H817">
        <v>7</v>
      </c>
    </row>
    <row r="818" spans="1:8" ht="21.75" customHeight="1" x14ac:dyDescent="0.35">
      <c r="A818" t="s">
        <v>963</v>
      </c>
      <c r="B818" s="3">
        <v>45476</v>
      </c>
      <c r="C818" t="s">
        <v>61</v>
      </c>
      <c r="D818" t="s">
        <v>160</v>
      </c>
      <c r="E818" t="s">
        <v>11</v>
      </c>
      <c r="F818" t="s">
        <v>306</v>
      </c>
      <c r="G818" t="s">
        <v>13</v>
      </c>
      <c r="H818">
        <v>16</v>
      </c>
    </row>
    <row r="819" spans="1:8" ht="21.75" customHeight="1" x14ac:dyDescent="0.35">
      <c r="A819" t="s">
        <v>964</v>
      </c>
      <c r="B819" s="3">
        <v>45350</v>
      </c>
      <c r="C819" t="s">
        <v>317</v>
      </c>
      <c r="D819" t="s">
        <v>197</v>
      </c>
      <c r="E819" t="s">
        <v>17</v>
      </c>
      <c r="F819" t="s">
        <v>27</v>
      </c>
      <c r="G819" t="s">
        <v>28</v>
      </c>
      <c r="H819">
        <v>20</v>
      </c>
    </row>
    <row r="820" spans="1:8" ht="21.75" customHeight="1" x14ac:dyDescent="0.35">
      <c r="A820" t="s">
        <v>965</v>
      </c>
      <c r="B820" s="3">
        <v>45312</v>
      </c>
      <c r="C820" t="s">
        <v>455</v>
      </c>
      <c r="D820" t="s">
        <v>102</v>
      </c>
      <c r="E820" t="s">
        <v>17</v>
      </c>
      <c r="F820" t="s">
        <v>27</v>
      </c>
      <c r="G820" t="s">
        <v>32</v>
      </c>
      <c r="H820">
        <v>13</v>
      </c>
    </row>
    <row r="821" spans="1:8" ht="21.75" customHeight="1" x14ac:dyDescent="0.35">
      <c r="A821" t="s">
        <v>966</v>
      </c>
      <c r="B821" s="3">
        <v>45304</v>
      </c>
      <c r="C821" t="s">
        <v>363</v>
      </c>
      <c r="D821" t="s">
        <v>160</v>
      </c>
      <c r="E821" t="s">
        <v>17</v>
      </c>
      <c r="F821" t="s">
        <v>306</v>
      </c>
      <c r="G821" t="s">
        <v>32</v>
      </c>
      <c r="H821">
        <v>15</v>
      </c>
    </row>
    <row r="822" spans="1:8" ht="21.75" customHeight="1" x14ac:dyDescent="0.35">
      <c r="A822" t="s">
        <v>967</v>
      </c>
      <c r="B822" s="3">
        <v>45625</v>
      </c>
      <c r="C822" t="s">
        <v>150</v>
      </c>
      <c r="D822" t="s">
        <v>10</v>
      </c>
      <c r="E822" t="s">
        <v>17</v>
      </c>
      <c r="F822" t="s">
        <v>306</v>
      </c>
      <c r="G822" t="s">
        <v>36</v>
      </c>
      <c r="H822">
        <v>4</v>
      </c>
    </row>
    <row r="823" spans="1:8" ht="21.75" customHeight="1" x14ac:dyDescent="0.35">
      <c r="A823" t="s">
        <v>968</v>
      </c>
      <c r="B823" s="3">
        <v>45565</v>
      </c>
      <c r="C823" t="s">
        <v>25</v>
      </c>
      <c r="D823" t="s">
        <v>65</v>
      </c>
      <c r="E823" t="s">
        <v>22</v>
      </c>
      <c r="F823" t="s">
        <v>12</v>
      </c>
      <c r="G823" t="s">
        <v>23</v>
      </c>
      <c r="H823">
        <v>7</v>
      </c>
    </row>
    <row r="824" spans="1:8" ht="21.75" customHeight="1" x14ac:dyDescent="0.35">
      <c r="A824" t="s">
        <v>969</v>
      </c>
      <c r="B824" s="3">
        <v>45345</v>
      </c>
      <c r="C824" t="s">
        <v>95</v>
      </c>
      <c r="D824" t="s">
        <v>21</v>
      </c>
      <c r="E824" t="s">
        <v>22</v>
      </c>
      <c r="F824" t="s">
        <v>27</v>
      </c>
      <c r="G824" t="s">
        <v>28</v>
      </c>
      <c r="H824">
        <v>3</v>
      </c>
    </row>
    <row r="825" spans="1:8" ht="21.75" customHeight="1" x14ac:dyDescent="0.35">
      <c r="A825" t="s">
        <v>970</v>
      </c>
      <c r="B825" s="3">
        <v>45304</v>
      </c>
      <c r="C825" t="s">
        <v>366</v>
      </c>
      <c r="D825" t="s">
        <v>79</v>
      </c>
      <c r="E825" t="s">
        <v>22</v>
      </c>
      <c r="F825" t="s">
        <v>42</v>
      </c>
      <c r="G825" t="s">
        <v>28</v>
      </c>
      <c r="H825">
        <v>3</v>
      </c>
    </row>
    <row r="826" spans="1:8" ht="21.75" customHeight="1" x14ac:dyDescent="0.35">
      <c r="A826" t="s">
        <v>971</v>
      </c>
      <c r="B826" s="3">
        <v>45420</v>
      </c>
      <c r="C826" t="s">
        <v>642</v>
      </c>
      <c r="D826" t="s">
        <v>197</v>
      </c>
      <c r="E826" t="s">
        <v>11</v>
      </c>
      <c r="F826" t="s">
        <v>306</v>
      </c>
      <c r="G826" t="s">
        <v>23</v>
      </c>
      <c r="H826">
        <v>9</v>
      </c>
    </row>
    <row r="827" spans="1:8" ht="21.75" customHeight="1" x14ac:dyDescent="0.35">
      <c r="A827" t="s">
        <v>972</v>
      </c>
      <c r="B827" s="3">
        <v>45614</v>
      </c>
      <c r="C827" t="s">
        <v>341</v>
      </c>
      <c r="D827" t="s">
        <v>96</v>
      </c>
      <c r="E827" t="s">
        <v>17</v>
      </c>
      <c r="F827" t="s">
        <v>42</v>
      </c>
      <c r="G827" t="s">
        <v>36</v>
      </c>
      <c r="H827">
        <v>13</v>
      </c>
    </row>
    <row r="828" spans="1:8" ht="21.75" customHeight="1" x14ac:dyDescent="0.35">
      <c r="A828" t="s">
        <v>973</v>
      </c>
      <c r="B828" s="3">
        <v>45295</v>
      </c>
      <c r="C828" t="s">
        <v>736</v>
      </c>
      <c r="D828" t="s">
        <v>10</v>
      </c>
      <c r="E828" t="s">
        <v>22</v>
      </c>
      <c r="F828" t="s">
        <v>306</v>
      </c>
      <c r="G828" t="s">
        <v>13</v>
      </c>
      <c r="H828">
        <v>19</v>
      </c>
    </row>
    <row r="829" spans="1:8" ht="21.75" customHeight="1" x14ac:dyDescent="0.35">
      <c r="A829" t="s">
        <v>974</v>
      </c>
      <c r="B829" s="3">
        <v>45475</v>
      </c>
      <c r="C829" t="s">
        <v>358</v>
      </c>
      <c r="D829" t="s">
        <v>41</v>
      </c>
      <c r="E829" t="s">
        <v>11</v>
      </c>
      <c r="F829" t="s">
        <v>42</v>
      </c>
      <c r="G829" t="s">
        <v>32</v>
      </c>
      <c r="H829">
        <v>10</v>
      </c>
    </row>
    <row r="830" spans="1:8" ht="21.75" customHeight="1" x14ac:dyDescent="0.35">
      <c r="A830" t="s">
        <v>975</v>
      </c>
      <c r="B830" s="3">
        <v>45516</v>
      </c>
      <c r="C830" t="s">
        <v>159</v>
      </c>
      <c r="D830" t="s">
        <v>35</v>
      </c>
      <c r="E830" t="s">
        <v>17</v>
      </c>
      <c r="F830" t="s">
        <v>12</v>
      </c>
      <c r="G830" t="s">
        <v>28</v>
      </c>
      <c r="H830">
        <v>6</v>
      </c>
    </row>
    <row r="831" spans="1:8" ht="21.75" customHeight="1" x14ac:dyDescent="0.35">
      <c r="A831" t="s">
        <v>976</v>
      </c>
      <c r="B831" s="3">
        <v>45492</v>
      </c>
      <c r="C831" t="s">
        <v>591</v>
      </c>
      <c r="D831" t="s">
        <v>74</v>
      </c>
      <c r="E831" t="s">
        <v>17</v>
      </c>
      <c r="F831" t="s">
        <v>56</v>
      </c>
      <c r="G831" t="s">
        <v>13</v>
      </c>
      <c r="H831">
        <v>12</v>
      </c>
    </row>
    <row r="832" spans="1:8" ht="21.75" customHeight="1" x14ac:dyDescent="0.35">
      <c r="A832" t="s">
        <v>977</v>
      </c>
      <c r="B832" s="3">
        <v>45575</v>
      </c>
      <c r="C832" t="s">
        <v>642</v>
      </c>
      <c r="D832" t="s">
        <v>79</v>
      </c>
      <c r="E832" t="s">
        <v>11</v>
      </c>
      <c r="F832" t="s">
        <v>12</v>
      </c>
      <c r="G832" t="s">
        <v>23</v>
      </c>
      <c r="H832">
        <v>1</v>
      </c>
    </row>
    <row r="833" spans="1:8" ht="21.75" customHeight="1" x14ac:dyDescent="0.35">
      <c r="A833" t="s">
        <v>978</v>
      </c>
      <c r="B833" s="3">
        <v>45567</v>
      </c>
      <c r="C833" t="s">
        <v>378</v>
      </c>
      <c r="D833" t="s">
        <v>65</v>
      </c>
      <c r="E833" t="s">
        <v>11</v>
      </c>
      <c r="F833" t="s">
        <v>42</v>
      </c>
      <c r="G833" t="s">
        <v>36</v>
      </c>
      <c r="H833">
        <v>12</v>
      </c>
    </row>
    <row r="834" spans="1:8" ht="21.75" customHeight="1" x14ac:dyDescent="0.35">
      <c r="A834" t="s">
        <v>979</v>
      </c>
      <c r="B834" s="3">
        <v>45364</v>
      </c>
      <c r="C834" t="s">
        <v>111</v>
      </c>
      <c r="D834" t="s">
        <v>109</v>
      </c>
      <c r="E834" t="s">
        <v>11</v>
      </c>
      <c r="F834" t="s">
        <v>56</v>
      </c>
      <c r="G834" t="s">
        <v>28</v>
      </c>
      <c r="H834">
        <v>9</v>
      </c>
    </row>
    <row r="835" spans="1:8" ht="21.75" customHeight="1" x14ac:dyDescent="0.35">
      <c r="A835" t="s">
        <v>980</v>
      </c>
      <c r="B835" s="3">
        <v>45635</v>
      </c>
      <c r="C835" t="s">
        <v>614</v>
      </c>
      <c r="D835" t="s">
        <v>70</v>
      </c>
      <c r="E835" t="s">
        <v>11</v>
      </c>
      <c r="F835" t="s">
        <v>306</v>
      </c>
      <c r="G835" t="s">
        <v>13</v>
      </c>
      <c r="H835">
        <v>18</v>
      </c>
    </row>
    <row r="836" spans="1:8" ht="21.75" customHeight="1" x14ac:dyDescent="0.35">
      <c r="A836" t="s">
        <v>981</v>
      </c>
      <c r="B836" s="3">
        <v>45420</v>
      </c>
      <c r="C836" t="s">
        <v>108</v>
      </c>
      <c r="D836" t="s">
        <v>35</v>
      </c>
      <c r="E836" t="s">
        <v>11</v>
      </c>
      <c r="F836" t="s">
        <v>306</v>
      </c>
      <c r="G836" t="s">
        <v>28</v>
      </c>
      <c r="H836">
        <v>11</v>
      </c>
    </row>
    <row r="837" spans="1:8" ht="21.75" customHeight="1" x14ac:dyDescent="0.35">
      <c r="A837" t="s">
        <v>982</v>
      </c>
      <c r="B837" s="3">
        <v>45343</v>
      </c>
      <c r="C837" t="s">
        <v>55</v>
      </c>
      <c r="D837" t="s">
        <v>65</v>
      </c>
      <c r="E837" t="s">
        <v>22</v>
      </c>
      <c r="F837" t="s">
        <v>12</v>
      </c>
      <c r="G837" t="s">
        <v>32</v>
      </c>
      <c r="H837">
        <v>11</v>
      </c>
    </row>
    <row r="838" spans="1:8" ht="21.75" customHeight="1" x14ac:dyDescent="0.35">
      <c r="A838" t="s">
        <v>983</v>
      </c>
      <c r="B838" s="3">
        <v>45607</v>
      </c>
      <c r="C838" t="s">
        <v>371</v>
      </c>
      <c r="D838" t="s">
        <v>16</v>
      </c>
      <c r="E838" t="s">
        <v>17</v>
      </c>
      <c r="F838" t="s">
        <v>306</v>
      </c>
      <c r="G838" t="s">
        <v>32</v>
      </c>
      <c r="H838">
        <v>19</v>
      </c>
    </row>
    <row r="839" spans="1:8" ht="21.75" customHeight="1" x14ac:dyDescent="0.35">
      <c r="A839" t="s">
        <v>984</v>
      </c>
      <c r="B839" s="3">
        <v>45511</v>
      </c>
      <c r="C839" t="s">
        <v>30</v>
      </c>
      <c r="D839" t="s">
        <v>197</v>
      </c>
      <c r="E839" t="s">
        <v>11</v>
      </c>
      <c r="F839" t="s">
        <v>42</v>
      </c>
      <c r="G839" t="s">
        <v>23</v>
      </c>
      <c r="H839">
        <v>8</v>
      </c>
    </row>
    <row r="840" spans="1:8" ht="21.75" customHeight="1" x14ac:dyDescent="0.35">
      <c r="A840" t="s">
        <v>985</v>
      </c>
      <c r="B840" s="3">
        <v>45433</v>
      </c>
      <c r="C840" t="s">
        <v>83</v>
      </c>
      <c r="D840" t="s">
        <v>35</v>
      </c>
      <c r="E840" t="s">
        <v>11</v>
      </c>
      <c r="F840" t="s">
        <v>42</v>
      </c>
      <c r="G840" t="s">
        <v>32</v>
      </c>
      <c r="H840">
        <v>15</v>
      </c>
    </row>
    <row r="841" spans="1:8" ht="21.75" customHeight="1" x14ac:dyDescent="0.35">
      <c r="A841" t="s">
        <v>986</v>
      </c>
      <c r="B841" s="3">
        <v>45541</v>
      </c>
      <c r="C841" t="s">
        <v>378</v>
      </c>
      <c r="D841" t="s">
        <v>21</v>
      </c>
      <c r="E841" t="s">
        <v>11</v>
      </c>
      <c r="F841" t="s">
        <v>56</v>
      </c>
      <c r="G841" t="s">
        <v>32</v>
      </c>
      <c r="H841">
        <v>20</v>
      </c>
    </row>
    <row r="842" spans="1:8" ht="21.75" customHeight="1" x14ac:dyDescent="0.35">
      <c r="A842" t="s">
        <v>987</v>
      </c>
      <c r="B842" s="3">
        <v>45363</v>
      </c>
      <c r="C842" t="s">
        <v>312</v>
      </c>
      <c r="D842" t="s">
        <v>84</v>
      </c>
      <c r="E842" t="s">
        <v>11</v>
      </c>
      <c r="F842" t="s">
        <v>42</v>
      </c>
      <c r="G842" t="s">
        <v>13</v>
      </c>
      <c r="H842">
        <v>3</v>
      </c>
    </row>
    <row r="843" spans="1:8" ht="21.75" customHeight="1" x14ac:dyDescent="0.35">
      <c r="A843" t="s">
        <v>988</v>
      </c>
      <c r="B843" s="3">
        <v>45551</v>
      </c>
      <c r="C843" t="s">
        <v>451</v>
      </c>
      <c r="D843" t="s">
        <v>59</v>
      </c>
      <c r="E843" t="s">
        <v>11</v>
      </c>
      <c r="F843" t="s">
        <v>306</v>
      </c>
      <c r="G843" t="s">
        <v>28</v>
      </c>
      <c r="H843">
        <v>13</v>
      </c>
    </row>
    <row r="844" spans="1:8" ht="21.75" customHeight="1" x14ac:dyDescent="0.35">
      <c r="A844" t="s">
        <v>989</v>
      </c>
      <c r="B844" s="3">
        <v>45310</v>
      </c>
      <c r="C844" t="s">
        <v>378</v>
      </c>
      <c r="D844" t="s">
        <v>174</v>
      </c>
      <c r="E844" t="s">
        <v>17</v>
      </c>
      <c r="F844" t="s">
        <v>306</v>
      </c>
      <c r="G844" t="s">
        <v>28</v>
      </c>
      <c r="H844">
        <v>16</v>
      </c>
    </row>
    <row r="845" spans="1:8" ht="21.75" customHeight="1" x14ac:dyDescent="0.35">
      <c r="A845" t="s">
        <v>990</v>
      </c>
      <c r="B845" s="3">
        <v>45479</v>
      </c>
      <c r="C845" t="s">
        <v>106</v>
      </c>
      <c r="D845" t="s">
        <v>84</v>
      </c>
      <c r="E845" t="s">
        <v>11</v>
      </c>
      <c r="F845" t="s">
        <v>306</v>
      </c>
      <c r="G845" t="s">
        <v>36</v>
      </c>
      <c r="H845">
        <v>10</v>
      </c>
    </row>
    <row r="846" spans="1:8" ht="21.75" customHeight="1" x14ac:dyDescent="0.35">
      <c r="A846" t="s">
        <v>991</v>
      </c>
      <c r="B846" s="3">
        <v>45553</v>
      </c>
      <c r="C846" t="s">
        <v>203</v>
      </c>
      <c r="D846" t="s">
        <v>160</v>
      </c>
      <c r="E846" t="s">
        <v>17</v>
      </c>
      <c r="F846" t="s">
        <v>42</v>
      </c>
      <c r="G846" t="s">
        <v>36</v>
      </c>
      <c r="H846">
        <v>1</v>
      </c>
    </row>
    <row r="847" spans="1:8" ht="21.75" customHeight="1" x14ac:dyDescent="0.35">
      <c r="A847" t="s">
        <v>992</v>
      </c>
      <c r="B847" s="3">
        <v>45642</v>
      </c>
      <c r="C847" t="s">
        <v>30</v>
      </c>
      <c r="D847" t="s">
        <v>70</v>
      </c>
      <c r="E847" t="s">
        <v>22</v>
      </c>
      <c r="F847" t="s">
        <v>56</v>
      </c>
      <c r="G847" t="s">
        <v>36</v>
      </c>
      <c r="H847">
        <v>6</v>
      </c>
    </row>
    <row r="848" spans="1:8" ht="21.75" customHeight="1" x14ac:dyDescent="0.35">
      <c r="A848" t="s">
        <v>993</v>
      </c>
      <c r="B848" s="3">
        <v>45629</v>
      </c>
      <c r="C848" t="s">
        <v>167</v>
      </c>
      <c r="D848" t="s">
        <v>48</v>
      </c>
      <c r="E848" t="s">
        <v>22</v>
      </c>
      <c r="F848" t="s">
        <v>27</v>
      </c>
      <c r="G848" t="s">
        <v>23</v>
      </c>
      <c r="H848">
        <v>2</v>
      </c>
    </row>
    <row r="849" spans="1:8" ht="21.75" customHeight="1" x14ac:dyDescent="0.35">
      <c r="A849" t="s">
        <v>994</v>
      </c>
      <c r="B849" s="3">
        <v>45410</v>
      </c>
      <c r="C849" t="s">
        <v>58</v>
      </c>
      <c r="D849" t="s">
        <v>197</v>
      </c>
      <c r="E849" t="s">
        <v>17</v>
      </c>
      <c r="F849" t="s">
        <v>42</v>
      </c>
      <c r="G849" t="s">
        <v>36</v>
      </c>
      <c r="H849">
        <v>2</v>
      </c>
    </row>
    <row r="850" spans="1:8" ht="21.75" customHeight="1" x14ac:dyDescent="0.35">
      <c r="A850" t="s">
        <v>995</v>
      </c>
      <c r="B850" s="3">
        <v>45476</v>
      </c>
      <c r="C850" t="s">
        <v>53</v>
      </c>
      <c r="D850" t="s">
        <v>79</v>
      </c>
      <c r="E850" t="s">
        <v>17</v>
      </c>
      <c r="F850" t="s">
        <v>27</v>
      </c>
      <c r="G850" t="s">
        <v>32</v>
      </c>
      <c r="H850">
        <v>2</v>
      </c>
    </row>
    <row r="851" spans="1:8" ht="21.75" customHeight="1" x14ac:dyDescent="0.35">
      <c r="A851" t="s">
        <v>996</v>
      </c>
      <c r="B851" s="3">
        <v>45344</v>
      </c>
      <c r="C851" t="s">
        <v>369</v>
      </c>
      <c r="D851" t="s">
        <v>84</v>
      </c>
      <c r="E851" t="s">
        <v>22</v>
      </c>
      <c r="F851" t="s">
        <v>42</v>
      </c>
      <c r="G851" t="s">
        <v>36</v>
      </c>
      <c r="H851">
        <v>9</v>
      </c>
    </row>
    <row r="852" spans="1:8" ht="21.75" customHeight="1" x14ac:dyDescent="0.35">
      <c r="A852" t="s">
        <v>997</v>
      </c>
      <c r="B852" s="3">
        <v>45381</v>
      </c>
      <c r="C852" t="s">
        <v>159</v>
      </c>
      <c r="D852" t="s">
        <v>48</v>
      </c>
      <c r="E852" t="s">
        <v>22</v>
      </c>
      <c r="F852" t="s">
        <v>27</v>
      </c>
      <c r="G852" t="s">
        <v>13</v>
      </c>
      <c r="H852">
        <v>19</v>
      </c>
    </row>
    <row r="853" spans="1:8" ht="21.75" customHeight="1" x14ac:dyDescent="0.35">
      <c r="A853" t="s">
        <v>998</v>
      </c>
      <c r="B853" s="3">
        <v>45556</v>
      </c>
      <c r="C853" t="s">
        <v>230</v>
      </c>
      <c r="D853" t="s">
        <v>160</v>
      </c>
      <c r="E853" t="s">
        <v>17</v>
      </c>
      <c r="F853" t="s">
        <v>56</v>
      </c>
      <c r="G853" t="s">
        <v>32</v>
      </c>
      <c r="H853">
        <v>13</v>
      </c>
    </row>
    <row r="854" spans="1:8" ht="21.75" customHeight="1" x14ac:dyDescent="0.35">
      <c r="A854" t="s">
        <v>999</v>
      </c>
      <c r="B854" s="3">
        <v>45541</v>
      </c>
      <c r="C854" t="s">
        <v>517</v>
      </c>
      <c r="D854" t="s">
        <v>160</v>
      </c>
      <c r="E854" t="s">
        <v>22</v>
      </c>
      <c r="F854" t="s">
        <v>12</v>
      </c>
      <c r="G854" t="s">
        <v>28</v>
      </c>
      <c r="H854">
        <v>5</v>
      </c>
    </row>
    <row r="855" spans="1:8" ht="21.75" customHeight="1" x14ac:dyDescent="0.35">
      <c r="A855" t="s">
        <v>1000</v>
      </c>
      <c r="B855" s="3">
        <v>45331</v>
      </c>
      <c r="C855" t="s">
        <v>345</v>
      </c>
      <c r="D855" t="s">
        <v>65</v>
      </c>
      <c r="E855" t="s">
        <v>22</v>
      </c>
      <c r="F855" t="s">
        <v>42</v>
      </c>
      <c r="G855" t="s">
        <v>32</v>
      </c>
      <c r="H855">
        <v>5</v>
      </c>
    </row>
    <row r="856" spans="1:8" ht="21.75" customHeight="1" x14ac:dyDescent="0.35">
      <c r="A856" t="s">
        <v>1001</v>
      </c>
      <c r="B856" s="3">
        <v>45600</v>
      </c>
      <c r="C856" t="s">
        <v>436</v>
      </c>
      <c r="D856" t="s">
        <v>87</v>
      </c>
      <c r="E856" t="s">
        <v>11</v>
      </c>
      <c r="F856" t="s">
        <v>56</v>
      </c>
      <c r="G856" t="s">
        <v>23</v>
      </c>
      <c r="H856">
        <v>11</v>
      </c>
    </row>
    <row r="857" spans="1:8" ht="21.75" customHeight="1" x14ac:dyDescent="0.35">
      <c r="A857" t="s">
        <v>1002</v>
      </c>
      <c r="B857" s="3">
        <v>45637</v>
      </c>
      <c r="C857" t="s">
        <v>517</v>
      </c>
      <c r="D857" t="s">
        <v>59</v>
      </c>
      <c r="E857" t="s">
        <v>17</v>
      </c>
      <c r="F857" t="s">
        <v>56</v>
      </c>
      <c r="G857" t="s">
        <v>23</v>
      </c>
      <c r="H857">
        <v>6</v>
      </c>
    </row>
    <row r="858" spans="1:8" ht="21.75" customHeight="1" x14ac:dyDescent="0.35">
      <c r="A858" t="s">
        <v>1003</v>
      </c>
      <c r="B858" s="3">
        <v>45303</v>
      </c>
      <c r="C858" t="s">
        <v>78</v>
      </c>
      <c r="D858" t="s">
        <v>59</v>
      </c>
      <c r="E858" t="s">
        <v>11</v>
      </c>
      <c r="F858" t="s">
        <v>56</v>
      </c>
      <c r="G858" t="s">
        <v>36</v>
      </c>
      <c r="H858">
        <v>19</v>
      </c>
    </row>
    <row r="859" spans="1:8" ht="21.75" customHeight="1" x14ac:dyDescent="0.35">
      <c r="A859" t="s">
        <v>1004</v>
      </c>
      <c r="B859" s="3">
        <v>45312</v>
      </c>
      <c r="C859" t="s">
        <v>314</v>
      </c>
      <c r="D859" t="s">
        <v>45</v>
      </c>
      <c r="E859" t="s">
        <v>11</v>
      </c>
      <c r="F859" t="s">
        <v>12</v>
      </c>
      <c r="G859" t="s">
        <v>36</v>
      </c>
      <c r="H859">
        <v>9</v>
      </c>
    </row>
    <row r="860" spans="1:8" ht="21.75" customHeight="1" x14ac:dyDescent="0.35">
      <c r="A860" t="s">
        <v>1005</v>
      </c>
      <c r="B860" s="3">
        <v>45499</v>
      </c>
      <c r="C860" t="s">
        <v>327</v>
      </c>
      <c r="D860" t="s">
        <v>84</v>
      </c>
      <c r="E860" t="s">
        <v>22</v>
      </c>
      <c r="F860" t="s">
        <v>12</v>
      </c>
      <c r="G860" t="s">
        <v>28</v>
      </c>
      <c r="H860">
        <v>10</v>
      </c>
    </row>
    <row r="861" spans="1:8" ht="21.75" customHeight="1" x14ac:dyDescent="0.35">
      <c r="A861" t="s">
        <v>1006</v>
      </c>
      <c r="B861" s="3">
        <v>45521</v>
      </c>
      <c r="C861" t="s">
        <v>493</v>
      </c>
      <c r="D861" t="s">
        <v>45</v>
      </c>
      <c r="E861" t="s">
        <v>17</v>
      </c>
      <c r="F861" t="s">
        <v>27</v>
      </c>
      <c r="G861" t="s">
        <v>36</v>
      </c>
      <c r="H861">
        <v>8</v>
      </c>
    </row>
    <row r="862" spans="1:8" ht="21.75" customHeight="1" x14ac:dyDescent="0.35">
      <c r="A862" t="s">
        <v>1007</v>
      </c>
      <c r="B862" s="3">
        <v>45365</v>
      </c>
      <c r="C862" t="s">
        <v>361</v>
      </c>
      <c r="D862" t="s">
        <v>41</v>
      </c>
      <c r="E862" t="s">
        <v>11</v>
      </c>
      <c r="F862" t="s">
        <v>306</v>
      </c>
      <c r="G862" t="s">
        <v>32</v>
      </c>
      <c r="H862">
        <v>17</v>
      </c>
    </row>
    <row r="863" spans="1:8" ht="21.75" customHeight="1" x14ac:dyDescent="0.35">
      <c r="A863" t="s">
        <v>1008</v>
      </c>
      <c r="B863" s="3">
        <v>45524</v>
      </c>
      <c r="C863" t="s">
        <v>327</v>
      </c>
      <c r="D863" t="s">
        <v>197</v>
      </c>
      <c r="E863" t="s">
        <v>22</v>
      </c>
      <c r="F863" t="s">
        <v>12</v>
      </c>
      <c r="G863" t="s">
        <v>13</v>
      </c>
      <c r="H863">
        <v>13</v>
      </c>
    </row>
    <row r="864" spans="1:8" ht="21.75" customHeight="1" x14ac:dyDescent="0.35">
      <c r="A864" t="s">
        <v>1009</v>
      </c>
      <c r="B864" s="3">
        <v>45300</v>
      </c>
      <c r="C864" t="s">
        <v>104</v>
      </c>
      <c r="D864" t="s">
        <v>41</v>
      </c>
      <c r="E864" t="s">
        <v>22</v>
      </c>
      <c r="F864" t="s">
        <v>306</v>
      </c>
      <c r="G864" t="s">
        <v>36</v>
      </c>
      <c r="H864">
        <v>14</v>
      </c>
    </row>
    <row r="865" spans="1:8" ht="21.75" customHeight="1" x14ac:dyDescent="0.35">
      <c r="A865" t="s">
        <v>1010</v>
      </c>
      <c r="B865" s="3">
        <v>45341</v>
      </c>
      <c r="C865" t="s">
        <v>235</v>
      </c>
      <c r="D865" t="s">
        <v>109</v>
      </c>
      <c r="E865" t="s">
        <v>17</v>
      </c>
      <c r="F865" t="s">
        <v>306</v>
      </c>
      <c r="G865" t="s">
        <v>36</v>
      </c>
      <c r="H865">
        <v>2</v>
      </c>
    </row>
    <row r="866" spans="1:8" ht="21.75" customHeight="1" x14ac:dyDescent="0.35">
      <c r="A866" t="s">
        <v>1011</v>
      </c>
      <c r="B866" s="3">
        <v>45549</v>
      </c>
      <c r="C866" t="s">
        <v>664</v>
      </c>
      <c r="D866" t="s">
        <v>35</v>
      </c>
      <c r="E866" t="s">
        <v>11</v>
      </c>
      <c r="F866" t="s">
        <v>12</v>
      </c>
      <c r="G866" t="s">
        <v>36</v>
      </c>
      <c r="H866">
        <v>5</v>
      </c>
    </row>
    <row r="867" spans="1:8" ht="21.75" customHeight="1" x14ac:dyDescent="0.35">
      <c r="A867" t="s">
        <v>1012</v>
      </c>
      <c r="B867" s="3">
        <v>45292</v>
      </c>
      <c r="C867" t="s">
        <v>420</v>
      </c>
      <c r="D867" t="s">
        <v>160</v>
      </c>
      <c r="E867" t="s">
        <v>22</v>
      </c>
      <c r="F867" t="s">
        <v>27</v>
      </c>
      <c r="G867" t="s">
        <v>13</v>
      </c>
      <c r="H867">
        <v>14</v>
      </c>
    </row>
    <row r="868" spans="1:8" ht="21.75" customHeight="1" x14ac:dyDescent="0.35">
      <c r="A868" t="s">
        <v>1013</v>
      </c>
      <c r="B868" s="3">
        <v>45649</v>
      </c>
      <c r="C868" t="s">
        <v>339</v>
      </c>
      <c r="D868" t="s">
        <v>35</v>
      </c>
      <c r="E868" t="s">
        <v>17</v>
      </c>
      <c r="F868" t="s">
        <v>56</v>
      </c>
      <c r="G868" t="s">
        <v>36</v>
      </c>
      <c r="H868">
        <v>13</v>
      </c>
    </row>
    <row r="869" spans="1:8" ht="21.75" customHeight="1" x14ac:dyDescent="0.35">
      <c r="A869" t="s">
        <v>1014</v>
      </c>
      <c r="B869" s="3">
        <v>45342</v>
      </c>
      <c r="C869" t="s">
        <v>309</v>
      </c>
      <c r="D869" t="s">
        <v>35</v>
      </c>
      <c r="E869" t="s">
        <v>11</v>
      </c>
      <c r="F869" t="s">
        <v>42</v>
      </c>
      <c r="G869" t="s">
        <v>13</v>
      </c>
      <c r="H869">
        <v>8</v>
      </c>
    </row>
    <row r="870" spans="1:8" ht="21.75" customHeight="1" x14ac:dyDescent="0.35">
      <c r="A870" t="s">
        <v>1015</v>
      </c>
      <c r="B870" s="3">
        <v>45437</v>
      </c>
      <c r="C870" t="s">
        <v>327</v>
      </c>
      <c r="D870" t="s">
        <v>26</v>
      </c>
      <c r="E870" t="s">
        <v>22</v>
      </c>
      <c r="F870" t="s">
        <v>27</v>
      </c>
      <c r="G870" t="s">
        <v>13</v>
      </c>
      <c r="H870">
        <v>7</v>
      </c>
    </row>
    <row r="871" spans="1:8" ht="21.75" customHeight="1" x14ac:dyDescent="0.35">
      <c r="A871" t="s">
        <v>1016</v>
      </c>
      <c r="B871" s="3">
        <v>45587</v>
      </c>
      <c r="C871" t="s">
        <v>363</v>
      </c>
      <c r="D871" t="s">
        <v>96</v>
      </c>
      <c r="E871" t="s">
        <v>11</v>
      </c>
      <c r="F871" t="s">
        <v>306</v>
      </c>
      <c r="G871" t="s">
        <v>32</v>
      </c>
      <c r="H871">
        <v>13</v>
      </c>
    </row>
    <row r="872" spans="1:8" ht="21.75" customHeight="1" x14ac:dyDescent="0.35">
      <c r="A872" t="s">
        <v>1017</v>
      </c>
      <c r="B872" s="3">
        <v>45501</v>
      </c>
      <c r="C872" t="s">
        <v>83</v>
      </c>
      <c r="D872" t="s">
        <v>87</v>
      </c>
      <c r="E872" t="s">
        <v>11</v>
      </c>
      <c r="F872" t="s">
        <v>56</v>
      </c>
      <c r="G872" t="s">
        <v>36</v>
      </c>
      <c r="H872">
        <v>19</v>
      </c>
    </row>
    <row r="873" spans="1:8" ht="21.75" customHeight="1" x14ac:dyDescent="0.35">
      <c r="A873" t="s">
        <v>1018</v>
      </c>
      <c r="B873" s="3">
        <v>45508</v>
      </c>
      <c r="C873" t="s">
        <v>614</v>
      </c>
      <c r="D873" t="s">
        <v>26</v>
      </c>
      <c r="E873" t="s">
        <v>17</v>
      </c>
      <c r="F873" t="s">
        <v>306</v>
      </c>
      <c r="G873" t="s">
        <v>23</v>
      </c>
      <c r="H873">
        <v>13</v>
      </c>
    </row>
    <row r="874" spans="1:8" ht="21.75" customHeight="1" x14ac:dyDescent="0.35">
      <c r="A874" t="s">
        <v>1019</v>
      </c>
      <c r="B874" s="3">
        <v>45574</v>
      </c>
      <c r="C874" t="s">
        <v>728</v>
      </c>
      <c r="D874" t="s">
        <v>45</v>
      </c>
      <c r="E874" t="s">
        <v>22</v>
      </c>
      <c r="F874" t="s">
        <v>27</v>
      </c>
      <c r="G874" t="s">
        <v>23</v>
      </c>
      <c r="H874">
        <v>12</v>
      </c>
    </row>
    <row r="875" spans="1:8" ht="21.75" customHeight="1" x14ac:dyDescent="0.35">
      <c r="A875" t="s">
        <v>1020</v>
      </c>
      <c r="B875" s="3">
        <v>45421</v>
      </c>
      <c r="C875" t="s">
        <v>147</v>
      </c>
      <c r="D875" t="s">
        <v>119</v>
      </c>
      <c r="E875" t="s">
        <v>22</v>
      </c>
      <c r="F875" t="s">
        <v>42</v>
      </c>
      <c r="G875" t="s">
        <v>13</v>
      </c>
      <c r="H875">
        <v>13</v>
      </c>
    </row>
    <row r="876" spans="1:8" ht="21.75" customHeight="1" x14ac:dyDescent="0.35">
      <c r="A876" t="s">
        <v>1021</v>
      </c>
      <c r="B876" s="3">
        <v>45409</v>
      </c>
      <c r="C876" t="s">
        <v>430</v>
      </c>
      <c r="D876" t="s">
        <v>102</v>
      </c>
      <c r="E876" t="s">
        <v>22</v>
      </c>
      <c r="F876" t="s">
        <v>56</v>
      </c>
      <c r="G876" t="s">
        <v>32</v>
      </c>
      <c r="H876">
        <v>7</v>
      </c>
    </row>
    <row r="877" spans="1:8" ht="21.75" customHeight="1" x14ac:dyDescent="0.35">
      <c r="A877" t="s">
        <v>1022</v>
      </c>
      <c r="B877" s="3">
        <v>45573</v>
      </c>
      <c r="C877" t="s">
        <v>594</v>
      </c>
      <c r="D877" t="s">
        <v>45</v>
      </c>
      <c r="E877" t="s">
        <v>22</v>
      </c>
      <c r="F877" t="s">
        <v>12</v>
      </c>
      <c r="G877" t="s">
        <v>13</v>
      </c>
      <c r="H877">
        <v>13</v>
      </c>
    </row>
    <row r="878" spans="1:8" ht="21.75" customHeight="1" x14ac:dyDescent="0.35">
      <c r="A878" t="s">
        <v>1023</v>
      </c>
      <c r="B878" s="3">
        <v>45338</v>
      </c>
      <c r="C878" t="s">
        <v>167</v>
      </c>
      <c r="D878" t="s">
        <v>87</v>
      </c>
      <c r="E878" t="s">
        <v>17</v>
      </c>
      <c r="F878" t="s">
        <v>306</v>
      </c>
      <c r="G878" t="s">
        <v>28</v>
      </c>
      <c r="H878">
        <v>3</v>
      </c>
    </row>
    <row r="879" spans="1:8" ht="21.75" customHeight="1" x14ac:dyDescent="0.35">
      <c r="A879" t="s">
        <v>1024</v>
      </c>
      <c r="B879" s="3">
        <v>45481</v>
      </c>
      <c r="C879" t="s">
        <v>81</v>
      </c>
      <c r="D879" t="s">
        <v>84</v>
      </c>
      <c r="E879" t="s">
        <v>22</v>
      </c>
      <c r="F879" t="s">
        <v>12</v>
      </c>
      <c r="G879" t="s">
        <v>23</v>
      </c>
      <c r="H879">
        <v>13</v>
      </c>
    </row>
    <row r="880" spans="1:8" ht="21.75" customHeight="1" x14ac:dyDescent="0.35">
      <c r="A880" t="s">
        <v>1025</v>
      </c>
      <c r="B880" s="3">
        <v>45606</v>
      </c>
      <c r="C880" t="s">
        <v>350</v>
      </c>
      <c r="D880" t="s">
        <v>62</v>
      </c>
      <c r="E880" t="s">
        <v>22</v>
      </c>
      <c r="F880" t="s">
        <v>42</v>
      </c>
      <c r="G880" t="s">
        <v>28</v>
      </c>
      <c r="H880">
        <v>20</v>
      </c>
    </row>
    <row r="881" spans="1:8" ht="21.75" customHeight="1" x14ac:dyDescent="0.35">
      <c r="A881" t="s">
        <v>1026</v>
      </c>
      <c r="B881" s="3">
        <v>45619</v>
      </c>
      <c r="C881" t="s">
        <v>432</v>
      </c>
      <c r="D881" t="s">
        <v>65</v>
      </c>
      <c r="E881" t="s">
        <v>17</v>
      </c>
      <c r="F881" t="s">
        <v>12</v>
      </c>
      <c r="G881" t="s">
        <v>13</v>
      </c>
      <c r="H881">
        <v>17</v>
      </c>
    </row>
    <row r="882" spans="1:8" ht="21.75" customHeight="1" x14ac:dyDescent="0.35">
      <c r="A882" t="s">
        <v>1027</v>
      </c>
      <c r="B882" s="3">
        <v>45598</v>
      </c>
      <c r="C882" t="s">
        <v>345</v>
      </c>
      <c r="D882" t="s">
        <v>109</v>
      </c>
      <c r="E882" t="s">
        <v>22</v>
      </c>
      <c r="F882" t="s">
        <v>56</v>
      </c>
      <c r="G882" t="s">
        <v>32</v>
      </c>
      <c r="H882">
        <v>6</v>
      </c>
    </row>
    <row r="883" spans="1:8" ht="21.75" customHeight="1" x14ac:dyDescent="0.35">
      <c r="A883" t="s">
        <v>1028</v>
      </c>
      <c r="B883" s="3">
        <v>45414</v>
      </c>
      <c r="C883" t="s">
        <v>350</v>
      </c>
      <c r="D883" t="s">
        <v>10</v>
      </c>
      <c r="E883" t="s">
        <v>11</v>
      </c>
      <c r="F883" t="s">
        <v>56</v>
      </c>
      <c r="G883" t="s">
        <v>32</v>
      </c>
      <c r="H883">
        <v>9</v>
      </c>
    </row>
    <row r="884" spans="1:8" ht="21.75" customHeight="1" x14ac:dyDescent="0.35">
      <c r="A884" t="s">
        <v>1029</v>
      </c>
      <c r="B884" s="3">
        <v>45634</v>
      </c>
      <c r="C884" t="s">
        <v>106</v>
      </c>
      <c r="D884" t="s">
        <v>65</v>
      </c>
      <c r="E884" t="s">
        <v>17</v>
      </c>
      <c r="F884" t="s">
        <v>306</v>
      </c>
      <c r="G884" t="s">
        <v>13</v>
      </c>
      <c r="H884">
        <v>17</v>
      </c>
    </row>
    <row r="885" spans="1:8" ht="21.75" customHeight="1" x14ac:dyDescent="0.35">
      <c r="A885" t="s">
        <v>1030</v>
      </c>
      <c r="B885" s="3">
        <v>45338</v>
      </c>
      <c r="C885" t="s">
        <v>378</v>
      </c>
      <c r="D885" t="s">
        <v>59</v>
      </c>
      <c r="E885" t="s">
        <v>17</v>
      </c>
      <c r="F885" t="s">
        <v>306</v>
      </c>
      <c r="G885" t="s">
        <v>32</v>
      </c>
      <c r="H885">
        <v>12</v>
      </c>
    </row>
    <row r="886" spans="1:8" ht="21.75" customHeight="1" x14ac:dyDescent="0.35">
      <c r="A886" t="s">
        <v>1031</v>
      </c>
      <c r="B886" s="3">
        <v>45407</v>
      </c>
      <c r="C886" t="s">
        <v>493</v>
      </c>
      <c r="D886" t="s">
        <v>31</v>
      </c>
      <c r="E886" t="s">
        <v>11</v>
      </c>
      <c r="F886" t="s">
        <v>27</v>
      </c>
      <c r="G886" t="s">
        <v>28</v>
      </c>
      <c r="H886">
        <v>19</v>
      </c>
    </row>
    <row r="887" spans="1:8" ht="21.75" customHeight="1" x14ac:dyDescent="0.35">
      <c r="A887" t="s">
        <v>1032</v>
      </c>
      <c r="B887" s="3">
        <v>45500</v>
      </c>
      <c r="C887" t="s">
        <v>358</v>
      </c>
      <c r="D887" t="s">
        <v>10</v>
      </c>
      <c r="E887" t="s">
        <v>11</v>
      </c>
      <c r="F887" t="s">
        <v>306</v>
      </c>
      <c r="G887" t="s">
        <v>13</v>
      </c>
      <c r="H887">
        <v>17</v>
      </c>
    </row>
    <row r="888" spans="1:8" ht="21.75" customHeight="1" x14ac:dyDescent="0.35">
      <c r="A888" t="s">
        <v>1033</v>
      </c>
      <c r="B888" s="3">
        <v>45554</v>
      </c>
      <c r="C888" t="s">
        <v>230</v>
      </c>
      <c r="D888" t="s">
        <v>26</v>
      </c>
      <c r="E888" t="s">
        <v>22</v>
      </c>
      <c r="F888" t="s">
        <v>306</v>
      </c>
      <c r="G888" t="s">
        <v>36</v>
      </c>
      <c r="H888">
        <v>15</v>
      </c>
    </row>
    <row r="889" spans="1:8" ht="21.75" customHeight="1" x14ac:dyDescent="0.35">
      <c r="A889" t="s">
        <v>1034</v>
      </c>
      <c r="B889" s="3">
        <v>45539</v>
      </c>
      <c r="C889" t="s">
        <v>337</v>
      </c>
      <c r="D889" t="s">
        <v>119</v>
      </c>
      <c r="E889" t="s">
        <v>11</v>
      </c>
      <c r="F889" t="s">
        <v>42</v>
      </c>
      <c r="G889" t="s">
        <v>36</v>
      </c>
      <c r="H889">
        <v>15</v>
      </c>
    </row>
    <row r="890" spans="1:8" ht="21.75" customHeight="1" x14ac:dyDescent="0.35">
      <c r="A890" t="s">
        <v>1035</v>
      </c>
      <c r="B890" s="3">
        <v>45306</v>
      </c>
      <c r="C890" t="s">
        <v>517</v>
      </c>
      <c r="D890" t="s">
        <v>10</v>
      </c>
      <c r="E890" t="s">
        <v>11</v>
      </c>
      <c r="F890" t="s">
        <v>42</v>
      </c>
      <c r="G890" t="s">
        <v>28</v>
      </c>
      <c r="H890">
        <v>13</v>
      </c>
    </row>
    <row r="891" spans="1:8" ht="21.75" customHeight="1" x14ac:dyDescent="0.35">
      <c r="A891" t="s">
        <v>1036</v>
      </c>
      <c r="B891" s="3">
        <v>45638</v>
      </c>
      <c r="C891" t="s">
        <v>424</v>
      </c>
      <c r="D891" t="s">
        <v>87</v>
      </c>
      <c r="E891" t="s">
        <v>11</v>
      </c>
      <c r="F891" t="s">
        <v>42</v>
      </c>
      <c r="G891" t="s">
        <v>13</v>
      </c>
      <c r="H891">
        <v>12</v>
      </c>
    </row>
    <row r="892" spans="1:8" ht="21.75" customHeight="1" x14ac:dyDescent="0.35">
      <c r="A892" t="s">
        <v>1037</v>
      </c>
      <c r="B892" s="3">
        <v>45650</v>
      </c>
      <c r="C892" t="s">
        <v>86</v>
      </c>
      <c r="D892" t="s">
        <v>10</v>
      </c>
      <c r="E892" t="s">
        <v>11</v>
      </c>
      <c r="F892" t="s">
        <v>42</v>
      </c>
      <c r="G892" t="s">
        <v>32</v>
      </c>
      <c r="H892">
        <v>13</v>
      </c>
    </row>
    <row r="893" spans="1:8" ht="21.75" customHeight="1" x14ac:dyDescent="0.35">
      <c r="A893" t="s">
        <v>1038</v>
      </c>
      <c r="B893" s="3">
        <v>45330</v>
      </c>
      <c r="C893" t="s">
        <v>378</v>
      </c>
      <c r="D893" t="s">
        <v>72</v>
      </c>
      <c r="E893" t="s">
        <v>11</v>
      </c>
      <c r="F893" t="s">
        <v>27</v>
      </c>
      <c r="G893" t="s">
        <v>36</v>
      </c>
      <c r="H893">
        <v>12</v>
      </c>
    </row>
    <row r="894" spans="1:8" ht="21.75" customHeight="1" x14ac:dyDescent="0.35">
      <c r="A894" t="s">
        <v>1039</v>
      </c>
      <c r="B894" s="3">
        <v>45429</v>
      </c>
      <c r="C894" t="s">
        <v>44</v>
      </c>
      <c r="D894" t="s">
        <v>35</v>
      </c>
      <c r="E894" t="s">
        <v>22</v>
      </c>
      <c r="F894" t="s">
        <v>56</v>
      </c>
      <c r="G894" t="s">
        <v>28</v>
      </c>
      <c r="H894">
        <v>7</v>
      </c>
    </row>
    <row r="895" spans="1:8" ht="21.75" customHeight="1" x14ac:dyDescent="0.35">
      <c r="A895" t="s">
        <v>1040</v>
      </c>
      <c r="B895" s="3">
        <v>45427</v>
      </c>
      <c r="C895" t="s">
        <v>95</v>
      </c>
      <c r="D895" t="s">
        <v>197</v>
      </c>
      <c r="E895" t="s">
        <v>11</v>
      </c>
      <c r="F895" t="s">
        <v>56</v>
      </c>
      <c r="G895" t="s">
        <v>13</v>
      </c>
      <c r="H895">
        <v>20</v>
      </c>
    </row>
    <row r="896" spans="1:8" ht="21.75" customHeight="1" x14ac:dyDescent="0.35">
      <c r="A896" t="s">
        <v>1041</v>
      </c>
      <c r="B896" s="3">
        <v>45353</v>
      </c>
      <c r="C896" t="s">
        <v>81</v>
      </c>
      <c r="D896" t="s">
        <v>109</v>
      </c>
      <c r="E896" t="s">
        <v>22</v>
      </c>
      <c r="F896" t="s">
        <v>27</v>
      </c>
      <c r="G896" t="s">
        <v>36</v>
      </c>
      <c r="H896">
        <v>1</v>
      </c>
    </row>
    <row r="897" spans="1:8" ht="21.75" customHeight="1" x14ac:dyDescent="0.35">
      <c r="A897" t="s">
        <v>1042</v>
      </c>
      <c r="B897" s="3">
        <v>45313</v>
      </c>
      <c r="C897" t="s">
        <v>517</v>
      </c>
      <c r="D897" t="s">
        <v>72</v>
      </c>
      <c r="E897" t="s">
        <v>17</v>
      </c>
      <c r="F897" t="s">
        <v>306</v>
      </c>
      <c r="G897" t="s">
        <v>36</v>
      </c>
      <c r="H897">
        <v>16</v>
      </c>
    </row>
    <row r="898" spans="1:8" ht="21.75" customHeight="1" x14ac:dyDescent="0.35">
      <c r="A898" t="s">
        <v>1043</v>
      </c>
      <c r="B898" s="3">
        <v>45432</v>
      </c>
      <c r="C898" t="s">
        <v>374</v>
      </c>
      <c r="D898" t="s">
        <v>26</v>
      </c>
      <c r="E898" t="s">
        <v>11</v>
      </c>
      <c r="F898" t="s">
        <v>306</v>
      </c>
      <c r="G898" t="s">
        <v>36</v>
      </c>
      <c r="H898">
        <v>13</v>
      </c>
    </row>
    <row r="899" spans="1:8" ht="21.75" customHeight="1" x14ac:dyDescent="0.35">
      <c r="A899" t="s">
        <v>1044</v>
      </c>
      <c r="B899" s="3">
        <v>45357</v>
      </c>
      <c r="C899" t="s">
        <v>9</v>
      </c>
      <c r="D899" t="s">
        <v>35</v>
      </c>
      <c r="E899" t="s">
        <v>22</v>
      </c>
      <c r="F899" t="s">
        <v>27</v>
      </c>
      <c r="G899" t="s">
        <v>32</v>
      </c>
      <c r="H899">
        <v>18</v>
      </c>
    </row>
    <row r="900" spans="1:8" ht="21.75" customHeight="1" x14ac:dyDescent="0.35">
      <c r="A900" t="s">
        <v>1045</v>
      </c>
      <c r="B900" s="3">
        <v>45493</v>
      </c>
      <c r="C900" t="s">
        <v>455</v>
      </c>
      <c r="D900" t="s">
        <v>102</v>
      </c>
      <c r="E900" t="s">
        <v>11</v>
      </c>
      <c r="F900" t="s">
        <v>27</v>
      </c>
      <c r="G900" t="s">
        <v>13</v>
      </c>
      <c r="H900">
        <v>17</v>
      </c>
    </row>
    <row r="901" spans="1:8" ht="21.75" customHeight="1" x14ac:dyDescent="0.35">
      <c r="A901" t="s">
        <v>1046</v>
      </c>
      <c r="B901" s="3">
        <v>45298</v>
      </c>
      <c r="C901" t="s">
        <v>422</v>
      </c>
      <c r="D901" t="s">
        <v>59</v>
      </c>
      <c r="E901" t="s">
        <v>11</v>
      </c>
      <c r="F901" t="s">
        <v>27</v>
      </c>
      <c r="G901" t="s">
        <v>36</v>
      </c>
      <c r="H901">
        <v>4</v>
      </c>
    </row>
    <row r="902" spans="1:8" ht="21.75" customHeight="1" x14ac:dyDescent="0.35">
      <c r="A902" t="s">
        <v>1047</v>
      </c>
      <c r="B902" s="3">
        <v>45424</v>
      </c>
      <c r="C902" t="s">
        <v>44</v>
      </c>
      <c r="D902" t="s">
        <v>197</v>
      </c>
      <c r="E902" t="s">
        <v>22</v>
      </c>
      <c r="F902" t="s">
        <v>42</v>
      </c>
      <c r="G902" t="s">
        <v>36</v>
      </c>
      <c r="H902">
        <v>9</v>
      </c>
    </row>
    <row r="903" spans="1:8" ht="21.75" customHeight="1" x14ac:dyDescent="0.35">
      <c r="A903" t="s">
        <v>1048</v>
      </c>
      <c r="B903" s="3">
        <v>45467</v>
      </c>
      <c r="C903" t="s">
        <v>83</v>
      </c>
      <c r="D903" t="s">
        <v>87</v>
      </c>
      <c r="E903" t="s">
        <v>11</v>
      </c>
      <c r="F903" t="s">
        <v>27</v>
      </c>
      <c r="G903" t="s">
        <v>32</v>
      </c>
      <c r="H903">
        <v>7</v>
      </c>
    </row>
    <row r="904" spans="1:8" ht="21.75" customHeight="1" x14ac:dyDescent="0.35">
      <c r="A904" t="s">
        <v>1049</v>
      </c>
      <c r="B904" s="3">
        <v>45478</v>
      </c>
      <c r="C904" t="s">
        <v>341</v>
      </c>
      <c r="D904" t="s">
        <v>45</v>
      </c>
      <c r="E904" t="s">
        <v>17</v>
      </c>
      <c r="F904" t="s">
        <v>27</v>
      </c>
      <c r="G904" t="s">
        <v>36</v>
      </c>
      <c r="H904">
        <v>19</v>
      </c>
    </row>
    <row r="905" spans="1:8" ht="21.75" customHeight="1" x14ac:dyDescent="0.35">
      <c r="A905" t="s">
        <v>1050</v>
      </c>
      <c r="B905" s="3">
        <v>45643</v>
      </c>
      <c r="C905" t="s">
        <v>51</v>
      </c>
      <c r="D905" t="s">
        <v>197</v>
      </c>
      <c r="E905" t="s">
        <v>11</v>
      </c>
      <c r="F905" t="s">
        <v>42</v>
      </c>
      <c r="G905" t="s">
        <v>23</v>
      </c>
      <c r="H905">
        <v>18</v>
      </c>
    </row>
    <row r="906" spans="1:8" ht="21.75" customHeight="1" x14ac:dyDescent="0.35">
      <c r="A906" t="s">
        <v>1051</v>
      </c>
      <c r="B906" s="3">
        <v>45392</v>
      </c>
      <c r="C906" t="s">
        <v>167</v>
      </c>
      <c r="D906" t="s">
        <v>35</v>
      </c>
      <c r="E906" t="s">
        <v>22</v>
      </c>
      <c r="F906" t="s">
        <v>56</v>
      </c>
      <c r="G906" t="s">
        <v>23</v>
      </c>
      <c r="H906">
        <v>1</v>
      </c>
    </row>
    <row r="907" spans="1:8" ht="21.75" customHeight="1" x14ac:dyDescent="0.35">
      <c r="A907" t="s">
        <v>1052</v>
      </c>
      <c r="B907" s="3">
        <v>45360</v>
      </c>
      <c r="C907" t="s">
        <v>451</v>
      </c>
      <c r="D907" t="s">
        <v>84</v>
      </c>
      <c r="E907" t="s">
        <v>22</v>
      </c>
      <c r="F907" t="s">
        <v>306</v>
      </c>
      <c r="G907" t="s">
        <v>32</v>
      </c>
      <c r="H907">
        <v>11</v>
      </c>
    </row>
    <row r="908" spans="1:8" ht="21.75" customHeight="1" x14ac:dyDescent="0.35">
      <c r="A908" t="s">
        <v>1053</v>
      </c>
      <c r="B908" s="3">
        <v>45420</v>
      </c>
      <c r="C908" t="s">
        <v>642</v>
      </c>
      <c r="D908" t="s">
        <v>31</v>
      </c>
      <c r="E908" t="s">
        <v>22</v>
      </c>
      <c r="F908" t="s">
        <v>12</v>
      </c>
      <c r="G908" t="s">
        <v>13</v>
      </c>
      <c r="H908">
        <v>4</v>
      </c>
    </row>
    <row r="909" spans="1:8" ht="21.75" customHeight="1" x14ac:dyDescent="0.35">
      <c r="A909" t="s">
        <v>1054</v>
      </c>
      <c r="B909" s="3">
        <v>45402</v>
      </c>
      <c r="C909" t="s">
        <v>230</v>
      </c>
      <c r="D909" t="s">
        <v>70</v>
      </c>
      <c r="E909" t="s">
        <v>17</v>
      </c>
      <c r="F909" t="s">
        <v>12</v>
      </c>
      <c r="G909" t="s">
        <v>32</v>
      </c>
      <c r="H909">
        <v>11</v>
      </c>
    </row>
    <row r="910" spans="1:8" ht="21.75" customHeight="1" x14ac:dyDescent="0.35">
      <c r="A910" t="s">
        <v>1055</v>
      </c>
      <c r="B910" s="3">
        <v>45578</v>
      </c>
      <c r="C910" t="s">
        <v>642</v>
      </c>
      <c r="D910" t="s">
        <v>96</v>
      </c>
      <c r="E910" t="s">
        <v>17</v>
      </c>
      <c r="F910" t="s">
        <v>42</v>
      </c>
      <c r="G910" t="s">
        <v>36</v>
      </c>
      <c r="H910">
        <v>14</v>
      </c>
    </row>
    <row r="911" spans="1:8" ht="21.75" customHeight="1" x14ac:dyDescent="0.35">
      <c r="A911" t="s">
        <v>1056</v>
      </c>
      <c r="B911" s="3">
        <v>45393</v>
      </c>
      <c r="C911" t="s">
        <v>314</v>
      </c>
      <c r="D911" t="s">
        <v>45</v>
      </c>
      <c r="E911" t="s">
        <v>22</v>
      </c>
      <c r="F911" t="s">
        <v>306</v>
      </c>
      <c r="G911" t="s">
        <v>36</v>
      </c>
      <c r="H911">
        <v>10</v>
      </c>
    </row>
    <row r="912" spans="1:8" ht="21.75" customHeight="1" x14ac:dyDescent="0.35">
      <c r="A912" t="s">
        <v>1057</v>
      </c>
      <c r="B912" s="3">
        <v>45541</v>
      </c>
      <c r="C912" t="s">
        <v>420</v>
      </c>
      <c r="D912" t="s">
        <v>10</v>
      </c>
      <c r="E912" t="s">
        <v>22</v>
      </c>
      <c r="F912" t="s">
        <v>27</v>
      </c>
      <c r="G912" t="s">
        <v>23</v>
      </c>
      <c r="H912">
        <v>13</v>
      </c>
    </row>
    <row r="913" spans="1:8" ht="21.75" customHeight="1" x14ac:dyDescent="0.35">
      <c r="A913" t="s">
        <v>1058</v>
      </c>
      <c r="B913" s="3">
        <v>45615</v>
      </c>
      <c r="C913" t="s">
        <v>167</v>
      </c>
      <c r="D913" t="s">
        <v>87</v>
      </c>
      <c r="E913" t="s">
        <v>11</v>
      </c>
      <c r="F913" t="s">
        <v>42</v>
      </c>
      <c r="G913" t="s">
        <v>13</v>
      </c>
      <c r="H913">
        <v>20</v>
      </c>
    </row>
    <row r="914" spans="1:8" ht="21.75" customHeight="1" x14ac:dyDescent="0.35">
      <c r="A914" t="s">
        <v>1059</v>
      </c>
      <c r="B914" s="3">
        <v>45332</v>
      </c>
      <c r="C914" t="s">
        <v>111</v>
      </c>
      <c r="D914" t="s">
        <v>72</v>
      </c>
      <c r="E914" t="s">
        <v>17</v>
      </c>
      <c r="F914" t="s">
        <v>56</v>
      </c>
      <c r="G914" t="s">
        <v>32</v>
      </c>
      <c r="H914">
        <v>11</v>
      </c>
    </row>
    <row r="915" spans="1:8" ht="21.75" customHeight="1" x14ac:dyDescent="0.35">
      <c r="A915" t="s">
        <v>1060</v>
      </c>
      <c r="B915" s="3">
        <v>45601</v>
      </c>
      <c r="C915" t="s">
        <v>736</v>
      </c>
      <c r="D915" t="s">
        <v>70</v>
      </c>
      <c r="E915" t="s">
        <v>17</v>
      </c>
      <c r="F915" t="s">
        <v>42</v>
      </c>
      <c r="G915" t="s">
        <v>36</v>
      </c>
      <c r="H915">
        <v>12</v>
      </c>
    </row>
    <row r="916" spans="1:8" ht="21.75" customHeight="1" x14ac:dyDescent="0.35">
      <c r="A916" t="s">
        <v>1061</v>
      </c>
      <c r="B916" s="3">
        <v>45522</v>
      </c>
      <c r="C916" t="s">
        <v>408</v>
      </c>
      <c r="D916" t="s">
        <v>96</v>
      </c>
      <c r="E916" t="s">
        <v>11</v>
      </c>
      <c r="F916" t="s">
        <v>56</v>
      </c>
      <c r="G916" t="s">
        <v>32</v>
      </c>
      <c r="H916">
        <v>5</v>
      </c>
    </row>
    <row r="917" spans="1:8" ht="21.75" customHeight="1" x14ac:dyDescent="0.35">
      <c r="A917" t="s">
        <v>1062</v>
      </c>
      <c r="B917" s="3">
        <v>45650</v>
      </c>
      <c r="C917" t="s">
        <v>323</v>
      </c>
      <c r="D917" t="s">
        <v>45</v>
      </c>
      <c r="E917" t="s">
        <v>11</v>
      </c>
      <c r="F917" t="s">
        <v>56</v>
      </c>
      <c r="G917" t="s">
        <v>13</v>
      </c>
      <c r="H917">
        <v>13</v>
      </c>
    </row>
    <row r="918" spans="1:8" ht="21.75" customHeight="1" x14ac:dyDescent="0.35">
      <c r="A918" t="s">
        <v>1063</v>
      </c>
      <c r="B918" s="3">
        <v>45534</v>
      </c>
      <c r="C918" t="s">
        <v>378</v>
      </c>
      <c r="D918" t="s">
        <v>119</v>
      </c>
      <c r="E918" t="s">
        <v>11</v>
      </c>
      <c r="F918" t="s">
        <v>12</v>
      </c>
      <c r="G918" t="s">
        <v>13</v>
      </c>
      <c r="H918">
        <v>13</v>
      </c>
    </row>
    <row r="919" spans="1:8" ht="21.75" customHeight="1" x14ac:dyDescent="0.35">
      <c r="A919" t="s">
        <v>1064</v>
      </c>
      <c r="B919" s="3">
        <v>45345</v>
      </c>
      <c r="C919" t="s">
        <v>86</v>
      </c>
      <c r="D919" t="s">
        <v>10</v>
      </c>
      <c r="E919" t="s">
        <v>22</v>
      </c>
      <c r="F919" t="s">
        <v>56</v>
      </c>
      <c r="G919" t="s">
        <v>28</v>
      </c>
      <c r="H919">
        <v>13</v>
      </c>
    </row>
    <row r="920" spans="1:8" ht="21.75" customHeight="1" x14ac:dyDescent="0.35">
      <c r="A920" t="s">
        <v>1065</v>
      </c>
      <c r="B920" s="3">
        <v>45437</v>
      </c>
      <c r="C920" t="s">
        <v>396</v>
      </c>
      <c r="D920" t="s">
        <v>16</v>
      </c>
      <c r="E920" t="s">
        <v>22</v>
      </c>
      <c r="F920" t="s">
        <v>56</v>
      </c>
      <c r="G920" t="s">
        <v>13</v>
      </c>
      <c r="H920">
        <v>17</v>
      </c>
    </row>
    <row r="921" spans="1:8" ht="21.75" customHeight="1" x14ac:dyDescent="0.35">
      <c r="A921" t="s">
        <v>1066</v>
      </c>
      <c r="B921" s="3">
        <v>45309</v>
      </c>
      <c r="C921" t="s">
        <v>371</v>
      </c>
      <c r="D921" t="s">
        <v>35</v>
      </c>
      <c r="E921" t="s">
        <v>17</v>
      </c>
      <c r="F921" t="s">
        <v>42</v>
      </c>
      <c r="G921" t="s">
        <v>36</v>
      </c>
      <c r="H921">
        <v>15</v>
      </c>
    </row>
    <row r="922" spans="1:8" ht="21.75" customHeight="1" x14ac:dyDescent="0.35">
      <c r="A922" t="s">
        <v>1067</v>
      </c>
      <c r="B922" s="3">
        <v>45431</v>
      </c>
      <c r="C922" t="s">
        <v>378</v>
      </c>
      <c r="D922" t="s">
        <v>62</v>
      </c>
      <c r="E922" t="s">
        <v>17</v>
      </c>
      <c r="F922" t="s">
        <v>56</v>
      </c>
      <c r="G922" t="s">
        <v>36</v>
      </c>
      <c r="H922">
        <v>18</v>
      </c>
    </row>
    <row r="923" spans="1:8" ht="21.75" customHeight="1" x14ac:dyDescent="0.35">
      <c r="A923" t="s">
        <v>1068</v>
      </c>
      <c r="B923" s="3">
        <v>45525</v>
      </c>
      <c r="C923" t="s">
        <v>451</v>
      </c>
      <c r="D923" t="s">
        <v>87</v>
      </c>
      <c r="E923" t="s">
        <v>22</v>
      </c>
      <c r="F923" t="s">
        <v>306</v>
      </c>
      <c r="G923" t="s">
        <v>36</v>
      </c>
      <c r="H923">
        <v>17</v>
      </c>
    </row>
    <row r="924" spans="1:8" ht="21.75" customHeight="1" x14ac:dyDescent="0.35">
      <c r="A924" t="s">
        <v>1069</v>
      </c>
      <c r="B924" s="3">
        <v>45450</v>
      </c>
      <c r="C924" t="s">
        <v>20</v>
      </c>
      <c r="D924" t="s">
        <v>197</v>
      </c>
      <c r="E924" t="s">
        <v>17</v>
      </c>
      <c r="F924" t="s">
        <v>306</v>
      </c>
      <c r="G924" t="s">
        <v>32</v>
      </c>
      <c r="H924">
        <v>3</v>
      </c>
    </row>
    <row r="925" spans="1:8" ht="21.75" customHeight="1" x14ac:dyDescent="0.35">
      <c r="A925" t="s">
        <v>1070</v>
      </c>
      <c r="B925" s="3">
        <v>45503</v>
      </c>
      <c r="C925" t="s">
        <v>86</v>
      </c>
      <c r="D925" t="s">
        <v>96</v>
      </c>
      <c r="E925" t="s">
        <v>11</v>
      </c>
      <c r="F925" t="s">
        <v>42</v>
      </c>
      <c r="G925" t="s">
        <v>28</v>
      </c>
      <c r="H925">
        <v>1</v>
      </c>
    </row>
    <row r="926" spans="1:8" ht="21.75" customHeight="1" x14ac:dyDescent="0.35">
      <c r="A926" t="s">
        <v>1071</v>
      </c>
      <c r="B926" s="3">
        <v>45468</v>
      </c>
      <c r="C926" t="s">
        <v>55</v>
      </c>
      <c r="D926" t="s">
        <v>96</v>
      </c>
      <c r="E926" t="s">
        <v>17</v>
      </c>
      <c r="F926" t="s">
        <v>306</v>
      </c>
      <c r="G926" t="s">
        <v>23</v>
      </c>
      <c r="H926">
        <v>16</v>
      </c>
    </row>
    <row r="927" spans="1:8" ht="21.75" customHeight="1" x14ac:dyDescent="0.35">
      <c r="A927" t="s">
        <v>1072</v>
      </c>
      <c r="B927" s="3">
        <v>45445</v>
      </c>
      <c r="C927" t="s">
        <v>142</v>
      </c>
      <c r="D927" t="s">
        <v>109</v>
      </c>
      <c r="E927" t="s">
        <v>17</v>
      </c>
      <c r="F927" t="s">
        <v>42</v>
      </c>
      <c r="G927" t="s">
        <v>36</v>
      </c>
      <c r="H927">
        <v>8</v>
      </c>
    </row>
    <row r="928" spans="1:8" ht="21.75" customHeight="1" x14ac:dyDescent="0.35">
      <c r="A928" t="s">
        <v>1073</v>
      </c>
      <c r="B928" s="3">
        <v>45483</v>
      </c>
      <c r="C928" t="s">
        <v>150</v>
      </c>
      <c r="D928" t="s">
        <v>87</v>
      </c>
      <c r="E928" t="s">
        <v>17</v>
      </c>
      <c r="F928" t="s">
        <v>306</v>
      </c>
      <c r="G928" t="s">
        <v>23</v>
      </c>
      <c r="H928">
        <v>13</v>
      </c>
    </row>
    <row r="929" spans="1:8" ht="21.75" customHeight="1" x14ac:dyDescent="0.35">
      <c r="A929" t="s">
        <v>1074</v>
      </c>
      <c r="B929" s="3">
        <v>45485</v>
      </c>
      <c r="C929" t="s">
        <v>240</v>
      </c>
      <c r="D929" t="s">
        <v>87</v>
      </c>
      <c r="E929" t="s">
        <v>17</v>
      </c>
      <c r="F929" t="s">
        <v>12</v>
      </c>
      <c r="G929" t="s">
        <v>36</v>
      </c>
      <c r="H929">
        <v>8</v>
      </c>
    </row>
    <row r="930" spans="1:8" ht="21.75" customHeight="1" x14ac:dyDescent="0.35">
      <c r="A930" t="s">
        <v>1075</v>
      </c>
      <c r="B930" s="3">
        <v>45647</v>
      </c>
      <c r="C930" t="s">
        <v>455</v>
      </c>
      <c r="D930" t="s">
        <v>21</v>
      </c>
      <c r="E930" t="s">
        <v>17</v>
      </c>
      <c r="F930" t="s">
        <v>42</v>
      </c>
      <c r="G930" t="s">
        <v>23</v>
      </c>
      <c r="H930">
        <v>18</v>
      </c>
    </row>
    <row r="931" spans="1:8" ht="21.75" customHeight="1" x14ac:dyDescent="0.35">
      <c r="A931" t="s">
        <v>1076</v>
      </c>
      <c r="B931" s="3">
        <v>45388</v>
      </c>
      <c r="C931" t="s">
        <v>58</v>
      </c>
      <c r="D931" t="s">
        <v>74</v>
      </c>
      <c r="E931" t="s">
        <v>11</v>
      </c>
      <c r="F931" t="s">
        <v>56</v>
      </c>
      <c r="G931" t="s">
        <v>36</v>
      </c>
      <c r="H931">
        <v>4</v>
      </c>
    </row>
    <row r="932" spans="1:8" ht="21.75" customHeight="1" x14ac:dyDescent="0.35">
      <c r="A932" t="s">
        <v>1077</v>
      </c>
      <c r="B932" s="3">
        <v>45523</v>
      </c>
      <c r="C932" t="s">
        <v>101</v>
      </c>
      <c r="D932" t="s">
        <v>35</v>
      </c>
      <c r="E932" t="s">
        <v>22</v>
      </c>
      <c r="F932" t="s">
        <v>306</v>
      </c>
      <c r="G932" t="s">
        <v>28</v>
      </c>
      <c r="H932">
        <v>7</v>
      </c>
    </row>
    <row r="933" spans="1:8" ht="21.75" customHeight="1" x14ac:dyDescent="0.35">
      <c r="A933" t="s">
        <v>1078</v>
      </c>
      <c r="B933" s="3">
        <v>45317</v>
      </c>
      <c r="C933" t="s">
        <v>312</v>
      </c>
      <c r="D933" t="s">
        <v>102</v>
      </c>
      <c r="E933" t="s">
        <v>11</v>
      </c>
      <c r="F933" t="s">
        <v>56</v>
      </c>
      <c r="G933" t="s">
        <v>23</v>
      </c>
      <c r="H933">
        <v>10</v>
      </c>
    </row>
    <row r="934" spans="1:8" ht="21.75" customHeight="1" x14ac:dyDescent="0.35">
      <c r="A934" t="s">
        <v>1079</v>
      </c>
      <c r="B934" s="3">
        <v>45296</v>
      </c>
      <c r="C934" t="s">
        <v>51</v>
      </c>
      <c r="D934" t="s">
        <v>96</v>
      </c>
      <c r="E934" t="s">
        <v>11</v>
      </c>
      <c r="F934" t="s">
        <v>56</v>
      </c>
      <c r="G934" t="s">
        <v>23</v>
      </c>
      <c r="H934">
        <v>16</v>
      </c>
    </row>
    <row r="935" spans="1:8" ht="21.75" customHeight="1" x14ac:dyDescent="0.35">
      <c r="A935" t="s">
        <v>1080</v>
      </c>
      <c r="B935" s="3">
        <v>45451</v>
      </c>
      <c r="C935" t="s">
        <v>728</v>
      </c>
      <c r="D935" t="s">
        <v>70</v>
      </c>
      <c r="E935" t="s">
        <v>17</v>
      </c>
      <c r="F935" t="s">
        <v>42</v>
      </c>
      <c r="G935" t="s">
        <v>28</v>
      </c>
      <c r="H935">
        <v>2</v>
      </c>
    </row>
    <row r="936" spans="1:8" ht="21.75" customHeight="1" x14ac:dyDescent="0.35">
      <c r="A936" t="s">
        <v>1081</v>
      </c>
      <c r="B936" s="3">
        <v>45320</v>
      </c>
      <c r="C936" t="s">
        <v>101</v>
      </c>
      <c r="D936" t="s">
        <v>174</v>
      </c>
      <c r="E936" t="s">
        <v>17</v>
      </c>
      <c r="F936" t="s">
        <v>12</v>
      </c>
      <c r="G936" t="s">
        <v>32</v>
      </c>
      <c r="H936">
        <v>16</v>
      </c>
    </row>
    <row r="937" spans="1:8" ht="21.75" customHeight="1" x14ac:dyDescent="0.35">
      <c r="A937" t="s">
        <v>1082</v>
      </c>
      <c r="B937" s="3">
        <v>45487</v>
      </c>
      <c r="C937" t="s">
        <v>142</v>
      </c>
      <c r="D937" t="s">
        <v>31</v>
      </c>
      <c r="E937" t="s">
        <v>11</v>
      </c>
      <c r="F937" t="s">
        <v>56</v>
      </c>
      <c r="G937" t="s">
        <v>13</v>
      </c>
      <c r="H937">
        <v>15</v>
      </c>
    </row>
    <row r="938" spans="1:8" ht="21.75" customHeight="1" x14ac:dyDescent="0.35">
      <c r="A938" t="s">
        <v>1083</v>
      </c>
      <c r="B938" s="3">
        <v>45393</v>
      </c>
      <c r="C938" t="s">
        <v>366</v>
      </c>
      <c r="D938" t="s">
        <v>160</v>
      </c>
      <c r="E938" t="s">
        <v>22</v>
      </c>
      <c r="F938" t="s">
        <v>12</v>
      </c>
      <c r="G938" t="s">
        <v>32</v>
      </c>
      <c r="H938">
        <v>7</v>
      </c>
    </row>
    <row r="939" spans="1:8" ht="21.75" customHeight="1" x14ac:dyDescent="0.35">
      <c r="A939" t="s">
        <v>1084</v>
      </c>
      <c r="B939" s="3">
        <v>45457</v>
      </c>
      <c r="C939" t="s">
        <v>111</v>
      </c>
      <c r="D939" t="s">
        <v>84</v>
      </c>
      <c r="E939" t="s">
        <v>22</v>
      </c>
      <c r="F939" t="s">
        <v>12</v>
      </c>
      <c r="G939" t="s">
        <v>32</v>
      </c>
      <c r="H939">
        <v>18</v>
      </c>
    </row>
    <row r="940" spans="1:8" ht="21.75" customHeight="1" x14ac:dyDescent="0.35">
      <c r="A940" t="s">
        <v>1085</v>
      </c>
      <c r="B940" s="3">
        <v>45538</v>
      </c>
      <c r="C940" t="s">
        <v>541</v>
      </c>
      <c r="D940" t="s">
        <v>48</v>
      </c>
      <c r="E940" t="s">
        <v>17</v>
      </c>
      <c r="F940" t="s">
        <v>56</v>
      </c>
      <c r="G940" t="s">
        <v>28</v>
      </c>
      <c r="H940">
        <v>2</v>
      </c>
    </row>
    <row r="941" spans="1:8" ht="21.75" customHeight="1" x14ac:dyDescent="0.35">
      <c r="A941" t="s">
        <v>1086</v>
      </c>
      <c r="B941" s="3">
        <v>45349</v>
      </c>
      <c r="C941" t="s">
        <v>93</v>
      </c>
      <c r="D941" t="s">
        <v>72</v>
      </c>
      <c r="E941" t="s">
        <v>22</v>
      </c>
      <c r="F941" t="s">
        <v>27</v>
      </c>
      <c r="G941" t="s">
        <v>32</v>
      </c>
      <c r="H941">
        <v>1</v>
      </c>
    </row>
    <row r="942" spans="1:8" ht="21.75" customHeight="1" x14ac:dyDescent="0.35">
      <c r="A942" t="s">
        <v>1087</v>
      </c>
      <c r="B942" s="3">
        <v>45591</v>
      </c>
      <c r="C942" t="s">
        <v>114</v>
      </c>
      <c r="D942" t="s">
        <v>96</v>
      </c>
      <c r="E942" t="s">
        <v>17</v>
      </c>
      <c r="F942" t="s">
        <v>56</v>
      </c>
      <c r="G942" t="s">
        <v>23</v>
      </c>
      <c r="H942">
        <v>2</v>
      </c>
    </row>
    <row r="943" spans="1:8" ht="21.75" customHeight="1" x14ac:dyDescent="0.35">
      <c r="A943" t="s">
        <v>1088</v>
      </c>
      <c r="B943" s="3">
        <v>45644</v>
      </c>
      <c r="C943" t="s">
        <v>327</v>
      </c>
      <c r="D943" t="s">
        <v>119</v>
      </c>
      <c r="E943" t="s">
        <v>11</v>
      </c>
      <c r="F943" t="s">
        <v>42</v>
      </c>
      <c r="G943" t="s">
        <v>23</v>
      </c>
      <c r="H943">
        <v>3</v>
      </c>
    </row>
    <row r="944" spans="1:8" ht="21.75" customHeight="1" x14ac:dyDescent="0.35">
      <c r="A944" t="s">
        <v>1089</v>
      </c>
      <c r="B944" s="3">
        <v>45338</v>
      </c>
      <c r="C944" t="s">
        <v>455</v>
      </c>
      <c r="D944" t="s">
        <v>119</v>
      </c>
      <c r="E944" t="s">
        <v>22</v>
      </c>
      <c r="F944" t="s">
        <v>42</v>
      </c>
      <c r="G944" t="s">
        <v>28</v>
      </c>
      <c r="H944">
        <v>2</v>
      </c>
    </row>
    <row r="945" spans="1:8" ht="21.75" customHeight="1" x14ac:dyDescent="0.35">
      <c r="A945" t="s">
        <v>1090</v>
      </c>
      <c r="B945" s="3">
        <v>45651</v>
      </c>
      <c r="C945" t="s">
        <v>312</v>
      </c>
      <c r="D945" t="s">
        <v>35</v>
      </c>
      <c r="E945" t="s">
        <v>11</v>
      </c>
      <c r="F945" t="s">
        <v>56</v>
      </c>
      <c r="G945" t="s">
        <v>36</v>
      </c>
      <c r="H945">
        <v>8</v>
      </c>
    </row>
    <row r="946" spans="1:8" ht="21.75" customHeight="1" x14ac:dyDescent="0.35">
      <c r="A946" t="s">
        <v>1091</v>
      </c>
      <c r="B946" s="3">
        <v>45622</v>
      </c>
      <c r="C946" t="s">
        <v>664</v>
      </c>
      <c r="D946" t="s">
        <v>84</v>
      </c>
      <c r="E946" t="s">
        <v>17</v>
      </c>
      <c r="F946" t="s">
        <v>27</v>
      </c>
      <c r="G946" t="s">
        <v>23</v>
      </c>
      <c r="H946">
        <v>7</v>
      </c>
    </row>
    <row r="947" spans="1:8" ht="21.75" customHeight="1" x14ac:dyDescent="0.35">
      <c r="A947" t="s">
        <v>1092</v>
      </c>
      <c r="B947" s="3">
        <v>45475</v>
      </c>
      <c r="C947" t="s">
        <v>329</v>
      </c>
      <c r="D947" t="s">
        <v>79</v>
      </c>
      <c r="E947" t="s">
        <v>11</v>
      </c>
      <c r="F947" t="s">
        <v>42</v>
      </c>
      <c r="G947" t="s">
        <v>36</v>
      </c>
      <c r="H947">
        <v>16</v>
      </c>
    </row>
    <row r="948" spans="1:8" ht="21.75" customHeight="1" x14ac:dyDescent="0.35">
      <c r="A948" t="s">
        <v>1093</v>
      </c>
      <c r="B948" s="3">
        <v>45442</v>
      </c>
      <c r="C948" t="s">
        <v>591</v>
      </c>
      <c r="D948" t="s">
        <v>65</v>
      </c>
      <c r="E948" t="s">
        <v>22</v>
      </c>
      <c r="F948" t="s">
        <v>27</v>
      </c>
      <c r="G948" t="s">
        <v>32</v>
      </c>
      <c r="H948">
        <v>19</v>
      </c>
    </row>
    <row r="949" spans="1:8" ht="21.75" customHeight="1" x14ac:dyDescent="0.35">
      <c r="A949" t="s">
        <v>1094</v>
      </c>
      <c r="B949" s="3">
        <v>45457</v>
      </c>
      <c r="C949" t="s">
        <v>388</v>
      </c>
      <c r="D949" t="s">
        <v>109</v>
      </c>
      <c r="E949" t="s">
        <v>17</v>
      </c>
      <c r="F949" t="s">
        <v>42</v>
      </c>
      <c r="G949" t="s">
        <v>36</v>
      </c>
      <c r="H949">
        <v>18</v>
      </c>
    </row>
    <row r="950" spans="1:8" ht="21.75" customHeight="1" x14ac:dyDescent="0.35">
      <c r="A950" t="s">
        <v>1095</v>
      </c>
      <c r="B950" s="3">
        <v>45371</v>
      </c>
      <c r="C950" t="s">
        <v>430</v>
      </c>
      <c r="D950" t="s">
        <v>174</v>
      </c>
      <c r="E950" t="s">
        <v>17</v>
      </c>
      <c r="F950" t="s">
        <v>42</v>
      </c>
      <c r="G950" t="s">
        <v>36</v>
      </c>
      <c r="H950">
        <v>12</v>
      </c>
    </row>
    <row r="951" spans="1:8" ht="21.75" customHeight="1" x14ac:dyDescent="0.35">
      <c r="A951" t="s">
        <v>1096</v>
      </c>
      <c r="B951" s="3">
        <v>45486</v>
      </c>
      <c r="C951" t="s">
        <v>388</v>
      </c>
      <c r="D951" t="s">
        <v>109</v>
      </c>
      <c r="E951" t="s">
        <v>11</v>
      </c>
      <c r="F951" t="s">
        <v>12</v>
      </c>
      <c r="G951" t="s">
        <v>28</v>
      </c>
      <c r="H951">
        <v>12</v>
      </c>
    </row>
    <row r="952" spans="1:8" ht="21.75" customHeight="1" x14ac:dyDescent="0.35">
      <c r="A952" t="s">
        <v>1097</v>
      </c>
      <c r="B952" s="3">
        <v>45456</v>
      </c>
      <c r="C952" t="s">
        <v>329</v>
      </c>
      <c r="D952" t="s">
        <v>31</v>
      </c>
      <c r="E952" t="s">
        <v>11</v>
      </c>
      <c r="F952" t="s">
        <v>306</v>
      </c>
      <c r="G952" t="s">
        <v>23</v>
      </c>
      <c r="H952">
        <v>7</v>
      </c>
    </row>
    <row r="953" spans="1:8" ht="21.75" customHeight="1" x14ac:dyDescent="0.35">
      <c r="A953" t="s">
        <v>1098</v>
      </c>
      <c r="B953" s="3">
        <v>45574</v>
      </c>
      <c r="C953" t="s">
        <v>125</v>
      </c>
      <c r="D953" t="s">
        <v>72</v>
      </c>
      <c r="E953" t="s">
        <v>22</v>
      </c>
      <c r="F953" t="s">
        <v>42</v>
      </c>
      <c r="G953" t="s">
        <v>13</v>
      </c>
      <c r="H953">
        <v>14</v>
      </c>
    </row>
    <row r="954" spans="1:8" ht="21.75" customHeight="1" x14ac:dyDescent="0.35">
      <c r="A954" t="s">
        <v>1099</v>
      </c>
      <c r="B954" s="3">
        <v>45341</v>
      </c>
      <c r="C954" t="s">
        <v>363</v>
      </c>
      <c r="D954" t="s">
        <v>79</v>
      </c>
      <c r="E954" t="s">
        <v>22</v>
      </c>
      <c r="F954" t="s">
        <v>12</v>
      </c>
      <c r="G954" t="s">
        <v>13</v>
      </c>
      <c r="H954">
        <v>5</v>
      </c>
    </row>
    <row r="955" spans="1:8" ht="21.75" customHeight="1" x14ac:dyDescent="0.35">
      <c r="A955" t="s">
        <v>1100</v>
      </c>
      <c r="B955" s="3">
        <v>45395</v>
      </c>
      <c r="C955" t="s">
        <v>15</v>
      </c>
      <c r="D955" t="s">
        <v>102</v>
      </c>
      <c r="E955" t="s">
        <v>17</v>
      </c>
      <c r="F955" t="s">
        <v>56</v>
      </c>
      <c r="G955" t="s">
        <v>23</v>
      </c>
      <c r="H955">
        <v>2</v>
      </c>
    </row>
    <row r="956" spans="1:8" ht="21.75" customHeight="1" x14ac:dyDescent="0.35">
      <c r="A956" t="s">
        <v>1101</v>
      </c>
      <c r="B956" s="3">
        <v>45628</v>
      </c>
      <c r="C956" t="s">
        <v>374</v>
      </c>
      <c r="D956" t="s">
        <v>62</v>
      </c>
      <c r="E956" t="s">
        <v>22</v>
      </c>
      <c r="F956" t="s">
        <v>306</v>
      </c>
      <c r="G956" t="s">
        <v>32</v>
      </c>
      <c r="H956">
        <v>19</v>
      </c>
    </row>
    <row r="957" spans="1:8" ht="21.75" customHeight="1" x14ac:dyDescent="0.35">
      <c r="A957" t="s">
        <v>1102</v>
      </c>
      <c r="B957" s="3">
        <v>45405</v>
      </c>
      <c r="C957" t="s">
        <v>493</v>
      </c>
      <c r="D957" t="s">
        <v>96</v>
      </c>
      <c r="E957" t="s">
        <v>22</v>
      </c>
      <c r="F957" t="s">
        <v>12</v>
      </c>
      <c r="G957" t="s">
        <v>13</v>
      </c>
      <c r="H957">
        <v>7</v>
      </c>
    </row>
    <row r="958" spans="1:8" ht="21.75" customHeight="1" x14ac:dyDescent="0.35">
      <c r="A958" t="s">
        <v>1103</v>
      </c>
      <c r="B958" s="3">
        <v>45531</v>
      </c>
      <c r="C958" t="s">
        <v>541</v>
      </c>
      <c r="D958" t="s">
        <v>174</v>
      </c>
      <c r="E958" t="s">
        <v>11</v>
      </c>
      <c r="F958" t="s">
        <v>42</v>
      </c>
      <c r="G958" t="s">
        <v>13</v>
      </c>
      <c r="H958">
        <v>14</v>
      </c>
    </row>
    <row r="959" spans="1:8" ht="21.75" customHeight="1" x14ac:dyDescent="0.35">
      <c r="A959" t="s">
        <v>1104</v>
      </c>
      <c r="B959" s="3">
        <v>45607</v>
      </c>
      <c r="C959" t="s">
        <v>101</v>
      </c>
      <c r="D959" t="s">
        <v>84</v>
      </c>
      <c r="E959" t="s">
        <v>22</v>
      </c>
      <c r="F959" t="s">
        <v>12</v>
      </c>
      <c r="G959" t="s">
        <v>13</v>
      </c>
      <c r="H959">
        <v>3</v>
      </c>
    </row>
    <row r="960" spans="1:8" ht="21.75" customHeight="1" x14ac:dyDescent="0.35">
      <c r="A960" t="s">
        <v>1105</v>
      </c>
      <c r="B960" s="3">
        <v>45402</v>
      </c>
      <c r="C960" t="s">
        <v>363</v>
      </c>
      <c r="D960" t="s">
        <v>84</v>
      </c>
      <c r="E960" t="s">
        <v>11</v>
      </c>
      <c r="F960" t="s">
        <v>12</v>
      </c>
      <c r="G960" t="s">
        <v>28</v>
      </c>
      <c r="H960">
        <v>8</v>
      </c>
    </row>
    <row r="961" spans="1:8" ht="21.75" customHeight="1" x14ac:dyDescent="0.35">
      <c r="A961" t="s">
        <v>1106</v>
      </c>
      <c r="B961" s="3">
        <v>45390</v>
      </c>
      <c r="C961" t="s">
        <v>339</v>
      </c>
      <c r="D961" t="s">
        <v>59</v>
      </c>
      <c r="E961" t="s">
        <v>22</v>
      </c>
      <c r="F961" t="s">
        <v>56</v>
      </c>
      <c r="G961" t="s">
        <v>36</v>
      </c>
      <c r="H961">
        <v>6</v>
      </c>
    </row>
    <row r="962" spans="1:8" ht="21.75" customHeight="1" x14ac:dyDescent="0.35">
      <c r="A962" t="s">
        <v>1107</v>
      </c>
      <c r="B962" s="3">
        <v>45504</v>
      </c>
      <c r="C962" t="s">
        <v>323</v>
      </c>
      <c r="D962" t="s">
        <v>48</v>
      </c>
      <c r="E962" t="s">
        <v>11</v>
      </c>
      <c r="F962" t="s">
        <v>306</v>
      </c>
      <c r="G962" t="s">
        <v>23</v>
      </c>
      <c r="H962">
        <v>15</v>
      </c>
    </row>
    <row r="963" spans="1:8" ht="21.75" customHeight="1" x14ac:dyDescent="0.35">
      <c r="A963" t="s">
        <v>1108</v>
      </c>
      <c r="B963" s="3">
        <v>45345</v>
      </c>
      <c r="C963" t="s">
        <v>30</v>
      </c>
      <c r="D963" t="s">
        <v>31</v>
      </c>
      <c r="E963" t="s">
        <v>11</v>
      </c>
      <c r="F963" t="s">
        <v>306</v>
      </c>
      <c r="G963" t="s">
        <v>28</v>
      </c>
      <c r="H963">
        <v>17</v>
      </c>
    </row>
    <row r="964" spans="1:8" ht="21.75" customHeight="1" x14ac:dyDescent="0.35">
      <c r="A964" t="s">
        <v>1109</v>
      </c>
      <c r="B964" s="3">
        <v>45565</v>
      </c>
      <c r="C964" t="s">
        <v>327</v>
      </c>
      <c r="D964" t="s">
        <v>72</v>
      </c>
      <c r="E964" t="s">
        <v>17</v>
      </c>
      <c r="F964" t="s">
        <v>42</v>
      </c>
      <c r="G964" t="s">
        <v>32</v>
      </c>
      <c r="H964">
        <v>18</v>
      </c>
    </row>
    <row r="965" spans="1:8" ht="21.75" customHeight="1" x14ac:dyDescent="0.35">
      <c r="A965" t="s">
        <v>1110</v>
      </c>
      <c r="B965" s="3">
        <v>45482</v>
      </c>
      <c r="C965" t="s">
        <v>408</v>
      </c>
      <c r="D965" t="s">
        <v>84</v>
      </c>
      <c r="E965" t="s">
        <v>22</v>
      </c>
      <c r="F965" t="s">
        <v>27</v>
      </c>
      <c r="G965" t="s">
        <v>36</v>
      </c>
      <c r="H965">
        <v>11</v>
      </c>
    </row>
    <row r="966" spans="1:8" ht="21.75" customHeight="1" x14ac:dyDescent="0.35">
      <c r="A966" t="s">
        <v>1111</v>
      </c>
      <c r="B966" s="3">
        <v>45571</v>
      </c>
      <c r="C966" t="s">
        <v>133</v>
      </c>
      <c r="D966" t="s">
        <v>84</v>
      </c>
      <c r="E966" t="s">
        <v>17</v>
      </c>
      <c r="F966" t="s">
        <v>306</v>
      </c>
      <c r="G966" t="s">
        <v>23</v>
      </c>
      <c r="H966">
        <v>9</v>
      </c>
    </row>
    <row r="967" spans="1:8" ht="21.75" customHeight="1" x14ac:dyDescent="0.35">
      <c r="A967" t="s">
        <v>1112</v>
      </c>
      <c r="B967" s="3">
        <v>45521</v>
      </c>
      <c r="C967" t="s">
        <v>106</v>
      </c>
      <c r="D967" t="s">
        <v>74</v>
      </c>
      <c r="E967" t="s">
        <v>11</v>
      </c>
      <c r="F967" t="s">
        <v>12</v>
      </c>
      <c r="G967" t="s">
        <v>28</v>
      </c>
      <c r="H967">
        <v>20</v>
      </c>
    </row>
    <row r="968" spans="1:8" ht="21.75" customHeight="1" x14ac:dyDescent="0.35">
      <c r="A968" t="s">
        <v>1113</v>
      </c>
      <c r="B968" s="3">
        <v>45446</v>
      </c>
      <c r="C968" t="s">
        <v>25</v>
      </c>
      <c r="D968" t="s">
        <v>65</v>
      </c>
      <c r="E968" t="s">
        <v>17</v>
      </c>
      <c r="F968" t="s">
        <v>56</v>
      </c>
      <c r="G968" t="s">
        <v>32</v>
      </c>
      <c r="H968">
        <v>11</v>
      </c>
    </row>
    <row r="969" spans="1:8" ht="21.75" customHeight="1" x14ac:dyDescent="0.35">
      <c r="A969" t="s">
        <v>1114</v>
      </c>
      <c r="B969" s="3">
        <v>45575</v>
      </c>
      <c r="C969" t="s">
        <v>345</v>
      </c>
      <c r="D969" t="s">
        <v>59</v>
      </c>
      <c r="E969" t="s">
        <v>22</v>
      </c>
      <c r="F969" t="s">
        <v>306</v>
      </c>
      <c r="G969" t="s">
        <v>23</v>
      </c>
      <c r="H969">
        <v>5</v>
      </c>
    </row>
    <row r="970" spans="1:8" ht="21.75" customHeight="1" x14ac:dyDescent="0.35">
      <c r="A970" t="s">
        <v>1115</v>
      </c>
      <c r="B970" s="3">
        <v>45474</v>
      </c>
      <c r="C970" t="s">
        <v>125</v>
      </c>
      <c r="D970" t="s">
        <v>48</v>
      </c>
      <c r="E970" t="s">
        <v>11</v>
      </c>
      <c r="F970" t="s">
        <v>42</v>
      </c>
      <c r="G970" t="s">
        <v>32</v>
      </c>
      <c r="H970">
        <v>19</v>
      </c>
    </row>
    <row r="971" spans="1:8" ht="21.75" customHeight="1" x14ac:dyDescent="0.35">
      <c r="A971" t="s">
        <v>1116</v>
      </c>
      <c r="B971" s="3">
        <v>45445</v>
      </c>
      <c r="C971" t="s">
        <v>203</v>
      </c>
      <c r="D971" t="s">
        <v>59</v>
      </c>
      <c r="E971" t="s">
        <v>22</v>
      </c>
      <c r="F971" t="s">
        <v>27</v>
      </c>
      <c r="G971" t="s">
        <v>32</v>
      </c>
      <c r="H971">
        <v>7</v>
      </c>
    </row>
    <row r="972" spans="1:8" ht="21.75" customHeight="1" x14ac:dyDescent="0.35">
      <c r="A972" t="s">
        <v>1117</v>
      </c>
      <c r="B972" s="3">
        <v>45539</v>
      </c>
      <c r="C972" t="s">
        <v>235</v>
      </c>
      <c r="D972" t="s">
        <v>102</v>
      </c>
      <c r="E972" t="s">
        <v>17</v>
      </c>
      <c r="F972" t="s">
        <v>306</v>
      </c>
      <c r="G972" t="s">
        <v>13</v>
      </c>
      <c r="H972">
        <v>20</v>
      </c>
    </row>
    <row r="973" spans="1:8" ht="21.75" customHeight="1" x14ac:dyDescent="0.35">
      <c r="A973" t="s">
        <v>1118</v>
      </c>
      <c r="B973" s="3">
        <v>45587</v>
      </c>
      <c r="C973" t="s">
        <v>159</v>
      </c>
      <c r="D973" t="s">
        <v>119</v>
      </c>
      <c r="E973" t="s">
        <v>11</v>
      </c>
      <c r="F973" t="s">
        <v>12</v>
      </c>
      <c r="G973" t="s">
        <v>23</v>
      </c>
      <c r="H973">
        <v>11</v>
      </c>
    </row>
    <row r="974" spans="1:8" ht="21.75" customHeight="1" x14ac:dyDescent="0.35">
      <c r="A974" t="s">
        <v>1119</v>
      </c>
      <c r="B974" s="3">
        <v>45505</v>
      </c>
      <c r="C974" t="s">
        <v>114</v>
      </c>
      <c r="D974" t="s">
        <v>96</v>
      </c>
      <c r="E974" t="s">
        <v>11</v>
      </c>
      <c r="F974" t="s">
        <v>306</v>
      </c>
      <c r="G974" t="s">
        <v>36</v>
      </c>
      <c r="H974">
        <v>13</v>
      </c>
    </row>
    <row r="975" spans="1:8" ht="21.75" customHeight="1" x14ac:dyDescent="0.35">
      <c r="A975" t="s">
        <v>1120</v>
      </c>
      <c r="B975" s="3">
        <v>45313</v>
      </c>
      <c r="C975" t="s">
        <v>38</v>
      </c>
      <c r="D975" t="s">
        <v>16</v>
      </c>
      <c r="E975" t="s">
        <v>22</v>
      </c>
      <c r="F975" t="s">
        <v>306</v>
      </c>
      <c r="G975" t="s">
        <v>28</v>
      </c>
      <c r="H975">
        <v>11</v>
      </c>
    </row>
    <row r="976" spans="1:8" ht="21.75" customHeight="1" x14ac:dyDescent="0.35">
      <c r="A976" t="s">
        <v>1121</v>
      </c>
      <c r="B976" s="3">
        <v>45370</v>
      </c>
      <c r="C976" t="s">
        <v>9</v>
      </c>
      <c r="D976" t="s">
        <v>70</v>
      </c>
      <c r="E976" t="s">
        <v>22</v>
      </c>
      <c r="F976" t="s">
        <v>27</v>
      </c>
      <c r="G976" t="s">
        <v>13</v>
      </c>
      <c r="H976">
        <v>20</v>
      </c>
    </row>
    <row r="977" spans="1:8" ht="21.75" customHeight="1" x14ac:dyDescent="0.35">
      <c r="A977" t="s">
        <v>1122</v>
      </c>
      <c r="B977" s="3">
        <v>45405</v>
      </c>
      <c r="C977" t="s">
        <v>348</v>
      </c>
      <c r="D977" t="s">
        <v>16</v>
      </c>
      <c r="E977" t="s">
        <v>17</v>
      </c>
      <c r="F977" t="s">
        <v>27</v>
      </c>
      <c r="G977" t="s">
        <v>23</v>
      </c>
      <c r="H977">
        <v>5</v>
      </c>
    </row>
    <row r="978" spans="1:8" ht="21.75" customHeight="1" x14ac:dyDescent="0.35">
      <c r="A978" t="s">
        <v>1123</v>
      </c>
      <c r="B978" s="3">
        <v>45584</v>
      </c>
      <c r="C978" t="s">
        <v>323</v>
      </c>
      <c r="D978" t="s">
        <v>31</v>
      </c>
      <c r="E978" t="s">
        <v>11</v>
      </c>
      <c r="F978" t="s">
        <v>306</v>
      </c>
      <c r="G978" t="s">
        <v>36</v>
      </c>
      <c r="H978">
        <v>9</v>
      </c>
    </row>
    <row r="979" spans="1:8" ht="21.75" customHeight="1" x14ac:dyDescent="0.35">
      <c r="A979" t="s">
        <v>1124</v>
      </c>
      <c r="B979" s="3">
        <v>45514</v>
      </c>
      <c r="C979" t="s">
        <v>420</v>
      </c>
      <c r="D979" t="s">
        <v>119</v>
      </c>
      <c r="E979" t="s">
        <v>22</v>
      </c>
      <c r="F979" t="s">
        <v>56</v>
      </c>
      <c r="G979" t="s">
        <v>28</v>
      </c>
      <c r="H979">
        <v>5</v>
      </c>
    </row>
    <row r="980" spans="1:8" ht="21.75" customHeight="1" x14ac:dyDescent="0.35">
      <c r="A980" t="s">
        <v>1125</v>
      </c>
      <c r="B980" s="3">
        <v>45541</v>
      </c>
      <c r="C980" t="s">
        <v>106</v>
      </c>
      <c r="D980" t="s">
        <v>65</v>
      </c>
      <c r="E980" t="s">
        <v>22</v>
      </c>
      <c r="F980" t="s">
        <v>306</v>
      </c>
      <c r="G980" t="s">
        <v>36</v>
      </c>
      <c r="H980">
        <v>18</v>
      </c>
    </row>
    <row r="981" spans="1:8" ht="21.75" customHeight="1" x14ac:dyDescent="0.35">
      <c r="A981" t="s">
        <v>1126</v>
      </c>
      <c r="B981" s="3">
        <v>45418</v>
      </c>
      <c r="C981" t="s">
        <v>78</v>
      </c>
      <c r="D981" t="s">
        <v>119</v>
      </c>
      <c r="E981" t="s">
        <v>11</v>
      </c>
      <c r="F981" t="s">
        <v>42</v>
      </c>
      <c r="G981" t="s">
        <v>36</v>
      </c>
      <c r="H981">
        <v>14</v>
      </c>
    </row>
    <row r="982" spans="1:8" ht="21.75" customHeight="1" x14ac:dyDescent="0.35">
      <c r="A982" t="s">
        <v>1127</v>
      </c>
      <c r="B982" s="3">
        <v>45337</v>
      </c>
      <c r="C982" t="s">
        <v>40</v>
      </c>
      <c r="D982" t="s">
        <v>87</v>
      </c>
      <c r="E982" t="s">
        <v>22</v>
      </c>
      <c r="F982" t="s">
        <v>27</v>
      </c>
      <c r="G982" t="s">
        <v>32</v>
      </c>
      <c r="H982">
        <v>12</v>
      </c>
    </row>
    <row r="983" spans="1:8" ht="21.75" customHeight="1" x14ac:dyDescent="0.35">
      <c r="A983" t="s">
        <v>1128</v>
      </c>
      <c r="B983" s="3">
        <v>45468</v>
      </c>
      <c r="C983" t="s">
        <v>327</v>
      </c>
      <c r="D983" t="s">
        <v>119</v>
      </c>
      <c r="E983" t="s">
        <v>22</v>
      </c>
      <c r="F983" t="s">
        <v>12</v>
      </c>
      <c r="G983" t="s">
        <v>32</v>
      </c>
      <c r="H983">
        <v>10</v>
      </c>
    </row>
    <row r="984" spans="1:8" ht="21.75" customHeight="1" x14ac:dyDescent="0.35">
      <c r="A984" t="s">
        <v>1129</v>
      </c>
      <c r="B984" s="3">
        <v>45607</v>
      </c>
      <c r="C984" t="s">
        <v>396</v>
      </c>
      <c r="D984" t="s">
        <v>70</v>
      </c>
      <c r="E984" t="s">
        <v>22</v>
      </c>
      <c r="F984" t="s">
        <v>56</v>
      </c>
      <c r="G984" t="s">
        <v>28</v>
      </c>
      <c r="H984">
        <v>2</v>
      </c>
    </row>
    <row r="985" spans="1:8" ht="21.75" customHeight="1" x14ac:dyDescent="0.35">
      <c r="A985" t="s">
        <v>1130</v>
      </c>
      <c r="B985" s="3">
        <v>45394</v>
      </c>
      <c r="C985" t="s">
        <v>455</v>
      </c>
      <c r="D985" t="s">
        <v>119</v>
      </c>
      <c r="E985" t="s">
        <v>17</v>
      </c>
      <c r="F985" t="s">
        <v>56</v>
      </c>
      <c r="G985" t="s">
        <v>13</v>
      </c>
      <c r="H985">
        <v>3</v>
      </c>
    </row>
    <row r="986" spans="1:8" ht="21.75" customHeight="1" x14ac:dyDescent="0.35">
      <c r="A986" t="s">
        <v>1131</v>
      </c>
      <c r="B986" s="3">
        <v>45416</v>
      </c>
      <c r="C986" t="s">
        <v>381</v>
      </c>
      <c r="D986" t="s">
        <v>96</v>
      </c>
      <c r="E986" t="s">
        <v>11</v>
      </c>
      <c r="F986" t="s">
        <v>42</v>
      </c>
      <c r="G986" t="s">
        <v>13</v>
      </c>
      <c r="H986">
        <v>11</v>
      </c>
    </row>
    <row r="987" spans="1:8" ht="21.75" customHeight="1" x14ac:dyDescent="0.35">
      <c r="A987" t="s">
        <v>1132</v>
      </c>
      <c r="B987" s="3">
        <v>45448</v>
      </c>
      <c r="C987" t="s">
        <v>430</v>
      </c>
      <c r="D987" t="s">
        <v>72</v>
      </c>
      <c r="E987" t="s">
        <v>17</v>
      </c>
      <c r="F987" t="s">
        <v>12</v>
      </c>
      <c r="G987" t="s">
        <v>28</v>
      </c>
      <c r="H987">
        <v>7</v>
      </c>
    </row>
    <row r="988" spans="1:8" ht="21.75" customHeight="1" x14ac:dyDescent="0.35">
      <c r="A988" t="s">
        <v>1133</v>
      </c>
      <c r="B988" s="3">
        <v>45396</v>
      </c>
      <c r="C988" t="s">
        <v>591</v>
      </c>
      <c r="D988" t="s">
        <v>174</v>
      </c>
      <c r="E988" t="s">
        <v>22</v>
      </c>
      <c r="F988" t="s">
        <v>42</v>
      </c>
      <c r="G988" t="s">
        <v>28</v>
      </c>
      <c r="H988">
        <v>16</v>
      </c>
    </row>
    <row r="989" spans="1:8" ht="21.75" customHeight="1" x14ac:dyDescent="0.35">
      <c r="A989" t="s">
        <v>1134</v>
      </c>
      <c r="B989" s="3">
        <v>45647</v>
      </c>
      <c r="C989" t="s">
        <v>424</v>
      </c>
      <c r="D989" t="s">
        <v>31</v>
      </c>
      <c r="E989" t="s">
        <v>22</v>
      </c>
      <c r="F989" t="s">
        <v>12</v>
      </c>
      <c r="G989" t="s">
        <v>36</v>
      </c>
      <c r="H989">
        <v>19</v>
      </c>
    </row>
    <row r="990" spans="1:8" ht="21.75" customHeight="1" x14ac:dyDescent="0.35">
      <c r="A990" t="s">
        <v>1135</v>
      </c>
      <c r="B990" s="3">
        <v>45314</v>
      </c>
      <c r="C990" t="s">
        <v>230</v>
      </c>
      <c r="D990" t="s">
        <v>74</v>
      </c>
      <c r="E990" t="s">
        <v>11</v>
      </c>
      <c r="F990" t="s">
        <v>12</v>
      </c>
      <c r="G990" t="s">
        <v>36</v>
      </c>
      <c r="H990">
        <v>7</v>
      </c>
    </row>
    <row r="991" spans="1:8" ht="21.75" customHeight="1" x14ac:dyDescent="0.35">
      <c r="A991" t="s">
        <v>1136</v>
      </c>
      <c r="B991" s="3">
        <v>45430</v>
      </c>
      <c r="C991" t="s">
        <v>9</v>
      </c>
      <c r="D991" t="s">
        <v>10</v>
      </c>
      <c r="E991" t="s">
        <v>17</v>
      </c>
      <c r="F991" t="s">
        <v>12</v>
      </c>
      <c r="G991" t="s">
        <v>32</v>
      </c>
      <c r="H991">
        <v>13</v>
      </c>
    </row>
    <row r="992" spans="1:8" ht="21.75" customHeight="1" x14ac:dyDescent="0.35">
      <c r="A992" t="s">
        <v>1137</v>
      </c>
      <c r="B992" s="3">
        <v>45347</v>
      </c>
      <c r="C992" t="s">
        <v>138</v>
      </c>
      <c r="D992" t="s">
        <v>197</v>
      </c>
      <c r="E992" t="s">
        <v>17</v>
      </c>
      <c r="F992" t="s">
        <v>27</v>
      </c>
      <c r="G992" t="s">
        <v>13</v>
      </c>
      <c r="H992">
        <v>13</v>
      </c>
    </row>
    <row r="993" spans="1:8" ht="21.75" customHeight="1" x14ac:dyDescent="0.35">
      <c r="A993" t="s">
        <v>1138</v>
      </c>
      <c r="B993" s="3">
        <v>45453</v>
      </c>
      <c r="C993" t="s">
        <v>374</v>
      </c>
      <c r="D993" t="s">
        <v>10</v>
      </c>
      <c r="E993" t="s">
        <v>22</v>
      </c>
      <c r="F993" t="s">
        <v>306</v>
      </c>
      <c r="G993" t="s">
        <v>23</v>
      </c>
      <c r="H993">
        <v>6</v>
      </c>
    </row>
    <row r="994" spans="1:8" ht="21.75" customHeight="1" x14ac:dyDescent="0.35">
      <c r="A994" t="s">
        <v>1139</v>
      </c>
      <c r="B994" s="3">
        <v>45579</v>
      </c>
      <c r="C994" t="s">
        <v>436</v>
      </c>
      <c r="D994" t="s">
        <v>197</v>
      </c>
      <c r="E994" t="s">
        <v>11</v>
      </c>
      <c r="F994" t="s">
        <v>12</v>
      </c>
      <c r="G994" t="s">
        <v>23</v>
      </c>
      <c r="H994">
        <v>17</v>
      </c>
    </row>
    <row r="995" spans="1:8" ht="21.75" customHeight="1" x14ac:dyDescent="0.35">
      <c r="A995" t="s">
        <v>1140</v>
      </c>
      <c r="B995" s="3">
        <v>45493</v>
      </c>
      <c r="C995" t="s">
        <v>323</v>
      </c>
      <c r="D995" t="s">
        <v>48</v>
      </c>
      <c r="E995" t="s">
        <v>11</v>
      </c>
      <c r="F995" t="s">
        <v>12</v>
      </c>
      <c r="G995" t="s">
        <v>32</v>
      </c>
      <c r="H995">
        <v>12</v>
      </c>
    </row>
    <row r="996" spans="1:8" ht="21.75" customHeight="1" x14ac:dyDescent="0.35">
      <c r="A996" t="s">
        <v>1141</v>
      </c>
      <c r="B996" s="3">
        <v>45412</v>
      </c>
      <c r="C996" t="s">
        <v>358</v>
      </c>
      <c r="D996" t="s">
        <v>21</v>
      </c>
      <c r="E996" t="s">
        <v>17</v>
      </c>
      <c r="F996" t="s">
        <v>12</v>
      </c>
      <c r="G996" t="s">
        <v>13</v>
      </c>
      <c r="H996">
        <v>9</v>
      </c>
    </row>
    <row r="997" spans="1:8" ht="21.75" customHeight="1" x14ac:dyDescent="0.35">
      <c r="A997" t="s">
        <v>1142</v>
      </c>
      <c r="B997" s="3">
        <v>45576</v>
      </c>
      <c r="C997" t="s">
        <v>89</v>
      </c>
      <c r="D997" t="s">
        <v>72</v>
      </c>
      <c r="E997" t="s">
        <v>11</v>
      </c>
      <c r="F997" t="s">
        <v>56</v>
      </c>
      <c r="G997" t="s">
        <v>13</v>
      </c>
      <c r="H997">
        <v>13</v>
      </c>
    </row>
    <row r="998" spans="1:8" ht="21.75" customHeight="1" x14ac:dyDescent="0.35">
      <c r="A998" t="s">
        <v>1143</v>
      </c>
      <c r="B998" s="3">
        <v>45487</v>
      </c>
      <c r="C998" t="s">
        <v>363</v>
      </c>
      <c r="D998" t="s">
        <v>21</v>
      </c>
      <c r="E998" t="s">
        <v>22</v>
      </c>
      <c r="F998" t="s">
        <v>306</v>
      </c>
      <c r="G998" t="s">
        <v>36</v>
      </c>
      <c r="H998">
        <v>8</v>
      </c>
    </row>
    <row r="999" spans="1:8" ht="21.75" customHeight="1" x14ac:dyDescent="0.35">
      <c r="A999" t="s">
        <v>1144</v>
      </c>
      <c r="B999" s="3">
        <v>45370</v>
      </c>
      <c r="C999" t="s">
        <v>309</v>
      </c>
      <c r="D999" t="s">
        <v>72</v>
      </c>
      <c r="E999" t="s">
        <v>17</v>
      </c>
      <c r="F999" t="s">
        <v>306</v>
      </c>
      <c r="G999" t="s">
        <v>28</v>
      </c>
      <c r="H999">
        <v>15</v>
      </c>
    </row>
    <row r="1000" spans="1:8" ht="21.75" customHeight="1" x14ac:dyDescent="0.35">
      <c r="A1000" t="s">
        <v>1145</v>
      </c>
      <c r="B1000" s="3">
        <v>45626</v>
      </c>
      <c r="C1000" t="s">
        <v>99</v>
      </c>
      <c r="D1000" t="s">
        <v>41</v>
      </c>
      <c r="E1000" t="s">
        <v>22</v>
      </c>
      <c r="F1000" t="s">
        <v>306</v>
      </c>
      <c r="G1000" t="s">
        <v>32</v>
      </c>
      <c r="H1000">
        <v>7</v>
      </c>
    </row>
    <row r="1001" spans="1:8" ht="21.75" customHeight="1" x14ac:dyDescent="0.35">
      <c r="A1001" t="s">
        <v>1146</v>
      </c>
      <c r="B1001" s="3">
        <v>45644</v>
      </c>
      <c r="C1001" t="s">
        <v>369</v>
      </c>
      <c r="D1001" t="s">
        <v>87</v>
      </c>
      <c r="E1001" t="s">
        <v>22</v>
      </c>
      <c r="F1001" t="s">
        <v>56</v>
      </c>
      <c r="G1001" t="s">
        <v>36</v>
      </c>
      <c r="H1001">
        <v>5</v>
      </c>
    </row>
    <row r="1002" spans="1:8" ht="21.75" customHeight="1" x14ac:dyDescent="0.35">
      <c r="A1002" t="s">
        <v>1147</v>
      </c>
      <c r="B1002" s="3">
        <v>45372</v>
      </c>
      <c r="C1002" t="s">
        <v>38</v>
      </c>
      <c r="D1002" t="s">
        <v>174</v>
      </c>
      <c r="E1002" t="s">
        <v>11</v>
      </c>
      <c r="F1002" t="s">
        <v>306</v>
      </c>
      <c r="G1002" t="s">
        <v>28</v>
      </c>
      <c r="H1002">
        <v>4</v>
      </c>
    </row>
    <row r="1003" spans="1:8" ht="21.75" customHeight="1" x14ac:dyDescent="0.35">
      <c r="A1003" t="s">
        <v>1148</v>
      </c>
      <c r="B1003" s="3">
        <v>45307</v>
      </c>
      <c r="C1003" t="s">
        <v>332</v>
      </c>
      <c r="D1003" t="s">
        <v>87</v>
      </c>
      <c r="E1003" t="s">
        <v>17</v>
      </c>
      <c r="F1003" t="s">
        <v>27</v>
      </c>
      <c r="G1003" t="s">
        <v>32</v>
      </c>
      <c r="H1003">
        <v>10</v>
      </c>
    </row>
    <row r="1004" spans="1:8" ht="21.75" customHeight="1" x14ac:dyDescent="0.35">
      <c r="A1004" t="s">
        <v>1149</v>
      </c>
      <c r="B1004" s="3">
        <v>45369</v>
      </c>
      <c r="C1004" t="s">
        <v>420</v>
      </c>
      <c r="D1004" t="s">
        <v>16</v>
      </c>
      <c r="E1004" t="s">
        <v>11</v>
      </c>
      <c r="F1004" t="s">
        <v>12</v>
      </c>
      <c r="G1004" t="s">
        <v>36</v>
      </c>
      <c r="H1004">
        <v>6</v>
      </c>
    </row>
    <row r="1005" spans="1:8" ht="21.75" customHeight="1" x14ac:dyDescent="0.35">
      <c r="A1005" t="s">
        <v>1150</v>
      </c>
      <c r="B1005" s="3">
        <v>45607</v>
      </c>
      <c r="C1005" t="s">
        <v>101</v>
      </c>
      <c r="D1005" t="s">
        <v>109</v>
      </c>
      <c r="E1005" t="s">
        <v>22</v>
      </c>
      <c r="F1005" t="s">
        <v>306</v>
      </c>
      <c r="G1005" t="s">
        <v>28</v>
      </c>
      <c r="H1005">
        <v>8</v>
      </c>
    </row>
    <row r="1006" spans="1:8" ht="21.75" customHeight="1" x14ac:dyDescent="0.35">
      <c r="A1006" t="s">
        <v>1151</v>
      </c>
      <c r="B1006" s="3">
        <v>45643</v>
      </c>
      <c r="C1006" t="s">
        <v>64</v>
      </c>
      <c r="D1006" t="s">
        <v>62</v>
      </c>
      <c r="E1006" t="s">
        <v>17</v>
      </c>
      <c r="F1006" t="s">
        <v>12</v>
      </c>
      <c r="G1006" t="s">
        <v>36</v>
      </c>
      <c r="H1006">
        <v>16</v>
      </c>
    </row>
    <row r="1007" spans="1:8" ht="21.75" customHeight="1" x14ac:dyDescent="0.35">
      <c r="A1007" t="s">
        <v>1152</v>
      </c>
      <c r="B1007" s="3">
        <v>45532</v>
      </c>
      <c r="C1007" t="s">
        <v>436</v>
      </c>
      <c r="D1007" t="s">
        <v>45</v>
      </c>
      <c r="E1007" t="s">
        <v>22</v>
      </c>
      <c r="F1007" t="s">
        <v>42</v>
      </c>
      <c r="G1007" t="s">
        <v>28</v>
      </c>
      <c r="H1007">
        <v>13</v>
      </c>
    </row>
    <row r="1008" spans="1:8" ht="21.75" customHeight="1" x14ac:dyDescent="0.35">
      <c r="A1008" t="s">
        <v>1153</v>
      </c>
      <c r="B1008" s="3">
        <v>45375</v>
      </c>
      <c r="C1008" t="s">
        <v>150</v>
      </c>
      <c r="D1008" t="s">
        <v>87</v>
      </c>
      <c r="E1008" t="s">
        <v>11</v>
      </c>
      <c r="F1008" t="s">
        <v>12</v>
      </c>
      <c r="G1008" t="s">
        <v>23</v>
      </c>
      <c r="H1008">
        <v>1</v>
      </c>
    </row>
    <row r="1009" spans="1:8" ht="21.75" customHeight="1" x14ac:dyDescent="0.35">
      <c r="A1009" t="s">
        <v>1154</v>
      </c>
      <c r="B1009" s="3">
        <v>45405</v>
      </c>
      <c r="C1009" t="s">
        <v>323</v>
      </c>
      <c r="D1009" t="s">
        <v>119</v>
      </c>
      <c r="E1009" t="s">
        <v>22</v>
      </c>
      <c r="F1009" t="s">
        <v>56</v>
      </c>
      <c r="G1009" t="s">
        <v>23</v>
      </c>
      <c r="H1009">
        <v>7</v>
      </c>
    </row>
    <row r="1010" spans="1:8" ht="21.75" customHeight="1" x14ac:dyDescent="0.35">
      <c r="A1010" t="s">
        <v>1155</v>
      </c>
      <c r="B1010" s="3">
        <v>45607</v>
      </c>
      <c r="C1010" t="s">
        <v>374</v>
      </c>
      <c r="D1010" t="s">
        <v>70</v>
      </c>
      <c r="E1010" t="s">
        <v>22</v>
      </c>
      <c r="F1010" t="s">
        <v>42</v>
      </c>
      <c r="G1010" t="s">
        <v>13</v>
      </c>
      <c r="H1010">
        <v>8</v>
      </c>
    </row>
    <row r="1011" spans="1:8" ht="21.75" customHeight="1" x14ac:dyDescent="0.35">
      <c r="A1011" t="s">
        <v>1156</v>
      </c>
      <c r="B1011" s="3">
        <v>45603</v>
      </c>
      <c r="C1011" t="s">
        <v>304</v>
      </c>
      <c r="D1011" t="s">
        <v>31</v>
      </c>
      <c r="E1011" t="s">
        <v>17</v>
      </c>
      <c r="F1011" t="s">
        <v>42</v>
      </c>
      <c r="G1011" t="s">
        <v>36</v>
      </c>
      <c r="H1011">
        <v>20</v>
      </c>
    </row>
    <row r="1012" spans="1:8" ht="21.75" customHeight="1" x14ac:dyDescent="0.35">
      <c r="A1012" t="s">
        <v>1157</v>
      </c>
      <c r="B1012" s="3">
        <v>45596</v>
      </c>
      <c r="C1012" t="s">
        <v>312</v>
      </c>
      <c r="D1012" t="s">
        <v>160</v>
      </c>
      <c r="E1012" t="s">
        <v>22</v>
      </c>
      <c r="F1012" t="s">
        <v>12</v>
      </c>
      <c r="G1012" t="s">
        <v>13</v>
      </c>
      <c r="H1012">
        <v>4</v>
      </c>
    </row>
    <row r="1013" spans="1:8" ht="21.75" customHeight="1" x14ac:dyDescent="0.35">
      <c r="A1013" t="s">
        <v>1158</v>
      </c>
      <c r="B1013" s="3">
        <v>45417</v>
      </c>
      <c r="C1013" t="s">
        <v>363</v>
      </c>
      <c r="D1013" t="s">
        <v>84</v>
      </c>
      <c r="E1013" t="s">
        <v>22</v>
      </c>
      <c r="F1013" t="s">
        <v>27</v>
      </c>
      <c r="G1013" t="s">
        <v>36</v>
      </c>
      <c r="H1013">
        <v>2</v>
      </c>
    </row>
    <row r="1014" spans="1:8" ht="21.75" customHeight="1" x14ac:dyDescent="0.35">
      <c r="A1014" t="s">
        <v>1159</v>
      </c>
      <c r="B1014" s="3">
        <v>45614</v>
      </c>
      <c r="C1014" t="s">
        <v>9</v>
      </c>
      <c r="D1014" t="s">
        <v>70</v>
      </c>
      <c r="E1014" t="s">
        <v>11</v>
      </c>
      <c r="F1014" t="s">
        <v>42</v>
      </c>
      <c r="G1014" t="s">
        <v>32</v>
      </c>
      <c r="H1014">
        <v>13</v>
      </c>
    </row>
    <row r="1015" spans="1:8" ht="21.75" customHeight="1" x14ac:dyDescent="0.35">
      <c r="A1015" t="s">
        <v>1160</v>
      </c>
      <c r="B1015" s="3">
        <v>45528</v>
      </c>
      <c r="C1015" t="s">
        <v>30</v>
      </c>
      <c r="D1015" t="s">
        <v>109</v>
      </c>
      <c r="E1015" t="s">
        <v>17</v>
      </c>
      <c r="F1015" t="s">
        <v>42</v>
      </c>
      <c r="G1015" t="s">
        <v>28</v>
      </c>
      <c r="H1015">
        <v>2</v>
      </c>
    </row>
    <row r="1016" spans="1:8" ht="21.75" customHeight="1" x14ac:dyDescent="0.35">
      <c r="A1016" t="s">
        <v>1161</v>
      </c>
      <c r="B1016" s="3">
        <v>45529</v>
      </c>
      <c r="C1016" t="s">
        <v>736</v>
      </c>
      <c r="D1016" t="s">
        <v>84</v>
      </c>
      <c r="E1016" t="s">
        <v>17</v>
      </c>
      <c r="F1016" t="s">
        <v>12</v>
      </c>
      <c r="G1016" t="s">
        <v>36</v>
      </c>
      <c r="H1016">
        <v>17</v>
      </c>
    </row>
    <row r="1017" spans="1:8" ht="21.75" customHeight="1" x14ac:dyDescent="0.35">
      <c r="A1017" t="s">
        <v>1162</v>
      </c>
      <c r="B1017" s="3">
        <v>45648</v>
      </c>
      <c r="C1017" t="s">
        <v>591</v>
      </c>
      <c r="D1017" t="s">
        <v>87</v>
      </c>
      <c r="E1017" t="s">
        <v>11</v>
      </c>
      <c r="F1017" t="s">
        <v>27</v>
      </c>
      <c r="G1017" t="s">
        <v>28</v>
      </c>
      <c r="H1017">
        <v>11</v>
      </c>
    </row>
    <row r="1018" spans="1:8" ht="21.75" customHeight="1" x14ac:dyDescent="0.35">
      <c r="A1018" t="s">
        <v>1163</v>
      </c>
      <c r="B1018" s="3">
        <v>45524</v>
      </c>
      <c r="C1018" t="s">
        <v>449</v>
      </c>
      <c r="D1018" t="s">
        <v>70</v>
      </c>
      <c r="E1018" t="s">
        <v>22</v>
      </c>
      <c r="F1018" t="s">
        <v>56</v>
      </c>
      <c r="G1018" t="s">
        <v>28</v>
      </c>
      <c r="H1018">
        <v>3</v>
      </c>
    </row>
    <row r="1019" spans="1:8" ht="21.75" customHeight="1" x14ac:dyDescent="0.35">
      <c r="A1019" t="s">
        <v>1164</v>
      </c>
      <c r="B1019" s="3">
        <v>45355</v>
      </c>
      <c r="C1019" t="s">
        <v>203</v>
      </c>
      <c r="D1019" t="s">
        <v>21</v>
      </c>
      <c r="E1019" t="s">
        <v>11</v>
      </c>
      <c r="F1019" t="s">
        <v>27</v>
      </c>
      <c r="G1019" t="s">
        <v>23</v>
      </c>
      <c r="H1019">
        <v>12</v>
      </c>
    </row>
    <row r="1020" spans="1:8" ht="21.75" customHeight="1" x14ac:dyDescent="0.35">
      <c r="A1020" t="s">
        <v>1165</v>
      </c>
      <c r="B1020" s="3">
        <v>45553</v>
      </c>
      <c r="C1020" t="s">
        <v>594</v>
      </c>
      <c r="D1020" t="s">
        <v>174</v>
      </c>
      <c r="E1020" t="s">
        <v>11</v>
      </c>
      <c r="F1020" t="s">
        <v>27</v>
      </c>
      <c r="G1020" t="s">
        <v>28</v>
      </c>
      <c r="H1020">
        <v>13</v>
      </c>
    </row>
    <row r="1021" spans="1:8" ht="21.75" customHeight="1" x14ac:dyDescent="0.35">
      <c r="A1021" t="s">
        <v>1166</v>
      </c>
      <c r="B1021" s="3">
        <v>45463</v>
      </c>
      <c r="C1021" t="s">
        <v>614</v>
      </c>
      <c r="D1021" t="s">
        <v>45</v>
      </c>
      <c r="E1021" t="s">
        <v>22</v>
      </c>
      <c r="F1021" t="s">
        <v>56</v>
      </c>
      <c r="G1021" t="s">
        <v>13</v>
      </c>
      <c r="H1021">
        <v>5</v>
      </c>
    </row>
    <row r="1022" spans="1:8" ht="21.75" customHeight="1" x14ac:dyDescent="0.35">
      <c r="A1022" t="s">
        <v>1167</v>
      </c>
      <c r="B1022" s="3">
        <v>45506</v>
      </c>
      <c r="C1022" t="s">
        <v>147</v>
      </c>
      <c r="D1022" t="s">
        <v>74</v>
      </c>
      <c r="E1022" t="s">
        <v>17</v>
      </c>
      <c r="F1022" t="s">
        <v>27</v>
      </c>
      <c r="G1022" t="s">
        <v>28</v>
      </c>
      <c r="H1022">
        <v>6</v>
      </c>
    </row>
    <row r="1023" spans="1:8" ht="21.75" customHeight="1" x14ac:dyDescent="0.35">
      <c r="A1023" t="s">
        <v>1168</v>
      </c>
      <c r="B1023" s="3">
        <v>45395</v>
      </c>
      <c r="C1023" t="s">
        <v>25</v>
      </c>
      <c r="D1023" t="s">
        <v>96</v>
      </c>
      <c r="E1023" t="s">
        <v>22</v>
      </c>
      <c r="F1023" t="s">
        <v>42</v>
      </c>
      <c r="G1023" t="s">
        <v>23</v>
      </c>
      <c r="H1023">
        <v>15</v>
      </c>
    </row>
    <row r="1024" spans="1:8" ht="21.75" customHeight="1" x14ac:dyDescent="0.35">
      <c r="A1024" t="s">
        <v>1169</v>
      </c>
      <c r="B1024" s="3">
        <v>45570</v>
      </c>
      <c r="C1024" t="s">
        <v>25</v>
      </c>
      <c r="D1024" t="s">
        <v>197</v>
      </c>
      <c r="E1024" t="s">
        <v>22</v>
      </c>
      <c r="F1024" t="s">
        <v>27</v>
      </c>
      <c r="G1024" t="s">
        <v>23</v>
      </c>
      <c r="H1024">
        <v>7</v>
      </c>
    </row>
    <row r="1025" spans="1:8" ht="21.75" customHeight="1" x14ac:dyDescent="0.35">
      <c r="A1025" t="s">
        <v>1170</v>
      </c>
      <c r="B1025" s="3">
        <v>45524</v>
      </c>
      <c r="C1025" t="s">
        <v>408</v>
      </c>
      <c r="D1025" t="s">
        <v>109</v>
      </c>
      <c r="E1025" t="s">
        <v>17</v>
      </c>
      <c r="F1025" t="s">
        <v>12</v>
      </c>
      <c r="G1025" t="s">
        <v>36</v>
      </c>
      <c r="H1025">
        <v>20</v>
      </c>
    </row>
    <row r="1026" spans="1:8" ht="21.75" customHeight="1" x14ac:dyDescent="0.35">
      <c r="A1026" t="s">
        <v>1171</v>
      </c>
      <c r="B1026" s="3">
        <v>45434</v>
      </c>
      <c r="C1026" t="s">
        <v>381</v>
      </c>
      <c r="D1026" t="s">
        <v>65</v>
      </c>
      <c r="E1026" t="s">
        <v>22</v>
      </c>
      <c r="F1026" t="s">
        <v>306</v>
      </c>
      <c r="G1026" t="s">
        <v>13</v>
      </c>
      <c r="H1026">
        <v>2</v>
      </c>
    </row>
    <row r="1027" spans="1:8" ht="21.75" customHeight="1" x14ac:dyDescent="0.35">
      <c r="A1027" t="s">
        <v>1172</v>
      </c>
      <c r="B1027" s="3">
        <v>45626</v>
      </c>
      <c r="C1027" t="s">
        <v>20</v>
      </c>
      <c r="D1027" t="s">
        <v>79</v>
      </c>
      <c r="E1027" t="s">
        <v>11</v>
      </c>
      <c r="F1027" t="s">
        <v>56</v>
      </c>
      <c r="G1027" t="s">
        <v>32</v>
      </c>
      <c r="H1027">
        <v>19</v>
      </c>
    </row>
    <row r="1028" spans="1:8" ht="21.75" customHeight="1" x14ac:dyDescent="0.35">
      <c r="A1028" t="s">
        <v>1173</v>
      </c>
      <c r="B1028" s="3">
        <v>45461</v>
      </c>
      <c r="C1028" t="s">
        <v>203</v>
      </c>
      <c r="D1028" t="s">
        <v>87</v>
      </c>
      <c r="E1028" t="s">
        <v>11</v>
      </c>
      <c r="F1028" t="s">
        <v>12</v>
      </c>
      <c r="G1028" t="s">
        <v>32</v>
      </c>
      <c r="H1028">
        <v>6</v>
      </c>
    </row>
    <row r="1029" spans="1:8" ht="21.75" customHeight="1" x14ac:dyDescent="0.35">
      <c r="A1029" t="s">
        <v>1174</v>
      </c>
      <c r="B1029" s="3">
        <v>45604</v>
      </c>
      <c r="C1029" t="s">
        <v>371</v>
      </c>
      <c r="D1029" t="s">
        <v>59</v>
      </c>
      <c r="E1029" t="s">
        <v>22</v>
      </c>
      <c r="F1029" t="s">
        <v>306</v>
      </c>
      <c r="G1029" t="s">
        <v>23</v>
      </c>
      <c r="H1029">
        <v>18</v>
      </c>
    </row>
    <row r="1030" spans="1:8" ht="21.75" customHeight="1" x14ac:dyDescent="0.35">
      <c r="A1030" t="s">
        <v>1175</v>
      </c>
      <c r="B1030" s="3">
        <v>45588</v>
      </c>
      <c r="C1030" t="s">
        <v>83</v>
      </c>
      <c r="D1030" t="s">
        <v>119</v>
      </c>
      <c r="E1030" t="s">
        <v>11</v>
      </c>
      <c r="F1030" t="s">
        <v>12</v>
      </c>
      <c r="G1030" t="s">
        <v>23</v>
      </c>
      <c r="H1030">
        <v>10</v>
      </c>
    </row>
    <row r="1031" spans="1:8" ht="21.75" customHeight="1" x14ac:dyDescent="0.35">
      <c r="A1031" t="s">
        <v>1176</v>
      </c>
      <c r="B1031" s="3">
        <v>45326</v>
      </c>
      <c r="C1031" t="s">
        <v>332</v>
      </c>
      <c r="D1031" t="s">
        <v>10</v>
      </c>
      <c r="E1031" t="s">
        <v>17</v>
      </c>
      <c r="F1031" t="s">
        <v>306</v>
      </c>
      <c r="G1031" t="s">
        <v>13</v>
      </c>
      <c r="H1031">
        <v>10</v>
      </c>
    </row>
    <row r="1032" spans="1:8" ht="21.75" customHeight="1" x14ac:dyDescent="0.35">
      <c r="A1032" t="s">
        <v>1177</v>
      </c>
      <c r="B1032" s="3">
        <v>45647</v>
      </c>
      <c r="C1032" t="s">
        <v>89</v>
      </c>
      <c r="D1032" t="s">
        <v>87</v>
      </c>
      <c r="E1032" t="s">
        <v>17</v>
      </c>
      <c r="F1032" t="s">
        <v>306</v>
      </c>
      <c r="G1032" t="s">
        <v>28</v>
      </c>
      <c r="H1032">
        <v>17</v>
      </c>
    </row>
    <row r="1033" spans="1:8" ht="21.75" customHeight="1" x14ac:dyDescent="0.35">
      <c r="A1033" t="s">
        <v>1178</v>
      </c>
      <c r="B1033" s="3">
        <v>45605</v>
      </c>
      <c r="C1033" t="s">
        <v>131</v>
      </c>
      <c r="D1033" t="s">
        <v>84</v>
      </c>
      <c r="E1033" t="s">
        <v>11</v>
      </c>
      <c r="F1033" t="s">
        <v>306</v>
      </c>
      <c r="G1033" t="s">
        <v>23</v>
      </c>
      <c r="H1033">
        <v>17</v>
      </c>
    </row>
    <row r="1034" spans="1:8" ht="21.75" customHeight="1" x14ac:dyDescent="0.35">
      <c r="A1034" t="s">
        <v>1179</v>
      </c>
      <c r="B1034" s="3">
        <v>45644</v>
      </c>
      <c r="C1034" t="s">
        <v>493</v>
      </c>
      <c r="D1034" t="s">
        <v>87</v>
      </c>
      <c r="E1034" t="s">
        <v>22</v>
      </c>
      <c r="F1034" t="s">
        <v>42</v>
      </c>
      <c r="G1034" t="s">
        <v>32</v>
      </c>
      <c r="H1034">
        <v>20</v>
      </c>
    </row>
    <row r="1035" spans="1:8" ht="21.75" customHeight="1" x14ac:dyDescent="0.35">
      <c r="A1035" t="s">
        <v>1180</v>
      </c>
      <c r="B1035" s="3">
        <v>45561</v>
      </c>
      <c r="C1035" t="s">
        <v>314</v>
      </c>
      <c r="D1035" t="s">
        <v>16</v>
      </c>
      <c r="E1035" t="s">
        <v>22</v>
      </c>
      <c r="F1035" t="s">
        <v>42</v>
      </c>
      <c r="G1035" t="s">
        <v>36</v>
      </c>
      <c r="H1035">
        <v>20</v>
      </c>
    </row>
    <row r="1036" spans="1:8" ht="21.75" customHeight="1" x14ac:dyDescent="0.35">
      <c r="A1036" t="s">
        <v>1181</v>
      </c>
      <c r="B1036" s="3">
        <v>45615</v>
      </c>
      <c r="C1036" t="s">
        <v>432</v>
      </c>
      <c r="D1036" t="s">
        <v>109</v>
      </c>
      <c r="E1036" t="s">
        <v>17</v>
      </c>
      <c r="F1036" t="s">
        <v>56</v>
      </c>
      <c r="G1036" t="s">
        <v>28</v>
      </c>
      <c r="H1036">
        <v>8</v>
      </c>
    </row>
    <row r="1037" spans="1:8" ht="21.75" customHeight="1" x14ac:dyDescent="0.35">
      <c r="A1037" t="s">
        <v>1182</v>
      </c>
      <c r="B1037" s="3">
        <v>45292</v>
      </c>
      <c r="C1037" t="s">
        <v>114</v>
      </c>
      <c r="D1037" t="s">
        <v>21</v>
      </c>
      <c r="E1037" t="s">
        <v>11</v>
      </c>
      <c r="F1037" t="s">
        <v>27</v>
      </c>
      <c r="G1037" t="s">
        <v>28</v>
      </c>
      <c r="H1037">
        <v>4</v>
      </c>
    </row>
    <row r="1038" spans="1:8" ht="21.75" customHeight="1" x14ac:dyDescent="0.35">
      <c r="A1038" t="s">
        <v>1183</v>
      </c>
      <c r="B1038" s="3">
        <v>45607</v>
      </c>
      <c r="C1038" t="s">
        <v>572</v>
      </c>
      <c r="D1038" t="s">
        <v>72</v>
      </c>
      <c r="E1038" t="s">
        <v>17</v>
      </c>
      <c r="F1038" t="s">
        <v>12</v>
      </c>
      <c r="G1038" t="s">
        <v>28</v>
      </c>
      <c r="H1038">
        <v>12</v>
      </c>
    </row>
    <row r="1039" spans="1:8" ht="21.75" customHeight="1" x14ac:dyDescent="0.35">
      <c r="A1039" t="s">
        <v>1184</v>
      </c>
      <c r="B1039" s="3">
        <v>45297</v>
      </c>
      <c r="C1039" t="s">
        <v>541</v>
      </c>
      <c r="D1039" t="s">
        <v>26</v>
      </c>
      <c r="E1039" t="s">
        <v>11</v>
      </c>
      <c r="F1039" t="s">
        <v>42</v>
      </c>
      <c r="G1039" t="s">
        <v>36</v>
      </c>
      <c r="H1039">
        <v>3</v>
      </c>
    </row>
    <row r="1040" spans="1:8" ht="21.75" customHeight="1" x14ac:dyDescent="0.35">
      <c r="A1040" t="s">
        <v>1185</v>
      </c>
      <c r="B1040" s="3">
        <v>45573</v>
      </c>
      <c r="C1040" t="s">
        <v>187</v>
      </c>
      <c r="D1040" t="s">
        <v>41</v>
      </c>
      <c r="E1040" t="s">
        <v>11</v>
      </c>
      <c r="F1040" t="s">
        <v>12</v>
      </c>
      <c r="G1040" t="s">
        <v>36</v>
      </c>
      <c r="H1040">
        <v>11</v>
      </c>
    </row>
    <row r="1041" spans="1:8" ht="21.75" customHeight="1" x14ac:dyDescent="0.35">
      <c r="A1041" t="s">
        <v>1186</v>
      </c>
      <c r="B1041" s="3">
        <v>45607</v>
      </c>
      <c r="C1041" t="s">
        <v>64</v>
      </c>
      <c r="D1041" t="s">
        <v>72</v>
      </c>
      <c r="E1041" t="s">
        <v>11</v>
      </c>
      <c r="F1041" t="s">
        <v>56</v>
      </c>
      <c r="G1041" t="s">
        <v>23</v>
      </c>
      <c r="H1041">
        <v>11</v>
      </c>
    </row>
    <row r="1042" spans="1:8" ht="21.75" customHeight="1" x14ac:dyDescent="0.35">
      <c r="A1042" t="s">
        <v>1187</v>
      </c>
      <c r="B1042" s="3">
        <v>45534</v>
      </c>
      <c r="C1042" t="s">
        <v>122</v>
      </c>
      <c r="D1042" t="s">
        <v>35</v>
      </c>
      <c r="E1042" t="s">
        <v>22</v>
      </c>
      <c r="F1042" t="s">
        <v>56</v>
      </c>
      <c r="G1042" t="s">
        <v>36</v>
      </c>
      <c r="H1042">
        <v>5</v>
      </c>
    </row>
    <row r="1043" spans="1:8" ht="21.75" customHeight="1" x14ac:dyDescent="0.35">
      <c r="A1043" t="s">
        <v>1188</v>
      </c>
      <c r="B1043" s="3">
        <v>45463</v>
      </c>
      <c r="C1043" t="s">
        <v>319</v>
      </c>
      <c r="D1043" t="s">
        <v>160</v>
      </c>
      <c r="E1043" t="s">
        <v>17</v>
      </c>
      <c r="F1043" t="s">
        <v>12</v>
      </c>
      <c r="G1043" t="s">
        <v>32</v>
      </c>
      <c r="H1043">
        <v>10</v>
      </c>
    </row>
    <row r="1044" spans="1:8" ht="21.75" customHeight="1" x14ac:dyDescent="0.35">
      <c r="A1044" t="s">
        <v>1189</v>
      </c>
      <c r="B1044" s="3">
        <v>45576</v>
      </c>
      <c r="C1044" t="s">
        <v>312</v>
      </c>
      <c r="D1044" t="s">
        <v>59</v>
      </c>
      <c r="E1044" t="s">
        <v>11</v>
      </c>
      <c r="F1044" t="s">
        <v>56</v>
      </c>
      <c r="G1044" t="s">
        <v>32</v>
      </c>
      <c r="H1044">
        <v>11</v>
      </c>
    </row>
    <row r="1045" spans="1:8" ht="21.75" customHeight="1" x14ac:dyDescent="0.35">
      <c r="A1045" t="s">
        <v>1190</v>
      </c>
      <c r="B1045" s="3">
        <v>45325</v>
      </c>
      <c r="C1045" t="s">
        <v>125</v>
      </c>
      <c r="D1045" t="s">
        <v>72</v>
      </c>
      <c r="E1045" t="s">
        <v>17</v>
      </c>
      <c r="F1045" t="s">
        <v>12</v>
      </c>
      <c r="G1045" t="s">
        <v>28</v>
      </c>
      <c r="H1045">
        <v>13</v>
      </c>
    </row>
    <row r="1046" spans="1:8" ht="21.75" customHeight="1" x14ac:dyDescent="0.35">
      <c r="A1046" t="s">
        <v>1191</v>
      </c>
      <c r="B1046" s="3">
        <v>45584</v>
      </c>
      <c r="C1046" t="s">
        <v>493</v>
      </c>
      <c r="D1046" t="s">
        <v>109</v>
      </c>
      <c r="E1046" t="s">
        <v>17</v>
      </c>
      <c r="F1046" t="s">
        <v>56</v>
      </c>
      <c r="G1046" t="s">
        <v>32</v>
      </c>
      <c r="H1046">
        <v>4</v>
      </c>
    </row>
    <row r="1047" spans="1:8" ht="21.75" customHeight="1" x14ac:dyDescent="0.35">
      <c r="A1047" t="s">
        <v>1192</v>
      </c>
      <c r="B1047" s="3">
        <v>45653</v>
      </c>
      <c r="C1047" t="s">
        <v>38</v>
      </c>
      <c r="D1047" t="s">
        <v>26</v>
      </c>
      <c r="E1047" t="s">
        <v>22</v>
      </c>
      <c r="F1047" t="s">
        <v>12</v>
      </c>
      <c r="G1047" t="s">
        <v>28</v>
      </c>
      <c r="H1047">
        <v>14</v>
      </c>
    </row>
    <row r="1048" spans="1:8" ht="21.75" customHeight="1" x14ac:dyDescent="0.35">
      <c r="A1048" t="s">
        <v>1193</v>
      </c>
      <c r="B1048" s="3">
        <v>45482</v>
      </c>
      <c r="C1048" t="s">
        <v>430</v>
      </c>
      <c r="D1048" t="s">
        <v>160</v>
      </c>
      <c r="E1048" t="s">
        <v>17</v>
      </c>
      <c r="F1048" t="s">
        <v>56</v>
      </c>
      <c r="G1048" t="s">
        <v>32</v>
      </c>
      <c r="H1048">
        <v>10</v>
      </c>
    </row>
    <row r="1049" spans="1:8" ht="21.75" customHeight="1" x14ac:dyDescent="0.35">
      <c r="A1049" t="s">
        <v>1194</v>
      </c>
      <c r="B1049" s="3">
        <v>45311</v>
      </c>
      <c r="C1049" t="s">
        <v>420</v>
      </c>
      <c r="D1049" t="s">
        <v>70</v>
      </c>
      <c r="E1049" t="s">
        <v>11</v>
      </c>
      <c r="F1049" t="s">
        <v>12</v>
      </c>
      <c r="G1049" t="s">
        <v>23</v>
      </c>
      <c r="H1049">
        <v>17</v>
      </c>
    </row>
    <row r="1050" spans="1:8" ht="21.75" customHeight="1" x14ac:dyDescent="0.35">
      <c r="A1050" t="s">
        <v>1195</v>
      </c>
      <c r="B1050" s="3">
        <v>45548</v>
      </c>
      <c r="C1050" t="s">
        <v>125</v>
      </c>
      <c r="D1050" t="s">
        <v>35</v>
      </c>
      <c r="E1050" t="s">
        <v>11</v>
      </c>
      <c r="F1050" t="s">
        <v>42</v>
      </c>
      <c r="G1050" t="s">
        <v>32</v>
      </c>
      <c r="H1050">
        <v>17</v>
      </c>
    </row>
    <row r="1051" spans="1:8" ht="21.75" customHeight="1" x14ac:dyDescent="0.35">
      <c r="A1051" t="s">
        <v>1196</v>
      </c>
      <c r="B1051" s="3">
        <v>45365</v>
      </c>
      <c r="C1051" t="s">
        <v>337</v>
      </c>
      <c r="D1051" t="s">
        <v>41</v>
      </c>
      <c r="E1051" t="s">
        <v>11</v>
      </c>
      <c r="F1051" t="s">
        <v>306</v>
      </c>
      <c r="G1051" t="s">
        <v>13</v>
      </c>
      <c r="H1051">
        <v>5</v>
      </c>
    </row>
    <row r="1052" spans="1:8" ht="21.75" customHeight="1" x14ac:dyDescent="0.35">
      <c r="A1052" t="s">
        <v>1197</v>
      </c>
      <c r="B1052" s="3">
        <v>45527</v>
      </c>
      <c r="C1052" t="s">
        <v>53</v>
      </c>
      <c r="D1052" t="s">
        <v>102</v>
      </c>
      <c r="E1052" t="s">
        <v>22</v>
      </c>
      <c r="F1052" t="s">
        <v>306</v>
      </c>
      <c r="G1052" t="s">
        <v>13</v>
      </c>
      <c r="H1052">
        <v>1</v>
      </c>
    </row>
    <row r="1053" spans="1:8" ht="21.75" customHeight="1" x14ac:dyDescent="0.35">
      <c r="A1053" t="s">
        <v>1198</v>
      </c>
      <c r="B1053" s="3">
        <v>45643</v>
      </c>
      <c r="C1053" t="s">
        <v>327</v>
      </c>
      <c r="D1053" t="s">
        <v>70</v>
      </c>
      <c r="E1053" t="s">
        <v>11</v>
      </c>
      <c r="F1053" t="s">
        <v>42</v>
      </c>
      <c r="G1053" t="s">
        <v>32</v>
      </c>
      <c r="H1053">
        <v>2</v>
      </c>
    </row>
    <row r="1054" spans="1:8" ht="21.75" customHeight="1" x14ac:dyDescent="0.35">
      <c r="A1054" t="s">
        <v>1199</v>
      </c>
      <c r="B1054" s="3">
        <v>45303</v>
      </c>
      <c r="C1054" t="s">
        <v>314</v>
      </c>
      <c r="D1054" t="s">
        <v>72</v>
      </c>
      <c r="E1054" t="s">
        <v>17</v>
      </c>
      <c r="F1054" t="s">
        <v>56</v>
      </c>
      <c r="G1054" t="s">
        <v>32</v>
      </c>
      <c r="H1054">
        <v>7</v>
      </c>
    </row>
    <row r="1055" spans="1:8" ht="21.75" customHeight="1" x14ac:dyDescent="0.35">
      <c r="A1055" t="s">
        <v>1200</v>
      </c>
      <c r="B1055" s="3">
        <v>45564</v>
      </c>
      <c r="C1055" t="s">
        <v>38</v>
      </c>
      <c r="D1055" t="s">
        <v>26</v>
      </c>
      <c r="E1055" t="s">
        <v>17</v>
      </c>
      <c r="F1055" t="s">
        <v>12</v>
      </c>
      <c r="G1055" t="s">
        <v>13</v>
      </c>
      <c r="H1055">
        <v>5</v>
      </c>
    </row>
    <row r="1056" spans="1:8" ht="21.75" customHeight="1" x14ac:dyDescent="0.35">
      <c r="A1056" t="s">
        <v>1201</v>
      </c>
      <c r="B1056" s="3">
        <v>45299</v>
      </c>
      <c r="C1056" t="s">
        <v>381</v>
      </c>
      <c r="D1056" t="s">
        <v>102</v>
      </c>
      <c r="E1056" t="s">
        <v>22</v>
      </c>
      <c r="F1056" t="s">
        <v>306</v>
      </c>
      <c r="G1056" t="s">
        <v>36</v>
      </c>
      <c r="H1056">
        <v>7</v>
      </c>
    </row>
    <row r="1057" spans="1:8" ht="21.75" customHeight="1" x14ac:dyDescent="0.35">
      <c r="A1057" t="s">
        <v>1202</v>
      </c>
      <c r="B1057" s="3">
        <v>45455</v>
      </c>
      <c r="C1057" t="s">
        <v>101</v>
      </c>
      <c r="D1057" t="s">
        <v>59</v>
      </c>
      <c r="E1057" t="s">
        <v>11</v>
      </c>
      <c r="F1057" t="s">
        <v>42</v>
      </c>
      <c r="G1057" t="s">
        <v>32</v>
      </c>
      <c r="H1057">
        <v>8</v>
      </c>
    </row>
    <row r="1058" spans="1:8" ht="21.75" customHeight="1" x14ac:dyDescent="0.35">
      <c r="A1058" t="s">
        <v>1203</v>
      </c>
      <c r="B1058" s="3">
        <v>45605</v>
      </c>
      <c r="C1058" t="s">
        <v>47</v>
      </c>
      <c r="D1058" t="s">
        <v>79</v>
      </c>
      <c r="E1058" t="s">
        <v>22</v>
      </c>
      <c r="F1058" t="s">
        <v>27</v>
      </c>
      <c r="G1058" t="s">
        <v>13</v>
      </c>
      <c r="H1058">
        <v>5</v>
      </c>
    </row>
    <row r="1059" spans="1:8" ht="21.75" customHeight="1" x14ac:dyDescent="0.35">
      <c r="A1059" t="s">
        <v>1204</v>
      </c>
      <c r="B1059" s="3">
        <v>45346</v>
      </c>
      <c r="C1059" t="s">
        <v>53</v>
      </c>
      <c r="D1059" t="s">
        <v>87</v>
      </c>
      <c r="E1059" t="s">
        <v>11</v>
      </c>
      <c r="F1059" t="s">
        <v>12</v>
      </c>
      <c r="G1059" t="s">
        <v>36</v>
      </c>
      <c r="H1059">
        <v>13</v>
      </c>
    </row>
    <row r="1060" spans="1:8" ht="21.75" customHeight="1" x14ac:dyDescent="0.35">
      <c r="A1060" t="s">
        <v>1205</v>
      </c>
      <c r="B1060" s="3">
        <v>45595</v>
      </c>
      <c r="C1060" t="s">
        <v>451</v>
      </c>
      <c r="D1060" t="s">
        <v>109</v>
      </c>
      <c r="E1060" t="s">
        <v>22</v>
      </c>
      <c r="F1060" t="s">
        <v>27</v>
      </c>
      <c r="G1060" t="s">
        <v>28</v>
      </c>
      <c r="H1060">
        <v>12</v>
      </c>
    </row>
    <row r="1061" spans="1:8" ht="21.75" customHeight="1" x14ac:dyDescent="0.35">
      <c r="A1061" t="s">
        <v>1206</v>
      </c>
      <c r="B1061" s="3">
        <v>45635</v>
      </c>
      <c r="C1061" t="s">
        <v>312</v>
      </c>
      <c r="D1061" t="s">
        <v>59</v>
      </c>
      <c r="E1061" t="s">
        <v>11</v>
      </c>
      <c r="F1061" t="s">
        <v>27</v>
      </c>
      <c r="G1061" t="s">
        <v>23</v>
      </c>
      <c r="H1061">
        <v>5</v>
      </c>
    </row>
    <row r="1062" spans="1:8" ht="21.75" customHeight="1" x14ac:dyDescent="0.35">
      <c r="A1062" t="s">
        <v>1207</v>
      </c>
      <c r="B1062" s="3">
        <v>45341</v>
      </c>
      <c r="C1062" t="s">
        <v>366</v>
      </c>
      <c r="D1062" t="s">
        <v>35</v>
      </c>
      <c r="E1062" t="s">
        <v>17</v>
      </c>
      <c r="F1062" t="s">
        <v>27</v>
      </c>
      <c r="G1062" t="s">
        <v>28</v>
      </c>
      <c r="H1062">
        <v>8</v>
      </c>
    </row>
    <row r="1063" spans="1:8" ht="21.75" customHeight="1" x14ac:dyDescent="0.35">
      <c r="A1063" t="s">
        <v>1208</v>
      </c>
      <c r="B1063" s="3">
        <v>45607</v>
      </c>
      <c r="C1063" t="s">
        <v>86</v>
      </c>
      <c r="D1063" t="s">
        <v>45</v>
      </c>
      <c r="E1063" t="s">
        <v>17</v>
      </c>
      <c r="F1063" t="s">
        <v>27</v>
      </c>
      <c r="G1063" t="s">
        <v>32</v>
      </c>
      <c r="H1063">
        <v>11</v>
      </c>
    </row>
    <row r="1064" spans="1:8" ht="21.75" customHeight="1" x14ac:dyDescent="0.35">
      <c r="A1064" t="s">
        <v>1209</v>
      </c>
      <c r="B1064" s="3">
        <v>45524</v>
      </c>
      <c r="C1064" t="s">
        <v>374</v>
      </c>
      <c r="D1064" t="s">
        <v>35</v>
      </c>
      <c r="E1064" t="s">
        <v>11</v>
      </c>
      <c r="F1064" t="s">
        <v>12</v>
      </c>
      <c r="G1064" t="s">
        <v>23</v>
      </c>
      <c r="H1064">
        <v>4</v>
      </c>
    </row>
    <row r="1065" spans="1:8" ht="21.75" customHeight="1" x14ac:dyDescent="0.35">
      <c r="A1065" t="s">
        <v>1210</v>
      </c>
      <c r="B1065" s="3">
        <v>45379</v>
      </c>
      <c r="C1065" t="s">
        <v>55</v>
      </c>
      <c r="D1065" t="s">
        <v>59</v>
      </c>
      <c r="E1065" t="s">
        <v>17</v>
      </c>
      <c r="F1065" t="s">
        <v>306</v>
      </c>
      <c r="G1065" t="s">
        <v>23</v>
      </c>
      <c r="H1065">
        <v>5</v>
      </c>
    </row>
    <row r="1066" spans="1:8" ht="21.75" customHeight="1" x14ac:dyDescent="0.35">
      <c r="A1066" t="s">
        <v>1211</v>
      </c>
      <c r="B1066" s="3">
        <v>45346</v>
      </c>
      <c r="C1066" t="s">
        <v>187</v>
      </c>
      <c r="D1066" t="s">
        <v>74</v>
      </c>
      <c r="E1066" t="s">
        <v>22</v>
      </c>
      <c r="F1066" t="s">
        <v>12</v>
      </c>
      <c r="G1066" t="s">
        <v>36</v>
      </c>
      <c r="H1066">
        <v>18</v>
      </c>
    </row>
    <row r="1067" spans="1:8" ht="21.75" customHeight="1" x14ac:dyDescent="0.35">
      <c r="A1067" t="s">
        <v>1212</v>
      </c>
      <c r="B1067" s="3">
        <v>45503</v>
      </c>
      <c r="C1067" t="s">
        <v>93</v>
      </c>
      <c r="D1067" t="s">
        <v>174</v>
      </c>
      <c r="E1067" t="s">
        <v>22</v>
      </c>
      <c r="F1067" t="s">
        <v>56</v>
      </c>
      <c r="G1067" t="s">
        <v>23</v>
      </c>
      <c r="H1067">
        <v>6</v>
      </c>
    </row>
    <row r="1068" spans="1:8" ht="21.75" customHeight="1" x14ac:dyDescent="0.35">
      <c r="A1068" t="s">
        <v>1213</v>
      </c>
      <c r="B1068" s="3">
        <v>45325</v>
      </c>
      <c r="C1068" t="s">
        <v>47</v>
      </c>
      <c r="D1068" t="s">
        <v>87</v>
      </c>
      <c r="E1068" t="s">
        <v>11</v>
      </c>
      <c r="F1068" t="s">
        <v>306</v>
      </c>
      <c r="G1068" t="s">
        <v>32</v>
      </c>
      <c r="H1068">
        <v>14</v>
      </c>
    </row>
    <row r="1069" spans="1:8" ht="21.75" customHeight="1" x14ac:dyDescent="0.35">
      <c r="A1069" t="s">
        <v>1214</v>
      </c>
      <c r="B1069" s="3">
        <v>45570</v>
      </c>
      <c r="C1069" t="s">
        <v>465</v>
      </c>
      <c r="D1069" t="s">
        <v>41</v>
      </c>
      <c r="E1069" t="s">
        <v>11</v>
      </c>
      <c r="F1069" t="s">
        <v>56</v>
      </c>
      <c r="G1069" t="s">
        <v>36</v>
      </c>
      <c r="H1069">
        <v>3</v>
      </c>
    </row>
    <row r="1070" spans="1:8" ht="21.75" customHeight="1" x14ac:dyDescent="0.35">
      <c r="A1070" t="s">
        <v>1215</v>
      </c>
      <c r="B1070" s="3">
        <v>45541</v>
      </c>
      <c r="C1070" t="s">
        <v>40</v>
      </c>
      <c r="D1070" t="s">
        <v>70</v>
      </c>
      <c r="E1070" t="s">
        <v>22</v>
      </c>
      <c r="F1070" t="s">
        <v>306</v>
      </c>
      <c r="G1070" t="s">
        <v>23</v>
      </c>
      <c r="H1070">
        <v>11</v>
      </c>
    </row>
    <row r="1071" spans="1:8" ht="21.75" customHeight="1" x14ac:dyDescent="0.35">
      <c r="A1071" t="s">
        <v>1216</v>
      </c>
      <c r="B1071" s="3">
        <v>45382</v>
      </c>
      <c r="C1071" t="s">
        <v>147</v>
      </c>
      <c r="D1071" t="s">
        <v>109</v>
      </c>
      <c r="E1071" t="s">
        <v>17</v>
      </c>
      <c r="F1071" t="s">
        <v>12</v>
      </c>
      <c r="G1071" t="s">
        <v>36</v>
      </c>
      <c r="H1071">
        <v>4</v>
      </c>
    </row>
    <row r="1072" spans="1:8" ht="21.75" customHeight="1" x14ac:dyDescent="0.35">
      <c r="A1072" t="s">
        <v>1217</v>
      </c>
      <c r="B1072" s="3">
        <v>45486</v>
      </c>
      <c r="C1072" t="s">
        <v>187</v>
      </c>
      <c r="D1072" t="s">
        <v>10</v>
      </c>
      <c r="E1072" t="s">
        <v>17</v>
      </c>
      <c r="F1072" t="s">
        <v>12</v>
      </c>
      <c r="G1072" t="s">
        <v>36</v>
      </c>
      <c r="H1072">
        <v>7</v>
      </c>
    </row>
    <row r="1073" spans="1:8" ht="21.75" customHeight="1" x14ac:dyDescent="0.35">
      <c r="A1073" t="s">
        <v>1218</v>
      </c>
      <c r="B1073" s="3">
        <v>45617</v>
      </c>
      <c r="C1073" t="s">
        <v>25</v>
      </c>
      <c r="D1073" t="s">
        <v>70</v>
      </c>
      <c r="E1073" t="s">
        <v>11</v>
      </c>
      <c r="F1073" t="s">
        <v>56</v>
      </c>
      <c r="G1073" t="s">
        <v>36</v>
      </c>
      <c r="H1073">
        <v>18</v>
      </c>
    </row>
    <row r="1074" spans="1:8" ht="21.75" customHeight="1" x14ac:dyDescent="0.35">
      <c r="A1074" t="s">
        <v>1219</v>
      </c>
      <c r="B1074" s="3">
        <v>45587</v>
      </c>
      <c r="C1074" t="s">
        <v>430</v>
      </c>
      <c r="D1074" t="s">
        <v>41</v>
      </c>
      <c r="E1074" t="s">
        <v>11</v>
      </c>
      <c r="F1074" t="s">
        <v>56</v>
      </c>
      <c r="G1074" t="s">
        <v>32</v>
      </c>
      <c r="H1074">
        <v>11</v>
      </c>
    </row>
    <row r="1075" spans="1:8" ht="21.75" customHeight="1" x14ac:dyDescent="0.35">
      <c r="A1075" t="s">
        <v>1220</v>
      </c>
      <c r="B1075" s="3">
        <v>45514</v>
      </c>
      <c r="C1075" t="s">
        <v>436</v>
      </c>
      <c r="D1075" t="s">
        <v>59</v>
      </c>
      <c r="E1075" t="s">
        <v>17</v>
      </c>
      <c r="F1075" t="s">
        <v>12</v>
      </c>
      <c r="G1075" t="s">
        <v>36</v>
      </c>
      <c r="H1075">
        <v>1</v>
      </c>
    </row>
    <row r="1076" spans="1:8" ht="21.75" customHeight="1" x14ac:dyDescent="0.35">
      <c r="A1076" t="s">
        <v>1221</v>
      </c>
      <c r="B1076" s="3">
        <v>45498</v>
      </c>
      <c r="C1076" t="s">
        <v>34</v>
      </c>
      <c r="D1076" t="s">
        <v>48</v>
      </c>
      <c r="E1076" t="s">
        <v>17</v>
      </c>
      <c r="F1076" t="s">
        <v>12</v>
      </c>
      <c r="G1076" t="s">
        <v>13</v>
      </c>
      <c r="H1076">
        <v>18</v>
      </c>
    </row>
    <row r="1077" spans="1:8" ht="21.75" customHeight="1" x14ac:dyDescent="0.35">
      <c r="A1077" t="s">
        <v>1222</v>
      </c>
      <c r="B1077" s="3">
        <v>45652</v>
      </c>
      <c r="C1077" t="s">
        <v>642</v>
      </c>
      <c r="D1077" t="s">
        <v>74</v>
      </c>
      <c r="E1077" t="s">
        <v>17</v>
      </c>
      <c r="F1077" t="s">
        <v>12</v>
      </c>
      <c r="G1077" t="s">
        <v>36</v>
      </c>
      <c r="H1077">
        <v>1</v>
      </c>
    </row>
    <row r="1078" spans="1:8" ht="21.75" customHeight="1" x14ac:dyDescent="0.35">
      <c r="A1078" t="s">
        <v>1223</v>
      </c>
      <c r="B1078" s="3">
        <v>45493</v>
      </c>
      <c r="C1078" t="s">
        <v>451</v>
      </c>
      <c r="D1078" t="s">
        <v>31</v>
      </c>
      <c r="E1078" t="s">
        <v>17</v>
      </c>
      <c r="F1078" t="s">
        <v>27</v>
      </c>
      <c r="G1078" t="s">
        <v>28</v>
      </c>
      <c r="H1078">
        <v>13</v>
      </c>
    </row>
    <row r="1079" spans="1:8" ht="21.75" customHeight="1" x14ac:dyDescent="0.35">
      <c r="A1079" t="s">
        <v>1224</v>
      </c>
      <c r="B1079" s="3">
        <v>45631</v>
      </c>
      <c r="C1079" t="s">
        <v>235</v>
      </c>
      <c r="D1079" t="s">
        <v>65</v>
      </c>
      <c r="E1079" t="s">
        <v>17</v>
      </c>
      <c r="F1079" t="s">
        <v>56</v>
      </c>
      <c r="G1079" t="s">
        <v>32</v>
      </c>
      <c r="H1079">
        <v>18</v>
      </c>
    </row>
    <row r="1080" spans="1:8" ht="21.75" customHeight="1" x14ac:dyDescent="0.35">
      <c r="A1080" t="s">
        <v>1225</v>
      </c>
      <c r="B1080" s="3">
        <v>45505</v>
      </c>
      <c r="C1080" t="s">
        <v>125</v>
      </c>
      <c r="D1080" t="s">
        <v>16</v>
      </c>
      <c r="E1080" t="s">
        <v>17</v>
      </c>
      <c r="F1080" t="s">
        <v>56</v>
      </c>
      <c r="G1080" t="s">
        <v>13</v>
      </c>
      <c r="H1080">
        <v>1</v>
      </c>
    </row>
    <row r="1081" spans="1:8" ht="21.75" customHeight="1" x14ac:dyDescent="0.35">
      <c r="A1081" t="s">
        <v>1226</v>
      </c>
      <c r="B1081" s="3">
        <v>45365</v>
      </c>
      <c r="C1081" t="s">
        <v>329</v>
      </c>
      <c r="D1081" t="s">
        <v>16</v>
      </c>
      <c r="E1081" t="s">
        <v>17</v>
      </c>
      <c r="F1081" t="s">
        <v>27</v>
      </c>
      <c r="G1081" t="s">
        <v>23</v>
      </c>
      <c r="H1081">
        <v>3</v>
      </c>
    </row>
    <row r="1082" spans="1:8" ht="21.75" customHeight="1" x14ac:dyDescent="0.35">
      <c r="A1082" t="s">
        <v>1227</v>
      </c>
      <c r="B1082" s="3">
        <v>45525</v>
      </c>
      <c r="C1082" t="s">
        <v>728</v>
      </c>
      <c r="D1082" t="s">
        <v>87</v>
      </c>
      <c r="E1082" t="s">
        <v>22</v>
      </c>
      <c r="F1082" t="s">
        <v>306</v>
      </c>
      <c r="G1082" t="s">
        <v>36</v>
      </c>
      <c r="H1082">
        <v>20</v>
      </c>
    </row>
    <row r="1083" spans="1:8" ht="21.75" customHeight="1" x14ac:dyDescent="0.35">
      <c r="A1083" t="s">
        <v>1228</v>
      </c>
      <c r="B1083" s="3">
        <v>45509</v>
      </c>
      <c r="C1083" t="s">
        <v>378</v>
      </c>
      <c r="D1083" t="s">
        <v>48</v>
      </c>
      <c r="E1083" t="s">
        <v>17</v>
      </c>
      <c r="F1083" t="s">
        <v>27</v>
      </c>
      <c r="G1083" t="s">
        <v>36</v>
      </c>
      <c r="H1083">
        <v>8</v>
      </c>
    </row>
    <row r="1084" spans="1:8" ht="21.75" customHeight="1" x14ac:dyDescent="0.35">
      <c r="A1084" t="s">
        <v>1229</v>
      </c>
      <c r="B1084" s="3">
        <v>45295</v>
      </c>
      <c r="C1084" t="s">
        <v>314</v>
      </c>
      <c r="D1084" t="s">
        <v>62</v>
      </c>
      <c r="E1084" t="s">
        <v>17</v>
      </c>
      <c r="F1084" t="s">
        <v>56</v>
      </c>
      <c r="G1084" t="s">
        <v>36</v>
      </c>
      <c r="H1084">
        <v>17</v>
      </c>
    </row>
    <row r="1085" spans="1:8" ht="21.75" customHeight="1" x14ac:dyDescent="0.35">
      <c r="A1085" t="s">
        <v>1230</v>
      </c>
      <c r="B1085" s="3">
        <v>45587</v>
      </c>
      <c r="C1085" t="s">
        <v>83</v>
      </c>
      <c r="D1085" t="s">
        <v>59</v>
      </c>
      <c r="E1085" t="s">
        <v>11</v>
      </c>
      <c r="F1085" t="s">
        <v>12</v>
      </c>
      <c r="G1085" t="s">
        <v>13</v>
      </c>
      <c r="H1085">
        <v>16</v>
      </c>
    </row>
    <row r="1086" spans="1:8" ht="21.75" customHeight="1" x14ac:dyDescent="0.35">
      <c r="A1086" t="s">
        <v>1231</v>
      </c>
      <c r="B1086" s="3">
        <v>45589</v>
      </c>
      <c r="C1086" t="s">
        <v>517</v>
      </c>
      <c r="D1086" t="s">
        <v>16</v>
      </c>
      <c r="E1086" t="s">
        <v>22</v>
      </c>
      <c r="F1086" t="s">
        <v>12</v>
      </c>
      <c r="G1086" t="s">
        <v>32</v>
      </c>
      <c r="H1086">
        <v>17</v>
      </c>
    </row>
    <row r="1087" spans="1:8" ht="21.75" customHeight="1" x14ac:dyDescent="0.35">
      <c r="A1087" t="s">
        <v>1232</v>
      </c>
      <c r="B1087" s="3">
        <v>45530</v>
      </c>
      <c r="C1087" t="s">
        <v>363</v>
      </c>
      <c r="D1087" t="s">
        <v>109</v>
      </c>
      <c r="E1087" t="s">
        <v>11</v>
      </c>
      <c r="F1087" t="s">
        <v>306</v>
      </c>
      <c r="G1087" t="s">
        <v>13</v>
      </c>
      <c r="H1087">
        <v>3</v>
      </c>
    </row>
    <row r="1088" spans="1:8" ht="21.75" customHeight="1" x14ac:dyDescent="0.35">
      <c r="A1088" t="s">
        <v>1233</v>
      </c>
      <c r="B1088" s="3">
        <v>45642</v>
      </c>
      <c r="C1088" t="s">
        <v>541</v>
      </c>
      <c r="D1088" t="s">
        <v>74</v>
      </c>
      <c r="E1088" t="s">
        <v>22</v>
      </c>
      <c r="F1088" t="s">
        <v>306</v>
      </c>
      <c r="G1088" t="s">
        <v>32</v>
      </c>
      <c r="H1088">
        <v>20</v>
      </c>
    </row>
    <row r="1089" spans="1:8" ht="21.75" customHeight="1" x14ac:dyDescent="0.35">
      <c r="A1089" t="s">
        <v>1234</v>
      </c>
      <c r="B1089" s="3">
        <v>45565</v>
      </c>
      <c r="C1089" t="s">
        <v>420</v>
      </c>
      <c r="D1089" t="s">
        <v>70</v>
      </c>
      <c r="E1089" t="s">
        <v>11</v>
      </c>
      <c r="F1089" t="s">
        <v>27</v>
      </c>
      <c r="G1089" t="s">
        <v>36</v>
      </c>
      <c r="H1089">
        <v>17</v>
      </c>
    </row>
    <row r="1090" spans="1:8" ht="21.75" customHeight="1" x14ac:dyDescent="0.35">
      <c r="A1090" t="s">
        <v>1235</v>
      </c>
      <c r="B1090" s="3">
        <v>45461</v>
      </c>
      <c r="C1090" t="s">
        <v>572</v>
      </c>
      <c r="D1090" t="s">
        <v>74</v>
      </c>
      <c r="E1090" t="s">
        <v>17</v>
      </c>
      <c r="F1090" t="s">
        <v>42</v>
      </c>
      <c r="G1090" t="s">
        <v>36</v>
      </c>
      <c r="H1090">
        <v>6</v>
      </c>
    </row>
    <row r="1091" spans="1:8" ht="21.75" customHeight="1" x14ac:dyDescent="0.35">
      <c r="A1091" t="s">
        <v>1236</v>
      </c>
      <c r="B1091" s="3">
        <v>45447</v>
      </c>
      <c r="C1091" t="s">
        <v>388</v>
      </c>
      <c r="D1091" t="s">
        <v>79</v>
      </c>
      <c r="E1091" t="s">
        <v>22</v>
      </c>
      <c r="F1091" t="s">
        <v>42</v>
      </c>
      <c r="G1091" t="s">
        <v>36</v>
      </c>
      <c r="H1091">
        <v>16</v>
      </c>
    </row>
    <row r="1092" spans="1:8" ht="21.75" customHeight="1" x14ac:dyDescent="0.35">
      <c r="A1092" t="s">
        <v>1237</v>
      </c>
      <c r="B1092" s="3">
        <v>45318</v>
      </c>
      <c r="C1092" t="s">
        <v>371</v>
      </c>
      <c r="D1092" t="s">
        <v>96</v>
      </c>
      <c r="E1092" t="s">
        <v>17</v>
      </c>
      <c r="F1092" t="s">
        <v>306</v>
      </c>
      <c r="G1092" t="s">
        <v>28</v>
      </c>
      <c r="H1092">
        <v>10</v>
      </c>
    </row>
    <row r="1093" spans="1:8" ht="21.75" customHeight="1" x14ac:dyDescent="0.35">
      <c r="A1093" t="s">
        <v>1238</v>
      </c>
      <c r="B1093" s="3">
        <v>45550</v>
      </c>
      <c r="C1093" t="s">
        <v>208</v>
      </c>
      <c r="D1093" t="s">
        <v>16</v>
      </c>
      <c r="E1093" t="s">
        <v>17</v>
      </c>
      <c r="F1093" t="s">
        <v>42</v>
      </c>
      <c r="G1093" t="s">
        <v>32</v>
      </c>
      <c r="H1093">
        <v>20</v>
      </c>
    </row>
    <row r="1094" spans="1:8" ht="21.75" customHeight="1" x14ac:dyDescent="0.35">
      <c r="A1094" t="s">
        <v>1239</v>
      </c>
      <c r="B1094" s="3">
        <v>45299</v>
      </c>
      <c r="C1094" t="s">
        <v>304</v>
      </c>
      <c r="D1094" t="s">
        <v>45</v>
      </c>
      <c r="E1094" t="s">
        <v>11</v>
      </c>
      <c r="F1094" t="s">
        <v>306</v>
      </c>
      <c r="G1094" t="s">
        <v>23</v>
      </c>
      <c r="H1094">
        <v>19</v>
      </c>
    </row>
    <row r="1095" spans="1:8" ht="21.75" customHeight="1" x14ac:dyDescent="0.35">
      <c r="A1095" t="s">
        <v>1240</v>
      </c>
      <c r="B1095" s="3">
        <v>45481</v>
      </c>
      <c r="C1095" t="s">
        <v>235</v>
      </c>
      <c r="D1095" t="s">
        <v>35</v>
      </c>
      <c r="E1095" t="s">
        <v>17</v>
      </c>
      <c r="F1095" t="s">
        <v>56</v>
      </c>
      <c r="G1095" t="s">
        <v>13</v>
      </c>
      <c r="H1095">
        <v>6</v>
      </c>
    </row>
    <row r="1096" spans="1:8" ht="21.75" customHeight="1" x14ac:dyDescent="0.35">
      <c r="A1096" t="s">
        <v>1241</v>
      </c>
      <c r="B1096" s="3">
        <v>45467</v>
      </c>
      <c r="C1096" t="s">
        <v>81</v>
      </c>
      <c r="D1096" t="s">
        <v>16</v>
      </c>
      <c r="E1096" t="s">
        <v>11</v>
      </c>
      <c r="F1096" t="s">
        <v>306</v>
      </c>
      <c r="G1096" t="s">
        <v>23</v>
      </c>
      <c r="H1096">
        <v>16</v>
      </c>
    </row>
    <row r="1097" spans="1:8" ht="21.75" customHeight="1" x14ac:dyDescent="0.35">
      <c r="A1097" t="s">
        <v>1242</v>
      </c>
      <c r="B1097" s="3">
        <v>45488</v>
      </c>
      <c r="C1097" t="s">
        <v>93</v>
      </c>
      <c r="D1097" t="s">
        <v>84</v>
      </c>
      <c r="E1097" t="s">
        <v>22</v>
      </c>
      <c r="F1097" t="s">
        <v>27</v>
      </c>
      <c r="G1097" t="s">
        <v>32</v>
      </c>
      <c r="H1097">
        <v>6</v>
      </c>
    </row>
    <row r="1098" spans="1:8" ht="21.75" customHeight="1" x14ac:dyDescent="0.35">
      <c r="A1098" t="s">
        <v>1243</v>
      </c>
      <c r="B1098" s="3">
        <v>45319</v>
      </c>
      <c r="C1098" t="s">
        <v>736</v>
      </c>
      <c r="D1098" t="s">
        <v>79</v>
      </c>
      <c r="E1098" t="s">
        <v>17</v>
      </c>
      <c r="F1098" t="s">
        <v>12</v>
      </c>
      <c r="G1098" t="s">
        <v>23</v>
      </c>
      <c r="H1098">
        <v>6</v>
      </c>
    </row>
    <row r="1099" spans="1:8" ht="21.75" customHeight="1" x14ac:dyDescent="0.35">
      <c r="A1099" t="s">
        <v>1244</v>
      </c>
      <c r="B1099" s="3">
        <v>45446</v>
      </c>
      <c r="C1099" t="s">
        <v>553</v>
      </c>
      <c r="D1099" t="s">
        <v>197</v>
      </c>
      <c r="E1099" t="s">
        <v>22</v>
      </c>
      <c r="F1099" t="s">
        <v>306</v>
      </c>
      <c r="G1099" t="s">
        <v>23</v>
      </c>
      <c r="H1099">
        <v>13</v>
      </c>
    </row>
    <row r="1100" spans="1:8" ht="21.75" customHeight="1" x14ac:dyDescent="0.35">
      <c r="A1100" t="s">
        <v>1245</v>
      </c>
      <c r="B1100" s="3">
        <v>45534</v>
      </c>
      <c r="C1100" t="s">
        <v>86</v>
      </c>
      <c r="D1100" t="s">
        <v>87</v>
      </c>
      <c r="E1100" t="s">
        <v>11</v>
      </c>
      <c r="F1100" t="s">
        <v>306</v>
      </c>
      <c r="G1100" t="s">
        <v>23</v>
      </c>
      <c r="H1100">
        <v>1</v>
      </c>
    </row>
    <row r="1101" spans="1:8" ht="21.75" customHeight="1" x14ac:dyDescent="0.35">
      <c r="A1101" t="s">
        <v>1246</v>
      </c>
      <c r="B1101" s="3">
        <v>45487</v>
      </c>
      <c r="C1101" t="s">
        <v>422</v>
      </c>
      <c r="D1101" t="s">
        <v>41</v>
      </c>
      <c r="E1101" t="s">
        <v>17</v>
      </c>
      <c r="F1101" t="s">
        <v>306</v>
      </c>
      <c r="G1101" t="s">
        <v>36</v>
      </c>
      <c r="H1101">
        <v>2</v>
      </c>
    </row>
    <row r="1102" spans="1:8" ht="21.75" customHeight="1" x14ac:dyDescent="0.35">
      <c r="A1102" t="s">
        <v>1247</v>
      </c>
      <c r="B1102" s="3">
        <v>45618</v>
      </c>
      <c r="C1102" t="s">
        <v>182</v>
      </c>
      <c r="D1102" t="s">
        <v>21</v>
      </c>
      <c r="E1102" t="s">
        <v>17</v>
      </c>
      <c r="F1102" t="s">
        <v>306</v>
      </c>
      <c r="G1102" t="s">
        <v>32</v>
      </c>
      <c r="H1102">
        <v>9</v>
      </c>
    </row>
    <row r="1103" spans="1:8" ht="21.75" customHeight="1" x14ac:dyDescent="0.35">
      <c r="A1103" t="s">
        <v>1248</v>
      </c>
      <c r="B1103" s="3">
        <v>45342</v>
      </c>
      <c r="C1103" t="s">
        <v>230</v>
      </c>
      <c r="D1103" t="s">
        <v>31</v>
      </c>
      <c r="E1103" t="s">
        <v>22</v>
      </c>
      <c r="F1103" t="s">
        <v>306</v>
      </c>
      <c r="G1103" t="s">
        <v>28</v>
      </c>
      <c r="H1103">
        <v>15</v>
      </c>
    </row>
    <row r="1104" spans="1:8" ht="21.75" customHeight="1" x14ac:dyDescent="0.35">
      <c r="A1104" t="s">
        <v>1249</v>
      </c>
      <c r="B1104" s="3">
        <v>45636</v>
      </c>
      <c r="C1104" t="s">
        <v>449</v>
      </c>
      <c r="D1104" t="s">
        <v>72</v>
      </c>
      <c r="E1104" t="s">
        <v>11</v>
      </c>
      <c r="F1104" t="s">
        <v>306</v>
      </c>
      <c r="G1104" t="s">
        <v>13</v>
      </c>
      <c r="H1104">
        <v>6</v>
      </c>
    </row>
    <row r="1105" spans="1:8" ht="21.75" customHeight="1" x14ac:dyDescent="0.35">
      <c r="A1105" t="s">
        <v>1250</v>
      </c>
      <c r="B1105" s="3">
        <v>45636</v>
      </c>
      <c r="C1105" t="s">
        <v>142</v>
      </c>
      <c r="D1105" t="s">
        <v>87</v>
      </c>
      <c r="E1105" t="s">
        <v>11</v>
      </c>
      <c r="F1105" t="s">
        <v>12</v>
      </c>
      <c r="G1105" t="s">
        <v>23</v>
      </c>
      <c r="H1105">
        <v>4</v>
      </c>
    </row>
    <row r="1106" spans="1:8" ht="21.75" customHeight="1" x14ac:dyDescent="0.35">
      <c r="A1106" t="s">
        <v>1251</v>
      </c>
      <c r="B1106" s="3">
        <v>45471</v>
      </c>
      <c r="C1106" t="s">
        <v>240</v>
      </c>
      <c r="D1106" t="s">
        <v>26</v>
      </c>
      <c r="E1106" t="s">
        <v>22</v>
      </c>
      <c r="F1106" t="s">
        <v>42</v>
      </c>
      <c r="G1106" t="s">
        <v>36</v>
      </c>
      <c r="H1106">
        <v>7</v>
      </c>
    </row>
    <row r="1107" spans="1:8" ht="21.75" customHeight="1" x14ac:dyDescent="0.35">
      <c r="A1107" t="s">
        <v>1252</v>
      </c>
      <c r="B1107" s="3">
        <v>45339</v>
      </c>
      <c r="C1107" t="s">
        <v>131</v>
      </c>
      <c r="D1107" t="s">
        <v>109</v>
      </c>
      <c r="E1107" t="s">
        <v>22</v>
      </c>
      <c r="F1107" t="s">
        <v>56</v>
      </c>
      <c r="G1107" t="s">
        <v>13</v>
      </c>
      <c r="H1107">
        <v>4</v>
      </c>
    </row>
    <row r="1108" spans="1:8" ht="21.75" customHeight="1" x14ac:dyDescent="0.35">
      <c r="A1108" t="s">
        <v>1253</v>
      </c>
      <c r="B1108" s="3">
        <v>45336</v>
      </c>
      <c r="C1108" t="s">
        <v>493</v>
      </c>
      <c r="D1108" t="s">
        <v>41</v>
      </c>
      <c r="E1108" t="s">
        <v>11</v>
      </c>
      <c r="F1108" t="s">
        <v>27</v>
      </c>
      <c r="G1108" t="s">
        <v>28</v>
      </c>
      <c r="H1108">
        <v>19</v>
      </c>
    </row>
    <row r="1109" spans="1:8" ht="21.75" customHeight="1" x14ac:dyDescent="0.35">
      <c r="A1109" t="s">
        <v>1254</v>
      </c>
      <c r="B1109" s="3">
        <v>45348</v>
      </c>
      <c r="C1109" t="s">
        <v>424</v>
      </c>
      <c r="D1109" t="s">
        <v>74</v>
      </c>
      <c r="E1109" t="s">
        <v>11</v>
      </c>
      <c r="F1109" t="s">
        <v>42</v>
      </c>
      <c r="G1109" t="s">
        <v>13</v>
      </c>
      <c r="H1109">
        <v>15</v>
      </c>
    </row>
    <row r="1110" spans="1:8" ht="21.75" customHeight="1" x14ac:dyDescent="0.35">
      <c r="A1110" t="s">
        <v>1255</v>
      </c>
      <c r="B1110" s="3">
        <v>45619</v>
      </c>
      <c r="C1110" t="s">
        <v>366</v>
      </c>
      <c r="D1110" t="s">
        <v>62</v>
      </c>
      <c r="E1110" t="s">
        <v>17</v>
      </c>
      <c r="F1110" t="s">
        <v>27</v>
      </c>
      <c r="G1110" t="s">
        <v>13</v>
      </c>
      <c r="H1110">
        <v>11</v>
      </c>
    </row>
    <row r="1111" spans="1:8" ht="21.75" customHeight="1" x14ac:dyDescent="0.35">
      <c r="A1111" t="s">
        <v>1256</v>
      </c>
      <c r="B1111" s="3">
        <v>45433</v>
      </c>
      <c r="C1111" t="s">
        <v>420</v>
      </c>
      <c r="D1111" t="s">
        <v>31</v>
      </c>
      <c r="E1111" t="s">
        <v>11</v>
      </c>
      <c r="F1111" t="s">
        <v>27</v>
      </c>
      <c r="G1111" t="s">
        <v>32</v>
      </c>
      <c r="H1111">
        <v>11</v>
      </c>
    </row>
    <row r="1112" spans="1:8" ht="21.75" customHeight="1" x14ac:dyDescent="0.35">
      <c r="A1112" t="s">
        <v>1257</v>
      </c>
      <c r="B1112" s="3">
        <v>45427</v>
      </c>
      <c r="C1112" t="s">
        <v>235</v>
      </c>
      <c r="D1112" t="s">
        <v>35</v>
      </c>
      <c r="E1112" t="s">
        <v>17</v>
      </c>
      <c r="F1112" t="s">
        <v>12</v>
      </c>
      <c r="G1112" t="s">
        <v>28</v>
      </c>
      <c r="H1112">
        <v>7</v>
      </c>
    </row>
    <row r="1113" spans="1:8" ht="21.75" customHeight="1" x14ac:dyDescent="0.35">
      <c r="A1113" t="s">
        <v>1258</v>
      </c>
      <c r="B1113" s="3">
        <v>45622</v>
      </c>
      <c r="C1113" t="s">
        <v>374</v>
      </c>
      <c r="D1113" t="s">
        <v>174</v>
      </c>
      <c r="E1113" t="s">
        <v>11</v>
      </c>
      <c r="F1113" t="s">
        <v>56</v>
      </c>
      <c r="G1113" t="s">
        <v>13</v>
      </c>
      <c r="H1113">
        <v>14</v>
      </c>
    </row>
    <row r="1114" spans="1:8" ht="21.75" customHeight="1" x14ac:dyDescent="0.35">
      <c r="A1114" t="s">
        <v>1259</v>
      </c>
      <c r="B1114" s="3">
        <v>45518</v>
      </c>
      <c r="C1114" t="s">
        <v>436</v>
      </c>
      <c r="D1114" t="s">
        <v>79</v>
      </c>
      <c r="E1114" t="s">
        <v>17</v>
      </c>
      <c r="F1114" t="s">
        <v>12</v>
      </c>
      <c r="G1114" t="s">
        <v>32</v>
      </c>
      <c r="H1114">
        <v>3</v>
      </c>
    </row>
    <row r="1115" spans="1:8" ht="21.75" customHeight="1" x14ac:dyDescent="0.35">
      <c r="A1115" t="s">
        <v>1260</v>
      </c>
      <c r="B1115" s="3">
        <v>45520</v>
      </c>
      <c r="C1115" t="s">
        <v>138</v>
      </c>
      <c r="D1115" t="s">
        <v>21</v>
      </c>
      <c r="E1115" t="s">
        <v>17</v>
      </c>
      <c r="F1115" t="s">
        <v>56</v>
      </c>
      <c r="G1115" t="s">
        <v>23</v>
      </c>
      <c r="H1115">
        <v>1</v>
      </c>
    </row>
    <row r="1116" spans="1:8" ht="21.75" customHeight="1" x14ac:dyDescent="0.35">
      <c r="A1116" t="s">
        <v>1261</v>
      </c>
      <c r="B1116" s="3">
        <v>45428</v>
      </c>
      <c r="C1116" t="s">
        <v>125</v>
      </c>
      <c r="D1116" t="s">
        <v>31</v>
      </c>
      <c r="E1116" t="s">
        <v>22</v>
      </c>
      <c r="F1116" t="s">
        <v>42</v>
      </c>
      <c r="G1116" t="s">
        <v>23</v>
      </c>
      <c r="H1116">
        <v>19</v>
      </c>
    </row>
    <row r="1117" spans="1:8" ht="21.75" customHeight="1" x14ac:dyDescent="0.35">
      <c r="A1117" t="s">
        <v>1262</v>
      </c>
      <c r="B1117" s="3">
        <v>45536</v>
      </c>
      <c r="C1117" t="s">
        <v>348</v>
      </c>
      <c r="D1117" t="s">
        <v>174</v>
      </c>
      <c r="E1117" t="s">
        <v>17</v>
      </c>
      <c r="F1117" t="s">
        <v>12</v>
      </c>
      <c r="G1117" t="s">
        <v>23</v>
      </c>
      <c r="H1117">
        <v>8</v>
      </c>
    </row>
    <row r="1118" spans="1:8" ht="21.75" customHeight="1" x14ac:dyDescent="0.35">
      <c r="A1118" t="s">
        <v>1263</v>
      </c>
      <c r="B1118" s="3">
        <v>45354</v>
      </c>
      <c r="C1118" t="s">
        <v>614</v>
      </c>
      <c r="D1118" t="s">
        <v>72</v>
      </c>
      <c r="E1118" t="s">
        <v>22</v>
      </c>
      <c r="F1118" t="s">
        <v>42</v>
      </c>
      <c r="G1118" t="s">
        <v>13</v>
      </c>
      <c r="H1118">
        <v>10</v>
      </c>
    </row>
    <row r="1119" spans="1:8" ht="21.75" customHeight="1" x14ac:dyDescent="0.35">
      <c r="A1119" t="s">
        <v>1264</v>
      </c>
      <c r="B1119" s="3">
        <v>45479</v>
      </c>
      <c r="C1119" t="s">
        <v>312</v>
      </c>
      <c r="D1119" t="s">
        <v>70</v>
      </c>
      <c r="E1119" t="s">
        <v>17</v>
      </c>
      <c r="F1119" t="s">
        <v>12</v>
      </c>
      <c r="G1119" t="s">
        <v>28</v>
      </c>
      <c r="H1119">
        <v>10</v>
      </c>
    </row>
    <row r="1120" spans="1:8" ht="21.75" customHeight="1" x14ac:dyDescent="0.35">
      <c r="A1120" t="s">
        <v>1265</v>
      </c>
      <c r="B1120" s="3">
        <v>45575</v>
      </c>
      <c r="C1120" t="s">
        <v>116</v>
      </c>
      <c r="D1120" t="s">
        <v>74</v>
      </c>
      <c r="E1120" t="s">
        <v>17</v>
      </c>
      <c r="F1120" t="s">
        <v>56</v>
      </c>
      <c r="G1120" t="s">
        <v>32</v>
      </c>
      <c r="H1120">
        <v>13</v>
      </c>
    </row>
    <row r="1121" spans="1:8" ht="21.75" customHeight="1" x14ac:dyDescent="0.35">
      <c r="A1121" t="s">
        <v>1266</v>
      </c>
      <c r="B1121" s="3">
        <v>45541</v>
      </c>
      <c r="C1121" t="s">
        <v>81</v>
      </c>
      <c r="D1121" t="s">
        <v>84</v>
      </c>
      <c r="E1121" t="s">
        <v>22</v>
      </c>
      <c r="F1121" t="s">
        <v>27</v>
      </c>
      <c r="G1121" t="s">
        <v>28</v>
      </c>
      <c r="H1121">
        <v>7</v>
      </c>
    </row>
    <row r="1122" spans="1:8" ht="21.75" customHeight="1" x14ac:dyDescent="0.35">
      <c r="A1122" t="s">
        <v>1267</v>
      </c>
      <c r="B1122" s="3">
        <v>45304</v>
      </c>
      <c r="C1122" t="s">
        <v>329</v>
      </c>
      <c r="D1122" t="s">
        <v>35</v>
      </c>
      <c r="E1122" t="s">
        <v>22</v>
      </c>
      <c r="F1122" t="s">
        <v>56</v>
      </c>
      <c r="G1122" t="s">
        <v>36</v>
      </c>
      <c r="H1122">
        <v>13</v>
      </c>
    </row>
    <row r="1123" spans="1:8" ht="21.75" customHeight="1" x14ac:dyDescent="0.35">
      <c r="A1123" t="s">
        <v>1268</v>
      </c>
      <c r="B1123" s="3">
        <v>45621</v>
      </c>
      <c r="C1123" t="s">
        <v>147</v>
      </c>
      <c r="D1123" t="s">
        <v>70</v>
      </c>
      <c r="E1123" t="s">
        <v>17</v>
      </c>
      <c r="F1123" t="s">
        <v>306</v>
      </c>
      <c r="G1123" t="s">
        <v>13</v>
      </c>
      <c r="H1123">
        <v>1</v>
      </c>
    </row>
    <row r="1124" spans="1:8" ht="21.75" customHeight="1" x14ac:dyDescent="0.35">
      <c r="A1124" t="s">
        <v>1269</v>
      </c>
      <c r="B1124" s="3">
        <v>45464</v>
      </c>
      <c r="C1124" t="s">
        <v>728</v>
      </c>
      <c r="D1124" t="s">
        <v>31</v>
      </c>
      <c r="E1124" t="s">
        <v>22</v>
      </c>
      <c r="F1124" t="s">
        <v>12</v>
      </c>
      <c r="G1124" t="s">
        <v>36</v>
      </c>
      <c r="H1124">
        <v>4</v>
      </c>
    </row>
    <row r="1125" spans="1:8" ht="21.75" customHeight="1" x14ac:dyDescent="0.35">
      <c r="A1125" t="s">
        <v>1270</v>
      </c>
      <c r="B1125" s="3">
        <v>45526</v>
      </c>
      <c r="C1125" t="s">
        <v>422</v>
      </c>
      <c r="D1125" t="s">
        <v>84</v>
      </c>
      <c r="E1125" t="s">
        <v>22</v>
      </c>
      <c r="F1125" t="s">
        <v>56</v>
      </c>
      <c r="G1125" t="s">
        <v>13</v>
      </c>
      <c r="H1125">
        <v>19</v>
      </c>
    </row>
    <row r="1126" spans="1:8" ht="21.75" customHeight="1" x14ac:dyDescent="0.35">
      <c r="A1126" t="s">
        <v>1271</v>
      </c>
      <c r="B1126" s="3">
        <v>45310</v>
      </c>
      <c r="C1126" t="s">
        <v>304</v>
      </c>
      <c r="D1126" t="s">
        <v>21</v>
      </c>
      <c r="E1126" t="s">
        <v>11</v>
      </c>
      <c r="F1126" t="s">
        <v>27</v>
      </c>
      <c r="G1126" t="s">
        <v>36</v>
      </c>
      <c r="H1126">
        <v>1</v>
      </c>
    </row>
    <row r="1127" spans="1:8" ht="21.75" customHeight="1" x14ac:dyDescent="0.35">
      <c r="A1127" t="s">
        <v>1272</v>
      </c>
      <c r="B1127" s="3">
        <v>45315</v>
      </c>
      <c r="C1127" t="s">
        <v>78</v>
      </c>
      <c r="D1127" t="s">
        <v>96</v>
      </c>
      <c r="E1127" t="s">
        <v>22</v>
      </c>
      <c r="F1127" t="s">
        <v>56</v>
      </c>
      <c r="G1127" t="s">
        <v>32</v>
      </c>
      <c r="H1127">
        <v>6</v>
      </c>
    </row>
    <row r="1128" spans="1:8" ht="21.75" customHeight="1" x14ac:dyDescent="0.35">
      <c r="A1128" t="s">
        <v>1273</v>
      </c>
      <c r="B1128" s="3">
        <v>45341</v>
      </c>
      <c r="C1128" t="s">
        <v>366</v>
      </c>
      <c r="D1128" t="s">
        <v>59</v>
      </c>
      <c r="E1128" t="s">
        <v>22</v>
      </c>
      <c r="F1128" t="s">
        <v>56</v>
      </c>
      <c r="G1128" t="s">
        <v>13</v>
      </c>
      <c r="H1128">
        <v>3</v>
      </c>
    </row>
    <row r="1129" spans="1:8" ht="21.75" customHeight="1" x14ac:dyDescent="0.35">
      <c r="A1129" t="s">
        <v>1274</v>
      </c>
      <c r="B1129" s="3">
        <v>45350</v>
      </c>
      <c r="C1129" t="s">
        <v>432</v>
      </c>
      <c r="D1129" t="s">
        <v>197</v>
      </c>
      <c r="E1129" t="s">
        <v>22</v>
      </c>
      <c r="F1129" t="s">
        <v>306</v>
      </c>
      <c r="G1129" t="s">
        <v>23</v>
      </c>
      <c r="H1129">
        <v>3</v>
      </c>
    </row>
    <row r="1130" spans="1:8" ht="21.75" customHeight="1" x14ac:dyDescent="0.35">
      <c r="A1130" t="s">
        <v>1275</v>
      </c>
      <c r="B1130" s="3">
        <v>45464</v>
      </c>
      <c r="C1130" t="s">
        <v>304</v>
      </c>
      <c r="D1130" t="s">
        <v>72</v>
      </c>
      <c r="E1130" t="s">
        <v>22</v>
      </c>
      <c r="F1130" t="s">
        <v>27</v>
      </c>
      <c r="G1130" t="s">
        <v>36</v>
      </c>
      <c r="H1130">
        <v>4</v>
      </c>
    </row>
    <row r="1131" spans="1:8" ht="21.75" customHeight="1" x14ac:dyDescent="0.35">
      <c r="A1131" t="s">
        <v>1276</v>
      </c>
      <c r="B1131" s="3">
        <v>45571</v>
      </c>
      <c r="C1131" t="s">
        <v>99</v>
      </c>
      <c r="D1131" t="s">
        <v>119</v>
      </c>
      <c r="E1131" t="s">
        <v>17</v>
      </c>
      <c r="F1131" t="s">
        <v>56</v>
      </c>
      <c r="G1131" t="s">
        <v>32</v>
      </c>
      <c r="H1131">
        <v>2</v>
      </c>
    </row>
    <row r="1132" spans="1:8" ht="21.75" customHeight="1" x14ac:dyDescent="0.35">
      <c r="A1132" t="s">
        <v>1277</v>
      </c>
      <c r="B1132" s="3">
        <v>45324</v>
      </c>
      <c r="C1132" t="s">
        <v>114</v>
      </c>
      <c r="D1132" t="s">
        <v>119</v>
      </c>
      <c r="E1132" t="s">
        <v>17</v>
      </c>
      <c r="F1132" t="s">
        <v>56</v>
      </c>
      <c r="G1132" t="s">
        <v>32</v>
      </c>
      <c r="H1132">
        <v>14</v>
      </c>
    </row>
    <row r="1133" spans="1:8" ht="21.75" customHeight="1" x14ac:dyDescent="0.35">
      <c r="A1133" t="s">
        <v>1278</v>
      </c>
      <c r="B1133" s="3">
        <v>45575</v>
      </c>
      <c r="C1133" t="s">
        <v>30</v>
      </c>
      <c r="D1133" t="s">
        <v>59</v>
      </c>
      <c r="E1133" t="s">
        <v>17</v>
      </c>
      <c r="F1133" t="s">
        <v>56</v>
      </c>
      <c r="G1133" t="s">
        <v>36</v>
      </c>
      <c r="H1133">
        <v>2</v>
      </c>
    </row>
    <row r="1134" spans="1:8" ht="21.75" customHeight="1" x14ac:dyDescent="0.35">
      <c r="A1134" t="s">
        <v>1279</v>
      </c>
      <c r="B1134" s="3">
        <v>45484</v>
      </c>
      <c r="C1134" t="s">
        <v>420</v>
      </c>
      <c r="D1134" t="s">
        <v>35</v>
      </c>
      <c r="E1134" t="s">
        <v>11</v>
      </c>
      <c r="F1134" t="s">
        <v>12</v>
      </c>
      <c r="G1134" t="s">
        <v>28</v>
      </c>
      <c r="H1134">
        <v>3</v>
      </c>
    </row>
    <row r="1135" spans="1:8" ht="21.75" customHeight="1" x14ac:dyDescent="0.35">
      <c r="A1135" t="s">
        <v>1280</v>
      </c>
      <c r="B1135" s="3">
        <v>45337</v>
      </c>
      <c r="C1135" t="s">
        <v>369</v>
      </c>
      <c r="D1135" t="s">
        <v>74</v>
      </c>
      <c r="E1135" t="s">
        <v>22</v>
      </c>
      <c r="F1135" t="s">
        <v>306</v>
      </c>
      <c r="G1135" t="s">
        <v>23</v>
      </c>
      <c r="H1135">
        <v>14</v>
      </c>
    </row>
    <row r="1136" spans="1:8" ht="21.75" customHeight="1" x14ac:dyDescent="0.35">
      <c r="A1136" t="s">
        <v>1281</v>
      </c>
      <c r="B1136" s="3">
        <v>45646</v>
      </c>
      <c r="C1136" t="s">
        <v>34</v>
      </c>
      <c r="D1136" t="s">
        <v>21</v>
      </c>
      <c r="E1136" t="s">
        <v>11</v>
      </c>
      <c r="F1136" t="s">
        <v>56</v>
      </c>
      <c r="G1136" t="s">
        <v>23</v>
      </c>
      <c r="H1136">
        <v>9</v>
      </c>
    </row>
    <row r="1137" spans="1:8" ht="21.75" customHeight="1" x14ac:dyDescent="0.35">
      <c r="A1137" t="s">
        <v>1282</v>
      </c>
      <c r="B1137" s="3">
        <v>45414</v>
      </c>
      <c r="C1137" t="s">
        <v>235</v>
      </c>
      <c r="D1137" t="s">
        <v>109</v>
      </c>
      <c r="E1137" t="s">
        <v>22</v>
      </c>
      <c r="F1137" t="s">
        <v>12</v>
      </c>
      <c r="G1137" t="s">
        <v>36</v>
      </c>
      <c r="H1137">
        <v>6</v>
      </c>
    </row>
    <row r="1138" spans="1:8" ht="21.75" customHeight="1" x14ac:dyDescent="0.35">
      <c r="A1138" t="s">
        <v>1283</v>
      </c>
      <c r="B1138" s="3">
        <v>45337</v>
      </c>
      <c r="C1138" t="s">
        <v>451</v>
      </c>
      <c r="D1138" t="s">
        <v>87</v>
      </c>
      <c r="E1138" t="s">
        <v>17</v>
      </c>
      <c r="F1138" t="s">
        <v>42</v>
      </c>
      <c r="G1138" t="s">
        <v>28</v>
      </c>
      <c r="H1138">
        <v>1</v>
      </c>
    </row>
    <row r="1139" spans="1:8" ht="21.75" customHeight="1" x14ac:dyDescent="0.35">
      <c r="A1139" t="s">
        <v>1284</v>
      </c>
      <c r="B1139" s="3">
        <v>45352</v>
      </c>
      <c r="C1139" t="s">
        <v>339</v>
      </c>
      <c r="D1139" t="s">
        <v>48</v>
      </c>
      <c r="E1139" t="s">
        <v>11</v>
      </c>
      <c r="F1139" t="s">
        <v>306</v>
      </c>
      <c r="G1139" t="s">
        <v>23</v>
      </c>
      <c r="H1139">
        <v>18</v>
      </c>
    </row>
    <row r="1140" spans="1:8" ht="21.75" customHeight="1" x14ac:dyDescent="0.35">
      <c r="A1140" t="s">
        <v>1285</v>
      </c>
      <c r="B1140" s="3">
        <v>45612</v>
      </c>
      <c r="C1140" t="s">
        <v>371</v>
      </c>
      <c r="D1140" t="s">
        <v>79</v>
      </c>
      <c r="E1140" t="s">
        <v>11</v>
      </c>
      <c r="F1140" t="s">
        <v>42</v>
      </c>
      <c r="G1140" t="s">
        <v>28</v>
      </c>
      <c r="H1140">
        <v>7</v>
      </c>
    </row>
    <row r="1141" spans="1:8" ht="21.75" customHeight="1" x14ac:dyDescent="0.35">
      <c r="A1141" t="s">
        <v>1286</v>
      </c>
      <c r="B1141" s="3">
        <v>45642</v>
      </c>
      <c r="C1141" t="s">
        <v>553</v>
      </c>
      <c r="D1141" t="s">
        <v>45</v>
      </c>
      <c r="E1141" t="s">
        <v>17</v>
      </c>
      <c r="F1141" t="s">
        <v>56</v>
      </c>
      <c r="G1141" t="s">
        <v>32</v>
      </c>
      <c r="H1141">
        <v>2</v>
      </c>
    </row>
    <row r="1142" spans="1:8" ht="21.75" customHeight="1" x14ac:dyDescent="0.35">
      <c r="A1142" t="s">
        <v>1287</v>
      </c>
      <c r="B1142" s="3">
        <v>45437</v>
      </c>
      <c r="C1142" t="s">
        <v>95</v>
      </c>
      <c r="D1142" t="s">
        <v>72</v>
      </c>
      <c r="E1142" t="s">
        <v>17</v>
      </c>
      <c r="F1142" t="s">
        <v>42</v>
      </c>
      <c r="G1142" t="s">
        <v>23</v>
      </c>
      <c r="H1142">
        <v>20</v>
      </c>
    </row>
    <row r="1143" spans="1:8" ht="21.75" customHeight="1" x14ac:dyDescent="0.35">
      <c r="A1143" t="s">
        <v>1288</v>
      </c>
      <c r="B1143" s="3">
        <v>45314</v>
      </c>
      <c r="C1143" t="s">
        <v>15</v>
      </c>
      <c r="D1143" t="s">
        <v>174</v>
      </c>
      <c r="E1143" t="s">
        <v>22</v>
      </c>
      <c r="F1143" t="s">
        <v>12</v>
      </c>
      <c r="G1143" t="s">
        <v>13</v>
      </c>
      <c r="H1143">
        <v>6</v>
      </c>
    </row>
    <row r="1144" spans="1:8" ht="21.75" customHeight="1" x14ac:dyDescent="0.35">
      <c r="A1144" t="s">
        <v>1289</v>
      </c>
      <c r="B1144" s="3">
        <v>45540</v>
      </c>
      <c r="C1144" t="s">
        <v>345</v>
      </c>
      <c r="D1144" t="s">
        <v>197</v>
      </c>
      <c r="E1144" t="s">
        <v>11</v>
      </c>
      <c r="F1144" t="s">
        <v>12</v>
      </c>
      <c r="G1144" t="s">
        <v>32</v>
      </c>
      <c r="H1144">
        <v>15</v>
      </c>
    </row>
    <row r="1145" spans="1:8" ht="21.75" customHeight="1" x14ac:dyDescent="0.35">
      <c r="A1145" t="s">
        <v>1290</v>
      </c>
      <c r="B1145" s="3">
        <v>45506</v>
      </c>
      <c r="C1145" t="s">
        <v>104</v>
      </c>
      <c r="D1145" t="s">
        <v>197</v>
      </c>
      <c r="E1145" t="s">
        <v>22</v>
      </c>
      <c r="F1145" t="s">
        <v>42</v>
      </c>
      <c r="G1145" t="s">
        <v>13</v>
      </c>
      <c r="H1145">
        <v>4</v>
      </c>
    </row>
    <row r="1146" spans="1:8" ht="21.75" customHeight="1" x14ac:dyDescent="0.35">
      <c r="A1146" t="s">
        <v>1291</v>
      </c>
      <c r="B1146" s="3">
        <v>45413</v>
      </c>
      <c r="C1146" t="s">
        <v>304</v>
      </c>
      <c r="D1146" t="s">
        <v>31</v>
      </c>
      <c r="E1146" t="s">
        <v>17</v>
      </c>
      <c r="F1146" t="s">
        <v>56</v>
      </c>
      <c r="G1146" t="s">
        <v>36</v>
      </c>
      <c r="H1146">
        <v>8</v>
      </c>
    </row>
    <row r="1147" spans="1:8" ht="21.75" customHeight="1" x14ac:dyDescent="0.35">
      <c r="A1147" t="s">
        <v>1292</v>
      </c>
      <c r="B1147" s="3">
        <v>45540</v>
      </c>
      <c r="C1147" t="s">
        <v>9</v>
      </c>
      <c r="D1147" t="s">
        <v>65</v>
      </c>
      <c r="E1147" t="s">
        <v>17</v>
      </c>
      <c r="F1147" t="s">
        <v>56</v>
      </c>
      <c r="G1147" t="s">
        <v>23</v>
      </c>
      <c r="H1147">
        <v>20</v>
      </c>
    </row>
    <row r="1148" spans="1:8" ht="21.75" customHeight="1" x14ac:dyDescent="0.35">
      <c r="A1148" t="s">
        <v>1293</v>
      </c>
      <c r="B1148" s="3">
        <v>45483</v>
      </c>
      <c r="C1148" t="s">
        <v>99</v>
      </c>
      <c r="D1148" t="s">
        <v>21</v>
      </c>
      <c r="E1148" t="s">
        <v>17</v>
      </c>
      <c r="F1148" t="s">
        <v>56</v>
      </c>
      <c r="G1148" t="s">
        <v>28</v>
      </c>
      <c r="H1148">
        <v>12</v>
      </c>
    </row>
    <row r="1149" spans="1:8" ht="21.75" customHeight="1" x14ac:dyDescent="0.35">
      <c r="A1149" t="s">
        <v>1294</v>
      </c>
      <c r="B1149" s="3">
        <v>45463</v>
      </c>
      <c r="C1149" t="s">
        <v>34</v>
      </c>
      <c r="D1149" t="s">
        <v>79</v>
      </c>
      <c r="E1149" t="s">
        <v>11</v>
      </c>
      <c r="F1149" t="s">
        <v>306</v>
      </c>
      <c r="G1149" t="s">
        <v>23</v>
      </c>
      <c r="H1149">
        <v>9</v>
      </c>
    </row>
    <row r="1150" spans="1:8" ht="21.75" customHeight="1" x14ac:dyDescent="0.35">
      <c r="A1150" t="s">
        <v>1295</v>
      </c>
      <c r="B1150" s="3">
        <v>45526</v>
      </c>
      <c r="C1150" t="s">
        <v>572</v>
      </c>
      <c r="D1150" t="s">
        <v>197</v>
      </c>
      <c r="E1150" t="s">
        <v>11</v>
      </c>
      <c r="F1150" t="s">
        <v>42</v>
      </c>
      <c r="G1150" t="s">
        <v>36</v>
      </c>
      <c r="H1150">
        <v>10</v>
      </c>
    </row>
    <row r="1151" spans="1:8" ht="21.75" customHeight="1" x14ac:dyDescent="0.35">
      <c r="A1151" t="s">
        <v>1296</v>
      </c>
      <c r="B1151" s="3">
        <v>45379</v>
      </c>
      <c r="C1151" t="s">
        <v>314</v>
      </c>
      <c r="D1151" t="s">
        <v>10</v>
      </c>
      <c r="E1151" t="s">
        <v>22</v>
      </c>
      <c r="F1151" t="s">
        <v>56</v>
      </c>
      <c r="G1151" t="s">
        <v>23</v>
      </c>
      <c r="H1151">
        <v>14</v>
      </c>
    </row>
    <row r="1152" spans="1:8" ht="21.75" customHeight="1" x14ac:dyDescent="0.35">
      <c r="A1152" t="s">
        <v>1297</v>
      </c>
      <c r="B1152" s="3">
        <v>45402</v>
      </c>
      <c r="C1152" t="s">
        <v>449</v>
      </c>
      <c r="D1152" t="s">
        <v>26</v>
      </c>
      <c r="E1152" t="s">
        <v>17</v>
      </c>
      <c r="F1152" t="s">
        <v>27</v>
      </c>
      <c r="G1152" t="s">
        <v>28</v>
      </c>
      <c r="H1152">
        <v>1</v>
      </c>
    </row>
    <row r="1153" spans="1:8" ht="21.75" customHeight="1" x14ac:dyDescent="0.35">
      <c r="A1153" t="s">
        <v>1298</v>
      </c>
      <c r="B1153" s="3">
        <v>45418</v>
      </c>
      <c r="C1153" t="s">
        <v>187</v>
      </c>
      <c r="D1153" t="s">
        <v>197</v>
      </c>
      <c r="E1153" t="s">
        <v>17</v>
      </c>
      <c r="F1153" t="s">
        <v>306</v>
      </c>
      <c r="G1153" t="s">
        <v>36</v>
      </c>
      <c r="H1153">
        <v>19</v>
      </c>
    </row>
    <row r="1154" spans="1:8" ht="21.75" customHeight="1" x14ac:dyDescent="0.35">
      <c r="A1154" t="s">
        <v>1299</v>
      </c>
      <c r="B1154" s="3">
        <v>45294</v>
      </c>
      <c r="C1154" t="s">
        <v>572</v>
      </c>
      <c r="D1154" t="s">
        <v>35</v>
      </c>
      <c r="E1154" t="s">
        <v>11</v>
      </c>
      <c r="F1154" t="s">
        <v>12</v>
      </c>
      <c r="G1154" t="s">
        <v>36</v>
      </c>
      <c r="H1154">
        <v>17</v>
      </c>
    </row>
    <row r="1155" spans="1:8" ht="21.75" customHeight="1" x14ac:dyDescent="0.35">
      <c r="A1155" t="s">
        <v>1300</v>
      </c>
      <c r="B1155" s="3">
        <v>45493</v>
      </c>
      <c r="C1155" t="s">
        <v>517</v>
      </c>
      <c r="D1155" t="s">
        <v>70</v>
      </c>
      <c r="E1155" t="s">
        <v>22</v>
      </c>
      <c r="F1155" t="s">
        <v>12</v>
      </c>
      <c r="G1155" t="s">
        <v>36</v>
      </c>
      <c r="H1155">
        <v>16</v>
      </c>
    </row>
    <row r="1156" spans="1:8" ht="21.75" customHeight="1" x14ac:dyDescent="0.35">
      <c r="A1156" t="s">
        <v>1301</v>
      </c>
      <c r="B1156" s="3">
        <v>45298</v>
      </c>
      <c r="C1156" t="s">
        <v>465</v>
      </c>
      <c r="D1156" t="s">
        <v>65</v>
      </c>
      <c r="E1156" t="s">
        <v>22</v>
      </c>
      <c r="F1156" t="s">
        <v>27</v>
      </c>
      <c r="G1156" t="s">
        <v>28</v>
      </c>
      <c r="H1156">
        <v>5</v>
      </c>
    </row>
    <row r="1157" spans="1:8" ht="21.75" customHeight="1" x14ac:dyDescent="0.35">
      <c r="A1157" t="s">
        <v>1302</v>
      </c>
      <c r="B1157" s="3">
        <v>45623</v>
      </c>
      <c r="C1157" t="s">
        <v>203</v>
      </c>
      <c r="D1157" t="s">
        <v>41</v>
      </c>
      <c r="E1157" t="s">
        <v>11</v>
      </c>
      <c r="F1157" t="s">
        <v>27</v>
      </c>
      <c r="G1157" t="s">
        <v>23</v>
      </c>
      <c r="H1157">
        <v>10</v>
      </c>
    </row>
    <row r="1158" spans="1:8" ht="21.75" customHeight="1" x14ac:dyDescent="0.35">
      <c r="A1158" t="s">
        <v>1303</v>
      </c>
      <c r="B1158" s="3">
        <v>45584</v>
      </c>
      <c r="C1158" t="s">
        <v>323</v>
      </c>
      <c r="D1158" t="s">
        <v>70</v>
      </c>
      <c r="E1158" t="s">
        <v>22</v>
      </c>
      <c r="F1158" t="s">
        <v>12</v>
      </c>
      <c r="G1158" t="s">
        <v>23</v>
      </c>
      <c r="H1158">
        <v>15</v>
      </c>
    </row>
    <row r="1159" spans="1:8" ht="21.75" customHeight="1" x14ac:dyDescent="0.35">
      <c r="A1159" t="s">
        <v>1304</v>
      </c>
      <c r="B1159" s="3">
        <v>45386</v>
      </c>
      <c r="C1159" t="s">
        <v>200</v>
      </c>
      <c r="D1159" t="s">
        <v>62</v>
      </c>
      <c r="E1159" t="s">
        <v>22</v>
      </c>
      <c r="F1159" t="s">
        <v>27</v>
      </c>
      <c r="G1159" t="s">
        <v>13</v>
      </c>
      <c r="H1159">
        <v>1</v>
      </c>
    </row>
    <row r="1160" spans="1:8" ht="21.75" customHeight="1" x14ac:dyDescent="0.35">
      <c r="A1160" t="s">
        <v>1305</v>
      </c>
      <c r="B1160" s="3">
        <v>45489</v>
      </c>
      <c r="C1160" t="s">
        <v>465</v>
      </c>
      <c r="D1160" t="s">
        <v>79</v>
      </c>
      <c r="E1160" t="s">
        <v>17</v>
      </c>
      <c r="F1160" t="s">
        <v>306</v>
      </c>
      <c r="G1160" t="s">
        <v>32</v>
      </c>
      <c r="H1160">
        <v>10</v>
      </c>
    </row>
    <row r="1161" spans="1:8" ht="21.75" customHeight="1" x14ac:dyDescent="0.35">
      <c r="A1161" t="s">
        <v>1306</v>
      </c>
      <c r="B1161" s="3">
        <v>45649</v>
      </c>
      <c r="C1161" t="s">
        <v>594</v>
      </c>
      <c r="D1161" t="s">
        <v>65</v>
      </c>
      <c r="E1161" t="s">
        <v>22</v>
      </c>
      <c r="F1161" t="s">
        <v>306</v>
      </c>
      <c r="G1161" t="s">
        <v>32</v>
      </c>
      <c r="H1161">
        <v>3</v>
      </c>
    </row>
    <row r="1162" spans="1:8" ht="21.75" customHeight="1" x14ac:dyDescent="0.35">
      <c r="A1162" t="s">
        <v>1307</v>
      </c>
      <c r="B1162" s="3">
        <v>45320</v>
      </c>
      <c r="C1162" t="s">
        <v>345</v>
      </c>
      <c r="D1162" t="s">
        <v>79</v>
      </c>
      <c r="E1162" t="s">
        <v>22</v>
      </c>
      <c r="F1162" t="s">
        <v>42</v>
      </c>
      <c r="G1162" t="s">
        <v>23</v>
      </c>
      <c r="H1162">
        <v>4</v>
      </c>
    </row>
    <row r="1163" spans="1:8" ht="21.75" customHeight="1" x14ac:dyDescent="0.35">
      <c r="A1163" t="s">
        <v>1308</v>
      </c>
      <c r="B1163" s="3">
        <v>45608</v>
      </c>
      <c r="C1163" t="s">
        <v>116</v>
      </c>
      <c r="D1163" t="s">
        <v>45</v>
      </c>
      <c r="E1163" t="s">
        <v>17</v>
      </c>
      <c r="F1163" t="s">
        <v>42</v>
      </c>
      <c r="G1163" t="s">
        <v>36</v>
      </c>
      <c r="H1163">
        <v>18</v>
      </c>
    </row>
    <row r="1164" spans="1:8" ht="21.75" customHeight="1" x14ac:dyDescent="0.35">
      <c r="A1164" t="s">
        <v>1309</v>
      </c>
      <c r="B1164" s="3">
        <v>45655</v>
      </c>
      <c r="C1164" t="s">
        <v>420</v>
      </c>
      <c r="D1164" t="s">
        <v>72</v>
      </c>
      <c r="E1164" t="s">
        <v>11</v>
      </c>
      <c r="F1164" t="s">
        <v>56</v>
      </c>
      <c r="G1164" t="s">
        <v>23</v>
      </c>
      <c r="H1164">
        <v>8</v>
      </c>
    </row>
    <row r="1165" spans="1:8" ht="21.75" customHeight="1" x14ac:dyDescent="0.35">
      <c r="A1165" t="s">
        <v>1310</v>
      </c>
      <c r="B1165" s="3">
        <v>45589</v>
      </c>
      <c r="C1165" t="s">
        <v>424</v>
      </c>
      <c r="D1165" t="s">
        <v>72</v>
      </c>
      <c r="E1165" t="s">
        <v>11</v>
      </c>
      <c r="F1165" t="s">
        <v>56</v>
      </c>
      <c r="G1165" t="s">
        <v>36</v>
      </c>
      <c r="H1165">
        <v>12</v>
      </c>
    </row>
    <row r="1166" spans="1:8" ht="21.75" customHeight="1" x14ac:dyDescent="0.35">
      <c r="A1166" t="s">
        <v>1311</v>
      </c>
      <c r="B1166" s="3">
        <v>45640</v>
      </c>
      <c r="C1166" t="s">
        <v>309</v>
      </c>
      <c r="D1166" t="s">
        <v>10</v>
      </c>
      <c r="E1166" t="s">
        <v>17</v>
      </c>
      <c r="F1166" t="s">
        <v>12</v>
      </c>
      <c r="G1166" t="s">
        <v>23</v>
      </c>
      <c r="H1166">
        <v>12</v>
      </c>
    </row>
    <row r="1167" spans="1:8" ht="21.75" customHeight="1" x14ac:dyDescent="0.35">
      <c r="A1167" t="s">
        <v>1312</v>
      </c>
      <c r="B1167" s="3">
        <v>45548</v>
      </c>
      <c r="C1167" t="s">
        <v>339</v>
      </c>
      <c r="D1167" t="s">
        <v>62</v>
      </c>
      <c r="E1167" t="s">
        <v>11</v>
      </c>
      <c r="F1167" t="s">
        <v>27</v>
      </c>
      <c r="G1167" t="s">
        <v>36</v>
      </c>
      <c r="H1167">
        <v>18</v>
      </c>
    </row>
    <row r="1168" spans="1:8" ht="21.75" customHeight="1" x14ac:dyDescent="0.35">
      <c r="A1168" t="s">
        <v>1313</v>
      </c>
      <c r="B1168" s="3">
        <v>45441</v>
      </c>
      <c r="C1168" t="s">
        <v>430</v>
      </c>
      <c r="D1168" t="s">
        <v>41</v>
      </c>
      <c r="E1168" t="s">
        <v>22</v>
      </c>
      <c r="F1168" t="s">
        <v>42</v>
      </c>
      <c r="G1168" t="s">
        <v>23</v>
      </c>
      <c r="H1168">
        <v>3</v>
      </c>
    </row>
    <row r="1169" spans="1:8" ht="21.75" customHeight="1" x14ac:dyDescent="0.35">
      <c r="A1169" t="s">
        <v>1314</v>
      </c>
      <c r="B1169" s="3">
        <v>45336</v>
      </c>
      <c r="C1169" t="s">
        <v>81</v>
      </c>
      <c r="D1169" t="s">
        <v>74</v>
      </c>
      <c r="E1169" t="s">
        <v>17</v>
      </c>
      <c r="F1169" t="s">
        <v>56</v>
      </c>
      <c r="G1169" t="s">
        <v>32</v>
      </c>
      <c r="H1169">
        <v>3</v>
      </c>
    </row>
    <row r="1170" spans="1:8" ht="21.75" customHeight="1" x14ac:dyDescent="0.35">
      <c r="A1170" t="s">
        <v>1315</v>
      </c>
      <c r="B1170" s="3">
        <v>45349</v>
      </c>
      <c r="C1170" t="s">
        <v>424</v>
      </c>
      <c r="D1170" t="s">
        <v>16</v>
      </c>
      <c r="E1170" t="s">
        <v>11</v>
      </c>
      <c r="F1170" t="s">
        <v>27</v>
      </c>
      <c r="G1170" t="s">
        <v>13</v>
      </c>
      <c r="H1170">
        <v>7</v>
      </c>
    </row>
    <row r="1171" spans="1:8" ht="21.75" customHeight="1" x14ac:dyDescent="0.35">
      <c r="A1171" t="s">
        <v>1316</v>
      </c>
      <c r="B1171" s="3">
        <v>45442</v>
      </c>
      <c r="C1171" t="s">
        <v>572</v>
      </c>
      <c r="D1171" t="s">
        <v>16</v>
      </c>
      <c r="E1171" t="s">
        <v>22</v>
      </c>
      <c r="F1171" t="s">
        <v>306</v>
      </c>
      <c r="G1171" t="s">
        <v>23</v>
      </c>
      <c r="H1171">
        <v>16</v>
      </c>
    </row>
    <row r="1172" spans="1:8" ht="21.75" customHeight="1" x14ac:dyDescent="0.35">
      <c r="A1172" t="s">
        <v>1317</v>
      </c>
      <c r="B1172" s="3">
        <v>45622</v>
      </c>
      <c r="C1172" t="s">
        <v>138</v>
      </c>
      <c r="D1172" t="s">
        <v>10</v>
      </c>
      <c r="E1172" t="s">
        <v>17</v>
      </c>
      <c r="F1172" t="s">
        <v>56</v>
      </c>
      <c r="G1172" t="s">
        <v>28</v>
      </c>
      <c r="H1172">
        <v>1</v>
      </c>
    </row>
    <row r="1173" spans="1:8" ht="21.75" customHeight="1" x14ac:dyDescent="0.35">
      <c r="A1173" t="s">
        <v>1318</v>
      </c>
      <c r="B1173" s="3">
        <v>45558</v>
      </c>
      <c r="C1173" t="s">
        <v>736</v>
      </c>
      <c r="D1173" t="s">
        <v>59</v>
      </c>
      <c r="E1173" t="s">
        <v>17</v>
      </c>
      <c r="F1173" t="s">
        <v>27</v>
      </c>
      <c r="G1173" t="s">
        <v>32</v>
      </c>
      <c r="H1173">
        <v>11</v>
      </c>
    </row>
    <row r="1174" spans="1:8" ht="21.75" customHeight="1" x14ac:dyDescent="0.35">
      <c r="A1174" t="s">
        <v>1319</v>
      </c>
      <c r="B1174" s="3">
        <v>45540</v>
      </c>
      <c r="C1174" t="s">
        <v>449</v>
      </c>
      <c r="D1174" t="s">
        <v>174</v>
      </c>
      <c r="E1174" t="s">
        <v>22</v>
      </c>
      <c r="F1174" t="s">
        <v>306</v>
      </c>
      <c r="G1174" t="s">
        <v>36</v>
      </c>
      <c r="H1174">
        <v>15</v>
      </c>
    </row>
    <row r="1175" spans="1:8" ht="21.75" customHeight="1" x14ac:dyDescent="0.35">
      <c r="A1175" t="s">
        <v>1320</v>
      </c>
      <c r="B1175" s="3">
        <v>45359</v>
      </c>
      <c r="C1175" t="s">
        <v>147</v>
      </c>
      <c r="D1175" t="s">
        <v>197</v>
      </c>
      <c r="E1175" t="s">
        <v>11</v>
      </c>
      <c r="F1175" t="s">
        <v>42</v>
      </c>
      <c r="G1175" t="s">
        <v>32</v>
      </c>
      <c r="H1175">
        <v>16</v>
      </c>
    </row>
    <row r="1176" spans="1:8" ht="21.75" customHeight="1" x14ac:dyDescent="0.35">
      <c r="A1176" t="s">
        <v>1321</v>
      </c>
      <c r="B1176" s="3">
        <v>45316</v>
      </c>
      <c r="C1176" t="s">
        <v>167</v>
      </c>
      <c r="D1176" t="s">
        <v>70</v>
      </c>
      <c r="E1176" t="s">
        <v>17</v>
      </c>
      <c r="F1176" t="s">
        <v>42</v>
      </c>
      <c r="G1176" t="s">
        <v>28</v>
      </c>
      <c r="H1176">
        <v>6</v>
      </c>
    </row>
    <row r="1177" spans="1:8" ht="21.75" customHeight="1" x14ac:dyDescent="0.35">
      <c r="A1177" t="s">
        <v>1322</v>
      </c>
      <c r="B1177" s="3">
        <v>45656</v>
      </c>
      <c r="C1177" t="s">
        <v>312</v>
      </c>
      <c r="D1177" t="s">
        <v>45</v>
      </c>
      <c r="E1177" t="s">
        <v>17</v>
      </c>
      <c r="F1177" t="s">
        <v>56</v>
      </c>
      <c r="G1177" t="s">
        <v>13</v>
      </c>
      <c r="H1177">
        <v>5</v>
      </c>
    </row>
    <row r="1178" spans="1:8" ht="21.75" customHeight="1" x14ac:dyDescent="0.35">
      <c r="A1178" t="s">
        <v>1323</v>
      </c>
      <c r="B1178" s="3">
        <v>45313</v>
      </c>
      <c r="C1178" t="s">
        <v>38</v>
      </c>
      <c r="D1178" t="s">
        <v>70</v>
      </c>
      <c r="E1178" t="s">
        <v>22</v>
      </c>
      <c r="F1178" t="s">
        <v>56</v>
      </c>
      <c r="G1178" t="s">
        <v>28</v>
      </c>
      <c r="H1178">
        <v>9</v>
      </c>
    </row>
    <row r="1179" spans="1:8" ht="21.75" customHeight="1" x14ac:dyDescent="0.35">
      <c r="A1179" t="s">
        <v>1324</v>
      </c>
      <c r="B1179" s="3">
        <v>45579</v>
      </c>
      <c r="C1179" t="s">
        <v>369</v>
      </c>
      <c r="D1179" t="s">
        <v>48</v>
      </c>
      <c r="E1179" t="s">
        <v>11</v>
      </c>
      <c r="F1179" t="s">
        <v>42</v>
      </c>
      <c r="G1179" t="s">
        <v>36</v>
      </c>
      <c r="H1179">
        <v>5</v>
      </c>
    </row>
    <row r="1180" spans="1:8" ht="21.75" customHeight="1" x14ac:dyDescent="0.35">
      <c r="A1180" t="s">
        <v>1325</v>
      </c>
      <c r="B1180" s="3">
        <v>45375</v>
      </c>
      <c r="C1180" t="s">
        <v>312</v>
      </c>
      <c r="D1180" t="s">
        <v>96</v>
      </c>
      <c r="E1180" t="s">
        <v>17</v>
      </c>
      <c r="F1180" t="s">
        <v>12</v>
      </c>
      <c r="G1180" t="s">
        <v>28</v>
      </c>
      <c r="H1180">
        <v>13</v>
      </c>
    </row>
    <row r="1181" spans="1:8" ht="21.75" customHeight="1" x14ac:dyDescent="0.35">
      <c r="A1181" t="s">
        <v>1326</v>
      </c>
      <c r="B1181" s="3">
        <v>45526</v>
      </c>
      <c r="C1181" t="s">
        <v>38</v>
      </c>
      <c r="D1181" t="s">
        <v>84</v>
      </c>
      <c r="E1181" t="s">
        <v>11</v>
      </c>
      <c r="F1181" t="s">
        <v>12</v>
      </c>
      <c r="G1181" t="s">
        <v>32</v>
      </c>
      <c r="H1181">
        <v>18</v>
      </c>
    </row>
    <row r="1182" spans="1:8" ht="21.75" customHeight="1" x14ac:dyDescent="0.35">
      <c r="A1182" t="s">
        <v>1327</v>
      </c>
      <c r="B1182" s="3">
        <v>45623</v>
      </c>
      <c r="C1182" t="s">
        <v>369</v>
      </c>
      <c r="D1182" t="s">
        <v>74</v>
      </c>
      <c r="E1182" t="s">
        <v>17</v>
      </c>
      <c r="F1182" t="s">
        <v>27</v>
      </c>
      <c r="G1182" t="s">
        <v>36</v>
      </c>
      <c r="H1182">
        <v>19</v>
      </c>
    </row>
    <row r="1183" spans="1:8" ht="21.75" customHeight="1" x14ac:dyDescent="0.35">
      <c r="A1183" t="s">
        <v>1328</v>
      </c>
      <c r="B1183" s="3">
        <v>45518</v>
      </c>
      <c r="C1183" t="s">
        <v>47</v>
      </c>
      <c r="D1183" t="s">
        <v>84</v>
      </c>
      <c r="E1183" t="s">
        <v>22</v>
      </c>
      <c r="F1183" t="s">
        <v>12</v>
      </c>
      <c r="G1183" t="s">
        <v>28</v>
      </c>
      <c r="H1183">
        <v>16</v>
      </c>
    </row>
    <row r="1184" spans="1:8" ht="21.75" customHeight="1" x14ac:dyDescent="0.35">
      <c r="A1184" t="s">
        <v>1329</v>
      </c>
      <c r="B1184" s="3">
        <v>45639</v>
      </c>
      <c r="C1184" t="s">
        <v>378</v>
      </c>
      <c r="D1184" t="s">
        <v>96</v>
      </c>
      <c r="E1184" t="s">
        <v>11</v>
      </c>
      <c r="F1184" t="s">
        <v>42</v>
      </c>
      <c r="G1184" t="s">
        <v>28</v>
      </c>
      <c r="H1184">
        <v>13</v>
      </c>
    </row>
    <row r="1185" spans="1:8" ht="21.75" customHeight="1" x14ac:dyDescent="0.35">
      <c r="A1185" t="s">
        <v>1330</v>
      </c>
      <c r="B1185" s="3">
        <v>45520</v>
      </c>
      <c r="C1185" t="s">
        <v>182</v>
      </c>
      <c r="D1185" t="s">
        <v>79</v>
      </c>
      <c r="E1185" t="s">
        <v>11</v>
      </c>
      <c r="F1185" t="s">
        <v>42</v>
      </c>
      <c r="G1185" t="s">
        <v>36</v>
      </c>
      <c r="H1185">
        <v>20</v>
      </c>
    </row>
    <row r="1186" spans="1:8" ht="21.75" customHeight="1" x14ac:dyDescent="0.35">
      <c r="A1186" t="s">
        <v>1331</v>
      </c>
      <c r="B1186" s="3">
        <v>45561</v>
      </c>
      <c r="C1186" t="s">
        <v>240</v>
      </c>
      <c r="D1186" t="s">
        <v>96</v>
      </c>
      <c r="E1186" t="s">
        <v>17</v>
      </c>
      <c r="F1186" t="s">
        <v>56</v>
      </c>
      <c r="G1186" t="s">
        <v>23</v>
      </c>
      <c r="H1186">
        <v>3</v>
      </c>
    </row>
    <row r="1187" spans="1:8" ht="21.75" customHeight="1" x14ac:dyDescent="0.35">
      <c r="A1187" t="s">
        <v>1332</v>
      </c>
      <c r="B1187" s="3">
        <v>45638</v>
      </c>
      <c r="C1187" t="s">
        <v>317</v>
      </c>
      <c r="D1187" t="s">
        <v>31</v>
      </c>
      <c r="E1187" t="s">
        <v>11</v>
      </c>
      <c r="F1187" t="s">
        <v>306</v>
      </c>
      <c r="G1187" t="s">
        <v>36</v>
      </c>
      <c r="H1187">
        <v>7</v>
      </c>
    </row>
    <row r="1188" spans="1:8" ht="21.75" customHeight="1" x14ac:dyDescent="0.35">
      <c r="A1188" t="s">
        <v>1333</v>
      </c>
      <c r="B1188" s="3">
        <v>45601</v>
      </c>
      <c r="C1188" t="s">
        <v>345</v>
      </c>
      <c r="D1188" t="s">
        <v>31</v>
      </c>
      <c r="E1188" t="s">
        <v>11</v>
      </c>
      <c r="F1188" t="s">
        <v>42</v>
      </c>
      <c r="G1188" t="s">
        <v>23</v>
      </c>
      <c r="H1188">
        <v>5</v>
      </c>
    </row>
    <row r="1189" spans="1:8" ht="21.75" customHeight="1" x14ac:dyDescent="0.35">
      <c r="A1189" t="s">
        <v>1334</v>
      </c>
      <c r="B1189" s="3">
        <v>45481</v>
      </c>
      <c r="C1189" t="s">
        <v>53</v>
      </c>
      <c r="D1189" t="s">
        <v>74</v>
      </c>
      <c r="E1189" t="s">
        <v>17</v>
      </c>
      <c r="F1189" t="s">
        <v>12</v>
      </c>
      <c r="G1189" t="s">
        <v>23</v>
      </c>
      <c r="H1189">
        <v>12</v>
      </c>
    </row>
    <row r="1190" spans="1:8" ht="21.75" customHeight="1" x14ac:dyDescent="0.35">
      <c r="A1190" t="s">
        <v>1335</v>
      </c>
      <c r="B1190" s="3">
        <v>45579</v>
      </c>
      <c r="C1190" t="s">
        <v>203</v>
      </c>
      <c r="D1190" t="s">
        <v>84</v>
      </c>
      <c r="E1190" t="s">
        <v>11</v>
      </c>
      <c r="F1190" t="s">
        <v>27</v>
      </c>
      <c r="G1190" t="s">
        <v>32</v>
      </c>
      <c r="H1190">
        <v>14</v>
      </c>
    </row>
    <row r="1191" spans="1:8" ht="21.75" customHeight="1" x14ac:dyDescent="0.35">
      <c r="A1191" t="s">
        <v>1336</v>
      </c>
      <c r="B1191" s="3">
        <v>45375</v>
      </c>
      <c r="C1191" t="s">
        <v>388</v>
      </c>
      <c r="D1191" t="s">
        <v>16</v>
      </c>
      <c r="E1191" t="s">
        <v>17</v>
      </c>
      <c r="F1191" t="s">
        <v>27</v>
      </c>
      <c r="G1191" t="s">
        <v>28</v>
      </c>
      <c r="H1191">
        <v>19</v>
      </c>
    </row>
    <row r="1192" spans="1:8" ht="21.75" customHeight="1" x14ac:dyDescent="0.35">
      <c r="A1192" t="s">
        <v>1337</v>
      </c>
      <c r="B1192" s="3">
        <v>45398</v>
      </c>
      <c r="C1192" t="s">
        <v>68</v>
      </c>
      <c r="D1192" t="s">
        <v>72</v>
      </c>
      <c r="E1192" t="s">
        <v>17</v>
      </c>
      <c r="F1192" t="s">
        <v>306</v>
      </c>
      <c r="G1192" t="s">
        <v>36</v>
      </c>
      <c r="H1192">
        <v>3</v>
      </c>
    </row>
    <row r="1193" spans="1:8" ht="21.75" customHeight="1" x14ac:dyDescent="0.35">
      <c r="A1193" t="s">
        <v>1338</v>
      </c>
      <c r="B1193" s="3">
        <v>45484</v>
      </c>
      <c r="C1193" t="s">
        <v>203</v>
      </c>
      <c r="D1193" t="s">
        <v>21</v>
      </c>
      <c r="E1193" t="s">
        <v>11</v>
      </c>
      <c r="F1193" t="s">
        <v>27</v>
      </c>
      <c r="G1193" t="s">
        <v>36</v>
      </c>
      <c r="H1193">
        <v>9</v>
      </c>
    </row>
    <row r="1194" spans="1:8" ht="21.75" customHeight="1" x14ac:dyDescent="0.35">
      <c r="A1194" t="s">
        <v>1339</v>
      </c>
      <c r="B1194" s="3">
        <v>45528</v>
      </c>
      <c r="C1194" t="s">
        <v>369</v>
      </c>
      <c r="D1194" t="s">
        <v>65</v>
      </c>
      <c r="E1194" t="s">
        <v>22</v>
      </c>
      <c r="F1194" t="s">
        <v>56</v>
      </c>
      <c r="G1194" t="s">
        <v>32</v>
      </c>
      <c r="H1194">
        <v>6</v>
      </c>
    </row>
    <row r="1195" spans="1:8" ht="21.75" customHeight="1" x14ac:dyDescent="0.35">
      <c r="A1195" t="s">
        <v>1340</v>
      </c>
      <c r="B1195" s="3">
        <v>45575</v>
      </c>
      <c r="C1195" t="s">
        <v>374</v>
      </c>
      <c r="D1195" t="s">
        <v>59</v>
      </c>
      <c r="E1195" t="s">
        <v>11</v>
      </c>
      <c r="F1195" t="s">
        <v>42</v>
      </c>
      <c r="G1195" t="s">
        <v>23</v>
      </c>
      <c r="H1195">
        <v>10</v>
      </c>
    </row>
    <row r="1196" spans="1:8" ht="21.75" customHeight="1" x14ac:dyDescent="0.35">
      <c r="A1196" t="s">
        <v>1341</v>
      </c>
      <c r="B1196" s="3">
        <v>45406</v>
      </c>
      <c r="C1196" t="s">
        <v>64</v>
      </c>
      <c r="D1196" t="s">
        <v>26</v>
      </c>
      <c r="E1196" t="s">
        <v>11</v>
      </c>
      <c r="F1196" t="s">
        <v>56</v>
      </c>
      <c r="G1196" t="s">
        <v>23</v>
      </c>
      <c r="H1196">
        <v>10</v>
      </c>
    </row>
    <row r="1197" spans="1:8" ht="21.75" customHeight="1" x14ac:dyDescent="0.35">
      <c r="A1197" t="s">
        <v>1342</v>
      </c>
      <c r="B1197" s="3">
        <v>45355</v>
      </c>
      <c r="C1197" t="s">
        <v>350</v>
      </c>
      <c r="D1197" t="s">
        <v>87</v>
      </c>
      <c r="E1197" t="s">
        <v>22</v>
      </c>
      <c r="F1197" t="s">
        <v>42</v>
      </c>
      <c r="G1197" t="s">
        <v>28</v>
      </c>
      <c r="H1197">
        <v>6</v>
      </c>
    </row>
    <row r="1198" spans="1:8" ht="21.75" customHeight="1" x14ac:dyDescent="0.35">
      <c r="A1198" t="s">
        <v>1343</v>
      </c>
      <c r="B1198" s="3">
        <v>45306</v>
      </c>
      <c r="C1198" t="s">
        <v>114</v>
      </c>
      <c r="D1198" t="s">
        <v>10</v>
      </c>
      <c r="E1198" t="s">
        <v>17</v>
      </c>
      <c r="F1198" t="s">
        <v>27</v>
      </c>
      <c r="G1198" t="s">
        <v>36</v>
      </c>
      <c r="H1198">
        <v>20</v>
      </c>
    </row>
    <row r="1199" spans="1:8" ht="21.75" customHeight="1" x14ac:dyDescent="0.35">
      <c r="A1199" t="s">
        <v>1344</v>
      </c>
      <c r="B1199" s="3">
        <v>45538</v>
      </c>
      <c r="C1199" t="s">
        <v>614</v>
      </c>
      <c r="D1199" t="s">
        <v>21</v>
      </c>
      <c r="E1199" t="s">
        <v>17</v>
      </c>
      <c r="F1199" t="s">
        <v>42</v>
      </c>
      <c r="G1199" t="s">
        <v>13</v>
      </c>
      <c r="H1199">
        <v>16</v>
      </c>
    </row>
    <row r="1200" spans="1:8" ht="21.75" customHeight="1" x14ac:dyDescent="0.35">
      <c r="A1200" t="s">
        <v>1345</v>
      </c>
      <c r="B1200" s="3">
        <v>45483</v>
      </c>
      <c r="C1200" t="s">
        <v>345</v>
      </c>
      <c r="D1200" t="s">
        <v>96</v>
      </c>
      <c r="E1200" t="s">
        <v>22</v>
      </c>
      <c r="F1200" t="s">
        <v>306</v>
      </c>
      <c r="G1200" t="s">
        <v>13</v>
      </c>
      <c r="H1200">
        <v>9</v>
      </c>
    </row>
    <row r="1201" spans="1:8" ht="21.75" customHeight="1" x14ac:dyDescent="0.35">
      <c r="A1201" t="s">
        <v>1346</v>
      </c>
      <c r="B1201" s="3">
        <v>45366</v>
      </c>
      <c r="C1201" t="s">
        <v>38</v>
      </c>
      <c r="D1201" t="s">
        <v>48</v>
      </c>
      <c r="E1201" t="s">
        <v>17</v>
      </c>
      <c r="F1201" t="s">
        <v>56</v>
      </c>
      <c r="G1201" t="s">
        <v>32</v>
      </c>
      <c r="H1201">
        <v>6</v>
      </c>
    </row>
    <row r="1202" spans="1:8" ht="21.75" customHeight="1" x14ac:dyDescent="0.35">
      <c r="A1202" t="s">
        <v>1347</v>
      </c>
      <c r="B1202" s="3">
        <v>45506</v>
      </c>
      <c r="C1202" t="s">
        <v>541</v>
      </c>
      <c r="D1202" t="s">
        <v>74</v>
      </c>
      <c r="E1202" t="s">
        <v>17</v>
      </c>
      <c r="F1202" t="s">
        <v>12</v>
      </c>
      <c r="G1202" t="s">
        <v>13</v>
      </c>
      <c r="H1202">
        <v>10</v>
      </c>
    </row>
    <row r="1203" spans="1:8" ht="21.75" customHeight="1" x14ac:dyDescent="0.35">
      <c r="A1203" t="s">
        <v>1348</v>
      </c>
      <c r="B1203" s="3">
        <v>45555</v>
      </c>
      <c r="C1203" t="s">
        <v>150</v>
      </c>
      <c r="D1203" t="s">
        <v>119</v>
      </c>
      <c r="E1203" t="s">
        <v>22</v>
      </c>
      <c r="F1203" t="s">
        <v>56</v>
      </c>
      <c r="G1203" t="s">
        <v>28</v>
      </c>
      <c r="H1203">
        <v>4</v>
      </c>
    </row>
    <row r="1204" spans="1:8" ht="21.75" customHeight="1" x14ac:dyDescent="0.35">
      <c r="A1204" t="s">
        <v>1349</v>
      </c>
      <c r="B1204" s="3">
        <v>45570</v>
      </c>
      <c r="C1204" t="s">
        <v>187</v>
      </c>
      <c r="D1204" t="s">
        <v>26</v>
      </c>
      <c r="E1204" t="s">
        <v>17</v>
      </c>
      <c r="F1204" t="s">
        <v>42</v>
      </c>
      <c r="G1204" t="s">
        <v>36</v>
      </c>
      <c r="H1204">
        <v>12</v>
      </c>
    </row>
    <row r="1205" spans="1:8" ht="21.75" customHeight="1" x14ac:dyDescent="0.35">
      <c r="A1205" t="s">
        <v>1350</v>
      </c>
      <c r="B1205" s="3">
        <v>45472</v>
      </c>
      <c r="C1205" t="s">
        <v>167</v>
      </c>
      <c r="D1205" t="s">
        <v>160</v>
      </c>
      <c r="E1205" t="s">
        <v>11</v>
      </c>
      <c r="F1205" t="s">
        <v>56</v>
      </c>
      <c r="G1205" t="s">
        <v>23</v>
      </c>
      <c r="H1205">
        <v>10</v>
      </c>
    </row>
    <row r="1206" spans="1:8" ht="21.75" customHeight="1" x14ac:dyDescent="0.35">
      <c r="A1206" t="s">
        <v>1351</v>
      </c>
      <c r="B1206" s="3">
        <v>45502</v>
      </c>
      <c r="C1206" t="s">
        <v>47</v>
      </c>
      <c r="D1206" t="s">
        <v>65</v>
      </c>
      <c r="E1206" t="s">
        <v>11</v>
      </c>
      <c r="F1206" t="s">
        <v>12</v>
      </c>
      <c r="G1206" t="s">
        <v>28</v>
      </c>
      <c r="H1206">
        <v>5</v>
      </c>
    </row>
    <row r="1207" spans="1:8" ht="21.75" customHeight="1" x14ac:dyDescent="0.35">
      <c r="A1207" t="s">
        <v>1352</v>
      </c>
      <c r="B1207" s="3">
        <v>45578</v>
      </c>
      <c r="C1207" t="s">
        <v>594</v>
      </c>
      <c r="D1207" t="s">
        <v>174</v>
      </c>
      <c r="E1207" t="s">
        <v>22</v>
      </c>
      <c r="F1207" t="s">
        <v>306</v>
      </c>
      <c r="G1207" t="s">
        <v>13</v>
      </c>
      <c r="H1207">
        <v>18</v>
      </c>
    </row>
    <row r="1208" spans="1:8" ht="21.75" customHeight="1" x14ac:dyDescent="0.35">
      <c r="A1208" t="s">
        <v>1353</v>
      </c>
      <c r="B1208" s="3">
        <v>45505</v>
      </c>
      <c r="C1208" t="s">
        <v>366</v>
      </c>
      <c r="D1208" t="s">
        <v>16</v>
      </c>
      <c r="E1208" t="s">
        <v>11</v>
      </c>
      <c r="F1208" t="s">
        <v>12</v>
      </c>
      <c r="G1208" t="s">
        <v>32</v>
      </c>
      <c r="H1208">
        <v>1</v>
      </c>
    </row>
    <row r="1209" spans="1:8" ht="21.75" customHeight="1" x14ac:dyDescent="0.35">
      <c r="A1209" t="s">
        <v>1354</v>
      </c>
      <c r="B1209" s="3">
        <v>45645</v>
      </c>
      <c r="C1209" t="s">
        <v>83</v>
      </c>
      <c r="D1209" t="s">
        <v>109</v>
      </c>
      <c r="E1209" t="s">
        <v>11</v>
      </c>
      <c r="F1209" t="s">
        <v>27</v>
      </c>
      <c r="G1209" t="s">
        <v>32</v>
      </c>
      <c r="H1209">
        <v>17</v>
      </c>
    </row>
    <row r="1210" spans="1:8" ht="21.75" customHeight="1" x14ac:dyDescent="0.35">
      <c r="A1210" t="s">
        <v>1355</v>
      </c>
      <c r="B1210" s="3">
        <v>45380</v>
      </c>
      <c r="C1210" t="s">
        <v>369</v>
      </c>
      <c r="D1210" t="s">
        <v>84</v>
      </c>
      <c r="E1210" t="s">
        <v>17</v>
      </c>
      <c r="F1210" t="s">
        <v>12</v>
      </c>
      <c r="G1210" t="s">
        <v>28</v>
      </c>
      <c r="H1210">
        <v>4</v>
      </c>
    </row>
    <row r="1211" spans="1:8" ht="21.75" customHeight="1" x14ac:dyDescent="0.35">
      <c r="A1211" t="s">
        <v>1356</v>
      </c>
      <c r="B1211" s="3">
        <v>45644</v>
      </c>
      <c r="C1211" t="s">
        <v>51</v>
      </c>
      <c r="D1211" t="s">
        <v>65</v>
      </c>
      <c r="E1211" t="s">
        <v>17</v>
      </c>
      <c r="F1211" t="s">
        <v>56</v>
      </c>
      <c r="G1211" t="s">
        <v>23</v>
      </c>
      <c r="H1211">
        <v>5</v>
      </c>
    </row>
    <row r="1212" spans="1:8" ht="21.75" customHeight="1" x14ac:dyDescent="0.35">
      <c r="A1212" t="s">
        <v>1357</v>
      </c>
      <c r="B1212" s="3">
        <v>45645</v>
      </c>
      <c r="C1212" t="s">
        <v>332</v>
      </c>
      <c r="D1212" t="s">
        <v>96</v>
      </c>
      <c r="E1212" t="s">
        <v>11</v>
      </c>
      <c r="F1212" t="s">
        <v>12</v>
      </c>
      <c r="G1212" t="s">
        <v>13</v>
      </c>
      <c r="H1212">
        <v>16</v>
      </c>
    </row>
    <row r="1213" spans="1:8" ht="21.75" customHeight="1" x14ac:dyDescent="0.35">
      <c r="A1213" t="s">
        <v>1358</v>
      </c>
      <c r="B1213" s="3">
        <v>45392</v>
      </c>
      <c r="C1213" t="s">
        <v>15</v>
      </c>
      <c r="D1213" t="s">
        <v>59</v>
      </c>
      <c r="E1213" t="s">
        <v>11</v>
      </c>
      <c r="F1213" t="s">
        <v>306</v>
      </c>
      <c r="G1213" t="s">
        <v>32</v>
      </c>
      <c r="H1213">
        <v>2</v>
      </c>
    </row>
    <row r="1214" spans="1:8" ht="21.75" customHeight="1" x14ac:dyDescent="0.35">
      <c r="A1214" t="s">
        <v>1359</v>
      </c>
      <c r="B1214" s="3">
        <v>45314</v>
      </c>
      <c r="C1214" t="s">
        <v>58</v>
      </c>
      <c r="D1214" t="s">
        <v>119</v>
      </c>
      <c r="E1214" t="s">
        <v>17</v>
      </c>
      <c r="F1214" t="s">
        <v>12</v>
      </c>
      <c r="G1214" t="s">
        <v>36</v>
      </c>
      <c r="H1214">
        <v>4</v>
      </c>
    </row>
    <row r="1215" spans="1:8" ht="21.75" customHeight="1" x14ac:dyDescent="0.35">
      <c r="A1215" t="s">
        <v>1360</v>
      </c>
      <c r="B1215" s="3">
        <v>45397</v>
      </c>
      <c r="C1215" t="s">
        <v>449</v>
      </c>
      <c r="D1215" t="s">
        <v>41</v>
      </c>
      <c r="E1215" t="s">
        <v>11</v>
      </c>
      <c r="F1215" t="s">
        <v>56</v>
      </c>
      <c r="G1215" t="s">
        <v>28</v>
      </c>
      <c r="H1215">
        <v>12</v>
      </c>
    </row>
    <row r="1216" spans="1:8" ht="21.75" customHeight="1" x14ac:dyDescent="0.35">
      <c r="A1216" t="s">
        <v>1361</v>
      </c>
      <c r="B1216" s="3">
        <v>45434</v>
      </c>
      <c r="C1216" t="s">
        <v>361</v>
      </c>
      <c r="D1216" t="s">
        <v>45</v>
      </c>
      <c r="E1216" t="s">
        <v>17</v>
      </c>
      <c r="F1216" t="s">
        <v>42</v>
      </c>
      <c r="G1216" t="s">
        <v>36</v>
      </c>
      <c r="H1216">
        <v>17</v>
      </c>
    </row>
    <row r="1217" spans="1:8" ht="21.75" customHeight="1" x14ac:dyDescent="0.35">
      <c r="A1217" t="s">
        <v>1362</v>
      </c>
      <c r="B1217" s="3">
        <v>45415</v>
      </c>
      <c r="C1217" t="s">
        <v>358</v>
      </c>
      <c r="D1217" t="s">
        <v>102</v>
      </c>
      <c r="E1217" t="s">
        <v>22</v>
      </c>
      <c r="F1217" t="s">
        <v>12</v>
      </c>
      <c r="G1217" t="s">
        <v>36</v>
      </c>
      <c r="H1217">
        <v>19</v>
      </c>
    </row>
    <row r="1218" spans="1:8" ht="21.75" customHeight="1" x14ac:dyDescent="0.35">
      <c r="A1218" t="s">
        <v>1363</v>
      </c>
      <c r="B1218" s="3">
        <v>45403</v>
      </c>
      <c r="C1218" t="s">
        <v>436</v>
      </c>
      <c r="D1218" t="s">
        <v>45</v>
      </c>
      <c r="E1218" t="s">
        <v>11</v>
      </c>
      <c r="F1218" t="s">
        <v>42</v>
      </c>
      <c r="G1218" t="s">
        <v>13</v>
      </c>
      <c r="H1218">
        <v>18</v>
      </c>
    </row>
    <row r="1219" spans="1:8" ht="21.75" customHeight="1" x14ac:dyDescent="0.35">
      <c r="A1219" t="s">
        <v>1364</v>
      </c>
      <c r="B1219" s="3">
        <v>45401</v>
      </c>
      <c r="C1219" t="s">
        <v>358</v>
      </c>
      <c r="D1219" t="s">
        <v>48</v>
      </c>
      <c r="E1219" t="s">
        <v>22</v>
      </c>
      <c r="F1219" t="s">
        <v>27</v>
      </c>
      <c r="G1219" t="s">
        <v>13</v>
      </c>
      <c r="H1219">
        <v>19</v>
      </c>
    </row>
    <row r="1220" spans="1:8" ht="21.75" customHeight="1" x14ac:dyDescent="0.35">
      <c r="A1220" t="s">
        <v>1365</v>
      </c>
      <c r="B1220" s="3">
        <v>45384</v>
      </c>
      <c r="C1220" t="s">
        <v>182</v>
      </c>
      <c r="D1220" t="s">
        <v>65</v>
      </c>
      <c r="E1220" t="s">
        <v>17</v>
      </c>
      <c r="F1220" t="s">
        <v>27</v>
      </c>
      <c r="G1220" t="s">
        <v>13</v>
      </c>
      <c r="H1220">
        <v>17</v>
      </c>
    </row>
    <row r="1221" spans="1:8" ht="21.75" customHeight="1" x14ac:dyDescent="0.35">
      <c r="A1221" t="s">
        <v>1366</v>
      </c>
      <c r="B1221" s="3">
        <v>45452</v>
      </c>
      <c r="C1221" t="s">
        <v>114</v>
      </c>
      <c r="D1221" t="s">
        <v>160</v>
      </c>
      <c r="E1221" t="s">
        <v>17</v>
      </c>
      <c r="F1221" t="s">
        <v>12</v>
      </c>
      <c r="G1221" t="s">
        <v>32</v>
      </c>
      <c r="H1221">
        <v>5</v>
      </c>
    </row>
    <row r="1222" spans="1:8" ht="21.75" customHeight="1" x14ac:dyDescent="0.35">
      <c r="A1222" t="s">
        <v>1367</v>
      </c>
      <c r="B1222" s="3">
        <v>45652</v>
      </c>
      <c r="C1222" t="s">
        <v>55</v>
      </c>
      <c r="D1222" t="s">
        <v>10</v>
      </c>
      <c r="E1222" t="s">
        <v>22</v>
      </c>
      <c r="F1222" t="s">
        <v>12</v>
      </c>
      <c r="G1222" t="s">
        <v>23</v>
      </c>
      <c r="H1222">
        <v>11</v>
      </c>
    </row>
    <row r="1223" spans="1:8" ht="21.75" customHeight="1" x14ac:dyDescent="0.35">
      <c r="A1223" t="s">
        <v>1368</v>
      </c>
      <c r="B1223" s="3">
        <v>45437</v>
      </c>
      <c r="C1223" t="s">
        <v>366</v>
      </c>
      <c r="D1223" t="s">
        <v>41</v>
      </c>
      <c r="E1223" t="s">
        <v>22</v>
      </c>
      <c r="F1223" t="s">
        <v>42</v>
      </c>
      <c r="G1223" t="s">
        <v>23</v>
      </c>
      <c r="H1223">
        <v>15</v>
      </c>
    </row>
    <row r="1224" spans="1:8" ht="21.75" customHeight="1" x14ac:dyDescent="0.35">
      <c r="A1224" t="s">
        <v>1369</v>
      </c>
      <c r="B1224" s="3">
        <v>45440</v>
      </c>
      <c r="C1224" t="s">
        <v>309</v>
      </c>
      <c r="D1224" t="s">
        <v>35</v>
      </c>
      <c r="E1224" t="s">
        <v>11</v>
      </c>
      <c r="F1224" t="s">
        <v>12</v>
      </c>
      <c r="G1224" t="s">
        <v>23</v>
      </c>
      <c r="H1224">
        <v>12</v>
      </c>
    </row>
    <row r="1225" spans="1:8" ht="21.75" customHeight="1" x14ac:dyDescent="0.35">
      <c r="A1225" t="s">
        <v>1370</v>
      </c>
      <c r="B1225" s="3">
        <v>45636</v>
      </c>
      <c r="C1225" t="s">
        <v>15</v>
      </c>
      <c r="D1225" t="s">
        <v>160</v>
      </c>
      <c r="E1225" t="s">
        <v>17</v>
      </c>
      <c r="F1225" t="s">
        <v>27</v>
      </c>
      <c r="G1225" t="s">
        <v>23</v>
      </c>
      <c r="H1225">
        <v>3</v>
      </c>
    </row>
    <row r="1226" spans="1:8" ht="21.75" customHeight="1" x14ac:dyDescent="0.35">
      <c r="A1226" t="s">
        <v>1371</v>
      </c>
      <c r="B1226" s="3">
        <v>45497</v>
      </c>
      <c r="C1226" t="s">
        <v>465</v>
      </c>
      <c r="D1226" t="s">
        <v>84</v>
      </c>
      <c r="E1226" t="s">
        <v>22</v>
      </c>
      <c r="F1226" t="s">
        <v>12</v>
      </c>
      <c r="G1226" t="s">
        <v>28</v>
      </c>
      <c r="H1226">
        <v>6</v>
      </c>
    </row>
    <row r="1227" spans="1:8" ht="21.75" customHeight="1" x14ac:dyDescent="0.35">
      <c r="A1227" t="s">
        <v>1372</v>
      </c>
      <c r="B1227" s="3">
        <v>45465</v>
      </c>
      <c r="C1227" t="s">
        <v>104</v>
      </c>
      <c r="D1227" t="s">
        <v>102</v>
      </c>
      <c r="E1227" t="s">
        <v>22</v>
      </c>
      <c r="F1227" t="s">
        <v>27</v>
      </c>
      <c r="G1227" t="s">
        <v>23</v>
      </c>
      <c r="H1227">
        <v>8</v>
      </c>
    </row>
    <row r="1228" spans="1:8" ht="21.75" customHeight="1" x14ac:dyDescent="0.35">
      <c r="A1228" t="s">
        <v>1373</v>
      </c>
      <c r="B1228" s="3">
        <v>45434</v>
      </c>
      <c r="C1228" t="s">
        <v>332</v>
      </c>
      <c r="D1228" t="s">
        <v>59</v>
      </c>
      <c r="E1228" t="s">
        <v>22</v>
      </c>
      <c r="F1228" t="s">
        <v>306</v>
      </c>
      <c r="G1228" t="s">
        <v>23</v>
      </c>
      <c r="H1228">
        <v>9</v>
      </c>
    </row>
    <row r="1229" spans="1:8" ht="21.75" customHeight="1" x14ac:dyDescent="0.35">
      <c r="A1229" t="s">
        <v>1374</v>
      </c>
      <c r="B1229" s="3">
        <v>45474</v>
      </c>
      <c r="C1229" t="s">
        <v>553</v>
      </c>
      <c r="D1229" t="s">
        <v>31</v>
      </c>
      <c r="E1229" t="s">
        <v>22</v>
      </c>
      <c r="F1229" t="s">
        <v>306</v>
      </c>
      <c r="G1229" t="s">
        <v>28</v>
      </c>
      <c r="H1229">
        <v>16</v>
      </c>
    </row>
    <row r="1230" spans="1:8" ht="21.75" customHeight="1" x14ac:dyDescent="0.35">
      <c r="A1230" t="s">
        <v>1375</v>
      </c>
      <c r="B1230" s="3">
        <v>45524</v>
      </c>
      <c r="C1230" t="s">
        <v>15</v>
      </c>
      <c r="D1230" t="s">
        <v>35</v>
      </c>
      <c r="E1230" t="s">
        <v>11</v>
      </c>
      <c r="F1230" t="s">
        <v>42</v>
      </c>
      <c r="G1230" t="s">
        <v>28</v>
      </c>
      <c r="H1230">
        <v>16</v>
      </c>
    </row>
    <row r="1231" spans="1:8" ht="21.75" customHeight="1" x14ac:dyDescent="0.35">
      <c r="A1231" t="s">
        <v>1376</v>
      </c>
      <c r="B1231" s="3">
        <v>45307</v>
      </c>
      <c r="C1231" t="s">
        <v>108</v>
      </c>
      <c r="D1231" t="s">
        <v>10</v>
      </c>
      <c r="E1231" t="s">
        <v>22</v>
      </c>
      <c r="F1231" t="s">
        <v>12</v>
      </c>
      <c r="G1231" t="s">
        <v>28</v>
      </c>
      <c r="H1231">
        <v>16</v>
      </c>
    </row>
    <row r="1232" spans="1:8" ht="21.75" customHeight="1" x14ac:dyDescent="0.35">
      <c r="A1232" t="s">
        <v>1377</v>
      </c>
      <c r="B1232" s="3">
        <v>45487</v>
      </c>
      <c r="C1232" t="s">
        <v>493</v>
      </c>
      <c r="D1232" t="s">
        <v>16</v>
      </c>
      <c r="E1232" t="s">
        <v>22</v>
      </c>
      <c r="F1232" t="s">
        <v>42</v>
      </c>
      <c r="G1232" t="s">
        <v>13</v>
      </c>
      <c r="H1232">
        <v>10</v>
      </c>
    </row>
    <row r="1233" spans="1:8" ht="21.75" customHeight="1" x14ac:dyDescent="0.35">
      <c r="A1233" t="s">
        <v>1378</v>
      </c>
      <c r="B1233" s="3">
        <v>45331</v>
      </c>
      <c r="C1233" t="s">
        <v>371</v>
      </c>
      <c r="D1233" t="s">
        <v>70</v>
      </c>
      <c r="E1233" t="s">
        <v>22</v>
      </c>
      <c r="F1233" t="s">
        <v>27</v>
      </c>
      <c r="G1233" t="s">
        <v>23</v>
      </c>
      <c r="H1233">
        <v>7</v>
      </c>
    </row>
    <row r="1234" spans="1:8" ht="21.75" customHeight="1" x14ac:dyDescent="0.35">
      <c r="A1234" t="s">
        <v>1379</v>
      </c>
      <c r="B1234" s="3">
        <v>45543</v>
      </c>
      <c r="C1234" t="s">
        <v>358</v>
      </c>
      <c r="D1234" t="s">
        <v>72</v>
      </c>
      <c r="E1234" t="s">
        <v>17</v>
      </c>
      <c r="F1234" t="s">
        <v>306</v>
      </c>
      <c r="G1234" t="s">
        <v>13</v>
      </c>
      <c r="H1234">
        <v>18</v>
      </c>
    </row>
    <row r="1235" spans="1:8" ht="21.75" customHeight="1" x14ac:dyDescent="0.35">
      <c r="A1235" t="s">
        <v>1380</v>
      </c>
      <c r="B1235" s="3">
        <v>45512</v>
      </c>
      <c r="C1235" t="s">
        <v>114</v>
      </c>
      <c r="D1235" t="s">
        <v>72</v>
      </c>
      <c r="E1235" t="s">
        <v>17</v>
      </c>
      <c r="F1235" t="s">
        <v>27</v>
      </c>
      <c r="G1235" t="s">
        <v>13</v>
      </c>
      <c r="H1235">
        <v>13</v>
      </c>
    </row>
    <row r="1236" spans="1:8" ht="21.75" customHeight="1" x14ac:dyDescent="0.35">
      <c r="A1236" t="s">
        <v>1381</v>
      </c>
      <c r="B1236" s="3">
        <v>45308</v>
      </c>
      <c r="C1236" t="s">
        <v>235</v>
      </c>
      <c r="D1236" t="s">
        <v>62</v>
      </c>
      <c r="E1236" t="s">
        <v>22</v>
      </c>
      <c r="F1236" t="s">
        <v>42</v>
      </c>
      <c r="G1236" t="s">
        <v>28</v>
      </c>
      <c r="H1236">
        <v>6</v>
      </c>
    </row>
    <row r="1237" spans="1:8" ht="21.75" customHeight="1" x14ac:dyDescent="0.35">
      <c r="A1237" t="s">
        <v>1382</v>
      </c>
      <c r="B1237" s="3">
        <v>45451</v>
      </c>
      <c r="C1237" t="s">
        <v>436</v>
      </c>
      <c r="D1237" t="s">
        <v>119</v>
      </c>
      <c r="E1237" t="s">
        <v>17</v>
      </c>
      <c r="F1237" t="s">
        <v>27</v>
      </c>
      <c r="G1237" t="s">
        <v>23</v>
      </c>
      <c r="H1237">
        <v>4</v>
      </c>
    </row>
    <row r="1238" spans="1:8" ht="21.75" customHeight="1" x14ac:dyDescent="0.35">
      <c r="A1238" t="s">
        <v>1383</v>
      </c>
      <c r="B1238" s="3">
        <v>45629</v>
      </c>
      <c r="C1238" t="s">
        <v>378</v>
      </c>
      <c r="D1238" t="s">
        <v>59</v>
      </c>
      <c r="E1238" t="s">
        <v>22</v>
      </c>
      <c r="F1238" t="s">
        <v>306</v>
      </c>
      <c r="G1238" t="s">
        <v>28</v>
      </c>
      <c r="H1238">
        <v>16</v>
      </c>
    </row>
    <row r="1239" spans="1:8" ht="21.75" customHeight="1" x14ac:dyDescent="0.35">
      <c r="A1239" t="s">
        <v>1384</v>
      </c>
      <c r="B1239" s="3">
        <v>45551</v>
      </c>
      <c r="C1239" t="s">
        <v>131</v>
      </c>
      <c r="D1239" t="s">
        <v>35</v>
      </c>
      <c r="E1239" t="s">
        <v>17</v>
      </c>
      <c r="F1239" t="s">
        <v>42</v>
      </c>
      <c r="G1239" t="s">
        <v>36</v>
      </c>
      <c r="H1239">
        <v>19</v>
      </c>
    </row>
    <row r="1240" spans="1:8" ht="21.75" customHeight="1" x14ac:dyDescent="0.35">
      <c r="A1240" t="s">
        <v>1385</v>
      </c>
      <c r="B1240" s="3">
        <v>45638</v>
      </c>
      <c r="C1240" t="s">
        <v>182</v>
      </c>
      <c r="D1240" t="s">
        <v>79</v>
      </c>
      <c r="E1240" t="s">
        <v>17</v>
      </c>
      <c r="F1240" t="s">
        <v>42</v>
      </c>
      <c r="G1240" t="s">
        <v>28</v>
      </c>
      <c r="H1240">
        <v>1</v>
      </c>
    </row>
    <row r="1241" spans="1:8" ht="21.75" customHeight="1" x14ac:dyDescent="0.35">
      <c r="A1241" t="s">
        <v>1386</v>
      </c>
      <c r="B1241" s="3">
        <v>45479</v>
      </c>
      <c r="C1241" t="s">
        <v>20</v>
      </c>
      <c r="D1241" t="s">
        <v>96</v>
      </c>
      <c r="E1241" t="s">
        <v>22</v>
      </c>
      <c r="F1241" t="s">
        <v>306</v>
      </c>
      <c r="G1241" t="s">
        <v>23</v>
      </c>
      <c r="H1241">
        <v>11</v>
      </c>
    </row>
    <row r="1242" spans="1:8" ht="21.75" customHeight="1" x14ac:dyDescent="0.35">
      <c r="A1242" t="s">
        <v>1387</v>
      </c>
      <c r="B1242" s="3">
        <v>45468</v>
      </c>
      <c r="C1242" t="s">
        <v>182</v>
      </c>
      <c r="D1242" t="s">
        <v>79</v>
      </c>
      <c r="E1242" t="s">
        <v>17</v>
      </c>
      <c r="F1242" t="s">
        <v>42</v>
      </c>
      <c r="G1242" t="s">
        <v>32</v>
      </c>
      <c r="H1242">
        <v>8</v>
      </c>
    </row>
    <row r="1243" spans="1:8" ht="21.75" customHeight="1" x14ac:dyDescent="0.35">
      <c r="A1243" t="s">
        <v>1388</v>
      </c>
      <c r="B1243" s="3">
        <v>45595</v>
      </c>
      <c r="C1243" t="s">
        <v>81</v>
      </c>
      <c r="D1243" t="s">
        <v>74</v>
      </c>
      <c r="E1243" t="s">
        <v>22</v>
      </c>
      <c r="F1243" t="s">
        <v>12</v>
      </c>
      <c r="G1243" t="s">
        <v>13</v>
      </c>
      <c r="H1243">
        <v>4</v>
      </c>
    </row>
    <row r="1244" spans="1:8" ht="21.75" customHeight="1" x14ac:dyDescent="0.35">
      <c r="A1244" t="s">
        <v>1389</v>
      </c>
      <c r="B1244" s="3">
        <v>45567</v>
      </c>
      <c r="C1244" t="s">
        <v>187</v>
      </c>
      <c r="D1244" t="s">
        <v>41</v>
      </c>
      <c r="E1244" t="s">
        <v>11</v>
      </c>
      <c r="F1244" t="s">
        <v>27</v>
      </c>
      <c r="G1244" t="s">
        <v>23</v>
      </c>
      <c r="H1244">
        <v>14</v>
      </c>
    </row>
    <row r="1245" spans="1:8" ht="21.75" customHeight="1" x14ac:dyDescent="0.35">
      <c r="A1245" t="s">
        <v>1390</v>
      </c>
      <c r="B1245" s="3">
        <v>45428</v>
      </c>
      <c r="C1245" t="s">
        <v>138</v>
      </c>
      <c r="D1245" t="s">
        <v>59</v>
      </c>
      <c r="E1245" t="s">
        <v>22</v>
      </c>
      <c r="F1245" t="s">
        <v>27</v>
      </c>
      <c r="G1245" t="s">
        <v>23</v>
      </c>
      <c r="H1245">
        <v>1</v>
      </c>
    </row>
    <row r="1246" spans="1:8" ht="21.75" customHeight="1" x14ac:dyDescent="0.35">
      <c r="A1246" t="s">
        <v>1391</v>
      </c>
      <c r="B1246" s="3">
        <v>45584</v>
      </c>
      <c r="C1246" t="s">
        <v>53</v>
      </c>
      <c r="D1246" t="s">
        <v>102</v>
      </c>
      <c r="E1246" t="s">
        <v>17</v>
      </c>
      <c r="F1246" t="s">
        <v>306</v>
      </c>
      <c r="G1246" t="s">
        <v>28</v>
      </c>
      <c r="H1246">
        <v>16</v>
      </c>
    </row>
    <row r="1247" spans="1:8" ht="21.75" customHeight="1" x14ac:dyDescent="0.35">
      <c r="A1247" t="s">
        <v>1392</v>
      </c>
      <c r="B1247" s="3">
        <v>45464</v>
      </c>
      <c r="C1247" t="s">
        <v>432</v>
      </c>
      <c r="D1247" t="s">
        <v>45</v>
      </c>
      <c r="E1247" t="s">
        <v>22</v>
      </c>
      <c r="F1247" t="s">
        <v>42</v>
      </c>
      <c r="G1247" t="s">
        <v>23</v>
      </c>
      <c r="H1247">
        <v>20</v>
      </c>
    </row>
    <row r="1248" spans="1:8" ht="21.75" customHeight="1" x14ac:dyDescent="0.35">
      <c r="A1248" t="s">
        <v>1393</v>
      </c>
      <c r="B1248" s="3">
        <v>45395</v>
      </c>
      <c r="C1248" t="s">
        <v>432</v>
      </c>
      <c r="D1248" t="s">
        <v>174</v>
      </c>
      <c r="E1248" t="s">
        <v>22</v>
      </c>
      <c r="F1248" t="s">
        <v>12</v>
      </c>
      <c r="G1248" t="s">
        <v>13</v>
      </c>
      <c r="H1248">
        <v>7</v>
      </c>
    </row>
    <row r="1249" spans="1:8" ht="21.75" customHeight="1" x14ac:dyDescent="0.35">
      <c r="A1249" t="s">
        <v>1394</v>
      </c>
      <c r="B1249" s="3">
        <v>45444</v>
      </c>
      <c r="C1249" t="s">
        <v>314</v>
      </c>
      <c r="D1249" t="s">
        <v>109</v>
      </c>
      <c r="E1249" t="s">
        <v>17</v>
      </c>
      <c r="F1249" t="s">
        <v>56</v>
      </c>
      <c r="G1249" t="s">
        <v>36</v>
      </c>
      <c r="H1249">
        <v>3</v>
      </c>
    </row>
    <row r="1250" spans="1:8" ht="21.75" customHeight="1" x14ac:dyDescent="0.35">
      <c r="A1250" t="s">
        <v>1395</v>
      </c>
      <c r="B1250" s="3">
        <v>45340</v>
      </c>
      <c r="C1250" t="s">
        <v>449</v>
      </c>
      <c r="D1250" t="s">
        <v>10</v>
      </c>
      <c r="E1250" t="s">
        <v>17</v>
      </c>
      <c r="F1250" t="s">
        <v>42</v>
      </c>
      <c r="G1250" t="s">
        <v>23</v>
      </c>
      <c r="H1250">
        <v>19</v>
      </c>
    </row>
    <row r="1251" spans="1:8" ht="21.75" customHeight="1" x14ac:dyDescent="0.35">
      <c r="A1251" t="s">
        <v>1396</v>
      </c>
      <c r="B1251" s="3">
        <v>45510</v>
      </c>
      <c r="C1251" t="s">
        <v>95</v>
      </c>
      <c r="D1251" t="s">
        <v>21</v>
      </c>
      <c r="E1251" t="s">
        <v>17</v>
      </c>
      <c r="F1251" t="s">
        <v>12</v>
      </c>
      <c r="G1251" t="s">
        <v>32</v>
      </c>
      <c r="H1251">
        <v>10</v>
      </c>
    </row>
    <row r="1252" spans="1:8" ht="21.75" customHeight="1" x14ac:dyDescent="0.35">
      <c r="A1252" t="s">
        <v>1397</v>
      </c>
      <c r="B1252" s="3">
        <v>45513</v>
      </c>
      <c r="C1252" t="s">
        <v>371</v>
      </c>
      <c r="D1252" t="s">
        <v>65</v>
      </c>
      <c r="E1252" t="s">
        <v>22</v>
      </c>
      <c r="F1252" t="s">
        <v>42</v>
      </c>
      <c r="G1252" t="s">
        <v>36</v>
      </c>
      <c r="H1252">
        <v>14</v>
      </c>
    </row>
    <row r="1253" spans="1:8" ht="21.75" customHeight="1" x14ac:dyDescent="0.35">
      <c r="A1253" t="s">
        <v>1398</v>
      </c>
      <c r="B1253" s="3">
        <v>45555</v>
      </c>
      <c r="C1253" t="s">
        <v>366</v>
      </c>
      <c r="D1253" t="s">
        <v>45</v>
      </c>
      <c r="E1253" t="s">
        <v>22</v>
      </c>
      <c r="F1253" t="s">
        <v>306</v>
      </c>
      <c r="G1253" t="s">
        <v>36</v>
      </c>
      <c r="H1253">
        <v>1</v>
      </c>
    </row>
    <row r="1254" spans="1:8" ht="21.75" customHeight="1" x14ac:dyDescent="0.35">
      <c r="A1254" t="s">
        <v>1399</v>
      </c>
      <c r="B1254" s="3">
        <v>45387</v>
      </c>
      <c r="C1254" t="s">
        <v>314</v>
      </c>
      <c r="D1254" t="s">
        <v>41</v>
      </c>
      <c r="E1254" t="s">
        <v>17</v>
      </c>
      <c r="F1254" t="s">
        <v>56</v>
      </c>
      <c r="G1254" t="s">
        <v>36</v>
      </c>
      <c r="H1254">
        <v>15</v>
      </c>
    </row>
    <row r="1255" spans="1:8" ht="21.75" customHeight="1" x14ac:dyDescent="0.35">
      <c r="A1255" t="s">
        <v>1400</v>
      </c>
      <c r="B1255" s="3">
        <v>45606</v>
      </c>
      <c r="C1255" t="s">
        <v>337</v>
      </c>
      <c r="D1255" t="s">
        <v>84</v>
      </c>
      <c r="E1255" t="s">
        <v>17</v>
      </c>
      <c r="F1255" t="s">
        <v>306</v>
      </c>
      <c r="G1255" t="s">
        <v>32</v>
      </c>
      <c r="H1255">
        <v>2</v>
      </c>
    </row>
    <row r="1256" spans="1:8" ht="21.75" customHeight="1" x14ac:dyDescent="0.35">
      <c r="A1256" t="s">
        <v>1401</v>
      </c>
      <c r="B1256" s="3">
        <v>45528</v>
      </c>
      <c r="C1256" t="s">
        <v>167</v>
      </c>
      <c r="D1256" t="s">
        <v>84</v>
      </c>
      <c r="E1256" t="s">
        <v>11</v>
      </c>
      <c r="F1256" t="s">
        <v>56</v>
      </c>
      <c r="G1256" t="s">
        <v>23</v>
      </c>
      <c r="H1256">
        <v>10</v>
      </c>
    </row>
    <row r="1257" spans="1:8" ht="21.75" customHeight="1" x14ac:dyDescent="0.35">
      <c r="A1257" t="s">
        <v>1402</v>
      </c>
      <c r="B1257" s="3">
        <v>45455</v>
      </c>
      <c r="C1257" t="s">
        <v>58</v>
      </c>
      <c r="D1257" t="s">
        <v>87</v>
      </c>
      <c r="E1257" t="s">
        <v>22</v>
      </c>
      <c r="F1257" t="s">
        <v>56</v>
      </c>
      <c r="G1257" t="s">
        <v>28</v>
      </c>
      <c r="H1257">
        <v>9</v>
      </c>
    </row>
    <row r="1258" spans="1:8" ht="21.75" customHeight="1" x14ac:dyDescent="0.35">
      <c r="A1258" t="s">
        <v>1403</v>
      </c>
      <c r="B1258" s="3">
        <v>45423</v>
      </c>
      <c r="C1258" t="s">
        <v>455</v>
      </c>
      <c r="D1258" t="s">
        <v>31</v>
      </c>
      <c r="E1258" t="s">
        <v>22</v>
      </c>
      <c r="F1258" t="s">
        <v>56</v>
      </c>
      <c r="G1258" t="s">
        <v>28</v>
      </c>
      <c r="H1258">
        <v>8</v>
      </c>
    </row>
    <row r="1259" spans="1:8" ht="21.75" customHeight="1" x14ac:dyDescent="0.35">
      <c r="A1259" t="s">
        <v>1404</v>
      </c>
      <c r="B1259" s="3">
        <v>45306</v>
      </c>
      <c r="C1259" t="s">
        <v>78</v>
      </c>
      <c r="D1259" t="s">
        <v>35</v>
      </c>
      <c r="E1259" t="s">
        <v>17</v>
      </c>
      <c r="F1259" t="s">
        <v>27</v>
      </c>
      <c r="G1259" t="s">
        <v>23</v>
      </c>
      <c r="H1259">
        <v>18</v>
      </c>
    </row>
    <row r="1260" spans="1:8" ht="21.75" customHeight="1" x14ac:dyDescent="0.35">
      <c r="A1260" t="s">
        <v>1405</v>
      </c>
      <c r="B1260" s="3">
        <v>45623</v>
      </c>
      <c r="C1260" t="s">
        <v>122</v>
      </c>
      <c r="D1260" t="s">
        <v>26</v>
      </c>
      <c r="E1260" t="s">
        <v>11</v>
      </c>
      <c r="F1260" t="s">
        <v>56</v>
      </c>
      <c r="G1260" t="s">
        <v>32</v>
      </c>
      <c r="H1260">
        <v>5</v>
      </c>
    </row>
    <row r="1261" spans="1:8" ht="21.75" customHeight="1" x14ac:dyDescent="0.35">
      <c r="A1261" t="s">
        <v>1406</v>
      </c>
      <c r="B1261" s="3">
        <v>45629</v>
      </c>
      <c r="C1261" t="s">
        <v>378</v>
      </c>
      <c r="D1261" t="s">
        <v>84</v>
      </c>
      <c r="E1261" t="s">
        <v>11</v>
      </c>
      <c r="F1261" t="s">
        <v>12</v>
      </c>
      <c r="G1261" t="s">
        <v>13</v>
      </c>
      <c r="H1261">
        <v>16</v>
      </c>
    </row>
    <row r="1262" spans="1:8" ht="21.75" customHeight="1" x14ac:dyDescent="0.35">
      <c r="A1262" t="s">
        <v>1407</v>
      </c>
      <c r="B1262" s="3">
        <v>45334</v>
      </c>
      <c r="C1262" t="s">
        <v>38</v>
      </c>
      <c r="D1262" t="s">
        <v>10</v>
      </c>
      <c r="E1262" t="s">
        <v>22</v>
      </c>
      <c r="F1262" t="s">
        <v>42</v>
      </c>
      <c r="G1262" t="s">
        <v>13</v>
      </c>
      <c r="H1262">
        <v>14</v>
      </c>
    </row>
    <row r="1263" spans="1:8" ht="21.75" customHeight="1" x14ac:dyDescent="0.35">
      <c r="A1263" t="s">
        <v>1408</v>
      </c>
      <c r="B1263" s="3">
        <v>45495</v>
      </c>
      <c r="C1263" t="s">
        <v>329</v>
      </c>
      <c r="D1263" t="s">
        <v>102</v>
      </c>
      <c r="E1263" t="s">
        <v>11</v>
      </c>
      <c r="F1263" t="s">
        <v>56</v>
      </c>
      <c r="G1263" t="s">
        <v>13</v>
      </c>
      <c r="H1263">
        <v>19</v>
      </c>
    </row>
    <row r="1264" spans="1:8" ht="21.75" customHeight="1" x14ac:dyDescent="0.35">
      <c r="A1264" t="s">
        <v>1409</v>
      </c>
      <c r="B1264" s="3">
        <v>45559</v>
      </c>
      <c r="C1264" t="s">
        <v>317</v>
      </c>
      <c r="D1264" t="s">
        <v>26</v>
      </c>
      <c r="E1264" t="s">
        <v>22</v>
      </c>
      <c r="F1264" t="s">
        <v>306</v>
      </c>
      <c r="G1264" t="s">
        <v>28</v>
      </c>
      <c r="H1264">
        <v>16</v>
      </c>
    </row>
    <row r="1265" spans="1:8" ht="21.75" customHeight="1" x14ac:dyDescent="0.35">
      <c r="A1265" t="s">
        <v>1410</v>
      </c>
      <c r="B1265" s="3">
        <v>45599</v>
      </c>
      <c r="C1265" t="s">
        <v>114</v>
      </c>
      <c r="D1265" t="s">
        <v>59</v>
      </c>
      <c r="E1265" t="s">
        <v>17</v>
      </c>
      <c r="F1265" t="s">
        <v>42</v>
      </c>
      <c r="G1265" t="s">
        <v>28</v>
      </c>
      <c r="H1265">
        <v>13</v>
      </c>
    </row>
    <row r="1266" spans="1:8" ht="21.75" customHeight="1" x14ac:dyDescent="0.35">
      <c r="A1266" t="s">
        <v>1411</v>
      </c>
      <c r="B1266" s="3">
        <v>45508</v>
      </c>
      <c r="C1266" t="s">
        <v>133</v>
      </c>
      <c r="D1266" t="s">
        <v>45</v>
      </c>
      <c r="E1266" t="s">
        <v>11</v>
      </c>
      <c r="F1266" t="s">
        <v>12</v>
      </c>
      <c r="G1266" t="s">
        <v>23</v>
      </c>
      <c r="H1266">
        <v>7</v>
      </c>
    </row>
    <row r="1267" spans="1:8" ht="21.75" customHeight="1" x14ac:dyDescent="0.35">
      <c r="A1267" t="s">
        <v>1412</v>
      </c>
      <c r="B1267" s="3">
        <v>45501</v>
      </c>
      <c r="C1267" t="s">
        <v>230</v>
      </c>
      <c r="D1267" t="s">
        <v>35</v>
      </c>
      <c r="E1267" t="s">
        <v>22</v>
      </c>
      <c r="F1267" t="s">
        <v>12</v>
      </c>
      <c r="G1267" t="s">
        <v>13</v>
      </c>
      <c r="H1267">
        <v>18</v>
      </c>
    </row>
    <row r="1268" spans="1:8" ht="21.75" customHeight="1" x14ac:dyDescent="0.35">
      <c r="A1268" t="s">
        <v>1413</v>
      </c>
      <c r="B1268" s="3">
        <v>45454</v>
      </c>
      <c r="C1268" t="s">
        <v>591</v>
      </c>
      <c r="D1268" t="s">
        <v>41</v>
      </c>
      <c r="E1268" t="s">
        <v>17</v>
      </c>
      <c r="F1268" t="s">
        <v>27</v>
      </c>
      <c r="G1268" t="s">
        <v>28</v>
      </c>
      <c r="H1268">
        <v>8</v>
      </c>
    </row>
    <row r="1269" spans="1:8" ht="21.75" customHeight="1" x14ac:dyDescent="0.35">
      <c r="A1269" t="s">
        <v>1414</v>
      </c>
      <c r="B1269" s="3">
        <v>45477</v>
      </c>
      <c r="C1269" t="s">
        <v>553</v>
      </c>
      <c r="D1269" t="s">
        <v>74</v>
      </c>
      <c r="E1269" t="s">
        <v>22</v>
      </c>
      <c r="F1269" t="s">
        <v>42</v>
      </c>
      <c r="G1269" t="s">
        <v>36</v>
      </c>
      <c r="H1269">
        <v>1</v>
      </c>
    </row>
    <row r="1270" spans="1:8" ht="21.75" customHeight="1" x14ac:dyDescent="0.35">
      <c r="A1270" t="s">
        <v>1415</v>
      </c>
      <c r="B1270" s="3">
        <v>45309</v>
      </c>
      <c r="C1270" t="s">
        <v>304</v>
      </c>
      <c r="D1270" t="s">
        <v>62</v>
      </c>
      <c r="E1270" t="s">
        <v>22</v>
      </c>
      <c r="F1270" t="s">
        <v>12</v>
      </c>
      <c r="G1270" t="s">
        <v>23</v>
      </c>
      <c r="H1270">
        <v>8</v>
      </c>
    </row>
    <row r="1271" spans="1:8" ht="21.75" customHeight="1" x14ac:dyDescent="0.35">
      <c r="A1271" t="s">
        <v>1416</v>
      </c>
      <c r="B1271" s="3">
        <v>45450</v>
      </c>
      <c r="C1271" t="s">
        <v>541</v>
      </c>
      <c r="D1271" t="s">
        <v>41</v>
      </c>
      <c r="E1271" t="s">
        <v>22</v>
      </c>
      <c r="F1271" t="s">
        <v>42</v>
      </c>
      <c r="G1271" t="s">
        <v>28</v>
      </c>
      <c r="H1271">
        <v>4</v>
      </c>
    </row>
    <row r="1272" spans="1:8" ht="21.75" customHeight="1" x14ac:dyDescent="0.35">
      <c r="A1272" t="s">
        <v>1417</v>
      </c>
      <c r="B1272" s="3">
        <v>45518</v>
      </c>
      <c r="C1272" t="s">
        <v>53</v>
      </c>
      <c r="D1272" t="s">
        <v>26</v>
      </c>
      <c r="E1272" t="s">
        <v>11</v>
      </c>
      <c r="F1272" t="s">
        <v>27</v>
      </c>
      <c r="G1272" t="s">
        <v>28</v>
      </c>
      <c r="H1272">
        <v>10</v>
      </c>
    </row>
    <row r="1273" spans="1:8" ht="21.75" customHeight="1" x14ac:dyDescent="0.35">
      <c r="A1273" t="s">
        <v>1418</v>
      </c>
      <c r="B1273" s="3">
        <v>45444</v>
      </c>
      <c r="C1273" t="s">
        <v>95</v>
      </c>
      <c r="D1273" t="s">
        <v>21</v>
      </c>
      <c r="E1273" t="s">
        <v>11</v>
      </c>
      <c r="F1273" t="s">
        <v>27</v>
      </c>
      <c r="G1273" t="s">
        <v>23</v>
      </c>
      <c r="H1273">
        <v>11</v>
      </c>
    </row>
    <row r="1274" spans="1:8" ht="21.75" customHeight="1" x14ac:dyDescent="0.35">
      <c r="A1274" t="s">
        <v>1419</v>
      </c>
      <c r="B1274" s="3">
        <v>45309</v>
      </c>
      <c r="C1274" t="s">
        <v>89</v>
      </c>
      <c r="D1274" t="s">
        <v>35</v>
      </c>
      <c r="E1274" t="s">
        <v>11</v>
      </c>
      <c r="F1274" t="s">
        <v>27</v>
      </c>
      <c r="G1274" t="s">
        <v>32</v>
      </c>
      <c r="H1274">
        <v>14</v>
      </c>
    </row>
    <row r="1275" spans="1:8" ht="21.75" customHeight="1" x14ac:dyDescent="0.35">
      <c r="A1275" t="s">
        <v>1420</v>
      </c>
      <c r="B1275" s="3">
        <v>45508</v>
      </c>
      <c r="C1275" t="s">
        <v>108</v>
      </c>
      <c r="D1275" t="s">
        <v>160</v>
      </c>
      <c r="E1275" t="s">
        <v>11</v>
      </c>
      <c r="F1275" t="s">
        <v>42</v>
      </c>
      <c r="G1275" t="s">
        <v>36</v>
      </c>
      <c r="H1275">
        <v>3</v>
      </c>
    </row>
    <row r="1276" spans="1:8" ht="21.75" customHeight="1" x14ac:dyDescent="0.35">
      <c r="A1276" t="s">
        <v>1421</v>
      </c>
      <c r="B1276" s="3">
        <v>45572</v>
      </c>
      <c r="C1276" t="s">
        <v>304</v>
      </c>
      <c r="D1276" t="s">
        <v>62</v>
      </c>
      <c r="E1276" t="s">
        <v>17</v>
      </c>
      <c r="F1276" t="s">
        <v>27</v>
      </c>
      <c r="G1276" t="s">
        <v>28</v>
      </c>
      <c r="H1276">
        <v>1</v>
      </c>
    </row>
    <row r="1277" spans="1:8" ht="21.75" customHeight="1" x14ac:dyDescent="0.35">
      <c r="A1277" t="s">
        <v>1422</v>
      </c>
      <c r="B1277" s="3">
        <v>45614</v>
      </c>
      <c r="C1277" t="s">
        <v>396</v>
      </c>
      <c r="D1277" t="s">
        <v>96</v>
      </c>
      <c r="E1277" t="s">
        <v>22</v>
      </c>
      <c r="F1277" t="s">
        <v>56</v>
      </c>
      <c r="G1277" t="s">
        <v>32</v>
      </c>
      <c r="H1277">
        <v>13</v>
      </c>
    </row>
    <row r="1278" spans="1:8" ht="21.75" customHeight="1" x14ac:dyDescent="0.35">
      <c r="A1278" t="s">
        <v>1423</v>
      </c>
      <c r="B1278" s="3">
        <v>45452</v>
      </c>
      <c r="C1278" t="s">
        <v>314</v>
      </c>
      <c r="D1278" t="s">
        <v>45</v>
      </c>
      <c r="E1278" t="s">
        <v>11</v>
      </c>
      <c r="F1278" t="s">
        <v>12</v>
      </c>
      <c r="G1278" t="s">
        <v>28</v>
      </c>
      <c r="H1278">
        <v>8</v>
      </c>
    </row>
    <row r="1279" spans="1:8" ht="21.75" customHeight="1" x14ac:dyDescent="0.35">
      <c r="A1279" t="s">
        <v>1424</v>
      </c>
      <c r="B1279" s="3">
        <v>45596</v>
      </c>
      <c r="C1279" t="s">
        <v>455</v>
      </c>
      <c r="D1279" t="s">
        <v>70</v>
      </c>
      <c r="E1279" t="s">
        <v>17</v>
      </c>
      <c r="F1279" t="s">
        <v>42</v>
      </c>
      <c r="G1279" t="s">
        <v>28</v>
      </c>
      <c r="H1279">
        <v>16</v>
      </c>
    </row>
    <row r="1280" spans="1:8" ht="21.75" customHeight="1" x14ac:dyDescent="0.35">
      <c r="A1280" t="s">
        <v>1425</v>
      </c>
      <c r="B1280" s="3">
        <v>45425</v>
      </c>
      <c r="C1280" t="s">
        <v>235</v>
      </c>
      <c r="D1280" t="s">
        <v>72</v>
      </c>
      <c r="E1280" t="s">
        <v>22</v>
      </c>
      <c r="F1280" t="s">
        <v>306</v>
      </c>
      <c r="G1280" t="s">
        <v>23</v>
      </c>
      <c r="H1280">
        <v>10</v>
      </c>
    </row>
    <row r="1281" spans="1:8" ht="21.75" customHeight="1" x14ac:dyDescent="0.35">
      <c r="A1281" t="s">
        <v>1426</v>
      </c>
      <c r="B1281" s="3">
        <v>45480</v>
      </c>
      <c r="C1281" t="s">
        <v>44</v>
      </c>
      <c r="D1281" t="s">
        <v>59</v>
      </c>
      <c r="E1281" t="s">
        <v>17</v>
      </c>
      <c r="F1281" t="s">
        <v>27</v>
      </c>
      <c r="G1281" t="s">
        <v>13</v>
      </c>
      <c r="H1281">
        <v>8</v>
      </c>
    </row>
    <row r="1282" spans="1:8" ht="21.75" customHeight="1" x14ac:dyDescent="0.35">
      <c r="A1282" t="s">
        <v>1427</v>
      </c>
      <c r="B1282" s="3">
        <v>45577</v>
      </c>
      <c r="C1282" t="s">
        <v>736</v>
      </c>
      <c r="D1282" t="s">
        <v>10</v>
      </c>
      <c r="E1282" t="s">
        <v>22</v>
      </c>
      <c r="F1282" t="s">
        <v>56</v>
      </c>
      <c r="G1282" t="s">
        <v>28</v>
      </c>
      <c r="H1282">
        <v>15</v>
      </c>
    </row>
    <row r="1283" spans="1:8" ht="21.75" customHeight="1" x14ac:dyDescent="0.35">
      <c r="A1283" t="s">
        <v>1428</v>
      </c>
      <c r="B1283" s="3">
        <v>45317</v>
      </c>
      <c r="C1283" t="s">
        <v>341</v>
      </c>
      <c r="D1283" t="s">
        <v>109</v>
      </c>
      <c r="E1283" t="s">
        <v>22</v>
      </c>
      <c r="F1283" t="s">
        <v>27</v>
      </c>
      <c r="G1283" t="s">
        <v>32</v>
      </c>
      <c r="H1283">
        <v>9</v>
      </c>
    </row>
    <row r="1284" spans="1:8" ht="21.75" customHeight="1" x14ac:dyDescent="0.35">
      <c r="A1284" t="s">
        <v>1429</v>
      </c>
      <c r="B1284" s="3">
        <v>45379</v>
      </c>
      <c r="C1284" t="s">
        <v>614</v>
      </c>
      <c r="D1284" t="s">
        <v>62</v>
      </c>
      <c r="E1284" t="s">
        <v>11</v>
      </c>
      <c r="F1284" t="s">
        <v>12</v>
      </c>
      <c r="G1284" t="s">
        <v>23</v>
      </c>
      <c r="H1284">
        <v>17</v>
      </c>
    </row>
    <row r="1285" spans="1:8" ht="21.75" customHeight="1" x14ac:dyDescent="0.35">
      <c r="A1285" t="s">
        <v>1430</v>
      </c>
      <c r="B1285" s="3">
        <v>45636</v>
      </c>
      <c r="C1285" t="s">
        <v>432</v>
      </c>
      <c r="D1285" t="s">
        <v>62</v>
      </c>
      <c r="E1285" t="s">
        <v>11</v>
      </c>
      <c r="F1285" t="s">
        <v>56</v>
      </c>
      <c r="G1285" t="s">
        <v>32</v>
      </c>
      <c r="H1285">
        <v>7</v>
      </c>
    </row>
    <row r="1286" spans="1:8" ht="21.75" customHeight="1" x14ac:dyDescent="0.35">
      <c r="A1286" t="s">
        <v>1431</v>
      </c>
      <c r="B1286" s="3">
        <v>45439</v>
      </c>
      <c r="C1286" t="s">
        <v>323</v>
      </c>
      <c r="D1286" t="s">
        <v>16</v>
      </c>
      <c r="E1286" t="s">
        <v>17</v>
      </c>
      <c r="F1286" t="s">
        <v>27</v>
      </c>
      <c r="G1286" t="s">
        <v>36</v>
      </c>
      <c r="H1286">
        <v>14</v>
      </c>
    </row>
    <row r="1287" spans="1:8" ht="21.75" customHeight="1" x14ac:dyDescent="0.35">
      <c r="A1287" t="s">
        <v>1432</v>
      </c>
      <c r="B1287" s="3">
        <v>45402</v>
      </c>
      <c r="C1287" t="s">
        <v>55</v>
      </c>
      <c r="D1287" t="s">
        <v>87</v>
      </c>
      <c r="E1287" t="s">
        <v>22</v>
      </c>
      <c r="F1287" t="s">
        <v>56</v>
      </c>
      <c r="G1287" t="s">
        <v>28</v>
      </c>
      <c r="H1287">
        <v>6</v>
      </c>
    </row>
    <row r="1288" spans="1:8" ht="21.75" customHeight="1" x14ac:dyDescent="0.35">
      <c r="A1288" t="s">
        <v>1433</v>
      </c>
      <c r="B1288" s="3">
        <v>45306</v>
      </c>
      <c r="C1288" t="s">
        <v>61</v>
      </c>
      <c r="D1288" t="s">
        <v>109</v>
      </c>
      <c r="E1288" t="s">
        <v>17</v>
      </c>
      <c r="F1288" t="s">
        <v>56</v>
      </c>
      <c r="G1288" t="s">
        <v>32</v>
      </c>
      <c r="H1288">
        <v>15</v>
      </c>
    </row>
    <row r="1289" spans="1:8" ht="21.75" customHeight="1" x14ac:dyDescent="0.35">
      <c r="A1289" t="s">
        <v>1434</v>
      </c>
      <c r="B1289" s="3">
        <v>45590</v>
      </c>
      <c r="C1289" t="s">
        <v>455</v>
      </c>
      <c r="D1289" t="s">
        <v>10</v>
      </c>
      <c r="E1289" t="s">
        <v>22</v>
      </c>
      <c r="F1289" t="s">
        <v>27</v>
      </c>
      <c r="G1289" t="s">
        <v>32</v>
      </c>
      <c r="H1289">
        <v>1</v>
      </c>
    </row>
    <row r="1290" spans="1:8" ht="21.75" customHeight="1" x14ac:dyDescent="0.35">
      <c r="A1290" t="s">
        <v>1435</v>
      </c>
      <c r="B1290" s="3">
        <v>45646</v>
      </c>
      <c r="C1290" t="s">
        <v>106</v>
      </c>
      <c r="D1290" t="s">
        <v>62</v>
      </c>
      <c r="E1290" t="s">
        <v>22</v>
      </c>
      <c r="F1290" t="s">
        <v>56</v>
      </c>
      <c r="G1290" t="s">
        <v>36</v>
      </c>
      <c r="H1290">
        <v>13</v>
      </c>
    </row>
    <row r="1291" spans="1:8" ht="21.75" customHeight="1" x14ac:dyDescent="0.35">
      <c r="A1291" t="s">
        <v>1436</v>
      </c>
      <c r="B1291" s="3">
        <v>45423</v>
      </c>
      <c r="C1291" t="s">
        <v>208</v>
      </c>
      <c r="D1291" t="s">
        <v>79</v>
      </c>
      <c r="E1291" t="s">
        <v>11</v>
      </c>
      <c r="F1291" t="s">
        <v>306</v>
      </c>
      <c r="G1291" t="s">
        <v>28</v>
      </c>
      <c r="H1291">
        <v>2</v>
      </c>
    </row>
    <row r="1292" spans="1:8" ht="21.75" customHeight="1" x14ac:dyDescent="0.35">
      <c r="A1292" t="s">
        <v>1437</v>
      </c>
      <c r="B1292" s="3">
        <v>45533</v>
      </c>
      <c r="C1292" t="s">
        <v>182</v>
      </c>
      <c r="D1292" t="s">
        <v>62</v>
      </c>
      <c r="E1292" t="s">
        <v>22</v>
      </c>
      <c r="F1292" t="s">
        <v>306</v>
      </c>
      <c r="G1292" t="s">
        <v>36</v>
      </c>
      <c r="H1292">
        <v>2</v>
      </c>
    </row>
    <row r="1293" spans="1:8" ht="21.75" customHeight="1" x14ac:dyDescent="0.35">
      <c r="A1293" t="s">
        <v>1438</v>
      </c>
      <c r="B1293" s="3">
        <v>45609</v>
      </c>
      <c r="C1293" t="s">
        <v>159</v>
      </c>
      <c r="D1293" t="s">
        <v>41</v>
      </c>
      <c r="E1293" t="s">
        <v>17</v>
      </c>
      <c r="F1293" t="s">
        <v>27</v>
      </c>
      <c r="G1293" t="s">
        <v>36</v>
      </c>
      <c r="H1293">
        <v>12</v>
      </c>
    </row>
    <row r="1294" spans="1:8" ht="21.75" customHeight="1" x14ac:dyDescent="0.35">
      <c r="A1294" t="s">
        <v>1439</v>
      </c>
      <c r="B1294" s="3">
        <v>45313</v>
      </c>
      <c r="C1294" t="s">
        <v>361</v>
      </c>
      <c r="D1294" t="s">
        <v>45</v>
      </c>
      <c r="E1294" t="s">
        <v>11</v>
      </c>
      <c r="F1294" t="s">
        <v>42</v>
      </c>
      <c r="G1294" t="s">
        <v>32</v>
      </c>
      <c r="H1294">
        <v>17</v>
      </c>
    </row>
    <row r="1295" spans="1:8" ht="21.75" customHeight="1" x14ac:dyDescent="0.35">
      <c r="A1295" t="s">
        <v>1440</v>
      </c>
      <c r="B1295" s="3">
        <v>45531</v>
      </c>
      <c r="C1295" t="s">
        <v>34</v>
      </c>
      <c r="D1295" t="s">
        <v>62</v>
      </c>
      <c r="E1295" t="s">
        <v>11</v>
      </c>
      <c r="F1295" t="s">
        <v>42</v>
      </c>
      <c r="G1295" t="s">
        <v>32</v>
      </c>
      <c r="H1295">
        <v>17</v>
      </c>
    </row>
    <row r="1296" spans="1:8" ht="21.75" customHeight="1" x14ac:dyDescent="0.35">
      <c r="A1296" t="s">
        <v>1441</v>
      </c>
      <c r="B1296" s="3">
        <v>45351</v>
      </c>
      <c r="C1296" t="s">
        <v>38</v>
      </c>
      <c r="D1296" t="s">
        <v>35</v>
      </c>
      <c r="E1296" t="s">
        <v>11</v>
      </c>
      <c r="F1296" t="s">
        <v>56</v>
      </c>
      <c r="G1296" t="s">
        <v>23</v>
      </c>
      <c r="H1296">
        <v>9</v>
      </c>
    </row>
    <row r="1297" spans="1:8" ht="21.75" customHeight="1" x14ac:dyDescent="0.35">
      <c r="A1297" t="s">
        <v>1442</v>
      </c>
      <c r="B1297" s="3">
        <v>45436</v>
      </c>
      <c r="C1297" t="s">
        <v>86</v>
      </c>
      <c r="D1297" t="s">
        <v>160</v>
      </c>
      <c r="E1297" t="s">
        <v>22</v>
      </c>
      <c r="F1297" t="s">
        <v>42</v>
      </c>
      <c r="G1297" t="s">
        <v>28</v>
      </c>
      <c r="H1297">
        <v>11</v>
      </c>
    </row>
    <row r="1298" spans="1:8" ht="21.75" customHeight="1" x14ac:dyDescent="0.35">
      <c r="A1298" t="s">
        <v>1443</v>
      </c>
      <c r="B1298" s="3">
        <v>45453</v>
      </c>
      <c r="C1298" t="s">
        <v>304</v>
      </c>
      <c r="D1298" t="s">
        <v>174</v>
      </c>
      <c r="E1298" t="s">
        <v>17</v>
      </c>
      <c r="F1298" t="s">
        <v>56</v>
      </c>
      <c r="G1298" t="s">
        <v>28</v>
      </c>
      <c r="H1298">
        <v>15</v>
      </c>
    </row>
    <row r="1299" spans="1:8" ht="21.75" customHeight="1" x14ac:dyDescent="0.35">
      <c r="A1299" t="s">
        <v>1444</v>
      </c>
      <c r="B1299" s="3">
        <v>45319</v>
      </c>
      <c r="C1299" t="s">
        <v>51</v>
      </c>
      <c r="D1299" t="s">
        <v>35</v>
      </c>
      <c r="E1299" t="s">
        <v>11</v>
      </c>
      <c r="F1299" t="s">
        <v>12</v>
      </c>
      <c r="G1299" t="s">
        <v>23</v>
      </c>
      <c r="H1299">
        <v>9</v>
      </c>
    </row>
    <row r="1300" spans="1:8" ht="21.75" customHeight="1" x14ac:dyDescent="0.35">
      <c r="A1300" t="s">
        <v>1445</v>
      </c>
      <c r="B1300" s="3">
        <v>45515</v>
      </c>
      <c r="C1300" t="s">
        <v>40</v>
      </c>
      <c r="D1300" t="s">
        <v>70</v>
      </c>
      <c r="E1300" t="s">
        <v>17</v>
      </c>
      <c r="F1300" t="s">
        <v>12</v>
      </c>
      <c r="G1300" t="s">
        <v>36</v>
      </c>
      <c r="H1300">
        <v>12</v>
      </c>
    </row>
    <row r="1301" spans="1:8" ht="21.75" customHeight="1" x14ac:dyDescent="0.35">
      <c r="A1301" t="s">
        <v>1446</v>
      </c>
      <c r="B1301" s="3">
        <v>45540</v>
      </c>
      <c r="C1301" t="s">
        <v>366</v>
      </c>
      <c r="D1301" t="s">
        <v>84</v>
      </c>
      <c r="E1301" t="s">
        <v>17</v>
      </c>
      <c r="F1301" t="s">
        <v>12</v>
      </c>
      <c r="G1301" t="s">
        <v>13</v>
      </c>
      <c r="H1301">
        <v>5</v>
      </c>
    </row>
    <row r="1302" spans="1:8" ht="21.75" customHeight="1" x14ac:dyDescent="0.35">
      <c r="A1302" t="s">
        <v>1447</v>
      </c>
      <c r="B1302" s="3">
        <v>45396</v>
      </c>
      <c r="C1302" t="s">
        <v>55</v>
      </c>
      <c r="D1302" t="s">
        <v>84</v>
      </c>
      <c r="E1302" t="s">
        <v>11</v>
      </c>
      <c r="F1302" t="s">
        <v>56</v>
      </c>
      <c r="G1302" t="s">
        <v>36</v>
      </c>
      <c r="H1302">
        <v>17</v>
      </c>
    </row>
    <row r="1303" spans="1:8" ht="21.75" customHeight="1" x14ac:dyDescent="0.35">
      <c r="A1303" t="s">
        <v>1448</v>
      </c>
      <c r="B1303" s="3">
        <v>45631</v>
      </c>
      <c r="C1303" t="s">
        <v>361</v>
      </c>
      <c r="D1303" t="s">
        <v>96</v>
      </c>
      <c r="E1303" t="s">
        <v>11</v>
      </c>
      <c r="F1303" t="s">
        <v>306</v>
      </c>
      <c r="G1303" t="s">
        <v>28</v>
      </c>
      <c r="H1303">
        <v>17</v>
      </c>
    </row>
    <row r="1304" spans="1:8" ht="21.75" customHeight="1" x14ac:dyDescent="0.35">
      <c r="A1304" t="s">
        <v>1449</v>
      </c>
      <c r="B1304" s="3">
        <v>45505</v>
      </c>
      <c r="C1304" t="s">
        <v>208</v>
      </c>
      <c r="D1304" t="s">
        <v>41</v>
      </c>
      <c r="E1304" t="s">
        <v>11</v>
      </c>
      <c r="F1304" t="s">
        <v>27</v>
      </c>
      <c r="G1304" t="s">
        <v>13</v>
      </c>
      <c r="H1304">
        <v>4</v>
      </c>
    </row>
    <row r="1305" spans="1:8" ht="21.75" customHeight="1" x14ac:dyDescent="0.35">
      <c r="A1305" t="s">
        <v>1450</v>
      </c>
      <c r="B1305" s="3">
        <v>45437</v>
      </c>
      <c r="C1305" t="s">
        <v>455</v>
      </c>
      <c r="D1305" t="s">
        <v>31</v>
      </c>
      <c r="E1305" t="s">
        <v>22</v>
      </c>
      <c r="F1305" t="s">
        <v>12</v>
      </c>
      <c r="G1305" t="s">
        <v>13</v>
      </c>
      <c r="H1305">
        <v>12</v>
      </c>
    </row>
    <row r="1306" spans="1:8" ht="21.75" customHeight="1" x14ac:dyDescent="0.35">
      <c r="A1306" t="s">
        <v>1451</v>
      </c>
      <c r="B1306" s="3">
        <v>45457</v>
      </c>
      <c r="C1306" t="s">
        <v>125</v>
      </c>
      <c r="D1306" t="s">
        <v>70</v>
      </c>
      <c r="E1306" t="s">
        <v>11</v>
      </c>
      <c r="F1306" t="s">
        <v>12</v>
      </c>
      <c r="G1306" t="s">
        <v>32</v>
      </c>
      <c r="H1306">
        <v>16</v>
      </c>
    </row>
    <row r="1307" spans="1:8" ht="21.75" customHeight="1" x14ac:dyDescent="0.35">
      <c r="A1307" t="s">
        <v>1452</v>
      </c>
      <c r="B1307" s="3">
        <v>45596</v>
      </c>
      <c r="C1307" t="s">
        <v>371</v>
      </c>
      <c r="D1307" t="s">
        <v>79</v>
      </c>
      <c r="E1307" t="s">
        <v>11</v>
      </c>
      <c r="F1307" t="s">
        <v>42</v>
      </c>
      <c r="G1307" t="s">
        <v>32</v>
      </c>
      <c r="H1307">
        <v>20</v>
      </c>
    </row>
    <row r="1308" spans="1:8" ht="21.75" customHeight="1" x14ac:dyDescent="0.35">
      <c r="A1308" t="s">
        <v>679</v>
      </c>
      <c r="B1308" s="3">
        <v>45568</v>
      </c>
      <c r="C1308" t="s">
        <v>133</v>
      </c>
      <c r="D1308" t="s">
        <v>160</v>
      </c>
      <c r="E1308" t="s">
        <v>11</v>
      </c>
      <c r="F1308" t="s">
        <v>56</v>
      </c>
      <c r="G1308" t="s">
        <v>36</v>
      </c>
      <c r="H1308">
        <v>10</v>
      </c>
    </row>
    <row r="1309" spans="1:8" ht="21.75" customHeight="1" x14ac:dyDescent="0.35">
      <c r="A1309" t="s">
        <v>1041</v>
      </c>
      <c r="B1309" s="3">
        <v>45353</v>
      </c>
      <c r="C1309" t="s">
        <v>81</v>
      </c>
      <c r="D1309" t="s">
        <v>109</v>
      </c>
      <c r="E1309" t="s">
        <v>22</v>
      </c>
      <c r="F1309" t="s">
        <v>27</v>
      </c>
      <c r="G1309" t="s">
        <v>36</v>
      </c>
      <c r="H1309">
        <v>1</v>
      </c>
    </row>
    <row r="1310" spans="1:8" ht="21.75" customHeight="1" x14ac:dyDescent="0.35">
      <c r="A1310" t="s">
        <v>766</v>
      </c>
      <c r="B1310" s="3">
        <v>45322</v>
      </c>
      <c r="C1310" t="s">
        <v>89</v>
      </c>
      <c r="D1310" t="s">
        <v>62</v>
      </c>
      <c r="E1310" t="s">
        <v>22</v>
      </c>
      <c r="F1310" t="s">
        <v>56</v>
      </c>
      <c r="G1310" t="s">
        <v>32</v>
      </c>
      <c r="H1310">
        <v>5</v>
      </c>
    </row>
    <row r="1311" spans="1:8" ht="21.75" customHeight="1" x14ac:dyDescent="0.35">
      <c r="A1311" t="s">
        <v>1141</v>
      </c>
      <c r="B1311" s="3">
        <v>45412</v>
      </c>
      <c r="C1311" t="s">
        <v>358</v>
      </c>
      <c r="D1311" t="s">
        <v>21</v>
      </c>
      <c r="E1311" t="s">
        <v>17</v>
      </c>
      <c r="F1311" t="s">
        <v>12</v>
      </c>
      <c r="G1311" t="s">
        <v>13</v>
      </c>
      <c r="H1311">
        <v>9</v>
      </c>
    </row>
    <row r="1312" spans="1:8" ht="21.75" customHeight="1" x14ac:dyDescent="0.35">
      <c r="A1312" t="s">
        <v>590</v>
      </c>
      <c r="B1312" s="3">
        <v>45384</v>
      </c>
      <c r="C1312" t="s">
        <v>591</v>
      </c>
      <c r="D1312" t="s">
        <v>102</v>
      </c>
      <c r="E1312" t="s">
        <v>17</v>
      </c>
      <c r="F1312" t="s">
        <v>42</v>
      </c>
      <c r="G1312" t="s">
        <v>32</v>
      </c>
      <c r="H1312">
        <v>3</v>
      </c>
    </row>
    <row r="1313" spans="1:8" ht="21.75" customHeight="1" x14ac:dyDescent="0.35">
      <c r="A1313" t="s">
        <v>1112</v>
      </c>
      <c r="B1313" s="3">
        <v>45521</v>
      </c>
      <c r="C1313" t="s">
        <v>106</v>
      </c>
      <c r="D1313" t="s">
        <v>74</v>
      </c>
      <c r="E1313" t="s">
        <v>11</v>
      </c>
      <c r="F1313" t="s">
        <v>12</v>
      </c>
      <c r="G1313" t="s">
        <v>28</v>
      </c>
      <c r="H1313">
        <v>20</v>
      </c>
    </row>
    <row r="1314" spans="1:8" ht="21.75" customHeight="1" x14ac:dyDescent="0.35">
      <c r="A1314" t="s">
        <v>431</v>
      </c>
      <c r="B1314" s="3">
        <v>45306</v>
      </c>
      <c r="C1314" t="s">
        <v>432</v>
      </c>
      <c r="D1314" t="s">
        <v>35</v>
      </c>
      <c r="E1314" t="s">
        <v>17</v>
      </c>
      <c r="F1314" t="s">
        <v>56</v>
      </c>
      <c r="G1314" t="s">
        <v>32</v>
      </c>
      <c r="H1314">
        <v>7</v>
      </c>
    </row>
    <row r="1315" spans="1:8" ht="21.75" customHeight="1" x14ac:dyDescent="0.35">
      <c r="A1315" t="s">
        <v>958</v>
      </c>
      <c r="B1315" s="3">
        <v>45576</v>
      </c>
      <c r="C1315" t="s">
        <v>86</v>
      </c>
      <c r="D1315" t="s">
        <v>59</v>
      </c>
      <c r="E1315" t="s">
        <v>11</v>
      </c>
      <c r="F1315" t="s">
        <v>56</v>
      </c>
      <c r="G1315" t="s">
        <v>23</v>
      </c>
      <c r="H1315">
        <v>9</v>
      </c>
    </row>
    <row r="1316" spans="1:8" ht="21.75" customHeight="1" x14ac:dyDescent="0.35">
      <c r="A1316" t="s">
        <v>1087</v>
      </c>
      <c r="B1316" s="3">
        <v>45591</v>
      </c>
      <c r="C1316" t="s">
        <v>114</v>
      </c>
      <c r="D1316" t="s">
        <v>96</v>
      </c>
      <c r="E1316" t="s">
        <v>17</v>
      </c>
      <c r="F1316" t="s">
        <v>56</v>
      </c>
      <c r="G1316" t="s">
        <v>23</v>
      </c>
      <c r="H1316">
        <v>2</v>
      </c>
    </row>
    <row r="1317" spans="1:8" ht="21.75" customHeight="1" x14ac:dyDescent="0.35">
      <c r="A1317" t="s">
        <v>438</v>
      </c>
      <c r="B1317" s="3">
        <v>45509</v>
      </c>
      <c r="C1317" t="s">
        <v>323</v>
      </c>
      <c r="D1317" t="s">
        <v>48</v>
      </c>
      <c r="E1317" t="s">
        <v>22</v>
      </c>
      <c r="F1317" t="s">
        <v>42</v>
      </c>
      <c r="G1317" t="s">
        <v>32</v>
      </c>
      <c r="H1317">
        <v>15</v>
      </c>
    </row>
    <row r="1318" spans="1:8" ht="21.75" customHeight="1" x14ac:dyDescent="0.35">
      <c r="A1318" t="s">
        <v>1446</v>
      </c>
      <c r="B1318" s="3">
        <v>45540</v>
      </c>
      <c r="C1318" t="s">
        <v>366</v>
      </c>
      <c r="D1318" t="s">
        <v>84</v>
      </c>
      <c r="E1318" t="s">
        <v>17</v>
      </c>
      <c r="F1318" t="s">
        <v>12</v>
      </c>
      <c r="G1318" t="s">
        <v>13</v>
      </c>
      <c r="H1318">
        <v>5</v>
      </c>
    </row>
    <row r="1319" spans="1:8" ht="21.75" customHeight="1" x14ac:dyDescent="0.35">
      <c r="A1319" t="s">
        <v>400</v>
      </c>
      <c r="B1319" s="3">
        <v>45545</v>
      </c>
      <c r="C1319" t="s">
        <v>341</v>
      </c>
      <c r="D1319" t="s">
        <v>21</v>
      </c>
      <c r="E1319" t="s">
        <v>11</v>
      </c>
      <c r="F1319" t="s">
        <v>56</v>
      </c>
      <c r="G1319" t="s">
        <v>13</v>
      </c>
      <c r="H1319">
        <v>1</v>
      </c>
    </row>
    <row r="1320" spans="1:8" ht="21.75" customHeight="1" x14ac:dyDescent="0.35">
      <c r="A1320" t="s">
        <v>684</v>
      </c>
      <c r="B1320" s="3">
        <v>45567</v>
      </c>
      <c r="C1320" t="s">
        <v>553</v>
      </c>
      <c r="D1320" t="s">
        <v>74</v>
      </c>
      <c r="E1320" t="s">
        <v>11</v>
      </c>
      <c r="F1320" t="s">
        <v>56</v>
      </c>
      <c r="G1320" t="s">
        <v>13</v>
      </c>
      <c r="H1320">
        <v>5</v>
      </c>
    </row>
    <row r="1321" spans="1:8" ht="21.75" customHeight="1" x14ac:dyDescent="0.35">
      <c r="A1321" t="s">
        <v>806</v>
      </c>
      <c r="B1321" s="3">
        <v>45580</v>
      </c>
      <c r="C1321" t="s">
        <v>728</v>
      </c>
      <c r="D1321" t="s">
        <v>197</v>
      </c>
      <c r="E1321" t="s">
        <v>17</v>
      </c>
      <c r="F1321" t="s">
        <v>306</v>
      </c>
      <c r="G1321" t="s">
        <v>23</v>
      </c>
      <c r="H1321">
        <v>15</v>
      </c>
    </row>
    <row r="1322" spans="1:8" ht="21.75" customHeight="1" x14ac:dyDescent="0.35">
      <c r="A1322" t="s">
        <v>482</v>
      </c>
      <c r="B1322" s="3">
        <v>45569</v>
      </c>
      <c r="C1322" t="s">
        <v>122</v>
      </c>
      <c r="D1322" t="s">
        <v>197</v>
      </c>
      <c r="E1322" t="s">
        <v>22</v>
      </c>
      <c r="F1322" t="s">
        <v>12</v>
      </c>
      <c r="G1322" t="s">
        <v>13</v>
      </c>
      <c r="H1322">
        <v>10</v>
      </c>
    </row>
    <row r="1323" spans="1:8" ht="21.75" customHeight="1" x14ac:dyDescent="0.35">
      <c r="A1323" t="s">
        <v>896</v>
      </c>
      <c r="B1323" s="3">
        <v>45548</v>
      </c>
      <c r="C1323" t="s">
        <v>114</v>
      </c>
      <c r="D1323" t="s">
        <v>160</v>
      </c>
      <c r="E1323" t="s">
        <v>22</v>
      </c>
      <c r="F1323" t="s">
        <v>27</v>
      </c>
      <c r="G1323" t="s">
        <v>28</v>
      </c>
      <c r="H1323">
        <v>10</v>
      </c>
    </row>
    <row r="1324" spans="1:8" ht="21.75" customHeight="1" x14ac:dyDescent="0.35">
      <c r="A1324" t="s">
        <v>641</v>
      </c>
      <c r="B1324" s="3">
        <v>45434</v>
      </c>
      <c r="C1324" t="s">
        <v>642</v>
      </c>
      <c r="D1324" t="s">
        <v>74</v>
      </c>
      <c r="E1324" t="s">
        <v>17</v>
      </c>
      <c r="F1324" t="s">
        <v>56</v>
      </c>
      <c r="G1324" t="s">
        <v>23</v>
      </c>
      <c r="H1324">
        <v>10</v>
      </c>
    </row>
    <row r="1325" spans="1:8" ht="21.75" customHeight="1" x14ac:dyDescent="0.35">
      <c r="A1325" t="s">
        <v>751</v>
      </c>
      <c r="B1325" s="3">
        <v>45335</v>
      </c>
      <c r="C1325" t="s">
        <v>422</v>
      </c>
      <c r="D1325" t="s">
        <v>102</v>
      </c>
      <c r="E1325" t="s">
        <v>11</v>
      </c>
      <c r="F1325" t="s">
        <v>42</v>
      </c>
      <c r="G1325" t="s">
        <v>28</v>
      </c>
      <c r="H1325">
        <v>8</v>
      </c>
    </row>
    <row r="1326" spans="1:8" ht="21.75" customHeight="1" x14ac:dyDescent="0.35">
      <c r="A1326" t="s">
        <v>1117</v>
      </c>
      <c r="B1326" s="3">
        <v>45539</v>
      </c>
      <c r="C1326" t="s">
        <v>235</v>
      </c>
      <c r="D1326" t="s">
        <v>102</v>
      </c>
      <c r="E1326" t="s">
        <v>17</v>
      </c>
      <c r="F1326" t="s">
        <v>306</v>
      </c>
      <c r="G1326" t="s">
        <v>13</v>
      </c>
      <c r="H1326">
        <v>20</v>
      </c>
    </row>
    <row r="1327" spans="1:8" ht="21.75" customHeight="1" x14ac:dyDescent="0.35">
      <c r="A1327" t="s">
        <v>839</v>
      </c>
      <c r="B1327" s="3">
        <v>45361</v>
      </c>
      <c r="C1327" t="s">
        <v>111</v>
      </c>
      <c r="D1327" t="s">
        <v>21</v>
      </c>
      <c r="E1327" t="s">
        <v>22</v>
      </c>
      <c r="F1327" t="s">
        <v>27</v>
      </c>
      <c r="G1327" t="s">
        <v>28</v>
      </c>
      <c r="H1327">
        <v>16</v>
      </c>
    </row>
    <row r="1328" spans="1:8" ht="21.75" customHeight="1" x14ac:dyDescent="0.35">
      <c r="A1328" t="s">
        <v>872</v>
      </c>
      <c r="B1328" s="3">
        <v>45451</v>
      </c>
      <c r="C1328" t="s">
        <v>89</v>
      </c>
      <c r="D1328" t="s">
        <v>197</v>
      </c>
      <c r="E1328" t="s">
        <v>17</v>
      </c>
      <c r="F1328" t="s">
        <v>12</v>
      </c>
      <c r="G1328" t="s">
        <v>23</v>
      </c>
      <c r="H1328">
        <v>5</v>
      </c>
    </row>
    <row r="1329" spans="1:8" ht="21.75" customHeight="1" x14ac:dyDescent="0.35">
      <c r="A1329" t="s">
        <v>898</v>
      </c>
      <c r="B1329" s="3">
        <v>45333</v>
      </c>
      <c r="C1329" t="s">
        <v>374</v>
      </c>
      <c r="D1329" t="s">
        <v>72</v>
      </c>
      <c r="E1329" t="s">
        <v>17</v>
      </c>
      <c r="F1329" t="s">
        <v>56</v>
      </c>
      <c r="G1329" t="s">
        <v>32</v>
      </c>
      <c r="H1329">
        <v>2</v>
      </c>
    </row>
    <row r="1330" spans="1:8" ht="21.75" customHeight="1" x14ac:dyDescent="0.35">
      <c r="A1330" t="s">
        <v>1283</v>
      </c>
      <c r="B1330" s="3">
        <v>45337</v>
      </c>
      <c r="C1330" t="s">
        <v>451</v>
      </c>
      <c r="D1330" t="s">
        <v>87</v>
      </c>
      <c r="E1330" t="s">
        <v>17</v>
      </c>
      <c r="F1330" t="s">
        <v>42</v>
      </c>
      <c r="G1330" t="s">
        <v>28</v>
      </c>
      <c r="H1330">
        <v>1</v>
      </c>
    </row>
    <row r="1331" spans="1:8" ht="21.75" customHeight="1" x14ac:dyDescent="0.35">
      <c r="A1331" t="s">
        <v>1220</v>
      </c>
      <c r="B1331" s="3">
        <v>45514</v>
      </c>
      <c r="C1331" t="s">
        <v>436</v>
      </c>
      <c r="D1331" t="s">
        <v>59</v>
      </c>
      <c r="E1331" t="s">
        <v>17</v>
      </c>
      <c r="F1331" t="s">
        <v>12</v>
      </c>
      <c r="G1331" t="s">
        <v>36</v>
      </c>
      <c r="H1331">
        <v>1</v>
      </c>
    </row>
    <row r="1332" spans="1:8" ht="21.75" customHeight="1" x14ac:dyDescent="0.35">
      <c r="A1332" t="s">
        <v>1344</v>
      </c>
      <c r="B1332" s="3">
        <v>45538</v>
      </c>
      <c r="C1332" t="s">
        <v>614</v>
      </c>
      <c r="D1332" t="s">
        <v>21</v>
      </c>
      <c r="E1332" t="s">
        <v>17</v>
      </c>
      <c r="F1332" t="s">
        <v>42</v>
      </c>
      <c r="G1332" t="s">
        <v>13</v>
      </c>
      <c r="H1332">
        <v>16</v>
      </c>
    </row>
    <row r="1333" spans="1:8" ht="21.75" customHeight="1" x14ac:dyDescent="0.35">
      <c r="A1333" t="s">
        <v>1014</v>
      </c>
      <c r="B1333" s="3">
        <v>45342</v>
      </c>
      <c r="C1333" t="s">
        <v>309</v>
      </c>
      <c r="D1333" t="s">
        <v>35</v>
      </c>
      <c r="E1333" t="s">
        <v>11</v>
      </c>
      <c r="F1333" t="s">
        <v>42</v>
      </c>
      <c r="G1333" t="s">
        <v>13</v>
      </c>
      <c r="H1333">
        <v>8</v>
      </c>
    </row>
    <row r="1334" spans="1:8" ht="21.75" customHeight="1" x14ac:dyDescent="0.35">
      <c r="A1334" t="s">
        <v>565</v>
      </c>
      <c r="B1334" s="3">
        <v>45638</v>
      </c>
      <c r="C1334" t="s">
        <v>329</v>
      </c>
      <c r="D1334" t="s">
        <v>109</v>
      </c>
      <c r="E1334" t="s">
        <v>11</v>
      </c>
      <c r="F1334" t="s">
        <v>27</v>
      </c>
      <c r="G1334" t="s">
        <v>23</v>
      </c>
      <c r="H1334">
        <v>10</v>
      </c>
    </row>
    <row r="1335" spans="1:8" ht="21.75" customHeight="1" x14ac:dyDescent="0.35">
      <c r="A1335" t="s">
        <v>1403</v>
      </c>
      <c r="B1335" s="3">
        <v>45423</v>
      </c>
      <c r="C1335" t="s">
        <v>455</v>
      </c>
      <c r="D1335" t="s">
        <v>31</v>
      </c>
      <c r="E1335" t="s">
        <v>22</v>
      </c>
      <c r="F1335" t="s">
        <v>56</v>
      </c>
      <c r="G1335" t="s">
        <v>28</v>
      </c>
      <c r="H1335">
        <v>8</v>
      </c>
    </row>
    <row r="1336" spans="1:8" ht="21.75" customHeight="1" x14ac:dyDescent="0.35">
      <c r="A1336" t="s">
        <v>1048</v>
      </c>
      <c r="B1336" s="3">
        <v>45467</v>
      </c>
      <c r="C1336" t="s">
        <v>83</v>
      </c>
      <c r="D1336" t="s">
        <v>87</v>
      </c>
      <c r="E1336" t="s">
        <v>11</v>
      </c>
      <c r="F1336" t="s">
        <v>27</v>
      </c>
      <c r="G1336" t="s">
        <v>32</v>
      </c>
      <c r="H1336">
        <v>7</v>
      </c>
    </row>
    <row r="1337" spans="1:8" ht="21.75" customHeight="1" x14ac:dyDescent="0.35">
      <c r="A1337" t="s">
        <v>795</v>
      </c>
      <c r="B1337" s="3">
        <v>45353</v>
      </c>
      <c r="C1337" t="s">
        <v>142</v>
      </c>
      <c r="D1337" t="s">
        <v>62</v>
      </c>
      <c r="E1337" t="s">
        <v>22</v>
      </c>
      <c r="F1337" t="s">
        <v>56</v>
      </c>
      <c r="G1337" t="s">
        <v>32</v>
      </c>
      <c r="H1337">
        <v>1</v>
      </c>
    </row>
    <row r="1338" spans="1:8" ht="21.75" customHeight="1" x14ac:dyDescent="0.35">
      <c r="A1338" t="s">
        <v>1452</v>
      </c>
      <c r="B1338" s="3">
        <v>45596</v>
      </c>
      <c r="C1338" t="s">
        <v>371</v>
      </c>
      <c r="D1338" t="s">
        <v>79</v>
      </c>
      <c r="E1338" t="s">
        <v>11</v>
      </c>
      <c r="F1338" t="s">
        <v>42</v>
      </c>
      <c r="G1338" t="s">
        <v>32</v>
      </c>
      <c r="H1338">
        <v>20</v>
      </c>
    </row>
    <row r="1339" spans="1:8" ht="21.75" customHeight="1" x14ac:dyDescent="0.35">
      <c r="A1339" t="s">
        <v>552</v>
      </c>
      <c r="B1339" s="3">
        <v>45601</v>
      </c>
      <c r="C1339" t="s">
        <v>553</v>
      </c>
      <c r="D1339" t="s">
        <v>79</v>
      </c>
      <c r="E1339" t="s">
        <v>22</v>
      </c>
      <c r="F1339" t="s">
        <v>56</v>
      </c>
      <c r="G1339" t="s">
        <v>32</v>
      </c>
      <c r="H1339">
        <v>15</v>
      </c>
    </row>
    <row r="1340" spans="1:8" ht="21.75" customHeight="1" x14ac:dyDescent="0.35">
      <c r="A1340" t="s">
        <v>622</v>
      </c>
      <c r="B1340" s="3">
        <v>45373</v>
      </c>
      <c r="C1340" t="s">
        <v>432</v>
      </c>
      <c r="D1340" t="s">
        <v>35</v>
      </c>
      <c r="E1340" t="s">
        <v>22</v>
      </c>
      <c r="F1340" t="s">
        <v>27</v>
      </c>
      <c r="G1340" t="s">
        <v>13</v>
      </c>
      <c r="H1340">
        <v>10</v>
      </c>
    </row>
    <row r="1341" spans="1:8" ht="21.75" customHeight="1" x14ac:dyDescent="0.35">
      <c r="A1341" t="s">
        <v>781</v>
      </c>
      <c r="B1341" s="3">
        <v>45517</v>
      </c>
      <c r="C1341" t="s">
        <v>20</v>
      </c>
      <c r="D1341" t="s">
        <v>21</v>
      </c>
      <c r="E1341" t="s">
        <v>22</v>
      </c>
      <c r="F1341" t="s">
        <v>56</v>
      </c>
      <c r="G1341" t="s">
        <v>36</v>
      </c>
      <c r="H1341">
        <v>5</v>
      </c>
    </row>
    <row r="1342" spans="1:8" ht="21.75" customHeight="1" x14ac:dyDescent="0.35">
      <c r="A1342" t="s">
        <v>1047</v>
      </c>
      <c r="B1342" s="3">
        <v>45424</v>
      </c>
      <c r="C1342" t="s">
        <v>44</v>
      </c>
      <c r="D1342" t="s">
        <v>197</v>
      </c>
      <c r="E1342" t="s">
        <v>22</v>
      </c>
      <c r="F1342" t="s">
        <v>42</v>
      </c>
      <c r="G1342" t="s">
        <v>36</v>
      </c>
      <c r="H1342">
        <v>9</v>
      </c>
    </row>
    <row r="1343" spans="1:8" ht="21.75" customHeight="1" x14ac:dyDescent="0.35">
      <c r="A1343" t="s">
        <v>762</v>
      </c>
      <c r="B1343" s="3">
        <v>45516</v>
      </c>
      <c r="C1343" t="s">
        <v>114</v>
      </c>
      <c r="D1343" t="s">
        <v>84</v>
      </c>
      <c r="E1343" t="s">
        <v>11</v>
      </c>
      <c r="F1343" t="s">
        <v>56</v>
      </c>
      <c r="G1343" t="s">
        <v>36</v>
      </c>
      <c r="H1343">
        <v>19</v>
      </c>
    </row>
    <row r="1344" spans="1:8" ht="21.75" customHeight="1" x14ac:dyDescent="0.35">
      <c r="A1344" t="s">
        <v>1426</v>
      </c>
      <c r="B1344" s="3">
        <v>45480</v>
      </c>
      <c r="C1344" t="s">
        <v>44</v>
      </c>
      <c r="D1344" t="s">
        <v>59</v>
      </c>
      <c r="E1344" t="s">
        <v>17</v>
      </c>
      <c r="F1344" t="s">
        <v>27</v>
      </c>
      <c r="G1344" t="s">
        <v>13</v>
      </c>
      <c r="H1344">
        <v>8</v>
      </c>
    </row>
    <row r="1345" spans="1:8" ht="21.75" customHeight="1" x14ac:dyDescent="0.35">
      <c r="A1345" t="s">
        <v>902</v>
      </c>
      <c r="B1345" s="3">
        <v>45563</v>
      </c>
      <c r="C1345" t="s">
        <v>150</v>
      </c>
      <c r="D1345" t="s">
        <v>21</v>
      </c>
      <c r="E1345" t="s">
        <v>11</v>
      </c>
      <c r="F1345" t="s">
        <v>12</v>
      </c>
      <c r="G1345" t="s">
        <v>32</v>
      </c>
      <c r="H1345">
        <v>8</v>
      </c>
    </row>
    <row r="1346" spans="1:8" ht="21.75" customHeight="1" x14ac:dyDescent="0.35">
      <c r="A1346" t="s">
        <v>367</v>
      </c>
      <c r="B1346" s="3">
        <v>45427</v>
      </c>
      <c r="C1346" t="s">
        <v>34</v>
      </c>
      <c r="D1346" t="s">
        <v>197</v>
      </c>
      <c r="E1346" t="s">
        <v>17</v>
      </c>
      <c r="F1346" t="s">
        <v>12</v>
      </c>
      <c r="G1346" t="s">
        <v>23</v>
      </c>
      <c r="H1346">
        <v>12</v>
      </c>
    </row>
    <row r="1347" spans="1:8" ht="21.75" customHeight="1" x14ac:dyDescent="0.35">
      <c r="A1347" t="s">
        <v>1387</v>
      </c>
      <c r="B1347" s="3">
        <v>45468</v>
      </c>
      <c r="C1347" t="s">
        <v>182</v>
      </c>
      <c r="D1347" t="s">
        <v>79</v>
      </c>
      <c r="E1347" t="s">
        <v>17</v>
      </c>
      <c r="F1347" t="s">
        <v>42</v>
      </c>
      <c r="G1347" t="s">
        <v>32</v>
      </c>
      <c r="H1347">
        <v>8</v>
      </c>
    </row>
    <row r="1348" spans="1:8" ht="21.75" customHeight="1" x14ac:dyDescent="0.35">
      <c r="A1348" t="s">
        <v>1115</v>
      </c>
      <c r="B1348" s="3">
        <v>45474</v>
      </c>
      <c r="C1348" t="s">
        <v>125</v>
      </c>
      <c r="D1348" t="s">
        <v>48</v>
      </c>
      <c r="E1348" t="s">
        <v>11</v>
      </c>
      <c r="F1348" t="s">
        <v>42</v>
      </c>
      <c r="G1348" t="s">
        <v>32</v>
      </c>
      <c r="H1348">
        <v>19</v>
      </c>
    </row>
    <row r="1349" spans="1:8" ht="21.75" customHeight="1" x14ac:dyDescent="0.35">
      <c r="A1349" t="s">
        <v>683</v>
      </c>
      <c r="B1349" s="3">
        <v>45560</v>
      </c>
      <c r="C1349" t="s">
        <v>38</v>
      </c>
      <c r="D1349" t="s">
        <v>87</v>
      </c>
      <c r="E1349" t="s">
        <v>22</v>
      </c>
      <c r="F1349" t="s">
        <v>27</v>
      </c>
      <c r="G1349" t="s">
        <v>28</v>
      </c>
      <c r="H1349">
        <v>5</v>
      </c>
    </row>
    <row r="1350" spans="1:8" ht="21.75" customHeight="1" x14ac:dyDescent="0.35">
      <c r="A1350" t="s">
        <v>702</v>
      </c>
      <c r="B1350" s="3">
        <v>45383</v>
      </c>
      <c r="C1350" t="s">
        <v>15</v>
      </c>
      <c r="D1350" t="s">
        <v>16</v>
      </c>
      <c r="E1350" t="s">
        <v>11</v>
      </c>
      <c r="F1350" t="s">
        <v>306</v>
      </c>
      <c r="G1350" t="s">
        <v>36</v>
      </c>
      <c r="H1350">
        <v>8</v>
      </c>
    </row>
    <row r="1351" spans="1:8" ht="21.75" customHeight="1" x14ac:dyDescent="0.35">
      <c r="A1351" t="s">
        <v>543</v>
      </c>
      <c r="B1351" s="3">
        <v>45515</v>
      </c>
      <c r="C1351" t="s">
        <v>449</v>
      </c>
      <c r="D1351" t="s">
        <v>10</v>
      </c>
      <c r="E1351" t="s">
        <v>17</v>
      </c>
      <c r="F1351" t="s">
        <v>306</v>
      </c>
      <c r="G1351" t="s">
        <v>32</v>
      </c>
      <c r="H1351">
        <v>13</v>
      </c>
    </row>
    <row r="1352" spans="1:8" ht="21.75" customHeight="1" x14ac:dyDescent="0.35">
      <c r="A1352" t="s">
        <v>1324</v>
      </c>
      <c r="B1352" s="3">
        <v>45579</v>
      </c>
      <c r="C1352" t="s">
        <v>369</v>
      </c>
      <c r="D1352" t="s">
        <v>48</v>
      </c>
      <c r="E1352" t="s">
        <v>11</v>
      </c>
      <c r="F1352" t="s">
        <v>42</v>
      </c>
      <c r="G1352" t="s">
        <v>36</v>
      </c>
      <c r="H1352">
        <v>5</v>
      </c>
    </row>
    <row r="1353" spans="1:8" ht="21.75" customHeight="1" x14ac:dyDescent="0.35">
      <c r="A1353" t="s">
        <v>500</v>
      </c>
      <c r="B1353" s="3">
        <v>45591</v>
      </c>
      <c r="C1353" t="s">
        <v>159</v>
      </c>
      <c r="D1353" t="s">
        <v>102</v>
      </c>
      <c r="E1353" t="s">
        <v>22</v>
      </c>
      <c r="F1353" t="s">
        <v>42</v>
      </c>
      <c r="G1353" t="s">
        <v>36</v>
      </c>
      <c r="H1353">
        <v>8</v>
      </c>
    </row>
    <row r="1354" spans="1:8" ht="21.75" customHeight="1" x14ac:dyDescent="0.35">
      <c r="A1354" t="s">
        <v>706</v>
      </c>
      <c r="B1354" s="3">
        <v>45651</v>
      </c>
      <c r="C1354" t="s">
        <v>30</v>
      </c>
      <c r="D1354" t="s">
        <v>87</v>
      </c>
      <c r="E1354" t="s">
        <v>11</v>
      </c>
      <c r="F1354" t="s">
        <v>27</v>
      </c>
      <c r="G1354" t="s">
        <v>13</v>
      </c>
      <c r="H1354">
        <v>11</v>
      </c>
    </row>
    <row r="1355" spans="1:8" ht="21.75" customHeight="1" x14ac:dyDescent="0.35">
      <c r="A1355" t="s">
        <v>535</v>
      </c>
      <c r="B1355" s="3">
        <v>45639</v>
      </c>
      <c r="C1355" t="s">
        <v>422</v>
      </c>
      <c r="D1355" t="s">
        <v>160</v>
      </c>
      <c r="E1355" t="s">
        <v>22</v>
      </c>
      <c r="F1355" t="s">
        <v>27</v>
      </c>
      <c r="G1355" t="s">
        <v>23</v>
      </c>
      <c r="H1355">
        <v>10</v>
      </c>
    </row>
    <row r="1356" spans="1:8" ht="21.75" customHeight="1" x14ac:dyDescent="0.35">
      <c r="A1356" t="s">
        <v>1236</v>
      </c>
      <c r="B1356" s="3">
        <v>45447</v>
      </c>
      <c r="C1356" t="s">
        <v>388</v>
      </c>
      <c r="D1356" t="s">
        <v>79</v>
      </c>
      <c r="E1356" t="s">
        <v>22</v>
      </c>
      <c r="F1356" t="s">
        <v>42</v>
      </c>
      <c r="G1356" t="s">
        <v>36</v>
      </c>
      <c r="H1356">
        <v>16</v>
      </c>
    </row>
    <row r="1357" spans="1:8" ht="21.75" customHeight="1" x14ac:dyDescent="0.35">
      <c r="A1357" t="s">
        <v>577</v>
      </c>
      <c r="B1357" s="3">
        <v>45506</v>
      </c>
      <c r="C1357" t="s">
        <v>541</v>
      </c>
      <c r="D1357" t="s">
        <v>10</v>
      </c>
      <c r="E1357" t="s">
        <v>22</v>
      </c>
      <c r="F1357" t="s">
        <v>27</v>
      </c>
      <c r="G1357" t="s">
        <v>23</v>
      </c>
      <c r="H1357">
        <v>4</v>
      </c>
    </row>
    <row r="1358" spans="1:8" ht="21.75" customHeight="1" x14ac:dyDescent="0.35">
      <c r="A1358" t="s">
        <v>1453</v>
      </c>
      <c r="B1358" s="3">
        <v>45619</v>
      </c>
      <c r="C1358" t="s">
        <v>40</v>
      </c>
      <c r="D1358" t="s">
        <v>96</v>
      </c>
      <c r="E1358" t="s">
        <v>22</v>
      </c>
      <c r="F1358" t="s">
        <v>42</v>
      </c>
      <c r="G1358" t="s">
        <v>28</v>
      </c>
      <c r="H1358">
        <v>8</v>
      </c>
    </row>
    <row r="1359" spans="1:8" ht="21.75" customHeight="1" x14ac:dyDescent="0.35">
      <c r="A1359" t="s">
        <v>1454</v>
      </c>
      <c r="B1359" s="3">
        <v>45344</v>
      </c>
      <c r="C1359" t="s">
        <v>422</v>
      </c>
      <c r="D1359" t="s">
        <v>84</v>
      </c>
      <c r="E1359" t="s">
        <v>22</v>
      </c>
      <c r="F1359" t="s">
        <v>12</v>
      </c>
      <c r="G1359" t="s">
        <v>36</v>
      </c>
      <c r="H1359">
        <v>14</v>
      </c>
    </row>
    <row r="1360" spans="1:8" ht="21.75" customHeight="1" x14ac:dyDescent="0.35">
      <c r="A1360" t="s">
        <v>1455</v>
      </c>
      <c r="B1360" s="3">
        <v>45339</v>
      </c>
      <c r="C1360" t="s">
        <v>133</v>
      </c>
      <c r="D1360" t="s">
        <v>197</v>
      </c>
      <c r="E1360" t="s">
        <v>22</v>
      </c>
      <c r="F1360" t="s">
        <v>306</v>
      </c>
      <c r="G1360" t="s">
        <v>13</v>
      </c>
      <c r="H1360">
        <v>18</v>
      </c>
    </row>
    <row r="1361" spans="1:8" ht="21.75" customHeight="1" x14ac:dyDescent="0.35">
      <c r="A1361" t="s">
        <v>1456</v>
      </c>
      <c r="B1361" s="3">
        <v>45624</v>
      </c>
      <c r="C1361" t="s">
        <v>424</v>
      </c>
      <c r="D1361" t="s">
        <v>174</v>
      </c>
      <c r="E1361" t="s">
        <v>17</v>
      </c>
      <c r="F1361" t="s">
        <v>56</v>
      </c>
      <c r="G1361" t="s">
        <v>23</v>
      </c>
      <c r="H1361">
        <v>19</v>
      </c>
    </row>
    <row r="1362" spans="1:8" ht="21.75" customHeight="1" x14ac:dyDescent="0.35">
      <c r="A1362" t="s">
        <v>1457</v>
      </c>
      <c r="B1362" s="3">
        <v>45295</v>
      </c>
      <c r="C1362" t="s">
        <v>332</v>
      </c>
      <c r="D1362" t="s">
        <v>45</v>
      </c>
      <c r="E1362" t="s">
        <v>22</v>
      </c>
      <c r="F1362" t="s">
        <v>27</v>
      </c>
      <c r="G1362" t="s">
        <v>32</v>
      </c>
      <c r="H1362">
        <v>9</v>
      </c>
    </row>
    <row r="1363" spans="1:8" ht="21.75" customHeight="1" x14ac:dyDescent="0.35">
      <c r="A1363" t="s">
        <v>1458</v>
      </c>
      <c r="B1363" s="3">
        <v>45464</v>
      </c>
      <c r="C1363" t="s">
        <v>15</v>
      </c>
      <c r="D1363" t="s">
        <v>10</v>
      </c>
      <c r="E1363" t="s">
        <v>17</v>
      </c>
      <c r="F1363" t="s">
        <v>12</v>
      </c>
      <c r="G1363" t="s">
        <v>32</v>
      </c>
      <c r="H1363">
        <v>12</v>
      </c>
    </row>
    <row r="1364" spans="1:8" ht="21.75" customHeight="1" x14ac:dyDescent="0.35">
      <c r="A1364" t="s">
        <v>1459</v>
      </c>
      <c r="B1364" s="3">
        <v>45314</v>
      </c>
      <c r="C1364" t="s">
        <v>388</v>
      </c>
      <c r="D1364" t="s">
        <v>70</v>
      </c>
      <c r="E1364" t="s">
        <v>22</v>
      </c>
      <c r="F1364" t="s">
        <v>12</v>
      </c>
      <c r="G1364" t="s">
        <v>23</v>
      </c>
      <c r="H1364">
        <v>3</v>
      </c>
    </row>
    <row r="1365" spans="1:8" ht="21.75" customHeight="1" x14ac:dyDescent="0.35">
      <c r="A1365" t="s">
        <v>1460</v>
      </c>
      <c r="B1365" s="3">
        <v>45613</v>
      </c>
      <c r="C1365" t="s">
        <v>381</v>
      </c>
      <c r="D1365" t="s">
        <v>48</v>
      </c>
      <c r="E1365" t="s">
        <v>22</v>
      </c>
      <c r="F1365" t="s">
        <v>56</v>
      </c>
      <c r="G1365" t="s">
        <v>13</v>
      </c>
      <c r="H1365">
        <v>2</v>
      </c>
    </row>
    <row r="1366" spans="1:8" ht="21.75" customHeight="1" x14ac:dyDescent="0.35">
      <c r="A1366" t="s">
        <v>1461</v>
      </c>
      <c r="B1366" s="3">
        <v>45440</v>
      </c>
      <c r="C1366" t="s">
        <v>81</v>
      </c>
      <c r="D1366" t="s">
        <v>197</v>
      </c>
      <c r="E1366" t="s">
        <v>11</v>
      </c>
      <c r="F1366" t="s">
        <v>27</v>
      </c>
      <c r="G1366" t="s">
        <v>32</v>
      </c>
      <c r="H1366">
        <v>15</v>
      </c>
    </row>
    <row r="1367" spans="1:8" ht="21.75" customHeight="1" x14ac:dyDescent="0.35">
      <c r="A1367" t="s">
        <v>1462</v>
      </c>
      <c r="B1367" s="3">
        <v>45478</v>
      </c>
      <c r="C1367" t="s">
        <v>111</v>
      </c>
      <c r="D1367" t="s">
        <v>48</v>
      </c>
      <c r="E1367" t="s">
        <v>17</v>
      </c>
      <c r="F1367" t="s">
        <v>56</v>
      </c>
      <c r="G1367" t="s">
        <v>32</v>
      </c>
      <c r="H1367">
        <v>3</v>
      </c>
    </row>
    <row r="1368" spans="1:8" ht="21.75" customHeight="1" x14ac:dyDescent="0.35">
      <c r="A1368" t="s">
        <v>1463</v>
      </c>
      <c r="B1368" s="3">
        <v>45379</v>
      </c>
      <c r="C1368" t="s">
        <v>312</v>
      </c>
      <c r="D1368" t="s">
        <v>84</v>
      </c>
      <c r="E1368" t="s">
        <v>11</v>
      </c>
      <c r="F1368" t="s">
        <v>56</v>
      </c>
      <c r="G1368" t="s">
        <v>23</v>
      </c>
      <c r="H1368">
        <v>13</v>
      </c>
    </row>
    <row r="1369" spans="1:8" ht="21.75" customHeight="1" x14ac:dyDescent="0.35">
      <c r="A1369" t="s">
        <v>1464</v>
      </c>
      <c r="B1369" s="3">
        <v>45619</v>
      </c>
      <c r="C1369" t="s">
        <v>465</v>
      </c>
      <c r="D1369" t="s">
        <v>174</v>
      </c>
      <c r="E1369" t="s">
        <v>11</v>
      </c>
      <c r="F1369" t="s">
        <v>42</v>
      </c>
      <c r="G1369" t="s">
        <v>13</v>
      </c>
      <c r="H1369">
        <v>8</v>
      </c>
    </row>
    <row r="1370" spans="1:8" ht="21.75" customHeight="1" x14ac:dyDescent="0.35">
      <c r="A1370" t="s">
        <v>1465</v>
      </c>
      <c r="B1370" s="3">
        <v>45453</v>
      </c>
      <c r="C1370" t="s">
        <v>341</v>
      </c>
      <c r="D1370" t="s">
        <v>26</v>
      </c>
      <c r="E1370" t="s">
        <v>11</v>
      </c>
      <c r="F1370" t="s">
        <v>56</v>
      </c>
      <c r="G1370" t="s">
        <v>36</v>
      </c>
      <c r="H1370">
        <v>11</v>
      </c>
    </row>
    <row r="1371" spans="1:8" ht="21.75" customHeight="1" x14ac:dyDescent="0.35">
      <c r="A1371" t="s">
        <v>1466</v>
      </c>
      <c r="B1371" s="3">
        <v>45547</v>
      </c>
      <c r="C1371" t="s">
        <v>106</v>
      </c>
      <c r="D1371" t="s">
        <v>21</v>
      </c>
      <c r="E1371" t="s">
        <v>17</v>
      </c>
      <c r="F1371" t="s">
        <v>56</v>
      </c>
      <c r="G1371" t="s">
        <v>32</v>
      </c>
      <c r="H1371">
        <v>5</v>
      </c>
    </row>
    <row r="1372" spans="1:8" ht="21.75" customHeight="1" x14ac:dyDescent="0.35">
      <c r="A1372" t="s">
        <v>1467</v>
      </c>
      <c r="B1372" s="3">
        <v>45579</v>
      </c>
      <c r="C1372" t="s">
        <v>312</v>
      </c>
      <c r="D1372" t="s">
        <v>26</v>
      </c>
      <c r="E1372" t="s">
        <v>22</v>
      </c>
      <c r="F1372" t="s">
        <v>306</v>
      </c>
      <c r="G1372" t="s">
        <v>23</v>
      </c>
      <c r="H1372">
        <v>19</v>
      </c>
    </row>
    <row r="1373" spans="1:8" ht="21.75" customHeight="1" x14ac:dyDescent="0.35">
      <c r="A1373" t="s">
        <v>1468</v>
      </c>
      <c r="B1373" s="3">
        <v>45404</v>
      </c>
      <c r="C1373" t="s">
        <v>99</v>
      </c>
      <c r="D1373" t="s">
        <v>160</v>
      </c>
      <c r="E1373" t="s">
        <v>17</v>
      </c>
      <c r="F1373" t="s">
        <v>12</v>
      </c>
      <c r="G1373" t="s">
        <v>13</v>
      </c>
      <c r="H1373">
        <v>4</v>
      </c>
    </row>
    <row r="1374" spans="1:8" ht="21.75" customHeight="1" x14ac:dyDescent="0.35">
      <c r="A1374" t="s">
        <v>1469</v>
      </c>
      <c r="B1374" s="3">
        <v>45373</v>
      </c>
      <c r="C1374" t="s">
        <v>455</v>
      </c>
      <c r="D1374" t="s">
        <v>87</v>
      </c>
      <c r="E1374" t="s">
        <v>22</v>
      </c>
      <c r="F1374" t="s">
        <v>12</v>
      </c>
      <c r="G1374" t="s">
        <v>23</v>
      </c>
      <c r="H1374">
        <v>13</v>
      </c>
    </row>
    <row r="1375" spans="1:8" ht="21.75" customHeight="1" x14ac:dyDescent="0.35">
      <c r="A1375" t="s">
        <v>1470</v>
      </c>
      <c r="B1375" s="3">
        <v>45531</v>
      </c>
      <c r="C1375" t="s">
        <v>339</v>
      </c>
      <c r="D1375" t="s">
        <v>26</v>
      </c>
      <c r="E1375" t="s">
        <v>22</v>
      </c>
      <c r="F1375" t="s">
        <v>12</v>
      </c>
      <c r="G1375" t="s">
        <v>13</v>
      </c>
      <c r="H1375">
        <v>18</v>
      </c>
    </row>
    <row r="1376" spans="1:8" ht="21.75" customHeight="1" x14ac:dyDescent="0.35">
      <c r="A1376" t="s">
        <v>1471</v>
      </c>
      <c r="B1376" s="3">
        <v>45620</v>
      </c>
      <c r="C1376" t="s">
        <v>47</v>
      </c>
      <c r="D1376" t="s">
        <v>102</v>
      </c>
      <c r="E1376" t="s">
        <v>17</v>
      </c>
      <c r="F1376" t="s">
        <v>27</v>
      </c>
      <c r="G1376" t="s">
        <v>28</v>
      </c>
      <c r="H1376">
        <v>15</v>
      </c>
    </row>
    <row r="1377" spans="1:8" ht="21.75" customHeight="1" x14ac:dyDescent="0.35">
      <c r="A1377" t="s">
        <v>1472</v>
      </c>
      <c r="B1377" s="3">
        <v>45426</v>
      </c>
      <c r="C1377" t="s">
        <v>358</v>
      </c>
      <c r="D1377" t="s">
        <v>119</v>
      </c>
      <c r="E1377" t="s">
        <v>11</v>
      </c>
      <c r="F1377" t="s">
        <v>306</v>
      </c>
      <c r="G1377" t="s">
        <v>13</v>
      </c>
      <c r="H1377">
        <v>10</v>
      </c>
    </row>
    <row r="1378" spans="1:8" ht="21.75" customHeight="1" x14ac:dyDescent="0.35">
      <c r="A1378" t="s">
        <v>1473</v>
      </c>
      <c r="B1378" s="3">
        <v>45551</v>
      </c>
      <c r="C1378" t="s">
        <v>493</v>
      </c>
      <c r="D1378" t="s">
        <v>65</v>
      </c>
      <c r="E1378" t="s">
        <v>11</v>
      </c>
      <c r="F1378" t="s">
        <v>42</v>
      </c>
      <c r="G1378" t="s">
        <v>28</v>
      </c>
      <c r="H1378">
        <v>18</v>
      </c>
    </row>
    <row r="1379" spans="1:8" ht="21.75" customHeight="1" x14ac:dyDescent="0.35">
      <c r="A1379" t="s">
        <v>1474</v>
      </c>
      <c r="B1379" s="3">
        <v>45563</v>
      </c>
      <c r="C1379" t="s">
        <v>25</v>
      </c>
      <c r="D1379" t="s">
        <v>109</v>
      </c>
      <c r="E1379" t="s">
        <v>17</v>
      </c>
      <c r="F1379" t="s">
        <v>27</v>
      </c>
      <c r="G1379" t="s">
        <v>13</v>
      </c>
      <c r="H1379">
        <v>4</v>
      </c>
    </row>
    <row r="1380" spans="1:8" ht="21.75" customHeight="1" x14ac:dyDescent="0.35">
      <c r="A1380" t="s">
        <v>1475</v>
      </c>
      <c r="B1380" s="3">
        <v>45449</v>
      </c>
      <c r="C1380" t="s">
        <v>93</v>
      </c>
      <c r="D1380" t="s">
        <v>79</v>
      </c>
      <c r="E1380" t="s">
        <v>11</v>
      </c>
      <c r="F1380" t="s">
        <v>306</v>
      </c>
      <c r="G1380" t="s">
        <v>13</v>
      </c>
      <c r="H1380">
        <v>3</v>
      </c>
    </row>
    <row r="1381" spans="1:8" ht="21.75" customHeight="1" x14ac:dyDescent="0.35">
      <c r="A1381" t="s">
        <v>1476</v>
      </c>
      <c r="B1381" s="3">
        <v>45327</v>
      </c>
      <c r="C1381" t="s">
        <v>332</v>
      </c>
      <c r="D1381" t="s">
        <v>174</v>
      </c>
      <c r="E1381" t="s">
        <v>11</v>
      </c>
      <c r="F1381" t="s">
        <v>56</v>
      </c>
      <c r="G1381" t="s">
        <v>23</v>
      </c>
      <c r="H1381">
        <v>18</v>
      </c>
    </row>
    <row r="1382" spans="1:8" ht="21.75" customHeight="1" x14ac:dyDescent="0.35">
      <c r="A1382" t="s">
        <v>1477</v>
      </c>
      <c r="B1382" s="3">
        <v>45562</v>
      </c>
      <c r="C1382" t="s">
        <v>493</v>
      </c>
      <c r="D1382" t="s">
        <v>87</v>
      </c>
      <c r="E1382" t="s">
        <v>11</v>
      </c>
      <c r="F1382" t="s">
        <v>306</v>
      </c>
      <c r="G1382" t="s">
        <v>28</v>
      </c>
      <c r="H1382">
        <v>10</v>
      </c>
    </row>
    <row r="1383" spans="1:8" ht="21.75" customHeight="1" x14ac:dyDescent="0.35">
      <c r="A1383" t="s">
        <v>1478</v>
      </c>
      <c r="B1383" s="3">
        <v>45635</v>
      </c>
      <c r="C1383" t="s">
        <v>350</v>
      </c>
      <c r="D1383" t="s">
        <v>48</v>
      </c>
      <c r="E1383" t="s">
        <v>17</v>
      </c>
      <c r="F1383" t="s">
        <v>306</v>
      </c>
      <c r="G1383" t="s">
        <v>23</v>
      </c>
      <c r="H1383">
        <v>4</v>
      </c>
    </row>
    <row r="1384" spans="1:8" ht="21.75" customHeight="1" x14ac:dyDescent="0.35">
      <c r="A1384" t="s">
        <v>1479</v>
      </c>
      <c r="B1384" s="3">
        <v>45324</v>
      </c>
      <c r="C1384" t="s">
        <v>47</v>
      </c>
      <c r="D1384" t="s">
        <v>96</v>
      </c>
      <c r="E1384" t="s">
        <v>22</v>
      </c>
      <c r="F1384" t="s">
        <v>306</v>
      </c>
      <c r="G1384" t="s">
        <v>28</v>
      </c>
      <c r="H1384">
        <v>19</v>
      </c>
    </row>
    <row r="1385" spans="1:8" ht="21.75" customHeight="1" x14ac:dyDescent="0.35">
      <c r="A1385" t="s">
        <v>1480</v>
      </c>
      <c r="B1385" s="3">
        <v>45328</v>
      </c>
      <c r="C1385" t="s">
        <v>369</v>
      </c>
      <c r="D1385" t="s">
        <v>21</v>
      </c>
      <c r="E1385" t="s">
        <v>11</v>
      </c>
      <c r="F1385" t="s">
        <v>56</v>
      </c>
      <c r="G1385" t="s">
        <v>13</v>
      </c>
      <c r="H1385">
        <v>2</v>
      </c>
    </row>
    <row r="1386" spans="1:8" ht="21.75" customHeight="1" x14ac:dyDescent="0.35">
      <c r="A1386" t="s">
        <v>1481</v>
      </c>
      <c r="B1386" s="3">
        <v>45328</v>
      </c>
      <c r="C1386" t="s">
        <v>345</v>
      </c>
      <c r="D1386" t="s">
        <v>197</v>
      </c>
      <c r="E1386" t="s">
        <v>17</v>
      </c>
      <c r="F1386" t="s">
        <v>27</v>
      </c>
      <c r="G1386" t="s">
        <v>28</v>
      </c>
      <c r="H1386">
        <v>18</v>
      </c>
    </row>
    <row r="1387" spans="1:8" ht="21.75" customHeight="1" x14ac:dyDescent="0.35">
      <c r="A1387" t="s">
        <v>1482</v>
      </c>
      <c r="B1387" s="3">
        <v>45584</v>
      </c>
      <c r="C1387" t="s">
        <v>314</v>
      </c>
      <c r="D1387" t="s">
        <v>35</v>
      </c>
      <c r="E1387" t="s">
        <v>11</v>
      </c>
      <c r="F1387" t="s">
        <v>27</v>
      </c>
      <c r="G1387" t="s">
        <v>23</v>
      </c>
      <c r="H1387">
        <v>7</v>
      </c>
    </row>
    <row r="1388" spans="1:8" ht="21.75" customHeight="1" x14ac:dyDescent="0.35">
      <c r="A1388" t="s">
        <v>1483</v>
      </c>
      <c r="B1388" s="3">
        <v>45629</v>
      </c>
      <c r="C1388" t="s">
        <v>348</v>
      </c>
      <c r="D1388" t="s">
        <v>48</v>
      </c>
      <c r="E1388" t="s">
        <v>17</v>
      </c>
      <c r="F1388" t="s">
        <v>27</v>
      </c>
      <c r="G1388" t="s">
        <v>23</v>
      </c>
      <c r="H1388">
        <v>2</v>
      </c>
    </row>
    <row r="1389" spans="1:8" ht="21.75" customHeight="1" x14ac:dyDescent="0.35">
      <c r="A1389" t="s">
        <v>1484</v>
      </c>
      <c r="B1389" s="3">
        <v>45622</v>
      </c>
      <c r="C1389" t="s">
        <v>108</v>
      </c>
      <c r="D1389" t="s">
        <v>79</v>
      </c>
      <c r="E1389" t="s">
        <v>17</v>
      </c>
      <c r="F1389" t="s">
        <v>42</v>
      </c>
      <c r="G1389" t="s">
        <v>13</v>
      </c>
      <c r="H1389">
        <v>8</v>
      </c>
    </row>
    <row r="1390" spans="1:8" ht="21.75" customHeight="1" x14ac:dyDescent="0.35">
      <c r="A1390" t="s">
        <v>1485</v>
      </c>
      <c r="B1390" s="3">
        <v>45566</v>
      </c>
      <c r="C1390" t="s">
        <v>430</v>
      </c>
      <c r="D1390" t="s">
        <v>16</v>
      </c>
      <c r="E1390" t="s">
        <v>17</v>
      </c>
      <c r="F1390" t="s">
        <v>56</v>
      </c>
      <c r="G1390" t="s">
        <v>32</v>
      </c>
      <c r="H1390">
        <v>15</v>
      </c>
    </row>
    <row r="1391" spans="1:8" ht="21.75" customHeight="1" x14ac:dyDescent="0.35">
      <c r="A1391" t="s">
        <v>1486</v>
      </c>
      <c r="B1391" s="3">
        <v>45330</v>
      </c>
      <c r="C1391" t="s">
        <v>396</v>
      </c>
      <c r="D1391" t="s">
        <v>174</v>
      </c>
      <c r="E1391" t="s">
        <v>11</v>
      </c>
      <c r="F1391" t="s">
        <v>12</v>
      </c>
      <c r="G1391" t="s">
        <v>36</v>
      </c>
      <c r="H1391">
        <v>1</v>
      </c>
    </row>
    <row r="1392" spans="1:8" ht="21.75" customHeight="1" x14ac:dyDescent="0.35">
      <c r="A1392" t="s">
        <v>1487</v>
      </c>
      <c r="B1392" s="3">
        <v>45413</v>
      </c>
      <c r="C1392" t="s">
        <v>30</v>
      </c>
      <c r="D1392" t="s">
        <v>87</v>
      </c>
      <c r="E1392" t="s">
        <v>17</v>
      </c>
      <c r="F1392" t="s">
        <v>27</v>
      </c>
      <c r="G1392" t="s">
        <v>28</v>
      </c>
      <c r="H1392">
        <v>13</v>
      </c>
    </row>
    <row r="1393" spans="1:8" ht="21.75" customHeight="1" x14ac:dyDescent="0.35">
      <c r="A1393" t="s">
        <v>1488</v>
      </c>
      <c r="B1393" s="3">
        <v>45376</v>
      </c>
      <c r="C1393" t="s">
        <v>159</v>
      </c>
      <c r="D1393" t="s">
        <v>96</v>
      </c>
      <c r="E1393" t="s">
        <v>17</v>
      </c>
      <c r="F1393" t="s">
        <v>42</v>
      </c>
      <c r="G1393" t="s">
        <v>23</v>
      </c>
      <c r="H1393">
        <v>10</v>
      </c>
    </row>
    <row r="1394" spans="1:8" ht="21.75" customHeight="1" x14ac:dyDescent="0.35">
      <c r="A1394" t="s">
        <v>1489</v>
      </c>
      <c r="B1394" s="3">
        <v>45576</v>
      </c>
      <c r="C1394" t="s">
        <v>371</v>
      </c>
      <c r="D1394" t="s">
        <v>62</v>
      </c>
      <c r="E1394" t="s">
        <v>17</v>
      </c>
      <c r="F1394" t="s">
        <v>56</v>
      </c>
      <c r="G1394" t="s">
        <v>28</v>
      </c>
      <c r="H1394">
        <v>10</v>
      </c>
    </row>
    <row r="1395" spans="1:8" ht="21.75" customHeight="1" x14ac:dyDescent="0.35">
      <c r="A1395" t="s">
        <v>1490</v>
      </c>
      <c r="B1395" s="3">
        <v>45321</v>
      </c>
      <c r="C1395" t="s">
        <v>361</v>
      </c>
      <c r="D1395" t="s">
        <v>84</v>
      </c>
      <c r="E1395" t="s">
        <v>22</v>
      </c>
      <c r="F1395" t="s">
        <v>12</v>
      </c>
      <c r="G1395" t="s">
        <v>32</v>
      </c>
      <c r="H1395">
        <v>2</v>
      </c>
    </row>
    <row r="1396" spans="1:8" ht="21.75" customHeight="1" x14ac:dyDescent="0.35">
      <c r="A1396" t="s">
        <v>1491</v>
      </c>
      <c r="B1396" s="3">
        <v>45536</v>
      </c>
      <c r="C1396" t="s">
        <v>358</v>
      </c>
      <c r="D1396" t="s">
        <v>160</v>
      </c>
      <c r="E1396" t="s">
        <v>11</v>
      </c>
      <c r="F1396" t="s">
        <v>12</v>
      </c>
      <c r="G1396" t="s">
        <v>36</v>
      </c>
      <c r="H1396">
        <v>3</v>
      </c>
    </row>
    <row r="1397" spans="1:8" ht="21.75" customHeight="1" x14ac:dyDescent="0.35">
      <c r="A1397" t="s">
        <v>1492</v>
      </c>
      <c r="B1397" s="3">
        <v>45327</v>
      </c>
      <c r="C1397" t="s">
        <v>327</v>
      </c>
      <c r="D1397" t="s">
        <v>10</v>
      </c>
      <c r="E1397" t="s">
        <v>22</v>
      </c>
      <c r="F1397" t="s">
        <v>56</v>
      </c>
      <c r="G1397" t="s">
        <v>23</v>
      </c>
      <c r="H1397">
        <v>4</v>
      </c>
    </row>
    <row r="1398" spans="1:8" ht="21.75" customHeight="1" x14ac:dyDescent="0.35">
      <c r="A1398" t="s">
        <v>1493</v>
      </c>
      <c r="B1398" s="3">
        <v>45583</v>
      </c>
      <c r="C1398" t="s">
        <v>78</v>
      </c>
      <c r="D1398" t="s">
        <v>59</v>
      </c>
      <c r="E1398" t="s">
        <v>22</v>
      </c>
      <c r="F1398" t="s">
        <v>12</v>
      </c>
      <c r="G1398" t="s">
        <v>36</v>
      </c>
      <c r="H1398">
        <v>3</v>
      </c>
    </row>
    <row r="1399" spans="1:8" ht="21.75" customHeight="1" x14ac:dyDescent="0.35">
      <c r="A1399" t="s">
        <v>1494</v>
      </c>
      <c r="B1399" s="3">
        <v>45590</v>
      </c>
      <c r="C1399" t="s">
        <v>614</v>
      </c>
      <c r="D1399" t="s">
        <v>160</v>
      </c>
      <c r="E1399" t="s">
        <v>17</v>
      </c>
      <c r="F1399" t="s">
        <v>42</v>
      </c>
      <c r="G1399" t="s">
        <v>28</v>
      </c>
      <c r="H1399">
        <v>11</v>
      </c>
    </row>
    <row r="1400" spans="1:8" ht="21.75" customHeight="1" x14ac:dyDescent="0.35">
      <c r="A1400" t="s">
        <v>1495</v>
      </c>
      <c r="B1400" s="3">
        <v>45494</v>
      </c>
      <c r="C1400" t="s">
        <v>34</v>
      </c>
      <c r="D1400" t="s">
        <v>41</v>
      </c>
      <c r="E1400" t="s">
        <v>22</v>
      </c>
      <c r="F1400" t="s">
        <v>42</v>
      </c>
      <c r="G1400" t="s">
        <v>23</v>
      </c>
      <c r="H1400">
        <v>11</v>
      </c>
    </row>
    <row r="1401" spans="1:8" ht="21.75" customHeight="1" x14ac:dyDescent="0.35">
      <c r="A1401" t="s">
        <v>1496</v>
      </c>
      <c r="B1401" s="3">
        <v>45329</v>
      </c>
      <c r="C1401" t="s">
        <v>142</v>
      </c>
      <c r="D1401" t="s">
        <v>70</v>
      </c>
      <c r="E1401" t="s">
        <v>22</v>
      </c>
      <c r="F1401" t="s">
        <v>306</v>
      </c>
      <c r="G1401" t="s">
        <v>13</v>
      </c>
      <c r="H1401">
        <v>3</v>
      </c>
    </row>
    <row r="1402" spans="1:8" ht="21.75" customHeight="1" x14ac:dyDescent="0.35">
      <c r="A1402" t="s">
        <v>1497</v>
      </c>
      <c r="B1402" s="3">
        <v>45551</v>
      </c>
      <c r="C1402" t="s">
        <v>86</v>
      </c>
      <c r="D1402" t="s">
        <v>16</v>
      </c>
      <c r="E1402" t="s">
        <v>17</v>
      </c>
      <c r="F1402" t="s">
        <v>12</v>
      </c>
      <c r="G1402" t="s">
        <v>28</v>
      </c>
      <c r="H1402">
        <v>12</v>
      </c>
    </row>
    <row r="1403" spans="1:8" ht="21.75" customHeight="1" x14ac:dyDescent="0.35">
      <c r="A1403" t="s">
        <v>1498</v>
      </c>
      <c r="B1403" s="3">
        <v>45516</v>
      </c>
      <c r="C1403" t="s">
        <v>591</v>
      </c>
      <c r="D1403" t="s">
        <v>62</v>
      </c>
      <c r="E1403" t="s">
        <v>17</v>
      </c>
      <c r="F1403" t="s">
        <v>306</v>
      </c>
      <c r="G1403" t="s">
        <v>36</v>
      </c>
      <c r="H1403">
        <v>1</v>
      </c>
    </row>
    <row r="1404" spans="1:8" ht="21.75" customHeight="1" x14ac:dyDescent="0.35">
      <c r="A1404" t="s">
        <v>1499</v>
      </c>
      <c r="B1404" s="3">
        <v>45575</v>
      </c>
      <c r="C1404" t="s">
        <v>68</v>
      </c>
      <c r="D1404" t="s">
        <v>41</v>
      </c>
      <c r="E1404" t="s">
        <v>11</v>
      </c>
      <c r="F1404" t="s">
        <v>56</v>
      </c>
      <c r="G1404" t="s">
        <v>32</v>
      </c>
      <c r="H1404">
        <v>4</v>
      </c>
    </row>
    <row r="1405" spans="1:8" ht="21.75" customHeight="1" x14ac:dyDescent="0.35">
      <c r="A1405" t="s">
        <v>1500</v>
      </c>
      <c r="B1405" s="3">
        <v>45575</v>
      </c>
      <c r="C1405" t="s">
        <v>125</v>
      </c>
      <c r="D1405" t="s">
        <v>26</v>
      </c>
      <c r="E1405" t="s">
        <v>17</v>
      </c>
      <c r="F1405" t="s">
        <v>306</v>
      </c>
      <c r="G1405" t="s">
        <v>28</v>
      </c>
      <c r="H1405">
        <v>11</v>
      </c>
    </row>
    <row r="1406" spans="1:8" ht="21.75" customHeight="1" x14ac:dyDescent="0.35">
      <c r="A1406" t="s">
        <v>1501</v>
      </c>
      <c r="B1406" s="3">
        <v>45616</v>
      </c>
      <c r="C1406" t="s">
        <v>86</v>
      </c>
      <c r="D1406" t="s">
        <v>160</v>
      </c>
      <c r="E1406" t="s">
        <v>17</v>
      </c>
      <c r="F1406" t="s">
        <v>42</v>
      </c>
      <c r="G1406" t="s">
        <v>13</v>
      </c>
      <c r="H1406">
        <v>3</v>
      </c>
    </row>
    <row r="1407" spans="1:8" ht="21.75" customHeight="1" x14ac:dyDescent="0.35">
      <c r="A1407" t="s">
        <v>1502</v>
      </c>
      <c r="B1407" s="3">
        <v>45433</v>
      </c>
      <c r="C1407" t="s">
        <v>116</v>
      </c>
      <c r="D1407" t="s">
        <v>96</v>
      </c>
      <c r="E1407" t="s">
        <v>17</v>
      </c>
      <c r="F1407" t="s">
        <v>56</v>
      </c>
      <c r="G1407" t="s">
        <v>32</v>
      </c>
      <c r="H1407">
        <v>6</v>
      </c>
    </row>
    <row r="1408" spans="1:8" ht="21.75" customHeight="1" x14ac:dyDescent="0.35">
      <c r="A1408" t="s">
        <v>1503</v>
      </c>
      <c r="B1408" s="3">
        <v>45574</v>
      </c>
      <c r="C1408" t="s">
        <v>369</v>
      </c>
      <c r="D1408" t="s">
        <v>87</v>
      </c>
      <c r="E1408" t="s">
        <v>22</v>
      </c>
      <c r="F1408" t="s">
        <v>12</v>
      </c>
      <c r="G1408" t="s">
        <v>13</v>
      </c>
      <c r="H1408">
        <v>3</v>
      </c>
    </row>
    <row r="1409" spans="1:8" ht="21.75" customHeight="1" x14ac:dyDescent="0.35">
      <c r="A1409" t="s">
        <v>1504</v>
      </c>
      <c r="B1409" s="3">
        <v>45645</v>
      </c>
      <c r="C1409" t="s">
        <v>125</v>
      </c>
      <c r="D1409" t="s">
        <v>174</v>
      </c>
      <c r="E1409" t="s">
        <v>11</v>
      </c>
      <c r="F1409" t="s">
        <v>42</v>
      </c>
      <c r="G1409" t="s">
        <v>36</v>
      </c>
      <c r="H1409">
        <v>18</v>
      </c>
    </row>
    <row r="1410" spans="1:8" ht="21.75" customHeight="1" x14ac:dyDescent="0.35">
      <c r="A1410" t="s">
        <v>1505</v>
      </c>
      <c r="B1410" s="3">
        <v>45357</v>
      </c>
      <c r="C1410" t="s">
        <v>116</v>
      </c>
      <c r="D1410" t="s">
        <v>74</v>
      </c>
      <c r="E1410" t="s">
        <v>17</v>
      </c>
      <c r="F1410" t="s">
        <v>12</v>
      </c>
      <c r="G1410" t="s">
        <v>32</v>
      </c>
      <c r="H1410">
        <v>7</v>
      </c>
    </row>
    <row r="1411" spans="1:8" ht="21.75" customHeight="1" x14ac:dyDescent="0.35">
      <c r="A1411" t="s">
        <v>1506</v>
      </c>
      <c r="B1411" s="3">
        <v>45633</v>
      </c>
      <c r="C1411" t="s">
        <v>15</v>
      </c>
      <c r="D1411" t="s">
        <v>48</v>
      </c>
      <c r="E1411" t="s">
        <v>22</v>
      </c>
      <c r="F1411" t="s">
        <v>27</v>
      </c>
      <c r="G1411" t="s">
        <v>36</v>
      </c>
      <c r="H1411">
        <v>5</v>
      </c>
    </row>
    <row r="1412" spans="1:8" ht="21.75" customHeight="1" x14ac:dyDescent="0.35">
      <c r="A1412" t="s">
        <v>1507</v>
      </c>
      <c r="B1412" s="3">
        <v>45413</v>
      </c>
      <c r="C1412" t="s">
        <v>111</v>
      </c>
      <c r="D1412" t="s">
        <v>45</v>
      </c>
      <c r="E1412" t="s">
        <v>17</v>
      </c>
      <c r="F1412" t="s">
        <v>12</v>
      </c>
      <c r="G1412" t="s">
        <v>28</v>
      </c>
      <c r="H1412">
        <v>11</v>
      </c>
    </row>
    <row r="1413" spans="1:8" ht="21.75" customHeight="1" x14ac:dyDescent="0.35">
      <c r="A1413" t="s">
        <v>1508</v>
      </c>
      <c r="B1413" s="3">
        <v>45502</v>
      </c>
      <c r="C1413" t="s">
        <v>317</v>
      </c>
      <c r="D1413" t="s">
        <v>84</v>
      </c>
      <c r="E1413" t="s">
        <v>11</v>
      </c>
      <c r="F1413" t="s">
        <v>42</v>
      </c>
      <c r="G1413" t="s">
        <v>28</v>
      </c>
      <c r="H1413">
        <v>4</v>
      </c>
    </row>
    <row r="1414" spans="1:8" ht="21.75" customHeight="1" x14ac:dyDescent="0.35">
      <c r="A1414" t="s">
        <v>1509</v>
      </c>
      <c r="B1414" s="3">
        <v>45311</v>
      </c>
      <c r="C1414" t="s">
        <v>553</v>
      </c>
      <c r="D1414" t="s">
        <v>197</v>
      </c>
      <c r="E1414" t="s">
        <v>11</v>
      </c>
      <c r="F1414" t="s">
        <v>27</v>
      </c>
      <c r="G1414" t="s">
        <v>32</v>
      </c>
      <c r="H1414">
        <v>10</v>
      </c>
    </row>
    <row r="1415" spans="1:8" ht="21.75" customHeight="1" x14ac:dyDescent="0.35">
      <c r="A1415" t="s">
        <v>1510</v>
      </c>
      <c r="B1415" s="3">
        <v>45408</v>
      </c>
      <c r="C1415" t="s">
        <v>240</v>
      </c>
      <c r="D1415" t="s">
        <v>96</v>
      </c>
      <c r="E1415" t="s">
        <v>22</v>
      </c>
      <c r="F1415" t="s">
        <v>56</v>
      </c>
      <c r="G1415" t="s">
        <v>23</v>
      </c>
      <c r="H1415">
        <v>11</v>
      </c>
    </row>
    <row r="1416" spans="1:8" ht="21.75" customHeight="1" x14ac:dyDescent="0.35">
      <c r="A1416" t="s">
        <v>1511</v>
      </c>
      <c r="B1416" s="3">
        <v>45327</v>
      </c>
      <c r="C1416" t="s">
        <v>337</v>
      </c>
      <c r="D1416" t="s">
        <v>26</v>
      </c>
      <c r="E1416" t="s">
        <v>17</v>
      </c>
      <c r="F1416" t="s">
        <v>306</v>
      </c>
      <c r="G1416" t="s">
        <v>23</v>
      </c>
      <c r="H1416">
        <v>18</v>
      </c>
    </row>
    <row r="1417" spans="1:8" ht="21.75" customHeight="1" x14ac:dyDescent="0.35">
      <c r="A1417" t="s">
        <v>1512</v>
      </c>
      <c r="B1417" s="3">
        <v>45306</v>
      </c>
      <c r="C1417" t="s">
        <v>40</v>
      </c>
      <c r="D1417" t="s">
        <v>26</v>
      </c>
      <c r="E1417" t="s">
        <v>11</v>
      </c>
      <c r="F1417" t="s">
        <v>306</v>
      </c>
      <c r="G1417" t="s">
        <v>32</v>
      </c>
      <c r="H1417">
        <v>2</v>
      </c>
    </row>
    <row r="1418" spans="1:8" ht="21.75" customHeight="1" x14ac:dyDescent="0.35">
      <c r="A1418" t="s">
        <v>1513</v>
      </c>
      <c r="B1418" s="3">
        <v>45514</v>
      </c>
      <c r="C1418" t="s">
        <v>20</v>
      </c>
      <c r="D1418" t="s">
        <v>84</v>
      </c>
      <c r="E1418" t="s">
        <v>17</v>
      </c>
      <c r="F1418" t="s">
        <v>27</v>
      </c>
      <c r="G1418" t="s">
        <v>36</v>
      </c>
      <c r="H1418">
        <v>17</v>
      </c>
    </row>
    <row r="1419" spans="1:8" ht="21.75" customHeight="1" x14ac:dyDescent="0.35">
      <c r="A1419" t="s">
        <v>1514</v>
      </c>
      <c r="B1419" s="3">
        <v>45587</v>
      </c>
      <c r="C1419" t="s">
        <v>150</v>
      </c>
      <c r="D1419" t="s">
        <v>26</v>
      </c>
      <c r="E1419" t="s">
        <v>11</v>
      </c>
      <c r="F1419" t="s">
        <v>27</v>
      </c>
      <c r="G1419" t="s">
        <v>13</v>
      </c>
      <c r="H1419">
        <v>17</v>
      </c>
    </row>
    <row r="1420" spans="1:8" ht="21.75" customHeight="1" x14ac:dyDescent="0.35">
      <c r="A1420" t="s">
        <v>1515</v>
      </c>
      <c r="B1420" s="3">
        <v>45567</v>
      </c>
      <c r="C1420" t="s">
        <v>455</v>
      </c>
      <c r="D1420" t="s">
        <v>84</v>
      </c>
      <c r="E1420" t="s">
        <v>22</v>
      </c>
      <c r="F1420" t="s">
        <v>56</v>
      </c>
      <c r="G1420" t="s">
        <v>32</v>
      </c>
      <c r="H1420">
        <v>14</v>
      </c>
    </row>
    <row r="1421" spans="1:8" ht="21.75" customHeight="1" x14ac:dyDescent="0.35">
      <c r="A1421" t="s">
        <v>1516</v>
      </c>
      <c r="B1421" s="3">
        <v>45632</v>
      </c>
      <c r="C1421" t="s">
        <v>118</v>
      </c>
      <c r="D1421" t="s">
        <v>109</v>
      </c>
      <c r="E1421" t="s">
        <v>17</v>
      </c>
      <c r="F1421" t="s">
        <v>12</v>
      </c>
      <c r="G1421" t="s">
        <v>32</v>
      </c>
      <c r="H1421">
        <v>17</v>
      </c>
    </row>
    <row r="1422" spans="1:8" ht="21.75" customHeight="1" x14ac:dyDescent="0.35">
      <c r="A1422" t="s">
        <v>1517</v>
      </c>
      <c r="B1422" s="3">
        <v>45501</v>
      </c>
      <c r="C1422" t="s">
        <v>187</v>
      </c>
      <c r="D1422" t="s">
        <v>31</v>
      </c>
      <c r="E1422" t="s">
        <v>22</v>
      </c>
      <c r="F1422" t="s">
        <v>42</v>
      </c>
      <c r="G1422" t="s">
        <v>36</v>
      </c>
      <c r="H1422">
        <v>5</v>
      </c>
    </row>
    <row r="1423" spans="1:8" ht="21.75" customHeight="1" x14ac:dyDescent="0.35">
      <c r="A1423" t="s">
        <v>1518</v>
      </c>
      <c r="B1423" s="3">
        <v>45632</v>
      </c>
      <c r="C1423" t="s">
        <v>159</v>
      </c>
      <c r="D1423" t="s">
        <v>41</v>
      </c>
      <c r="E1423" t="s">
        <v>22</v>
      </c>
      <c r="F1423" t="s">
        <v>56</v>
      </c>
      <c r="G1423" t="s">
        <v>36</v>
      </c>
      <c r="H1423">
        <v>19</v>
      </c>
    </row>
    <row r="1424" spans="1:8" ht="21.75" customHeight="1" x14ac:dyDescent="0.35">
      <c r="A1424" t="s">
        <v>1519</v>
      </c>
      <c r="B1424" s="3">
        <v>45572</v>
      </c>
      <c r="C1424" t="s">
        <v>25</v>
      </c>
      <c r="D1424" t="s">
        <v>74</v>
      </c>
      <c r="E1424" t="s">
        <v>17</v>
      </c>
      <c r="F1424" t="s">
        <v>56</v>
      </c>
      <c r="G1424" t="s">
        <v>23</v>
      </c>
      <c r="H1424">
        <v>19</v>
      </c>
    </row>
    <row r="1425" spans="1:8" ht="21.75" customHeight="1" x14ac:dyDescent="0.35">
      <c r="A1425" t="s">
        <v>1520</v>
      </c>
      <c r="B1425" s="3">
        <v>45456</v>
      </c>
      <c r="C1425" t="s">
        <v>319</v>
      </c>
      <c r="D1425" t="s">
        <v>70</v>
      </c>
      <c r="E1425" t="s">
        <v>17</v>
      </c>
      <c r="F1425" t="s">
        <v>56</v>
      </c>
      <c r="G1425" t="s">
        <v>36</v>
      </c>
      <c r="H1425">
        <v>16</v>
      </c>
    </row>
    <row r="1426" spans="1:8" ht="21.75" customHeight="1" x14ac:dyDescent="0.35">
      <c r="A1426" t="s">
        <v>1521</v>
      </c>
      <c r="B1426" s="3">
        <v>45378</v>
      </c>
      <c r="C1426" t="s">
        <v>371</v>
      </c>
      <c r="D1426" t="s">
        <v>10</v>
      </c>
      <c r="E1426" t="s">
        <v>17</v>
      </c>
      <c r="F1426" t="s">
        <v>306</v>
      </c>
      <c r="G1426" t="s">
        <v>36</v>
      </c>
      <c r="H1426">
        <v>11</v>
      </c>
    </row>
    <row r="1427" spans="1:8" ht="21.75" customHeight="1" x14ac:dyDescent="0.35">
      <c r="A1427" t="s">
        <v>1522</v>
      </c>
      <c r="B1427" s="3">
        <v>45412</v>
      </c>
      <c r="C1427" t="s">
        <v>422</v>
      </c>
      <c r="D1427" t="s">
        <v>74</v>
      </c>
      <c r="E1427" t="s">
        <v>11</v>
      </c>
      <c r="F1427" t="s">
        <v>56</v>
      </c>
      <c r="G1427" t="s">
        <v>28</v>
      </c>
      <c r="H1427">
        <v>1</v>
      </c>
    </row>
    <row r="1428" spans="1:8" ht="21.75" customHeight="1" x14ac:dyDescent="0.35">
      <c r="A1428" t="s">
        <v>1523</v>
      </c>
      <c r="B1428" s="3">
        <v>45535</v>
      </c>
      <c r="C1428" t="s">
        <v>594</v>
      </c>
      <c r="D1428" t="s">
        <v>119</v>
      </c>
      <c r="E1428" t="s">
        <v>11</v>
      </c>
      <c r="F1428" t="s">
        <v>27</v>
      </c>
      <c r="G1428" t="s">
        <v>23</v>
      </c>
      <c r="H1428">
        <v>19</v>
      </c>
    </row>
    <row r="1429" spans="1:8" ht="21.75" customHeight="1" x14ac:dyDescent="0.35">
      <c r="A1429" t="s">
        <v>1524</v>
      </c>
      <c r="B1429" s="3">
        <v>45648</v>
      </c>
      <c r="C1429" t="s">
        <v>53</v>
      </c>
      <c r="D1429" t="s">
        <v>35</v>
      </c>
      <c r="E1429" t="s">
        <v>17</v>
      </c>
      <c r="F1429" t="s">
        <v>56</v>
      </c>
      <c r="G1429" t="s">
        <v>28</v>
      </c>
      <c r="H1429">
        <v>1</v>
      </c>
    </row>
    <row r="1430" spans="1:8" ht="21.75" customHeight="1" x14ac:dyDescent="0.35">
      <c r="A1430" t="s">
        <v>1525</v>
      </c>
      <c r="B1430" s="3">
        <v>45346</v>
      </c>
      <c r="C1430" t="s">
        <v>420</v>
      </c>
      <c r="D1430" t="s">
        <v>87</v>
      </c>
      <c r="E1430" t="s">
        <v>11</v>
      </c>
      <c r="F1430" t="s">
        <v>56</v>
      </c>
      <c r="G1430" t="s">
        <v>36</v>
      </c>
      <c r="H1430">
        <v>15</v>
      </c>
    </row>
    <row r="1431" spans="1:8" ht="21.75" customHeight="1" x14ac:dyDescent="0.35">
      <c r="A1431" t="s">
        <v>1526</v>
      </c>
      <c r="B1431" s="3">
        <v>45419</v>
      </c>
      <c r="C1431" t="s">
        <v>114</v>
      </c>
      <c r="D1431" t="s">
        <v>70</v>
      </c>
      <c r="E1431" t="s">
        <v>11</v>
      </c>
      <c r="F1431" t="s">
        <v>27</v>
      </c>
      <c r="G1431" t="s">
        <v>36</v>
      </c>
      <c r="H1431">
        <v>18</v>
      </c>
    </row>
    <row r="1432" spans="1:8" ht="21.75" customHeight="1" x14ac:dyDescent="0.35">
      <c r="A1432" t="s">
        <v>1527</v>
      </c>
      <c r="B1432" s="3">
        <v>45518</v>
      </c>
      <c r="C1432" t="s">
        <v>594</v>
      </c>
      <c r="D1432" t="s">
        <v>84</v>
      </c>
      <c r="E1432" t="s">
        <v>22</v>
      </c>
      <c r="F1432" t="s">
        <v>27</v>
      </c>
      <c r="G1432" t="s">
        <v>36</v>
      </c>
      <c r="H1432">
        <v>15</v>
      </c>
    </row>
    <row r="1433" spans="1:8" ht="21.75" customHeight="1" x14ac:dyDescent="0.35">
      <c r="A1433" t="s">
        <v>1528</v>
      </c>
      <c r="B1433" s="3">
        <v>45535</v>
      </c>
      <c r="C1433" t="s">
        <v>430</v>
      </c>
      <c r="D1433" t="s">
        <v>26</v>
      </c>
      <c r="E1433" t="s">
        <v>11</v>
      </c>
      <c r="F1433" t="s">
        <v>42</v>
      </c>
      <c r="G1433" t="s">
        <v>36</v>
      </c>
      <c r="H1433">
        <v>16</v>
      </c>
    </row>
    <row r="1434" spans="1:8" ht="21.75" customHeight="1" x14ac:dyDescent="0.35">
      <c r="A1434" t="s">
        <v>1529</v>
      </c>
      <c r="B1434" s="3">
        <v>45432</v>
      </c>
      <c r="C1434" t="s">
        <v>396</v>
      </c>
      <c r="D1434" t="s">
        <v>10</v>
      </c>
      <c r="E1434" t="s">
        <v>22</v>
      </c>
      <c r="F1434" t="s">
        <v>42</v>
      </c>
      <c r="G1434" t="s">
        <v>28</v>
      </c>
      <c r="H1434">
        <v>9</v>
      </c>
    </row>
    <row r="1435" spans="1:8" ht="21.75" customHeight="1" x14ac:dyDescent="0.35">
      <c r="A1435" t="s">
        <v>1530</v>
      </c>
      <c r="B1435" s="3">
        <v>45568</v>
      </c>
      <c r="C1435" t="s">
        <v>81</v>
      </c>
      <c r="D1435" t="s">
        <v>16</v>
      </c>
      <c r="E1435" t="s">
        <v>11</v>
      </c>
      <c r="F1435" t="s">
        <v>56</v>
      </c>
      <c r="G1435" t="s">
        <v>23</v>
      </c>
      <c r="H1435">
        <v>5</v>
      </c>
    </row>
    <row r="1436" spans="1:8" ht="21.75" customHeight="1" x14ac:dyDescent="0.35">
      <c r="A1436" t="s">
        <v>1531</v>
      </c>
      <c r="B1436" s="3">
        <v>45324</v>
      </c>
      <c r="C1436" t="s">
        <v>572</v>
      </c>
      <c r="D1436" t="s">
        <v>87</v>
      </c>
      <c r="E1436" t="s">
        <v>17</v>
      </c>
      <c r="F1436" t="s">
        <v>306</v>
      </c>
      <c r="G1436" t="s">
        <v>23</v>
      </c>
      <c r="H1436">
        <v>14</v>
      </c>
    </row>
    <row r="1437" spans="1:8" ht="21.75" customHeight="1" x14ac:dyDescent="0.35">
      <c r="A1437" t="s">
        <v>1532</v>
      </c>
      <c r="B1437" s="3">
        <v>45507</v>
      </c>
      <c r="C1437" t="s">
        <v>53</v>
      </c>
      <c r="D1437" t="s">
        <v>119</v>
      </c>
      <c r="E1437" t="s">
        <v>22</v>
      </c>
      <c r="F1437" t="s">
        <v>12</v>
      </c>
      <c r="G1437" t="s">
        <v>36</v>
      </c>
      <c r="H1437">
        <v>13</v>
      </c>
    </row>
    <row r="1438" spans="1:8" ht="21.75" customHeight="1" x14ac:dyDescent="0.35">
      <c r="A1438" t="s">
        <v>1533</v>
      </c>
      <c r="B1438" s="3">
        <v>45472</v>
      </c>
      <c r="C1438" t="s">
        <v>68</v>
      </c>
      <c r="D1438" t="s">
        <v>119</v>
      </c>
      <c r="E1438" t="s">
        <v>17</v>
      </c>
      <c r="F1438" t="s">
        <v>27</v>
      </c>
      <c r="G1438" t="s">
        <v>36</v>
      </c>
      <c r="H1438">
        <v>18</v>
      </c>
    </row>
    <row r="1439" spans="1:8" ht="21.75" customHeight="1" x14ac:dyDescent="0.35">
      <c r="A1439" t="s">
        <v>1534</v>
      </c>
      <c r="B1439" s="3">
        <v>45404</v>
      </c>
      <c r="C1439" t="s">
        <v>374</v>
      </c>
      <c r="D1439" t="s">
        <v>197</v>
      </c>
      <c r="E1439" t="s">
        <v>17</v>
      </c>
      <c r="F1439" t="s">
        <v>27</v>
      </c>
      <c r="G1439" t="s">
        <v>23</v>
      </c>
      <c r="H1439">
        <v>1</v>
      </c>
    </row>
    <row r="1440" spans="1:8" ht="21.75" customHeight="1" x14ac:dyDescent="0.35">
      <c r="A1440" t="s">
        <v>1535</v>
      </c>
      <c r="B1440" s="3">
        <v>45634</v>
      </c>
      <c r="C1440" t="s">
        <v>422</v>
      </c>
      <c r="D1440" t="s">
        <v>31</v>
      </c>
      <c r="E1440" t="s">
        <v>22</v>
      </c>
      <c r="F1440" t="s">
        <v>56</v>
      </c>
      <c r="G1440" t="s">
        <v>23</v>
      </c>
      <c r="H1440">
        <v>5</v>
      </c>
    </row>
    <row r="1441" spans="1:8" ht="21.75" customHeight="1" x14ac:dyDescent="0.35">
      <c r="A1441" t="s">
        <v>1536</v>
      </c>
      <c r="B1441" s="3">
        <v>45565</v>
      </c>
      <c r="C1441" t="s">
        <v>64</v>
      </c>
      <c r="D1441" t="s">
        <v>31</v>
      </c>
      <c r="E1441" t="s">
        <v>22</v>
      </c>
      <c r="F1441" t="s">
        <v>306</v>
      </c>
      <c r="G1441" t="s">
        <v>13</v>
      </c>
      <c r="H1441">
        <v>3</v>
      </c>
    </row>
    <row r="1442" spans="1:8" ht="21.75" customHeight="1" x14ac:dyDescent="0.35">
      <c r="A1442" t="s">
        <v>1537</v>
      </c>
      <c r="B1442" s="3">
        <v>45361</v>
      </c>
      <c r="C1442" t="s">
        <v>319</v>
      </c>
      <c r="D1442" t="s">
        <v>45</v>
      </c>
      <c r="E1442" t="s">
        <v>11</v>
      </c>
      <c r="F1442" t="s">
        <v>42</v>
      </c>
      <c r="G1442" t="s">
        <v>23</v>
      </c>
      <c r="H1442">
        <v>11</v>
      </c>
    </row>
    <row r="1443" spans="1:8" ht="21.75" customHeight="1" x14ac:dyDescent="0.35">
      <c r="A1443" t="s">
        <v>1538</v>
      </c>
      <c r="B1443" s="3">
        <v>45459</v>
      </c>
      <c r="C1443" t="s">
        <v>47</v>
      </c>
      <c r="D1443" t="s">
        <v>119</v>
      </c>
      <c r="E1443" t="s">
        <v>17</v>
      </c>
      <c r="F1443" t="s">
        <v>42</v>
      </c>
      <c r="G1443" t="s">
        <v>23</v>
      </c>
      <c r="H1443">
        <v>9</v>
      </c>
    </row>
    <row r="1444" spans="1:8" ht="21.75" customHeight="1" x14ac:dyDescent="0.35">
      <c r="A1444" t="s">
        <v>1539</v>
      </c>
      <c r="B1444" s="3">
        <v>45532</v>
      </c>
      <c r="C1444" t="s">
        <v>138</v>
      </c>
      <c r="D1444" t="s">
        <v>84</v>
      </c>
      <c r="E1444" t="s">
        <v>22</v>
      </c>
      <c r="F1444" t="s">
        <v>12</v>
      </c>
      <c r="G1444" t="s">
        <v>32</v>
      </c>
      <c r="H1444">
        <v>8</v>
      </c>
    </row>
    <row r="1445" spans="1:8" ht="21.75" customHeight="1" x14ac:dyDescent="0.35">
      <c r="A1445" t="s">
        <v>1540</v>
      </c>
      <c r="B1445" s="3">
        <v>45625</v>
      </c>
      <c r="C1445" t="s">
        <v>116</v>
      </c>
      <c r="D1445" t="s">
        <v>119</v>
      </c>
      <c r="E1445" t="s">
        <v>11</v>
      </c>
      <c r="F1445" t="s">
        <v>56</v>
      </c>
      <c r="G1445" t="s">
        <v>28</v>
      </c>
      <c r="H1445">
        <v>1</v>
      </c>
    </row>
    <row r="1446" spans="1:8" ht="21.75" customHeight="1" x14ac:dyDescent="0.35">
      <c r="A1446" t="s">
        <v>1541</v>
      </c>
      <c r="B1446" s="3">
        <v>45414</v>
      </c>
      <c r="C1446" t="s">
        <v>34</v>
      </c>
      <c r="D1446" t="s">
        <v>35</v>
      </c>
      <c r="E1446" t="s">
        <v>22</v>
      </c>
      <c r="F1446" t="s">
        <v>12</v>
      </c>
      <c r="G1446" t="s">
        <v>36</v>
      </c>
      <c r="H1446">
        <v>7</v>
      </c>
    </row>
    <row r="1447" spans="1:8" ht="21.75" customHeight="1" x14ac:dyDescent="0.35">
      <c r="A1447" t="s">
        <v>1542</v>
      </c>
      <c r="B1447" s="3">
        <v>45423</v>
      </c>
      <c r="C1447" t="s">
        <v>337</v>
      </c>
      <c r="D1447" t="s">
        <v>48</v>
      </c>
      <c r="E1447" t="s">
        <v>11</v>
      </c>
      <c r="F1447" t="s">
        <v>306</v>
      </c>
      <c r="G1447" t="s">
        <v>36</v>
      </c>
      <c r="H1447">
        <v>4</v>
      </c>
    </row>
    <row r="1448" spans="1:8" ht="21.75" customHeight="1" x14ac:dyDescent="0.35">
      <c r="A1448" t="s">
        <v>1543</v>
      </c>
      <c r="B1448" s="3">
        <v>45375</v>
      </c>
      <c r="C1448" t="s">
        <v>147</v>
      </c>
      <c r="D1448" t="s">
        <v>102</v>
      </c>
      <c r="E1448" t="s">
        <v>22</v>
      </c>
      <c r="F1448" t="s">
        <v>12</v>
      </c>
      <c r="G1448" t="s">
        <v>32</v>
      </c>
      <c r="H1448">
        <v>19</v>
      </c>
    </row>
    <row r="1449" spans="1:8" ht="21.75" customHeight="1" x14ac:dyDescent="0.35">
      <c r="A1449" t="s">
        <v>1544</v>
      </c>
      <c r="B1449" s="3">
        <v>45484</v>
      </c>
      <c r="C1449" t="s">
        <v>106</v>
      </c>
      <c r="D1449" t="s">
        <v>62</v>
      </c>
      <c r="E1449" t="s">
        <v>11</v>
      </c>
      <c r="F1449" t="s">
        <v>12</v>
      </c>
      <c r="G1449" t="s">
        <v>36</v>
      </c>
      <c r="H1449">
        <v>8</v>
      </c>
    </row>
    <row r="1450" spans="1:8" ht="21.75" customHeight="1" x14ac:dyDescent="0.35">
      <c r="A1450" t="s">
        <v>1545</v>
      </c>
      <c r="B1450" s="3">
        <v>45446</v>
      </c>
      <c r="C1450" t="s">
        <v>455</v>
      </c>
      <c r="D1450" t="s">
        <v>109</v>
      </c>
      <c r="E1450" t="s">
        <v>11</v>
      </c>
      <c r="F1450" t="s">
        <v>306</v>
      </c>
      <c r="G1450" t="s">
        <v>13</v>
      </c>
      <c r="H1450">
        <v>12</v>
      </c>
    </row>
    <row r="1451" spans="1:8" ht="21.75" customHeight="1" x14ac:dyDescent="0.35">
      <c r="A1451" t="s">
        <v>1546</v>
      </c>
      <c r="B1451" s="3">
        <v>45630</v>
      </c>
      <c r="C1451" t="s">
        <v>200</v>
      </c>
      <c r="D1451" t="s">
        <v>10</v>
      </c>
      <c r="E1451" t="s">
        <v>22</v>
      </c>
      <c r="F1451" t="s">
        <v>42</v>
      </c>
      <c r="G1451" t="s">
        <v>13</v>
      </c>
      <c r="H1451">
        <v>14</v>
      </c>
    </row>
    <row r="1452" spans="1:8" ht="21.75" customHeight="1" x14ac:dyDescent="0.35">
      <c r="A1452" t="s">
        <v>1547</v>
      </c>
      <c r="B1452" s="3">
        <v>45346</v>
      </c>
      <c r="C1452" t="s">
        <v>348</v>
      </c>
      <c r="D1452" t="s">
        <v>48</v>
      </c>
      <c r="E1452" t="s">
        <v>22</v>
      </c>
      <c r="F1452" t="s">
        <v>27</v>
      </c>
      <c r="G1452" t="s">
        <v>28</v>
      </c>
      <c r="H1452">
        <v>14</v>
      </c>
    </row>
    <row r="1453" spans="1:8" ht="21.75" customHeight="1" x14ac:dyDescent="0.35">
      <c r="A1453" t="s">
        <v>1548</v>
      </c>
      <c r="B1453" s="3">
        <v>45559</v>
      </c>
      <c r="C1453" t="s">
        <v>350</v>
      </c>
      <c r="D1453" t="s">
        <v>26</v>
      </c>
      <c r="E1453" t="s">
        <v>22</v>
      </c>
      <c r="F1453" t="s">
        <v>306</v>
      </c>
      <c r="G1453" t="s">
        <v>23</v>
      </c>
      <c r="H1453">
        <v>15</v>
      </c>
    </row>
    <row r="1454" spans="1:8" ht="21.75" customHeight="1" x14ac:dyDescent="0.35">
      <c r="A1454" t="s">
        <v>1549</v>
      </c>
      <c r="B1454" s="3">
        <v>45595</v>
      </c>
      <c r="C1454" t="s">
        <v>101</v>
      </c>
      <c r="D1454" t="s">
        <v>72</v>
      </c>
      <c r="E1454" t="s">
        <v>11</v>
      </c>
      <c r="F1454" t="s">
        <v>12</v>
      </c>
      <c r="G1454" t="s">
        <v>32</v>
      </c>
      <c r="H1454">
        <v>15</v>
      </c>
    </row>
    <row r="1455" spans="1:8" ht="21.75" customHeight="1" x14ac:dyDescent="0.35">
      <c r="A1455" t="s">
        <v>1550</v>
      </c>
      <c r="B1455" s="3">
        <v>45529</v>
      </c>
      <c r="C1455" t="s">
        <v>614</v>
      </c>
      <c r="D1455" t="s">
        <v>109</v>
      </c>
      <c r="E1455" t="s">
        <v>22</v>
      </c>
      <c r="F1455" t="s">
        <v>27</v>
      </c>
      <c r="G1455" t="s">
        <v>32</v>
      </c>
      <c r="H1455">
        <v>1</v>
      </c>
    </row>
    <row r="1456" spans="1:8" ht="21.75" customHeight="1" x14ac:dyDescent="0.35">
      <c r="A1456" t="s">
        <v>1551</v>
      </c>
      <c r="B1456" s="3">
        <v>45458</v>
      </c>
      <c r="C1456" t="s">
        <v>44</v>
      </c>
      <c r="D1456" t="s">
        <v>35</v>
      </c>
      <c r="E1456" t="s">
        <v>11</v>
      </c>
      <c r="F1456" t="s">
        <v>42</v>
      </c>
      <c r="G1456" t="s">
        <v>32</v>
      </c>
      <c r="H1456">
        <v>11</v>
      </c>
    </row>
    <row r="1457" spans="1:8" ht="21.75" customHeight="1" x14ac:dyDescent="0.35">
      <c r="A1457" t="s">
        <v>1552</v>
      </c>
      <c r="B1457" s="3">
        <v>45597</v>
      </c>
      <c r="C1457" t="s">
        <v>424</v>
      </c>
      <c r="D1457" t="s">
        <v>26</v>
      </c>
      <c r="E1457" t="s">
        <v>22</v>
      </c>
      <c r="F1457" t="s">
        <v>12</v>
      </c>
      <c r="G1457" t="s">
        <v>36</v>
      </c>
      <c r="H1457">
        <v>7</v>
      </c>
    </row>
    <row r="1458" spans="1:8" ht="21.75" customHeight="1" x14ac:dyDescent="0.35">
      <c r="A1458" t="s">
        <v>1553</v>
      </c>
      <c r="B1458" s="3">
        <v>45500</v>
      </c>
      <c r="C1458" t="s">
        <v>374</v>
      </c>
      <c r="D1458" t="s">
        <v>174</v>
      </c>
      <c r="E1458" t="s">
        <v>11</v>
      </c>
      <c r="F1458" t="s">
        <v>27</v>
      </c>
      <c r="G1458" t="s">
        <v>23</v>
      </c>
      <c r="H1458">
        <v>15</v>
      </c>
    </row>
    <row r="1459" spans="1:8" ht="21.75" customHeight="1" x14ac:dyDescent="0.35">
      <c r="A1459" t="s">
        <v>1554</v>
      </c>
      <c r="B1459" s="3">
        <v>45339</v>
      </c>
      <c r="C1459" t="s">
        <v>61</v>
      </c>
      <c r="D1459" t="s">
        <v>197</v>
      </c>
      <c r="E1459" t="s">
        <v>17</v>
      </c>
      <c r="F1459" t="s">
        <v>56</v>
      </c>
      <c r="G1459" t="s">
        <v>32</v>
      </c>
      <c r="H1459">
        <v>19</v>
      </c>
    </row>
    <row r="1460" spans="1:8" ht="21.75" customHeight="1" x14ac:dyDescent="0.35">
      <c r="A1460" t="s">
        <v>1555</v>
      </c>
      <c r="B1460" s="3">
        <v>45575</v>
      </c>
      <c r="C1460" t="s">
        <v>339</v>
      </c>
      <c r="D1460" t="s">
        <v>48</v>
      </c>
      <c r="E1460" t="s">
        <v>17</v>
      </c>
      <c r="F1460" t="s">
        <v>306</v>
      </c>
      <c r="G1460" t="s">
        <v>32</v>
      </c>
      <c r="H1460">
        <v>12</v>
      </c>
    </row>
    <row r="1461" spans="1:8" ht="21.75" customHeight="1" x14ac:dyDescent="0.35">
      <c r="A1461" t="s">
        <v>1556</v>
      </c>
      <c r="B1461" s="3">
        <v>45430</v>
      </c>
      <c r="C1461" t="s">
        <v>147</v>
      </c>
      <c r="D1461" t="s">
        <v>26</v>
      </c>
      <c r="E1461" t="s">
        <v>11</v>
      </c>
      <c r="F1461" t="s">
        <v>12</v>
      </c>
      <c r="G1461" t="s">
        <v>28</v>
      </c>
      <c r="H1461">
        <v>11</v>
      </c>
    </row>
    <row r="1462" spans="1:8" ht="21.75" customHeight="1" x14ac:dyDescent="0.35">
      <c r="A1462" t="s">
        <v>1557</v>
      </c>
      <c r="B1462" s="3">
        <v>45566</v>
      </c>
      <c r="C1462" t="s">
        <v>332</v>
      </c>
      <c r="D1462" t="s">
        <v>62</v>
      </c>
      <c r="E1462" t="s">
        <v>11</v>
      </c>
      <c r="F1462" t="s">
        <v>56</v>
      </c>
      <c r="G1462" t="s">
        <v>28</v>
      </c>
      <c r="H1462">
        <v>16</v>
      </c>
    </row>
    <row r="1463" spans="1:8" ht="21.75" customHeight="1" x14ac:dyDescent="0.35">
      <c r="A1463" t="s">
        <v>1558</v>
      </c>
      <c r="B1463" s="3">
        <v>45593</v>
      </c>
      <c r="C1463" t="s">
        <v>332</v>
      </c>
      <c r="D1463" t="s">
        <v>160</v>
      </c>
      <c r="E1463" t="s">
        <v>22</v>
      </c>
      <c r="F1463" t="s">
        <v>42</v>
      </c>
      <c r="G1463" t="s">
        <v>13</v>
      </c>
      <c r="H1463">
        <v>7</v>
      </c>
    </row>
    <row r="1464" spans="1:8" ht="21.75" customHeight="1" x14ac:dyDescent="0.35">
      <c r="A1464" t="s">
        <v>1559</v>
      </c>
      <c r="B1464" s="3">
        <v>45476</v>
      </c>
      <c r="C1464" t="s">
        <v>235</v>
      </c>
      <c r="D1464" t="s">
        <v>74</v>
      </c>
      <c r="E1464" t="s">
        <v>11</v>
      </c>
      <c r="F1464" t="s">
        <v>306</v>
      </c>
      <c r="G1464" t="s">
        <v>28</v>
      </c>
      <c r="H1464">
        <v>9</v>
      </c>
    </row>
    <row r="1465" spans="1:8" ht="21.75" customHeight="1" x14ac:dyDescent="0.35">
      <c r="A1465" t="s">
        <v>1560</v>
      </c>
      <c r="B1465" s="3">
        <v>45319</v>
      </c>
      <c r="C1465" t="s">
        <v>378</v>
      </c>
      <c r="D1465" t="s">
        <v>74</v>
      </c>
      <c r="E1465" t="s">
        <v>22</v>
      </c>
      <c r="F1465" t="s">
        <v>56</v>
      </c>
      <c r="G1465" t="s">
        <v>23</v>
      </c>
      <c r="H1465">
        <v>4</v>
      </c>
    </row>
    <row r="1466" spans="1:8" ht="21.75" customHeight="1" x14ac:dyDescent="0.35">
      <c r="A1466" t="s">
        <v>1561</v>
      </c>
      <c r="B1466" s="3">
        <v>45585</v>
      </c>
      <c r="C1466" t="s">
        <v>55</v>
      </c>
      <c r="D1466" t="s">
        <v>35</v>
      </c>
      <c r="E1466" t="s">
        <v>17</v>
      </c>
      <c r="F1466" t="s">
        <v>27</v>
      </c>
      <c r="G1466" t="s">
        <v>32</v>
      </c>
      <c r="H1466">
        <v>6</v>
      </c>
    </row>
    <row r="1467" spans="1:8" ht="21.75" customHeight="1" x14ac:dyDescent="0.35">
      <c r="A1467" t="s">
        <v>1562</v>
      </c>
      <c r="B1467" s="3">
        <v>45421</v>
      </c>
      <c r="C1467" t="s">
        <v>517</v>
      </c>
      <c r="D1467" t="s">
        <v>102</v>
      </c>
      <c r="E1467" t="s">
        <v>11</v>
      </c>
      <c r="F1467" t="s">
        <v>27</v>
      </c>
      <c r="G1467" t="s">
        <v>23</v>
      </c>
      <c r="H1467">
        <v>3</v>
      </c>
    </row>
    <row r="1468" spans="1:8" ht="21.75" customHeight="1" x14ac:dyDescent="0.35">
      <c r="A1468" t="s">
        <v>1563</v>
      </c>
      <c r="B1468" s="3">
        <v>45643</v>
      </c>
      <c r="C1468" t="s">
        <v>9</v>
      </c>
      <c r="D1468" t="s">
        <v>16</v>
      </c>
      <c r="E1468" t="s">
        <v>11</v>
      </c>
      <c r="F1468" t="s">
        <v>306</v>
      </c>
      <c r="G1468" t="s">
        <v>32</v>
      </c>
      <c r="H1468">
        <v>3</v>
      </c>
    </row>
    <row r="1469" spans="1:8" ht="21.75" customHeight="1" x14ac:dyDescent="0.35">
      <c r="A1469" t="s">
        <v>1564</v>
      </c>
      <c r="B1469" s="3">
        <v>45352</v>
      </c>
      <c r="C1469" t="s">
        <v>642</v>
      </c>
      <c r="D1469" t="s">
        <v>119</v>
      </c>
      <c r="E1469" t="s">
        <v>17</v>
      </c>
      <c r="F1469" t="s">
        <v>306</v>
      </c>
      <c r="G1469" t="s">
        <v>36</v>
      </c>
      <c r="H1469">
        <v>20</v>
      </c>
    </row>
    <row r="1470" spans="1:8" ht="21.75" customHeight="1" x14ac:dyDescent="0.35">
      <c r="A1470" t="s">
        <v>1565</v>
      </c>
      <c r="B1470" s="3">
        <v>45559</v>
      </c>
      <c r="C1470" t="s">
        <v>159</v>
      </c>
      <c r="D1470" t="s">
        <v>70</v>
      </c>
      <c r="E1470" t="s">
        <v>17</v>
      </c>
      <c r="F1470" t="s">
        <v>42</v>
      </c>
      <c r="G1470" t="s">
        <v>36</v>
      </c>
      <c r="H1470">
        <v>14</v>
      </c>
    </row>
    <row r="1471" spans="1:8" ht="21.75" customHeight="1" x14ac:dyDescent="0.35">
      <c r="A1471" t="s">
        <v>1566</v>
      </c>
      <c r="B1471" s="3">
        <v>45609</v>
      </c>
      <c r="C1471" t="s">
        <v>131</v>
      </c>
      <c r="D1471" t="s">
        <v>109</v>
      </c>
      <c r="E1471" t="s">
        <v>22</v>
      </c>
      <c r="F1471" t="s">
        <v>12</v>
      </c>
      <c r="G1471" t="s">
        <v>28</v>
      </c>
      <c r="H1471">
        <v>7</v>
      </c>
    </row>
    <row r="1472" spans="1:8" ht="21.75" customHeight="1" x14ac:dyDescent="0.35">
      <c r="A1472" t="s">
        <v>1567</v>
      </c>
      <c r="B1472" s="3">
        <v>45333</v>
      </c>
      <c r="C1472" t="s">
        <v>111</v>
      </c>
      <c r="D1472" t="s">
        <v>197</v>
      </c>
      <c r="E1472" t="s">
        <v>11</v>
      </c>
      <c r="F1472" t="s">
        <v>306</v>
      </c>
      <c r="G1472" t="s">
        <v>13</v>
      </c>
      <c r="H1472">
        <v>6</v>
      </c>
    </row>
    <row r="1473" spans="1:8" ht="21.75" customHeight="1" x14ac:dyDescent="0.35">
      <c r="A1473" t="s">
        <v>1568</v>
      </c>
      <c r="B1473" s="3">
        <v>45522</v>
      </c>
      <c r="C1473" t="s">
        <v>465</v>
      </c>
      <c r="D1473" t="s">
        <v>109</v>
      </c>
      <c r="E1473" t="s">
        <v>17</v>
      </c>
      <c r="F1473" t="s">
        <v>42</v>
      </c>
      <c r="G1473" t="s">
        <v>13</v>
      </c>
      <c r="H1473">
        <v>8</v>
      </c>
    </row>
    <row r="1474" spans="1:8" ht="21.75" customHeight="1" x14ac:dyDescent="0.35">
      <c r="A1474" t="s">
        <v>1569</v>
      </c>
      <c r="B1474" s="3">
        <v>45436</v>
      </c>
      <c r="C1474" t="s">
        <v>424</v>
      </c>
      <c r="D1474" t="s">
        <v>70</v>
      </c>
      <c r="E1474" t="s">
        <v>11</v>
      </c>
      <c r="F1474" t="s">
        <v>56</v>
      </c>
      <c r="G1474" t="s">
        <v>32</v>
      </c>
      <c r="H1474">
        <v>19</v>
      </c>
    </row>
    <row r="1475" spans="1:8" ht="21.75" customHeight="1" x14ac:dyDescent="0.35">
      <c r="A1475" t="s">
        <v>1570</v>
      </c>
      <c r="B1475" s="3">
        <v>45393</v>
      </c>
      <c r="C1475" t="s">
        <v>309</v>
      </c>
      <c r="D1475" t="s">
        <v>102</v>
      </c>
      <c r="E1475" t="s">
        <v>22</v>
      </c>
      <c r="F1475" t="s">
        <v>56</v>
      </c>
      <c r="G1475" t="s">
        <v>28</v>
      </c>
      <c r="H1475">
        <v>9</v>
      </c>
    </row>
    <row r="1476" spans="1:8" ht="21.75" customHeight="1" x14ac:dyDescent="0.35">
      <c r="A1476" t="s">
        <v>1571</v>
      </c>
      <c r="B1476" s="3">
        <v>45328</v>
      </c>
      <c r="C1476" t="s">
        <v>131</v>
      </c>
      <c r="D1476" t="s">
        <v>45</v>
      </c>
      <c r="E1476" t="s">
        <v>17</v>
      </c>
      <c r="F1476" t="s">
        <v>306</v>
      </c>
      <c r="G1476" t="s">
        <v>36</v>
      </c>
      <c r="H1476">
        <v>10</v>
      </c>
    </row>
    <row r="1477" spans="1:8" ht="21.75" customHeight="1" x14ac:dyDescent="0.35">
      <c r="A1477" t="s">
        <v>1572</v>
      </c>
      <c r="B1477" s="3">
        <v>45531</v>
      </c>
      <c r="C1477" t="s">
        <v>465</v>
      </c>
      <c r="D1477" t="s">
        <v>74</v>
      </c>
      <c r="E1477" t="s">
        <v>22</v>
      </c>
      <c r="F1477" t="s">
        <v>27</v>
      </c>
      <c r="G1477" t="s">
        <v>32</v>
      </c>
      <c r="H1477">
        <v>17</v>
      </c>
    </row>
    <row r="1478" spans="1:8" ht="21.75" customHeight="1" x14ac:dyDescent="0.35">
      <c r="A1478" t="s">
        <v>1573</v>
      </c>
      <c r="B1478" s="3">
        <v>45516</v>
      </c>
      <c r="C1478" t="s">
        <v>81</v>
      </c>
      <c r="D1478" t="s">
        <v>109</v>
      </c>
      <c r="E1478" t="s">
        <v>11</v>
      </c>
      <c r="F1478" t="s">
        <v>27</v>
      </c>
      <c r="G1478" t="s">
        <v>32</v>
      </c>
      <c r="H1478">
        <v>20</v>
      </c>
    </row>
    <row r="1479" spans="1:8" ht="21.75" customHeight="1" x14ac:dyDescent="0.35">
      <c r="A1479" t="s">
        <v>1574</v>
      </c>
      <c r="B1479" s="3">
        <v>45338</v>
      </c>
      <c r="C1479" t="s">
        <v>51</v>
      </c>
      <c r="D1479" t="s">
        <v>41</v>
      </c>
      <c r="E1479" t="s">
        <v>22</v>
      </c>
      <c r="F1479" t="s">
        <v>306</v>
      </c>
      <c r="G1479" t="s">
        <v>13</v>
      </c>
      <c r="H1479">
        <v>9</v>
      </c>
    </row>
    <row r="1480" spans="1:8" ht="21.75" customHeight="1" x14ac:dyDescent="0.35">
      <c r="A1480" t="s">
        <v>1575</v>
      </c>
      <c r="B1480" s="3">
        <v>45381</v>
      </c>
      <c r="C1480" t="s">
        <v>553</v>
      </c>
      <c r="D1480" t="s">
        <v>160</v>
      </c>
      <c r="E1480" t="s">
        <v>22</v>
      </c>
      <c r="F1480" t="s">
        <v>27</v>
      </c>
      <c r="G1480" t="s">
        <v>32</v>
      </c>
      <c r="H1480">
        <v>6</v>
      </c>
    </row>
    <row r="1481" spans="1:8" ht="21.75" customHeight="1" x14ac:dyDescent="0.35">
      <c r="A1481" t="s">
        <v>1576</v>
      </c>
      <c r="B1481" s="3">
        <v>45515</v>
      </c>
      <c r="C1481" t="s">
        <v>541</v>
      </c>
      <c r="D1481" t="s">
        <v>35</v>
      </c>
      <c r="E1481" t="s">
        <v>11</v>
      </c>
      <c r="F1481" t="s">
        <v>27</v>
      </c>
      <c r="G1481" t="s">
        <v>32</v>
      </c>
      <c r="H1481">
        <v>14</v>
      </c>
    </row>
    <row r="1482" spans="1:8" ht="21.75" customHeight="1" x14ac:dyDescent="0.35">
      <c r="A1482" t="s">
        <v>1577</v>
      </c>
      <c r="B1482" s="3">
        <v>45635</v>
      </c>
      <c r="C1482" t="s">
        <v>15</v>
      </c>
      <c r="D1482" t="s">
        <v>45</v>
      </c>
      <c r="E1482" t="s">
        <v>17</v>
      </c>
      <c r="F1482" t="s">
        <v>27</v>
      </c>
      <c r="G1482" t="s">
        <v>23</v>
      </c>
      <c r="H1482">
        <v>10</v>
      </c>
    </row>
    <row r="1483" spans="1:8" ht="21.75" customHeight="1" x14ac:dyDescent="0.35">
      <c r="A1483" t="s">
        <v>1578</v>
      </c>
      <c r="B1483" s="3">
        <v>45497</v>
      </c>
      <c r="C1483" t="s">
        <v>332</v>
      </c>
      <c r="D1483" t="s">
        <v>174</v>
      </c>
      <c r="E1483" t="s">
        <v>11</v>
      </c>
      <c r="F1483" t="s">
        <v>27</v>
      </c>
      <c r="G1483" t="s">
        <v>13</v>
      </c>
      <c r="H1483">
        <v>11</v>
      </c>
    </row>
    <row r="1484" spans="1:8" ht="21.75" customHeight="1" x14ac:dyDescent="0.35">
      <c r="A1484" t="s">
        <v>1579</v>
      </c>
      <c r="B1484" s="3">
        <v>45351</v>
      </c>
      <c r="C1484" t="s">
        <v>337</v>
      </c>
      <c r="D1484" t="s">
        <v>31</v>
      </c>
      <c r="E1484" t="s">
        <v>22</v>
      </c>
      <c r="F1484" t="s">
        <v>12</v>
      </c>
      <c r="G1484" t="s">
        <v>36</v>
      </c>
      <c r="H1484">
        <v>15</v>
      </c>
    </row>
    <row r="1485" spans="1:8" ht="21.75" customHeight="1" x14ac:dyDescent="0.35">
      <c r="A1485" t="s">
        <v>1580</v>
      </c>
      <c r="B1485" s="3">
        <v>45388</v>
      </c>
      <c r="C1485" t="s">
        <v>363</v>
      </c>
      <c r="D1485" t="s">
        <v>48</v>
      </c>
      <c r="E1485" t="s">
        <v>22</v>
      </c>
      <c r="F1485" t="s">
        <v>27</v>
      </c>
      <c r="G1485" t="s">
        <v>23</v>
      </c>
      <c r="H1485">
        <v>2</v>
      </c>
    </row>
    <row r="1486" spans="1:8" ht="21.75" customHeight="1" x14ac:dyDescent="0.35">
      <c r="A1486" t="s">
        <v>1581</v>
      </c>
      <c r="B1486" s="3">
        <v>45573</v>
      </c>
      <c r="C1486" t="s">
        <v>34</v>
      </c>
      <c r="D1486" t="s">
        <v>74</v>
      </c>
      <c r="E1486" t="s">
        <v>17</v>
      </c>
      <c r="F1486" t="s">
        <v>27</v>
      </c>
      <c r="G1486" t="s">
        <v>13</v>
      </c>
      <c r="H1486">
        <v>1</v>
      </c>
    </row>
    <row r="1487" spans="1:8" ht="21.75" customHeight="1" x14ac:dyDescent="0.35">
      <c r="A1487" t="s">
        <v>1582</v>
      </c>
      <c r="B1487" s="3">
        <v>45603</v>
      </c>
      <c r="C1487" t="s">
        <v>93</v>
      </c>
      <c r="D1487" t="s">
        <v>62</v>
      </c>
      <c r="E1487" t="s">
        <v>11</v>
      </c>
      <c r="F1487" t="s">
        <v>42</v>
      </c>
      <c r="G1487" t="s">
        <v>36</v>
      </c>
      <c r="H1487">
        <v>1</v>
      </c>
    </row>
    <row r="1488" spans="1:8" ht="21.75" customHeight="1" x14ac:dyDescent="0.35">
      <c r="A1488" t="s">
        <v>1583</v>
      </c>
      <c r="B1488" s="3">
        <v>45339</v>
      </c>
      <c r="C1488" t="s">
        <v>240</v>
      </c>
      <c r="D1488" t="s">
        <v>102</v>
      </c>
      <c r="E1488" t="s">
        <v>17</v>
      </c>
      <c r="F1488" t="s">
        <v>12</v>
      </c>
      <c r="G1488" t="s">
        <v>28</v>
      </c>
      <c r="H1488">
        <v>16</v>
      </c>
    </row>
    <row r="1489" spans="1:8" ht="21.75" customHeight="1" x14ac:dyDescent="0.35">
      <c r="A1489" t="s">
        <v>1584</v>
      </c>
      <c r="B1489" s="3">
        <v>45441</v>
      </c>
      <c r="C1489" t="s">
        <v>345</v>
      </c>
      <c r="D1489" t="s">
        <v>62</v>
      </c>
      <c r="E1489" t="s">
        <v>17</v>
      </c>
      <c r="F1489" t="s">
        <v>27</v>
      </c>
      <c r="G1489" t="s">
        <v>23</v>
      </c>
      <c r="H1489">
        <v>16</v>
      </c>
    </row>
    <row r="1490" spans="1:8" ht="21.75" customHeight="1" x14ac:dyDescent="0.35">
      <c r="A1490" t="s">
        <v>1585</v>
      </c>
      <c r="B1490" s="3">
        <v>45574</v>
      </c>
      <c r="C1490" t="s">
        <v>167</v>
      </c>
      <c r="D1490" t="s">
        <v>31</v>
      </c>
      <c r="E1490" t="s">
        <v>11</v>
      </c>
      <c r="F1490" t="s">
        <v>306</v>
      </c>
      <c r="G1490" t="s">
        <v>36</v>
      </c>
      <c r="H1490">
        <v>5</v>
      </c>
    </row>
    <row r="1491" spans="1:8" ht="21.75" customHeight="1" x14ac:dyDescent="0.35">
      <c r="A1491" t="s">
        <v>1586</v>
      </c>
      <c r="B1491" s="3">
        <v>45433</v>
      </c>
      <c r="C1491" t="s">
        <v>337</v>
      </c>
      <c r="D1491" t="s">
        <v>87</v>
      </c>
      <c r="E1491" t="s">
        <v>17</v>
      </c>
      <c r="F1491" t="s">
        <v>306</v>
      </c>
      <c r="G1491" t="s">
        <v>32</v>
      </c>
      <c r="H1491">
        <v>1</v>
      </c>
    </row>
    <row r="1492" spans="1:8" ht="21.75" customHeight="1" x14ac:dyDescent="0.35">
      <c r="A1492" t="s">
        <v>1587</v>
      </c>
      <c r="B1492" s="3">
        <v>45444</v>
      </c>
      <c r="C1492" t="s">
        <v>449</v>
      </c>
      <c r="D1492" t="s">
        <v>59</v>
      </c>
      <c r="E1492" t="s">
        <v>22</v>
      </c>
      <c r="F1492" t="s">
        <v>27</v>
      </c>
      <c r="G1492" t="s">
        <v>28</v>
      </c>
      <c r="H1492">
        <v>15</v>
      </c>
    </row>
    <row r="1493" spans="1:8" ht="21.75" customHeight="1" x14ac:dyDescent="0.35">
      <c r="A1493" t="s">
        <v>1588</v>
      </c>
      <c r="B1493" s="3">
        <v>45468</v>
      </c>
      <c r="C1493" t="s">
        <v>118</v>
      </c>
      <c r="D1493" t="s">
        <v>174</v>
      </c>
      <c r="E1493" t="s">
        <v>22</v>
      </c>
      <c r="F1493" t="s">
        <v>27</v>
      </c>
      <c r="G1493" t="s">
        <v>23</v>
      </c>
      <c r="H1493">
        <v>11</v>
      </c>
    </row>
    <row r="1494" spans="1:8" ht="21.75" customHeight="1" x14ac:dyDescent="0.35">
      <c r="A1494" t="s">
        <v>1589</v>
      </c>
      <c r="B1494" s="3">
        <v>45649</v>
      </c>
      <c r="C1494" t="s">
        <v>93</v>
      </c>
      <c r="D1494" t="s">
        <v>59</v>
      </c>
      <c r="E1494" t="s">
        <v>17</v>
      </c>
      <c r="F1494" t="s">
        <v>56</v>
      </c>
      <c r="G1494" t="s">
        <v>23</v>
      </c>
      <c r="H1494">
        <v>2</v>
      </c>
    </row>
    <row r="1495" spans="1:8" ht="21.75" customHeight="1" x14ac:dyDescent="0.35">
      <c r="A1495" t="s">
        <v>1590</v>
      </c>
      <c r="B1495" s="3">
        <v>45534</v>
      </c>
      <c r="C1495" t="s">
        <v>369</v>
      </c>
      <c r="D1495" t="s">
        <v>31</v>
      </c>
      <c r="E1495" t="s">
        <v>17</v>
      </c>
      <c r="F1495" t="s">
        <v>56</v>
      </c>
      <c r="G1495" t="s">
        <v>23</v>
      </c>
      <c r="H1495">
        <v>2</v>
      </c>
    </row>
    <row r="1496" spans="1:8" ht="21.75" customHeight="1" x14ac:dyDescent="0.35">
      <c r="A1496" t="s">
        <v>1591</v>
      </c>
      <c r="B1496" s="3">
        <v>45594</v>
      </c>
      <c r="C1496" t="s">
        <v>118</v>
      </c>
      <c r="D1496" t="s">
        <v>102</v>
      </c>
      <c r="E1496" t="s">
        <v>17</v>
      </c>
      <c r="F1496" t="s">
        <v>12</v>
      </c>
      <c r="G1496" t="s">
        <v>36</v>
      </c>
      <c r="H1496">
        <v>15</v>
      </c>
    </row>
    <row r="1497" spans="1:8" ht="21.75" customHeight="1" x14ac:dyDescent="0.35">
      <c r="A1497" t="s">
        <v>1592</v>
      </c>
      <c r="B1497" s="3">
        <v>45365</v>
      </c>
      <c r="C1497" t="s">
        <v>408</v>
      </c>
      <c r="D1497" t="s">
        <v>21</v>
      </c>
      <c r="E1497" t="s">
        <v>11</v>
      </c>
      <c r="F1497" t="s">
        <v>12</v>
      </c>
      <c r="G1497" t="s">
        <v>23</v>
      </c>
      <c r="H1497">
        <v>9</v>
      </c>
    </row>
    <row r="1498" spans="1:8" ht="21.75" customHeight="1" x14ac:dyDescent="0.35">
      <c r="A1498" t="s">
        <v>1593</v>
      </c>
      <c r="B1498" s="3">
        <v>45646</v>
      </c>
      <c r="C1498" t="s">
        <v>106</v>
      </c>
      <c r="D1498" t="s">
        <v>21</v>
      </c>
      <c r="E1498" t="s">
        <v>11</v>
      </c>
      <c r="F1498" t="s">
        <v>42</v>
      </c>
      <c r="G1498" t="s">
        <v>36</v>
      </c>
      <c r="H1498">
        <v>13</v>
      </c>
    </row>
    <row r="1499" spans="1:8" ht="21.75" customHeight="1" x14ac:dyDescent="0.35">
      <c r="A1499" t="s">
        <v>1594</v>
      </c>
      <c r="B1499" s="3">
        <v>45612</v>
      </c>
      <c r="C1499" t="s">
        <v>436</v>
      </c>
      <c r="D1499" t="s">
        <v>119</v>
      </c>
      <c r="E1499" t="s">
        <v>17</v>
      </c>
      <c r="F1499" t="s">
        <v>306</v>
      </c>
      <c r="G1499" t="s">
        <v>13</v>
      </c>
      <c r="H1499">
        <v>20</v>
      </c>
    </row>
    <row r="1500" spans="1:8" ht="21.75" customHeight="1" x14ac:dyDescent="0.35">
      <c r="A1500" t="s">
        <v>1595</v>
      </c>
      <c r="B1500" s="3">
        <v>45615</v>
      </c>
      <c r="C1500" t="s">
        <v>455</v>
      </c>
      <c r="D1500" t="s">
        <v>74</v>
      </c>
      <c r="E1500" t="s">
        <v>11</v>
      </c>
      <c r="F1500" t="s">
        <v>12</v>
      </c>
      <c r="G1500" t="s">
        <v>23</v>
      </c>
      <c r="H1500">
        <v>4</v>
      </c>
    </row>
    <row r="1501" spans="1:8" ht="21.75" customHeight="1" x14ac:dyDescent="0.35">
      <c r="A1501" t="s">
        <v>1596</v>
      </c>
      <c r="B1501" s="3">
        <v>45652</v>
      </c>
      <c r="C1501" t="s">
        <v>108</v>
      </c>
      <c r="D1501" t="s">
        <v>70</v>
      </c>
      <c r="E1501" t="s">
        <v>11</v>
      </c>
      <c r="F1501" t="s">
        <v>42</v>
      </c>
      <c r="G1501" t="s">
        <v>13</v>
      </c>
      <c r="H1501">
        <v>2</v>
      </c>
    </row>
    <row r="1502" spans="1:8" ht="21.75" customHeight="1" x14ac:dyDescent="0.35">
      <c r="A1502" t="s">
        <v>1597</v>
      </c>
      <c r="B1502" s="3">
        <v>45320</v>
      </c>
      <c r="C1502" t="s">
        <v>61</v>
      </c>
      <c r="D1502" t="s">
        <v>48</v>
      </c>
      <c r="E1502" t="s">
        <v>17</v>
      </c>
      <c r="F1502" t="s">
        <v>27</v>
      </c>
      <c r="G1502" t="s">
        <v>28</v>
      </c>
      <c r="H1502">
        <v>8</v>
      </c>
    </row>
    <row r="1503" spans="1:8" ht="21.75" customHeight="1" x14ac:dyDescent="0.35">
      <c r="A1503" t="s">
        <v>1598</v>
      </c>
      <c r="B1503" s="3">
        <v>45581</v>
      </c>
      <c r="C1503" t="s">
        <v>455</v>
      </c>
      <c r="D1503" t="s">
        <v>45</v>
      </c>
      <c r="E1503" t="s">
        <v>11</v>
      </c>
      <c r="F1503" t="s">
        <v>56</v>
      </c>
      <c r="G1503" t="s">
        <v>13</v>
      </c>
      <c r="H1503">
        <v>20</v>
      </c>
    </row>
    <row r="1504" spans="1:8" ht="21.75" customHeight="1" x14ac:dyDescent="0.35">
      <c r="A1504" t="s">
        <v>1599</v>
      </c>
      <c r="B1504" s="3">
        <v>45609</v>
      </c>
      <c r="C1504" t="s">
        <v>455</v>
      </c>
      <c r="D1504" t="s">
        <v>197</v>
      </c>
      <c r="E1504" t="s">
        <v>17</v>
      </c>
      <c r="F1504" t="s">
        <v>306</v>
      </c>
      <c r="G1504" t="s">
        <v>28</v>
      </c>
      <c r="H1504">
        <v>8</v>
      </c>
    </row>
    <row r="1505" spans="1:8" ht="21.75" customHeight="1" x14ac:dyDescent="0.35">
      <c r="A1505" t="s">
        <v>1600</v>
      </c>
      <c r="B1505" s="3">
        <v>45422</v>
      </c>
      <c r="C1505" t="s">
        <v>366</v>
      </c>
      <c r="D1505" t="s">
        <v>26</v>
      </c>
      <c r="E1505" t="s">
        <v>22</v>
      </c>
      <c r="F1505" t="s">
        <v>12</v>
      </c>
      <c r="G1505" t="s">
        <v>23</v>
      </c>
      <c r="H1505">
        <v>10</v>
      </c>
    </row>
    <row r="1506" spans="1:8" ht="21.75" customHeight="1" x14ac:dyDescent="0.35">
      <c r="A1506" t="s">
        <v>1601</v>
      </c>
      <c r="B1506" s="3">
        <v>45372</v>
      </c>
      <c r="C1506" t="s">
        <v>208</v>
      </c>
      <c r="D1506" t="s">
        <v>70</v>
      </c>
      <c r="E1506" t="s">
        <v>17</v>
      </c>
      <c r="F1506" t="s">
        <v>306</v>
      </c>
      <c r="G1506" t="s">
        <v>32</v>
      </c>
      <c r="H1506">
        <v>14</v>
      </c>
    </row>
    <row r="1507" spans="1:8" ht="21.75" customHeight="1" x14ac:dyDescent="0.35">
      <c r="A1507" t="s">
        <v>1602</v>
      </c>
      <c r="B1507" s="3">
        <v>45525</v>
      </c>
      <c r="C1507" t="s">
        <v>68</v>
      </c>
      <c r="D1507" t="s">
        <v>65</v>
      </c>
      <c r="E1507" t="s">
        <v>17</v>
      </c>
      <c r="F1507" t="s">
        <v>27</v>
      </c>
      <c r="G1507" t="s">
        <v>13</v>
      </c>
      <c r="H1507">
        <v>8</v>
      </c>
    </row>
    <row r="1508" spans="1:8" ht="21.75" customHeight="1" x14ac:dyDescent="0.35">
      <c r="A1508" t="s">
        <v>1603</v>
      </c>
      <c r="B1508" s="3">
        <v>45475</v>
      </c>
      <c r="C1508" t="s">
        <v>314</v>
      </c>
      <c r="D1508" t="s">
        <v>74</v>
      </c>
      <c r="E1508" t="s">
        <v>22</v>
      </c>
      <c r="F1508" t="s">
        <v>42</v>
      </c>
      <c r="G1508" t="s">
        <v>13</v>
      </c>
      <c r="H1508">
        <v>13</v>
      </c>
    </row>
    <row r="1509" spans="1:8" ht="21.75" customHeight="1" x14ac:dyDescent="0.35">
      <c r="A1509" t="s">
        <v>1604</v>
      </c>
      <c r="B1509" s="3">
        <v>45581</v>
      </c>
      <c r="C1509" t="s">
        <v>455</v>
      </c>
      <c r="D1509" t="s">
        <v>119</v>
      </c>
      <c r="E1509" t="s">
        <v>22</v>
      </c>
      <c r="F1509" t="s">
        <v>12</v>
      </c>
      <c r="G1509" t="s">
        <v>36</v>
      </c>
      <c r="H1509">
        <v>16</v>
      </c>
    </row>
    <row r="1510" spans="1:8" ht="21.75" customHeight="1" x14ac:dyDescent="0.35">
      <c r="A1510" t="s">
        <v>1605</v>
      </c>
      <c r="B1510" s="3">
        <v>45438</v>
      </c>
      <c r="C1510" t="s">
        <v>420</v>
      </c>
      <c r="D1510" t="s">
        <v>197</v>
      </c>
      <c r="E1510" t="s">
        <v>22</v>
      </c>
      <c r="F1510" t="s">
        <v>42</v>
      </c>
      <c r="G1510" t="s">
        <v>28</v>
      </c>
      <c r="H1510">
        <v>7</v>
      </c>
    </row>
    <row r="1511" spans="1:8" ht="21.75" customHeight="1" x14ac:dyDescent="0.35">
      <c r="A1511" t="s">
        <v>1606</v>
      </c>
      <c r="B1511" s="3">
        <v>45639</v>
      </c>
      <c r="C1511" t="s">
        <v>664</v>
      </c>
      <c r="D1511" t="s">
        <v>84</v>
      </c>
      <c r="E1511" t="s">
        <v>22</v>
      </c>
      <c r="F1511" t="s">
        <v>56</v>
      </c>
      <c r="G1511" t="s">
        <v>13</v>
      </c>
      <c r="H1511">
        <v>2</v>
      </c>
    </row>
    <row r="1512" spans="1:8" ht="21.75" customHeight="1" x14ac:dyDescent="0.35">
      <c r="A1512" t="s">
        <v>1607</v>
      </c>
      <c r="B1512" s="3">
        <v>45517</v>
      </c>
      <c r="C1512" t="s">
        <v>122</v>
      </c>
      <c r="D1512" t="s">
        <v>59</v>
      </c>
      <c r="E1512" t="s">
        <v>17</v>
      </c>
      <c r="F1512" t="s">
        <v>56</v>
      </c>
      <c r="G1512" t="s">
        <v>13</v>
      </c>
      <c r="H1512">
        <v>10</v>
      </c>
    </row>
    <row r="1513" spans="1:8" ht="21.75" customHeight="1" x14ac:dyDescent="0.35">
      <c r="A1513" t="s">
        <v>1608</v>
      </c>
      <c r="B1513" s="3">
        <v>45504</v>
      </c>
      <c r="C1513" t="s">
        <v>235</v>
      </c>
      <c r="D1513" t="s">
        <v>65</v>
      </c>
      <c r="E1513" t="s">
        <v>11</v>
      </c>
      <c r="F1513" t="s">
        <v>306</v>
      </c>
      <c r="G1513" t="s">
        <v>32</v>
      </c>
      <c r="H1513">
        <v>17</v>
      </c>
    </row>
    <row r="1514" spans="1:8" ht="21.75" customHeight="1" x14ac:dyDescent="0.35">
      <c r="A1514" t="s">
        <v>1609</v>
      </c>
      <c r="B1514" s="3">
        <v>45431</v>
      </c>
      <c r="C1514" t="s">
        <v>30</v>
      </c>
      <c r="D1514" t="s">
        <v>26</v>
      </c>
      <c r="E1514" t="s">
        <v>17</v>
      </c>
      <c r="F1514" t="s">
        <v>42</v>
      </c>
      <c r="G1514" t="s">
        <v>32</v>
      </c>
      <c r="H1514">
        <v>4</v>
      </c>
    </row>
    <row r="1515" spans="1:8" ht="21.75" customHeight="1" x14ac:dyDescent="0.35">
      <c r="A1515" t="s">
        <v>1610</v>
      </c>
      <c r="B1515" s="3">
        <v>45330</v>
      </c>
      <c r="C1515" t="s">
        <v>167</v>
      </c>
      <c r="D1515" t="s">
        <v>119</v>
      </c>
      <c r="E1515" t="s">
        <v>11</v>
      </c>
      <c r="F1515" t="s">
        <v>27</v>
      </c>
      <c r="G1515" t="s">
        <v>36</v>
      </c>
      <c r="H1515">
        <v>12</v>
      </c>
    </row>
    <row r="1516" spans="1:8" ht="21.75" customHeight="1" x14ac:dyDescent="0.35">
      <c r="A1516" t="s">
        <v>1611</v>
      </c>
      <c r="B1516" s="3">
        <v>45494</v>
      </c>
      <c r="C1516" t="s">
        <v>142</v>
      </c>
      <c r="D1516" t="s">
        <v>26</v>
      </c>
      <c r="E1516" t="s">
        <v>22</v>
      </c>
      <c r="F1516" t="s">
        <v>12</v>
      </c>
      <c r="G1516" t="s">
        <v>23</v>
      </c>
      <c r="H1516">
        <v>12</v>
      </c>
    </row>
    <row r="1517" spans="1:8" ht="21.75" customHeight="1" x14ac:dyDescent="0.35">
      <c r="A1517" t="s">
        <v>1612</v>
      </c>
      <c r="B1517" s="3">
        <v>45636</v>
      </c>
      <c r="C1517" t="s">
        <v>86</v>
      </c>
      <c r="D1517" t="s">
        <v>59</v>
      </c>
      <c r="E1517" t="s">
        <v>17</v>
      </c>
      <c r="F1517" t="s">
        <v>42</v>
      </c>
      <c r="G1517" t="s">
        <v>13</v>
      </c>
      <c r="H1517">
        <v>8</v>
      </c>
    </row>
    <row r="1518" spans="1:8" ht="21.75" customHeight="1" x14ac:dyDescent="0.35">
      <c r="A1518" t="s">
        <v>1613</v>
      </c>
      <c r="B1518" s="3">
        <v>45609</v>
      </c>
      <c r="C1518" t="s">
        <v>642</v>
      </c>
      <c r="D1518" t="s">
        <v>72</v>
      </c>
      <c r="E1518" t="s">
        <v>22</v>
      </c>
      <c r="F1518" t="s">
        <v>56</v>
      </c>
      <c r="G1518" t="s">
        <v>13</v>
      </c>
      <c r="H1518">
        <v>15</v>
      </c>
    </row>
    <row r="1519" spans="1:8" ht="21.75" customHeight="1" x14ac:dyDescent="0.35">
      <c r="A1519" t="s">
        <v>1614</v>
      </c>
      <c r="B1519" s="3">
        <v>45446</v>
      </c>
      <c r="C1519" t="s">
        <v>350</v>
      </c>
      <c r="D1519" t="s">
        <v>87</v>
      </c>
      <c r="E1519" t="s">
        <v>11</v>
      </c>
      <c r="F1519" t="s">
        <v>56</v>
      </c>
      <c r="G1519" t="s">
        <v>13</v>
      </c>
      <c r="H1519">
        <v>2</v>
      </c>
    </row>
    <row r="1520" spans="1:8" ht="21.75" customHeight="1" x14ac:dyDescent="0.35">
      <c r="A1520" t="s">
        <v>1615</v>
      </c>
      <c r="B1520" s="3">
        <v>45544</v>
      </c>
      <c r="C1520" t="s">
        <v>40</v>
      </c>
      <c r="D1520" t="s">
        <v>102</v>
      </c>
      <c r="E1520" t="s">
        <v>11</v>
      </c>
      <c r="F1520" t="s">
        <v>306</v>
      </c>
      <c r="G1520" t="s">
        <v>28</v>
      </c>
      <c r="H1520">
        <v>13</v>
      </c>
    </row>
    <row r="1521" spans="1:8" ht="21.75" customHeight="1" x14ac:dyDescent="0.35">
      <c r="A1521" t="s">
        <v>1616</v>
      </c>
      <c r="B1521" s="3">
        <v>45635</v>
      </c>
      <c r="C1521" t="s">
        <v>323</v>
      </c>
      <c r="D1521" t="s">
        <v>62</v>
      </c>
      <c r="E1521" t="s">
        <v>22</v>
      </c>
      <c r="F1521" t="s">
        <v>27</v>
      </c>
      <c r="G1521" t="s">
        <v>36</v>
      </c>
      <c r="H1521">
        <v>5</v>
      </c>
    </row>
    <row r="1522" spans="1:8" ht="21.75" customHeight="1" x14ac:dyDescent="0.35">
      <c r="A1522" t="s">
        <v>1617</v>
      </c>
      <c r="B1522" s="3">
        <v>45627</v>
      </c>
      <c r="C1522" t="s">
        <v>108</v>
      </c>
      <c r="D1522" t="s">
        <v>35</v>
      </c>
      <c r="E1522" t="s">
        <v>22</v>
      </c>
      <c r="F1522" t="s">
        <v>27</v>
      </c>
      <c r="G1522" t="s">
        <v>32</v>
      </c>
      <c r="H1522">
        <v>2</v>
      </c>
    </row>
    <row r="1523" spans="1:8" ht="21.75" customHeight="1" x14ac:dyDescent="0.35">
      <c r="A1523" t="s">
        <v>1618</v>
      </c>
      <c r="B1523" s="3">
        <v>45403</v>
      </c>
      <c r="C1523" t="s">
        <v>396</v>
      </c>
      <c r="D1523" t="s">
        <v>70</v>
      </c>
      <c r="E1523" t="s">
        <v>11</v>
      </c>
      <c r="F1523" t="s">
        <v>42</v>
      </c>
      <c r="G1523" t="s">
        <v>13</v>
      </c>
      <c r="H1523">
        <v>12</v>
      </c>
    </row>
    <row r="1524" spans="1:8" ht="21.75" customHeight="1" x14ac:dyDescent="0.35">
      <c r="A1524" t="s">
        <v>1619</v>
      </c>
      <c r="B1524" s="3">
        <v>45622</v>
      </c>
      <c r="C1524" t="s">
        <v>182</v>
      </c>
      <c r="D1524" t="s">
        <v>79</v>
      </c>
      <c r="E1524" t="s">
        <v>17</v>
      </c>
      <c r="F1524" t="s">
        <v>42</v>
      </c>
      <c r="G1524" t="s">
        <v>28</v>
      </c>
      <c r="H1524">
        <v>4</v>
      </c>
    </row>
    <row r="1525" spans="1:8" ht="21.75" customHeight="1" x14ac:dyDescent="0.35">
      <c r="A1525" t="s">
        <v>1620</v>
      </c>
      <c r="B1525" s="3">
        <v>45524</v>
      </c>
      <c r="C1525" t="s">
        <v>203</v>
      </c>
      <c r="D1525" t="s">
        <v>41</v>
      </c>
      <c r="E1525" t="s">
        <v>11</v>
      </c>
      <c r="F1525" t="s">
        <v>306</v>
      </c>
      <c r="G1525" t="s">
        <v>13</v>
      </c>
      <c r="H1525">
        <v>2</v>
      </c>
    </row>
    <row r="1526" spans="1:8" ht="21.75" customHeight="1" x14ac:dyDescent="0.35">
      <c r="A1526" t="s">
        <v>1621</v>
      </c>
      <c r="B1526" s="3">
        <v>45416</v>
      </c>
      <c r="C1526" t="s">
        <v>34</v>
      </c>
      <c r="D1526" t="s">
        <v>59</v>
      </c>
      <c r="E1526" t="s">
        <v>11</v>
      </c>
      <c r="F1526" t="s">
        <v>12</v>
      </c>
      <c r="G1526" t="s">
        <v>36</v>
      </c>
      <c r="H1526">
        <v>7</v>
      </c>
    </row>
    <row r="1527" spans="1:8" ht="21.75" customHeight="1" x14ac:dyDescent="0.35">
      <c r="A1527" t="s">
        <v>1622</v>
      </c>
      <c r="B1527" s="3">
        <v>45411</v>
      </c>
      <c r="C1527" t="s">
        <v>118</v>
      </c>
      <c r="D1527" t="s">
        <v>119</v>
      </c>
      <c r="E1527" t="s">
        <v>11</v>
      </c>
      <c r="F1527" t="s">
        <v>306</v>
      </c>
      <c r="G1527" t="s">
        <v>13</v>
      </c>
      <c r="H1527">
        <v>9</v>
      </c>
    </row>
    <row r="1528" spans="1:8" ht="21.75" customHeight="1" x14ac:dyDescent="0.35">
      <c r="A1528" t="s">
        <v>1623</v>
      </c>
      <c r="B1528" s="3">
        <v>45366</v>
      </c>
      <c r="C1528" t="s">
        <v>34</v>
      </c>
      <c r="D1528" t="s">
        <v>174</v>
      </c>
      <c r="E1528" t="s">
        <v>17</v>
      </c>
      <c r="F1528" t="s">
        <v>56</v>
      </c>
      <c r="G1528" t="s">
        <v>13</v>
      </c>
      <c r="H1528">
        <v>1</v>
      </c>
    </row>
    <row r="1529" spans="1:8" ht="21.75" customHeight="1" x14ac:dyDescent="0.35">
      <c r="A1529" t="s">
        <v>1624</v>
      </c>
      <c r="B1529" s="3">
        <v>45475</v>
      </c>
      <c r="C1529" t="s">
        <v>728</v>
      </c>
      <c r="D1529" t="s">
        <v>197</v>
      </c>
      <c r="E1529" t="s">
        <v>22</v>
      </c>
      <c r="F1529" t="s">
        <v>42</v>
      </c>
      <c r="G1529" t="s">
        <v>13</v>
      </c>
      <c r="H1529">
        <v>6</v>
      </c>
    </row>
    <row r="1530" spans="1:8" ht="21.75" customHeight="1" x14ac:dyDescent="0.35">
      <c r="A1530" t="s">
        <v>1625</v>
      </c>
      <c r="B1530" s="3">
        <v>45356</v>
      </c>
      <c r="C1530" t="s">
        <v>304</v>
      </c>
      <c r="D1530" t="s">
        <v>87</v>
      </c>
      <c r="E1530" t="s">
        <v>22</v>
      </c>
      <c r="F1530" t="s">
        <v>12</v>
      </c>
      <c r="G1530" t="s">
        <v>13</v>
      </c>
      <c r="H1530">
        <v>16</v>
      </c>
    </row>
    <row r="1531" spans="1:8" ht="21.75" customHeight="1" x14ac:dyDescent="0.35">
      <c r="A1531" t="s">
        <v>1626</v>
      </c>
      <c r="B1531" s="3">
        <v>45477</v>
      </c>
      <c r="C1531" t="s">
        <v>345</v>
      </c>
      <c r="D1531" t="s">
        <v>59</v>
      </c>
      <c r="E1531" t="s">
        <v>11</v>
      </c>
      <c r="F1531" t="s">
        <v>27</v>
      </c>
      <c r="G1531" t="s">
        <v>36</v>
      </c>
      <c r="H1531">
        <v>8</v>
      </c>
    </row>
    <row r="1532" spans="1:8" ht="21.75" customHeight="1" x14ac:dyDescent="0.35">
      <c r="A1532" t="s">
        <v>1627</v>
      </c>
      <c r="B1532" s="3">
        <v>45314</v>
      </c>
      <c r="C1532" t="s">
        <v>388</v>
      </c>
      <c r="D1532" t="s">
        <v>41</v>
      </c>
      <c r="E1532" t="s">
        <v>22</v>
      </c>
      <c r="F1532" t="s">
        <v>42</v>
      </c>
      <c r="G1532" t="s">
        <v>23</v>
      </c>
      <c r="H1532">
        <v>1</v>
      </c>
    </row>
    <row r="1533" spans="1:8" ht="21.75" customHeight="1" x14ac:dyDescent="0.35">
      <c r="A1533" t="s">
        <v>1628</v>
      </c>
      <c r="B1533" s="3">
        <v>45537</v>
      </c>
      <c r="C1533" t="s">
        <v>341</v>
      </c>
      <c r="D1533" t="s">
        <v>87</v>
      </c>
      <c r="E1533" t="s">
        <v>22</v>
      </c>
      <c r="F1533" t="s">
        <v>12</v>
      </c>
      <c r="G1533" t="s">
        <v>23</v>
      </c>
      <c r="H1533">
        <v>15</v>
      </c>
    </row>
    <row r="1534" spans="1:8" ht="21.75" customHeight="1" x14ac:dyDescent="0.35">
      <c r="A1534" t="s">
        <v>1629</v>
      </c>
      <c r="B1534" s="3">
        <v>45333</v>
      </c>
      <c r="C1534" t="s">
        <v>187</v>
      </c>
      <c r="D1534" t="s">
        <v>109</v>
      </c>
      <c r="E1534" t="s">
        <v>11</v>
      </c>
      <c r="F1534" t="s">
        <v>12</v>
      </c>
      <c r="G1534" t="s">
        <v>28</v>
      </c>
      <c r="H1534">
        <v>9</v>
      </c>
    </row>
    <row r="1535" spans="1:8" ht="21.75" customHeight="1" x14ac:dyDescent="0.35">
      <c r="A1535" t="s">
        <v>1630</v>
      </c>
      <c r="B1535" s="3">
        <v>45591</v>
      </c>
      <c r="C1535" t="s">
        <v>378</v>
      </c>
      <c r="D1535" t="s">
        <v>62</v>
      </c>
      <c r="E1535" t="s">
        <v>17</v>
      </c>
      <c r="F1535" t="s">
        <v>27</v>
      </c>
      <c r="G1535" t="s">
        <v>36</v>
      </c>
      <c r="H1535">
        <v>17</v>
      </c>
    </row>
    <row r="1536" spans="1:8" ht="21.75" customHeight="1" x14ac:dyDescent="0.35">
      <c r="A1536" t="s">
        <v>1631</v>
      </c>
      <c r="B1536" s="3">
        <v>45550</v>
      </c>
      <c r="C1536" t="s">
        <v>493</v>
      </c>
      <c r="D1536" t="s">
        <v>87</v>
      </c>
      <c r="E1536" t="s">
        <v>11</v>
      </c>
      <c r="F1536" t="s">
        <v>12</v>
      </c>
      <c r="G1536" t="s">
        <v>36</v>
      </c>
      <c r="H1536">
        <v>7</v>
      </c>
    </row>
    <row r="1537" spans="1:8" ht="21.75" customHeight="1" x14ac:dyDescent="0.35">
      <c r="A1537" t="s">
        <v>1632</v>
      </c>
      <c r="B1537" s="3">
        <v>45408</v>
      </c>
      <c r="C1537" t="s">
        <v>408</v>
      </c>
      <c r="D1537" t="s">
        <v>72</v>
      </c>
      <c r="E1537" t="s">
        <v>17</v>
      </c>
      <c r="F1537" t="s">
        <v>27</v>
      </c>
      <c r="G1537" t="s">
        <v>23</v>
      </c>
      <c r="H1537">
        <v>4</v>
      </c>
    </row>
    <row r="1538" spans="1:8" ht="21.75" customHeight="1" x14ac:dyDescent="0.35">
      <c r="A1538" t="s">
        <v>1633</v>
      </c>
      <c r="B1538" s="3">
        <v>45452</v>
      </c>
      <c r="C1538" t="s">
        <v>317</v>
      </c>
      <c r="D1538" t="s">
        <v>26</v>
      </c>
      <c r="E1538" t="s">
        <v>17</v>
      </c>
      <c r="F1538" t="s">
        <v>56</v>
      </c>
      <c r="G1538" t="s">
        <v>23</v>
      </c>
      <c r="H1538">
        <v>3</v>
      </c>
    </row>
    <row r="1539" spans="1:8" ht="21.75" customHeight="1" x14ac:dyDescent="0.35">
      <c r="A1539" t="s">
        <v>1634</v>
      </c>
      <c r="B1539" s="3">
        <v>45335</v>
      </c>
      <c r="C1539" t="s">
        <v>203</v>
      </c>
      <c r="D1539" t="s">
        <v>87</v>
      </c>
      <c r="E1539" t="s">
        <v>11</v>
      </c>
      <c r="F1539" t="s">
        <v>42</v>
      </c>
      <c r="G1539" t="s">
        <v>28</v>
      </c>
      <c r="H1539">
        <v>18</v>
      </c>
    </row>
    <row r="1540" spans="1:8" ht="21.75" customHeight="1" x14ac:dyDescent="0.35">
      <c r="A1540" t="s">
        <v>1635</v>
      </c>
      <c r="B1540" s="3">
        <v>45579</v>
      </c>
      <c r="C1540" t="s">
        <v>642</v>
      </c>
      <c r="D1540" t="s">
        <v>72</v>
      </c>
      <c r="E1540" t="s">
        <v>22</v>
      </c>
      <c r="F1540" t="s">
        <v>12</v>
      </c>
      <c r="G1540" t="s">
        <v>23</v>
      </c>
      <c r="H1540">
        <v>12</v>
      </c>
    </row>
    <row r="1541" spans="1:8" ht="21.75" customHeight="1" x14ac:dyDescent="0.35">
      <c r="A1541" t="s">
        <v>1636</v>
      </c>
      <c r="B1541" s="3">
        <v>45508</v>
      </c>
      <c r="C1541" t="s">
        <v>329</v>
      </c>
      <c r="D1541" t="s">
        <v>79</v>
      </c>
      <c r="E1541" t="s">
        <v>17</v>
      </c>
      <c r="F1541" t="s">
        <v>306</v>
      </c>
      <c r="G1541" t="s">
        <v>32</v>
      </c>
      <c r="H1541">
        <v>12</v>
      </c>
    </row>
    <row r="1542" spans="1:8" ht="21.75" customHeight="1" x14ac:dyDescent="0.35">
      <c r="A1542" t="s">
        <v>1637</v>
      </c>
      <c r="B1542" s="3">
        <v>45551</v>
      </c>
      <c r="C1542" t="s">
        <v>133</v>
      </c>
      <c r="D1542" t="s">
        <v>16</v>
      </c>
      <c r="E1542" t="s">
        <v>22</v>
      </c>
      <c r="F1542" t="s">
        <v>27</v>
      </c>
      <c r="G1542" t="s">
        <v>28</v>
      </c>
      <c r="H1542">
        <v>4</v>
      </c>
    </row>
    <row r="1543" spans="1:8" ht="21.75" customHeight="1" x14ac:dyDescent="0.35">
      <c r="A1543" t="s">
        <v>1638</v>
      </c>
      <c r="B1543" s="3">
        <v>45576</v>
      </c>
      <c r="C1543" t="s">
        <v>200</v>
      </c>
      <c r="D1543" t="s">
        <v>102</v>
      </c>
      <c r="E1543" t="s">
        <v>17</v>
      </c>
      <c r="F1543" t="s">
        <v>306</v>
      </c>
      <c r="G1543" t="s">
        <v>28</v>
      </c>
      <c r="H1543">
        <v>14</v>
      </c>
    </row>
    <row r="1544" spans="1:8" ht="21.75" customHeight="1" x14ac:dyDescent="0.35">
      <c r="A1544" t="s">
        <v>1639</v>
      </c>
      <c r="B1544" s="3">
        <v>45610</v>
      </c>
      <c r="C1544" t="s">
        <v>594</v>
      </c>
      <c r="D1544" t="s">
        <v>41</v>
      </c>
      <c r="E1544" t="s">
        <v>22</v>
      </c>
      <c r="F1544" t="s">
        <v>306</v>
      </c>
      <c r="G1544" t="s">
        <v>13</v>
      </c>
      <c r="H1544">
        <v>20</v>
      </c>
    </row>
    <row r="1545" spans="1:8" ht="21.75" customHeight="1" x14ac:dyDescent="0.35">
      <c r="A1545" t="s">
        <v>1640</v>
      </c>
      <c r="B1545" s="3">
        <v>45647</v>
      </c>
      <c r="C1545" t="s">
        <v>101</v>
      </c>
      <c r="D1545" t="s">
        <v>96</v>
      </c>
      <c r="E1545" t="s">
        <v>11</v>
      </c>
      <c r="F1545" t="s">
        <v>42</v>
      </c>
      <c r="G1545" t="s">
        <v>32</v>
      </c>
      <c r="H1545">
        <v>11</v>
      </c>
    </row>
    <row r="1546" spans="1:8" ht="21.75" customHeight="1" x14ac:dyDescent="0.35">
      <c r="A1546" t="s">
        <v>1641</v>
      </c>
      <c r="B1546" s="3">
        <v>45384</v>
      </c>
      <c r="C1546" t="s">
        <v>167</v>
      </c>
      <c r="D1546" t="s">
        <v>59</v>
      </c>
      <c r="E1546" t="s">
        <v>22</v>
      </c>
      <c r="F1546" t="s">
        <v>27</v>
      </c>
      <c r="G1546" t="s">
        <v>13</v>
      </c>
      <c r="H1546">
        <v>5</v>
      </c>
    </row>
    <row r="1547" spans="1:8" ht="21.75" customHeight="1" x14ac:dyDescent="0.35">
      <c r="A1547" t="s">
        <v>1642</v>
      </c>
      <c r="B1547" s="3">
        <v>45307</v>
      </c>
      <c r="C1547" t="s">
        <v>203</v>
      </c>
      <c r="D1547" t="s">
        <v>84</v>
      </c>
      <c r="E1547" t="s">
        <v>22</v>
      </c>
      <c r="F1547" t="s">
        <v>56</v>
      </c>
      <c r="G1547" t="s">
        <v>23</v>
      </c>
      <c r="H1547">
        <v>14</v>
      </c>
    </row>
    <row r="1548" spans="1:8" ht="21.75" customHeight="1" x14ac:dyDescent="0.35">
      <c r="A1548" t="s">
        <v>1643</v>
      </c>
      <c r="B1548" s="3">
        <v>45372</v>
      </c>
      <c r="C1548" t="s">
        <v>200</v>
      </c>
      <c r="D1548" t="s">
        <v>74</v>
      </c>
      <c r="E1548" t="s">
        <v>22</v>
      </c>
      <c r="F1548" t="s">
        <v>42</v>
      </c>
      <c r="G1548" t="s">
        <v>36</v>
      </c>
      <c r="H1548">
        <v>20</v>
      </c>
    </row>
    <row r="1549" spans="1:8" ht="21.75" customHeight="1" x14ac:dyDescent="0.35">
      <c r="A1549" t="s">
        <v>1644</v>
      </c>
      <c r="B1549" s="3">
        <v>45318</v>
      </c>
      <c r="C1549" t="s">
        <v>125</v>
      </c>
      <c r="D1549" t="s">
        <v>45</v>
      </c>
      <c r="E1549" t="s">
        <v>22</v>
      </c>
      <c r="F1549" t="s">
        <v>12</v>
      </c>
      <c r="G1549" t="s">
        <v>13</v>
      </c>
      <c r="H1549">
        <v>9</v>
      </c>
    </row>
    <row r="1550" spans="1:8" ht="21.75" customHeight="1" x14ac:dyDescent="0.35">
      <c r="A1550" t="s">
        <v>1645</v>
      </c>
      <c r="B1550" s="3">
        <v>45509</v>
      </c>
      <c r="C1550" t="s">
        <v>374</v>
      </c>
      <c r="D1550" t="s">
        <v>109</v>
      </c>
      <c r="E1550" t="s">
        <v>17</v>
      </c>
      <c r="F1550" t="s">
        <v>27</v>
      </c>
      <c r="G1550" t="s">
        <v>32</v>
      </c>
      <c r="H1550">
        <v>7</v>
      </c>
    </row>
    <row r="1551" spans="1:8" ht="21.75" customHeight="1" x14ac:dyDescent="0.35">
      <c r="A1551" t="s">
        <v>1646</v>
      </c>
      <c r="B1551" s="3">
        <v>45350</v>
      </c>
      <c r="C1551" t="s">
        <v>20</v>
      </c>
      <c r="D1551" t="s">
        <v>87</v>
      </c>
      <c r="E1551" t="s">
        <v>11</v>
      </c>
      <c r="F1551" t="s">
        <v>42</v>
      </c>
      <c r="G1551" t="s">
        <v>36</v>
      </c>
      <c r="H1551">
        <v>16</v>
      </c>
    </row>
    <row r="1552" spans="1:8" ht="21.75" customHeight="1" x14ac:dyDescent="0.35">
      <c r="A1552" t="s">
        <v>1647</v>
      </c>
      <c r="B1552" s="3">
        <v>45449</v>
      </c>
      <c r="C1552" t="s">
        <v>116</v>
      </c>
      <c r="D1552" t="s">
        <v>197</v>
      </c>
      <c r="E1552" t="s">
        <v>17</v>
      </c>
      <c r="F1552" t="s">
        <v>306</v>
      </c>
      <c r="G1552" t="s">
        <v>13</v>
      </c>
      <c r="H1552">
        <v>1</v>
      </c>
    </row>
    <row r="1553" spans="1:8" ht="21.75" customHeight="1" x14ac:dyDescent="0.35">
      <c r="A1553" t="s">
        <v>1648</v>
      </c>
      <c r="B1553" s="3">
        <v>45400</v>
      </c>
      <c r="C1553" t="s">
        <v>337</v>
      </c>
      <c r="D1553" t="s">
        <v>16</v>
      </c>
      <c r="E1553" t="s">
        <v>17</v>
      </c>
      <c r="F1553" t="s">
        <v>42</v>
      </c>
      <c r="G1553" t="s">
        <v>32</v>
      </c>
      <c r="H1553">
        <v>4</v>
      </c>
    </row>
    <row r="1554" spans="1:8" ht="21.75" customHeight="1" x14ac:dyDescent="0.35">
      <c r="A1554" t="s">
        <v>1649</v>
      </c>
      <c r="B1554" s="3">
        <v>45512</v>
      </c>
      <c r="C1554" t="s">
        <v>235</v>
      </c>
      <c r="D1554" t="s">
        <v>16</v>
      </c>
      <c r="E1554" t="s">
        <v>17</v>
      </c>
      <c r="F1554" t="s">
        <v>306</v>
      </c>
      <c r="G1554" t="s">
        <v>28</v>
      </c>
      <c r="H1554">
        <v>17</v>
      </c>
    </row>
    <row r="1555" spans="1:8" ht="21.75" customHeight="1" x14ac:dyDescent="0.35">
      <c r="A1555" t="s">
        <v>1650</v>
      </c>
      <c r="B1555" s="3">
        <v>45634</v>
      </c>
      <c r="C1555" t="s">
        <v>182</v>
      </c>
      <c r="D1555" t="s">
        <v>10</v>
      </c>
      <c r="E1555" t="s">
        <v>17</v>
      </c>
      <c r="F1555" t="s">
        <v>12</v>
      </c>
      <c r="G1555" t="s">
        <v>23</v>
      </c>
      <c r="H1555">
        <v>1</v>
      </c>
    </row>
    <row r="1556" spans="1:8" ht="21.75" customHeight="1" x14ac:dyDescent="0.35">
      <c r="A1556" t="s">
        <v>1651</v>
      </c>
      <c r="B1556" s="3">
        <v>45331</v>
      </c>
      <c r="C1556" t="s">
        <v>38</v>
      </c>
      <c r="D1556" t="s">
        <v>59</v>
      </c>
      <c r="E1556" t="s">
        <v>17</v>
      </c>
      <c r="F1556" t="s">
        <v>306</v>
      </c>
      <c r="G1556" t="s">
        <v>23</v>
      </c>
      <c r="H1556">
        <v>14</v>
      </c>
    </row>
    <row r="1557" spans="1:8" ht="21.75" customHeight="1" x14ac:dyDescent="0.35">
      <c r="A1557" t="s">
        <v>1652</v>
      </c>
      <c r="B1557" s="3">
        <v>45499</v>
      </c>
      <c r="C1557" t="s">
        <v>138</v>
      </c>
      <c r="D1557" t="s">
        <v>72</v>
      </c>
      <c r="E1557" t="s">
        <v>11</v>
      </c>
      <c r="F1557" t="s">
        <v>306</v>
      </c>
      <c r="G1557" t="s">
        <v>23</v>
      </c>
      <c r="H1557">
        <v>12</v>
      </c>
    </row>
    <row r="1558" spans="1:8" ht="21.75" customHeight="1" x14ac:dyDescent="0.35">
      <c r="A1558" t="s">
        <v>1653</v>
      </c>
      <c r="B1558" s="3">
        <v>45346</v>
      </c>
      <c r="C1558" t="s">
        <v>78</v>
      </c>
      <c r="D1558" t="s">
        <v>87</v>
      </c>
      <c r="E1558" t="s">
        <v>22</v>
      </c>
      <c r="F1558" t="s">
        <v>27</v>
      </c>
      <c r="G1558" t="s">
        <v>36</v>
      </c>
      <c r="H1558">
        <v>3</v>
      </c>
    </row>
    <row r="1559" spans="1:8" ht="21.75" customHeight="1" x14ac:dyDescent="0.35">
      <c r="A1559" t="s">
        <v>1654</v>
      </c>
      <c r="B1559" s="3">
        <v>45450</v>
      </c>
      <c r="C1559" t="s">
        <v>323</v>
      </c>
      <c r="D1559" t="s">
        <v>72</v>
      </c>
      <c r="E1559" t="s">
        <v>11</v>
      </c>
      <c r="F1559" t="s">
        <v>42</v>
      </c>
      <c r="G1559" t="s">
        <v>28</v>
      </c>
      <c r="H1559">
        <v>3</v>
      </c>
    </row>
    <row r="1560" spans="1:8" ht="21.75" customHeight="1" x14ac:dyDescent="0.35">
      <c r="A1560" t="s">
        <v>1655</v>
      </c>
      <c r="B1560" s="3">
        <v>45350</v>
      </c>
      <c r="C1560" t="s">
        <v>339</v>
      </c>
      <c r="D1560" t="s">
        <v>160</v>
      </c>
      <c r="E1560" t="s">
        <v>11</v>
      </c>
      <c r="F1560" t="s">
        <v>42</v>
      </c>
      <c r="G1560" t="s">
        <v>32</v>
      </c>
      <c r="H1560">
        <v>5</v>
      </c>
    </row>
    <row r="1561" spans="1:8" ht="21.75" customHeight="1" x14ac:dyDescent="0.35">
      <c r="A1561" t="s">
        <v>1656</v>
      </c>
      <c r="B1561" s="3">
        <v>45366</v>
      </c>
      <c r="C1561" t="s">
        <v>230</v>
      </c>
      <c r="D1561" t="s">
        <v>65</v>
      </c>
      <c r="E1561" t="s">
        <v>11</v>
      </c>
      <c r="F1561" t="s">
        <v>306</v>
      </c>
      <c r="G1561" t="s">
        <v>28</v>
      </c>
      <c r="H1561">
        <v>3</v>
      </c>
    </row>
    <row r="1562" spans="1:8" ht="21.75" customHeight="1" x14ac:dyDescent="0.35">
      <c r="A1562" t="s">
        <v>1657</v>
      </c>
      <c r="B1562" s="3">
        <v>45613</v>
      </c>
      <c r="C1562" t="s">
        <v>432</v>
      </c>
      <c r="D1562" t="s">
        <v>70</v>
      </c>
      <c r="E1562" t="s">
        <v>22</v>
      </c>
      <c r="F1562" t="s">
        <v>306</v>
      </c>
      <c r="G1562" t="s">
        <v>23</v>
      </c>
      <c r="H1562">
        <v>19</v>
      </c>
    </row>
    <row r="1563" spans="1:8" ht="21.75" customHeight="1" x14ac:dyDescent="0.35">
      <c r="A1563" t="s">
        <v>1658</v>
      </c>
      <c r="B1563" s="3">
        <v>45611</v>
      </c>
      <c r="C1563" t="s">
        <v>187</v>
      </c>
      <c r="D1563" t="s">
        <v>21</v>
      </c>
      <c r="E1563" t="s">
        <v>17</v>
      </c>
      <c r="F1563" t="s">
        <v>56</v>
      </c>
      <c r="G1563" t="s">
        <v>23</v>
      </c>
      <c r="H1563">
        <v>3</v>
      </c>
    </row>
    <row r="1564" spans="1:8" ht="21.75" customHeight="1" x14ac:dyDescent="0.35">
      <c r="A1564" t="s">
        <v>1659</v>
      </c>
      <c r="B1564" s="3">
        <v>45615</v>
      </c>
      <c r="C1564" t="s">
        <v>68</v>
      </c>
      <c r="D1564" t="s">
        <v>26</v>
      </c>
      <c r="E1564" t="s">
        <v>22</v>
      </c>
      <c r="F1564" t="s">
        <v>12</v>
      </c>
      <c r="G1564" t="s">
        <v>32</v>
      </c>
      <c r="H1564">
        <v>17</v>
      </c>
    </row>
    <row r="1565" spans="1:8" ht="21.75" customHeight="1" x14ac:dyDescent="0.35">
      <c r="A1565" t="s">
        <v>1660</v>
      </c>
      <c r="B1565" s="3">
        <v>45528</v>
      </c>
      <c r="C1565" t="s">
        <v>430</v>
      </c>
      <c r="D1565" t="s">
        <v>79</v>
      </c>
      <c r="E1565" t="s">
        <v>11</v>
      </c>
      <c r="F1565" t="s">
        <v>42</v>
      </c>
      <c r="G1565" t="s">
        <v>32</v>
      </c>
      <c r="H1565">
        <v>3</v>
      </c>
    </row>
    <row r="1566" spans="1:8" ht="21.75" customHeight="1" x14ac:dyDescent="0.35">
      <c r="A1566" t="s">
        <v>1661</v>
      </c>
      <c r="B1566" s="3">
        <v>45338</v>
      </c>
      <c r="C1566" t="s">
        <v>594</v>
      </c>
      <c r="D1566" t="s">
        <v>109</v>
      </c>
      <c r="E1566" t="s">
        <v>22</v>
      </c>
      <c r="F1566" t="s">
        <v>27</v>
      </c>
      <c r="G1566" t="s">
        <v>23</v>
      </c>
      <c r="H1566">
        <v>19</v>
      </c>
    </row>
    <row r="1567" spans="1:8" ht="21.75" customHeight="1" x14ac:dyDescent="0.35">
      <c r="A1567" t="s">
        <v>1662</v>
      </c>
      <c r="B1567" s="3">
        <v>45313</v>
      </c>
      <c r="C1567" t="s">
        <v>430</v>
      </c>
      <c r="D1567" t="s">
        <v>59</v>
      </c>
      <c r="E1567" t="s">
        <v>22</v>
      </c>
      <c r="F1567" t="s">
        <v>56</v>
      </c>
      <c r="G1567" t="s">
        <v>32</v>
      </c>
      <c r="H1567">
        <v>20</v>
      </c>
    </row>
    <row r="1568" spans="1:8" ht="21.75" customHeight="1" x14ac:dyDescent="0.35">
      <c r="A1568" t="s">
        <v>1663</v>
      </c>
      <c r="B1568" s="3">
        <v>45369</v>
      </c>
      <c r="C1568" t="s">
        <v>131</v>
      </c>
      <c r="D1568" t="s">
        <v>70</v>
      </c>
      <c r="E1568" t="s">
        <v>11</v>
      </c>
      <c r="F1568" t="s">
        <v>42</v>
      </c>
      <c r="G1568" t="s">
        <v>13</v>
      </c>
      <c r="H1568">
        <v>17</v>
      </c>
    </row>
    <row r="1569" spans="1:8" ht="21.75" customHeight="1" x14ac:dyDescent="0.35">
      <c r="A1569" t="s">
        <v>1664</v>
      </c>
      <c r="B1569" s="3">
        <v>45312</v>
      </c>
      <c r="C1569" t="s">
        <v>78</v>
      </c>
      <c r="D1569" t="s">
        <v>62</v>
      </c>
      <c r="E1569" t="s">
        <v>17</v>
      </c>
      <c r="F1569" t="s">
        <v>27</v>
      </c>
      <c r="G1569" t="s">
        <v>36</v>
      </c>
      <c r="H1569">
        <v>17</v>
      </c>
    </row>
    <row r="1570" spans="1:8" ht="21.75" customHeight="1" x14ac:dyDescent="0.35">
      <c r="A1570" t="s">
        <v>1665</v>
      </c>
      <c r="B1570" s="3">
        <v>45478</v>
      </c>
      <c r="C1570" t="s">
        <v>200</v>
      </c>
      <c r="D1570" t="s">
        <v>74</v>
      </c>
      <c r="E1570" t="s">
        <v>17</v>
      </c>
      <c r="F1570" t="s">
        <v>27</v>
      </c>
      <c r="G1570" t="s">
        <v>32</v>
      </c>
      <c r="H1570">
        <v>20</v>
      </c>
    </row>
    <row r="1571" spans="1:8" ht="21.75" customHeight="1" x14ac:dyDescent="0.35">
      <c r="A1571" t="s">
        <v>1666</v>
      </c>
      <c r="B1571" s="3">
        <v>45615</v>
      </c>
      <c r="C1571" t="s">
        <v>736</v>
      </c>
      <c r="D1571" t="s">
        <v>72</v>
      </c>
      <c r="E1571" t="s">
        <v>11</v>
      </c>
      <c r="F1571" t="s">
        <v>42</v>
      </c>
      <c r="G1571" t="s">
        <v>13</v>
      </c>
      <c r="H1571">
        <v>18</v>
      </c>
    </row>
    <row r="1572" spans="1:8" ht="21.75" customHeight="1" x14ac:dyDescent="0.35">
      <c r="A1572" t="s">
        <v>1667</v>
      </c>
      <c r="B1572" s="3">
        <v>45437</v>
      </c>
      <c r="C1572" t="s">
        <v>230</v>
      </c>
      <c r="D1572" t="s">
        <v>84</v>
      </c>
      <c r="E1572" t="s">
        <v>22</v>
      </c>
      <c r="F1572" t="s">
        <v>306</v>
      </c>
      <c r="G1572" t="s">
        <v>28</v>
      </c>
      <c r="H1572">
        <v>11</v>
      </c>
    </row>
    <row r="1573" spans="1:8" ht="21.75" customHeight="1" x14ac:dyDescent="0.35">
      <c r="A1573" t="s">
        <v>1668</v>
      </c>
      <c r="B1573" s="3">
        <v>45631</v>
      </c>
      <c r="C1573" t="s">
        <v>167</v>
      </c>
      <c r="D1573" t="s">
        <v>48</v>
      </c>
      <c r="E1573" t="s">
        <v>17</v>
      </c>
      <c r="F1573" t="s">
        <v>27</v>
      </c>
      <c r="G1573" t="s">
        <v>28</v>
      </c>
      <c r="H1573">
        <v>20</v>
      </c>
    </row>
    <row r="1574" spans="1:8" ht="21.75" customHeight="1" x14ac:dyDescent="0.35">
      <c r="A1574" t="s">
        <v>1669</v>
      </c>
      <c r="B1574" s="3">
        <v>45335</v>
      </c>
      <c r="C1574" t="s">
        <v>147</v>
      </c>
      <c r="D1574" t="s">
        <v>174</v>
      </c>
      <c r="E1574" t="s">
        <v>17</v>
      </c>
      <c r="F1574" t="s">
        <v>42</v>
      </c>
      <c r="G1574" t="s">
        <v>28</v>
      </c>
      <c r="H1574">
        <v>17</v>
      </c>
    </row>
    <row r="1575" spans="1:8" ht="21.75" customHeight="1" x14ac:dyDescent="0.35">
      <c r="A1575" t="s">
        <v>1670</v>
      </c>
      <c r="B1575" s="3">
        <v>45635</v>
      </c>
      <c r="C1575" t="s">
        <v>309</v>
      </c>
      <c r="D1575" t="s">
        <v>160</v>
      </c>
      <c r="E1575" t="s">
        <v>17</v>
      </c>
      <c r="F1575" t="s">
        <v>12</v>
      </c>
      <c r="G1575" t="s">
        <v>32</v>
      </c>
      <c r="H1575">
        <v>10</v>
      </c>
    </row>
    <row r="1576" spans="1:8" ht="21.75" customHeight="1" x14ac:dyDescent="0.35">
      <c r="A1576" t="s">
        <v>1671</v>
      </c>
      <c r="B1576" s="3">
        <v>45401</v>
      </c>
      <c r="C1576" t="s">
        <v>47</v>
      </c>
      <c r="D1576" t="s">
        <v>119</v>
      </c>
      <c r="E1576" t="s">
        <v>17</v>
      </c>
      <c r="F1576" t="s">
        <v>56</v>
      </c>
      <c r="G1576" t="s">
        <v>28</v>
      </c>
      <c r="H1576">
        <v>5</v>
      </c>
    </row>
    <row r="1577" spans="1:8" ht="21.75" customHeight="1" x14ac:dyDescent="0.35">
      <c r="A1577" t="s">
        <v>1672</v>
      </c>
      <c r="B1577" s="3">
        <v>45443</v>
      </c>
      <c r="C1577" t="s">
        <v>728</v>
      </c>
      <c r="D1577" t="s">
        <v>102</v>
      </c>
      <c r="E1577" t="s">
        <v>22</v>
      </c>
      <c r="F1577" t="s">
        <v>306</v>
      </c>
      <c r="G1577" t="s">
        <v>36</v>
      </c>
      <c r="H1577">
        <v>2</v>
      </c>
    </row>
    <row r="1578" spans="1:8" ht="21.75" customHeight="1" x14ac:dyDescent="0.35">
      <c r="A1578" t="s">
        <v>1673</v>
      </c>
      <c r="B1578" s="3">
        <v>45608</v>
      </c>
      <c r="C1578" t="s">
        <v>34</v>
      </c>
      <c r="D1578" t="s">
        <v>109</v>
      </c>
      <c r="E1578" t="s">
        <v>17</v>
      </c>
      <c r="F1578" t="s">
        <v>56</v>
      </c>
      <c r="G1578" t="s">
        <v>28</v>
      </c>
      <c r="H1578">
        <v>6</v>
      </c>
    </row>
    <row r="1579" spans="1:8" ht="21.75" customHeight="1" x14ac:dyDescent="0.35">
      <c r="A1579" t="s">
        <v>1674</v>
      </c>
      <c r="B1579" s="3">
        <v>45611</v>
      </c>
      <c r="C1579" t="s">
        <v>30</v>
      </c>
      <c r="D1579" t="s">
        <v>84</v>
      </c>
      <c r="E1579" t="s">
        <v>17</v>
      </c>
      <c r="F1579" t="s">
        <v>12</v>
      </c>
      <c r="G1579" t="s">
        <v>23</v>
      </c>
      <c r="H1579">
        <v>12</v>
      </c>
    </row>
    <row r="1580" spans="1:8" ht="21.75" customHeight="1" x14ac:dyDescent="0.35">
      <c r="A1580" t="s">
        <v>1675</v>
      </c>
      <c r="B1580" s="3">
        <v>45413</v>
      </c>
      <c r="C1580" t="s">
        <v>396</v>
      </c>
      <c r="D1580" t="s">
        <v>109</v>
      </c>
      <c r="E1580" t="s">
        <v>17</v>
      </c>
      <c r="F1580" t="s">
        <v>27</v>
      </c>
      <c r="G1580" t="s">
        <v>28</v>
      </c>
      <c r="H1580">
        <v>18</v>
      </c>
    </row>
    <row r="1581" spans="1:8" ht="21.75" customHeight="1" x14ac:dyDescent="0.35">
      <c r="A1581" t="s">
        <v>1676</v>
      </c>
      <c r="B1581" s="3">
        <v>45532</v>
      </c>
      <c r="C1581" t="s">
        <v>150</v>
      </c>
      <c r="D1581" t="s">
        <v>48</v>
      </c>
      <c r="E1581" t="s">
        <v>22</v>
      </c>
      <c r="F1581" t="s">
        <v>306</v>
      </c>
      <c r="G1581" t="s">
        <v>23</v>
      </c>
      <c r="H1581">
        <v>15</v>
      </c>
    </row>
    <row r="1582" spans="1:8" ht="21.75" customHeight="1" x14ac:dyDescent="0.35">
      <c r="A1582" t="s">
        <v>1677</v>
      </c>
      <c r="B1582" s="3">
        <v>45487</v>
      </c>
      <c r="C1582" t="s">
        <v>358</v>
      </c>
      <c r="D1582" t="s">
        <v>160</v>
      </c>
      <c r="E1582" t="s">
        <v>17</v>
      </c>
      <c r="F1582" t="s">
        <v>56</v>
      </c>
      <c r="G1582" t="s">
        <v>28</v>
      </c>
      <c r="H1582">
        <v>20</v>
      </c>
    </row>
    <row r="1583" spans="1:8" ht="21.75" customHeight="1" x14ac:dyDescent="0.35">
      <c r="A1583" t="s">
        <v>1678</v>
      </c>
      <c r="B1583" s="3">
        <v>45420</v>
      </c>
      <c r="C1583" t="s">
        <v>9</v>
      </c>
      <c r="D1583" t="s">
        <v>21</v>
      </c>
      <c r="E1583" t="s">
        <v>17</v>
      </c>
      <c r="F1583" t="s">
        <v>42</v>
      </c>
      <c r="G1583" t="s">
        <v>36</v>
      </c>
      <c r="H1583">
        <v>4</v>
      </c>
    </row>
    <row r="1584" spans="1:8" ht="21.75" customHeight="1" x14ac:dyDescent="0.35">
      <c r="A1584" t="s">
        <v>1679</v>
      </c>
      <c r="B1584" s="3">
        <v>45556</v>
      </c>
      <c r="C1584" t="s">
        <v>114</v>
      </c>
      <c r="D1584" t="s">
        <v>74</v>
      </c>
      <c r="E1584" t="s">
        <v>11</v>
      </c>
      <c r="F1584" t="s">
        <v>56</v>
      </c>
      <c r="G1584" t="s">
        <v>32</v>
      </c>
      <c r="H1584">
        <v>15</v>
      </c>
    </row>
    <row r="1585" spans="1:8" ht="21.75" customHeight="1" x14ac:dyDescent="0.35">
      <c r="A1585" t="s">
        <v>1680</v>
      </c>
      <c r="B1585" s="3">
        <v>45367</v>
      </c>
      <c r="C1585" t="s">
        <v>348</v>
      </c>
      <c r="D1585" t="s">
        <v>10</v>
      </c>
      <c r="E1585" t="s">
        <v>11</v>
      </c>
      <c r="F1585" t="s">
        <v>27</v>
      </c>
      <c r="G1585" t="s">
        <v>32</v>
      </c>
      <c r="H1585">
        <v>1</v>
      </c>
    </row>
    <row r="1586" spans="1:8" ht="21.75" customHeight="1" x14ac:dyDescent="0.35">
      <c r="A1586" t="s">
        <v>1681</v>
      </c>
      <c r="B1586" s="3">
        <v>45494</v>
      </c>
      <c r="C1586" t="s">
        <v>358</v>
      </c>
      <c r="D1586" t="s">
        <v>48</v>
      </c>
      <c r="E1586" t="s">
        <v>11</v>
      </c>
      <c r="F1586" t="s">
        <v>27</v>
      </c>
      <c r="G1586" t="s">
        <v>13</v>
      </c>
      <c r="H1586">
        <v>12</v>
      </c>
    </row>
    <row r="1587" spans="1:8" ht="21.75" customHeight="1" x14ac:dyDescent="0.35">
      <c r="A1587" t="s">
        <v>1682</v>
      </c>
      <c r="B1587" s="3">
        <v>45455</v>
      </c>
      <c r="C1587" t="s">
        <v>108</v>
      </c>
      <c r="D1587" t="s">
        <v>62</v>
      </c>
      <c r="E1587" t="s">
        <v>22</v>
      </c>
      <c r="F1587" t="s">
        <v>42</v>
      </c>
      <c r="G1587" t="s">
        <v>28</v>
      </c>
      <c r="H1587">
        <v>5</v>
      </c>
    </row>
    <row r="1588" spans="1:8" ht="21.75" customHeight="1" x14ac:dyDescent="0.35">
      <c r="A1588" t="s">
        <v>1683</v>
      </c>
      <c r="B1588" s="3">
        <v>45533</v>
      </c>
      <c r="C1588" t="s">
        <v>424</v>
      </c>
      <c r="D1588" t="s">
        <v>16</v>
      </c>
      <c r="E1588" t="s">
        <v>22</v>
      </c>
      <c r="F1588" t="s">
        <v>27</v>
      </c>
      <c r="G1588" t="s">
        <v>23</v>
      </c>
      <c r="H1588">
        <v>20</v>
      </c>
    </row>
    <row r="1589" spans="1:8" ht="21.75" customHeight="1" x14ac:dyDescent="0.35">
      <c r="A1589" t="s">
        <v>1684</v>
      </c>
      <c r="B1589" s="3">
        <v>45332</v>
      </c>
      <c r="C1589" t="s">
        <v>138</v>
      </c>
      <c r="D1589" t="s">
        <v>26</v>
      </c>
      <c r="E1589" t="s">
        <v>11</v>
      </c>
      <c r="F1589" t="s">
        <v>56</v>
      </c>
      <c r="G1589" t="s">
        <v>36</v>
      </c>
      <c r="H1589">
        <v>20</v>
      </c>
    </row>
    <row r="1590" spans="1:8" ht="21.75" customHeight="1" x14ac:dyDescent="0.35">
      <c r="A1590" t="s">
        <v>1685</v>
      </c>
      <c r="B1590" s="3">
        <v>45348</v>
      </c>
      <c r="C1590" t="s">
        <v>420</v>
      </c>
      <c r="D1590" t="s">
        <v>74</v>
      </c>
      <c r="E1590" t="s">
        <v>11</v>
      </c>
      <c r="F1590" t="s">
        <v>42</v>
      </c>
      <c r="G1590" t="s">
        <v>13</v>
      </c>
      <c r="H1590">
        <v>2</v>
      </c>
    </row>
    <row r="1591" spans="1:8" ht="21.75" customHeight="1" x14ac:dyDescent="0.35">
      <c r="A1591" t="s">
        <v>1686</v>
      </c>
      <c r="B1591" s="3">
        <v>45619</v>
      </c>
      <c r="C1591" t="s">
        <v>381</v>
      </c>
      <c r="D1591" t="s">
        <v>70</v>
      </c>
      <c r="E1591" t="s">
        <v>11</v>
      </c>
      <c r="F1591" t="s">
        <v>12</v>
      </c>
      <c r="G1591" t="s">
        <v>23</v>
      </c>
      <c r="H1591">
        <v>20</v>
      </c>
    </row>
    <row r="1592" spans="1:8" ht="21.75" customHeight="1" x14ac:dyDescent="0.35">
      <c r="A1592" t="s">
        <v>1687</v>
      </c>
      <c r="B1592" s="3">
        <v>45615</v>
      </c>
      <c r="C1592" t="s">
        <v>345</v>
      </c>
      <c r="D1592" t="s">
        <v>59</v>
      </c>
      <c r="E1592" t="s">
        <v>11</v>
      </c>
      <c r="F1592" t="s">
        <v>56</v>
      </c>
      <c r="G1592" t="s">
        <v>32</v>
      </c>
      <c r="H1592">
        <v>14</v>
      </c>
    </row>
    <row r="1593" spans="1:8" ht="21.75" customHeight="1" x14ac:dyDescent="0.35">
      <c r="A1593" t="s">
        <v>1688</v>
      </c>
      <c r="B1593" s="3">
        <v>45472</v>
      </c>
      <c r="C1593" t="s">
        <v>93</v>
      </c>
      <c r="D1593" t="s">
        <v>59</v>
      </c>
      <c r="E1593" t="s">
        <v>17</v>
      </c>
      <c r="F1593" t="s">
        <v>56</v>
      </c>
      <c r="G1593" t="s">
        <v>13</v>
      </c>
      <c r="H1593">
        <v>17</v>
      </c>
    </row>
    <row r="1594" spans="1:8" ht="21.75" customHeight="1" x14ac:dyDescent="0.35">
      <c r="A1594" t="s">
        <v>1689</v>
      </c>
      <c r="B1594" s="3">
        <v>45326</v>
      </c>
      <c r="C1594" t="s">
        <v>339</v>
      </c>
      <c r="D1594" t="s">
        <v>174</v>
      </c>
      <c r="E1594" t="s">
        <v>22</v>
      </c>
      <c r="F1594" t="s">
        <v>306</v>
      </c>
      <c r="G1594" t="s">
        <v>36</v>
      </c>
      <c r="H1594">
        <v>1</v>
      </c>
    </row>
    <row r="1595" spans="1:8" ht="21.75" customHeight="1" x14ac:dyDescent="0.35">
      <c r="A1595" t="s">
        <v>1690</v>
      </c>
      <c r="B1595" s="3">
        <v>45532</v>
      </c>
      <c r="C1595" t="s">
        <v>116</v>
      </c>
      <c r="D1595" t="s">
        <v>21</v>
      </c>
      <c r="E1595" t="s">
        <v>17</v>
      </c>
      <c r="F1595" t="s">
        <v>42</v>
      </c>
      <c r="G1595" t="s">
        <v>32</v>
      </c>
      <c r="H1595">
        <v>1</v>
      </c>
    </row>
    <row r="1596" spans="1:8" ht="21.75" customHeight="1" x14ac:dyDescent="0.35">
      <c r="A1596" t="s">
        <v>1691</v>
      </c>
      <c r="B1596" s="3">
        <v>45326</v>
      </c>
      <c r="C1596" t="s">
        <v>20</v>
      </c>
      <c r="D1596" t="s">
        <v>197</v>
      </c>
      <c r="E1596" t="s">
        <v>22</v>
      </c>
      <c r="F1596" t="s">
        <v>12</v>
      </c>
      <c r="G1596" t="s">
        <v>36</v>
      </c>
      <c r="H1596">
        <v>11</v>
      </c>
    </row>
    <row r="1597" spans="1:8" ht="21.75" customHeight="1" x14ac:dyDescent="0.35">
      <c r="A1597" t="s">
        <v>1692</v>
      </c>
      <c r="B1597" s="3">
        <v>45472</v>
      </c>
      <c r="C1597" t="s">
        <v>591</v>
      </c>
      <c r="D1597" t="s">
        <v>72</v>
      </c>
      <c r="E1597" t="s">
        <v>22</v>
      </c>
      <c r="F1597" t="s">
        <v>56</v>
      </c>
      <c r="G1597" t="s">
        <v>23</v>
      </c>
      <c r="H1597">
        <v>16</v>
      </c>
    </row>
    <row r="1598" spans="1:8" ht="21.75" customHeight="1" x14ac:dyDescent="0.35">
      <c r="A1598" t="s">
        <v>1693</v>
      </c>
      <c r="B1598" s="3">
        <v>45361</v>
      </c>
      <c r="C1598" t="s">
        <v>58</v>
      </c>
      <c r="D1598" t="s">
        <v>62</v>
      </c>
      <c r="E1598" t="s">
        <v>17</v>
      </c>
      <c r="F1598" t="s">
        <v>12</v>
      </c>
      <c r="G1598" t="s">
        <v>32</v>
      </c>
      <c r="H1598">
        <v>7</v>
      </c>
    </row>
    <row r="1599" spans="1:8" ht="21.75" customHeight="1" x14ac:dyDescent="0.35">
      <c r="A1599" t="s">
        <v>1694</v>
      </c>
      <c r="B1599" s="3">
        <v>45394</v>
      </c>
      <c r="C1599" t="s">
        <v>116</v>
      </c>
      <c r="D1599" t="s">
        <v>72</v>
      </c>
      <c r="E1599" t="s">
        <v>17</v>
      </c>
      <c r="F1599" t="s">
        <v>306</v>
      </c>
      <c r="G1599" t="s">
        <v>23</v>
      </c>
      <c r="H1599">
        <v>18</v>
      </c>
    </row>
    <row r="1600" spans="1:8" ht="21.75" customHeight="1" x14ac:dyDescent="0.35">
      <c r="A1600" t="s">
        <v>1695</v>
      </c>
      <c r="B1600" s="3">
        <v>45310</v>
      </c>
      <c r="C1600" t="s">
        <v>664</v>
      </c>
      <c r="D1600" t="s">
        <v>21</v>
      </c>
      <c r="E1600" t="s">
        <v>11</v>
      </c>
      <c r="F1600" t="s">
        <v>42</v>
      </c>
      <c r="G1600" t="s">
        <v>32</v>
      </c>
      <c r="H1600">
        <v>2</v>
      </c>
    </row>
    <row r="1601" spans="1:8" ht="21.75" customHeight="1" x14ac:dyDescent="0.35">
      <c r="A1601" t="s">
        <v>1696</v>
      </c>
      <c r="B1601" s="3">
        <v>45461</v>
      </c>
      <c r="C1601" t="s">
        <v>101</v>
      </c>
      <c r="D1601" t="s">
        <v>102</v>
      </c>
      <c r="E1601" t="s">
        <v>17</v>
      </c>
      <c r="F1601" t="s">
        <v>27</v>
      </c>
      <c r="G1601" t="s">
        <v>23</v>
      </c>
      <c r="H1601">
        <v>15</v>
      </c>
    </row>
    <row r="1602" spans="1:8" ht="21.75" customHeight="1" x14ac:dyDescent="0.35">
      <c r="A1602" t="s">
        <v>1697</v>
      </c>
      <c r="B1602" s="3">
        <v>45489</v>
      </c>
      <c r="C1602" t="s">
        <v>47</v>
      </c>
      <c r="D1602" t="s">
        <v>45</v>
      </c>
      <c r="E1602" t="s">
        <v>17</v>
      </c>
      <c r="F1602" t="s">
        <v>27</v>
      </c>
      <c r="G1602" t="s">
        <v>32</v>
      </c>
      <c r="H1602">
        <v>17</v>
      </c>
    </row>
    <row r="1603" spans="1:8" ht="21.75" customHeight="1" x14ac:dyDescent="0.35">
      <c r="A1603" t="s">
        <v>1698</v>
      </c>
      <c r="B1603" s="3">
        <v>45334</v>
      </c>
      <c r="C1603" t="s">
        <v>388</v>
      </c>
      <c r="D1603" t="s">
        <v>87</v>
      </c>
      <c r="E1603" t="s">
        <v>11</v>
      </c>
      <c r="F1603" t="s">
        <v>27</v>
      </c>
      <c r="G1603" t="s">
        <v>36</v>
      </c>
      <c r="H1603">
        <v>6</v>
      </c>
    </row>
    <row r="1604" spans="1:8" ht="21.75" customHeight="1" x14ac:dyDescent="0.35">
      <c r="A1604" t="s">
        <v>1699</v>
      </c>
      <c r="B1604" s="3">
        <v>45456</v>
      </c>
      <c r="C1604" t="s">
        <v>15</v>
      </c>
      <c r="D1604" t="s">
        <v>10</v>
      </c>
      <c r="E1604" t="s">
        <v>17</v>
      </c>
      <c r="F1604" t="s">
        <v>42</v>
      </c>
      <c r="G1604" t="s">
        <v>32</v>
      </c>
      <c r="H1604">
        <v>15</v>
      </c>
    </row>
    <row r="1605" spans="1:8" ht="21.75" customHeight="1" x14ac:dyDescent="0.35">
      <c r="A1605" t="s">
        <v>1700</v>
      </c>
      <c r="B1605" s="3">
        <v>45510</v>
      </c>
      <c r="C1605" t="s">
        <v>30</v>
      </c>
      <c r="D1605" t="s">
        <v>62</v>
      </c>
      <c r="E1605" t="s">
        <v>17</v>
      </c>
      <c r="F1605" t="s">
        <v>42</v>
      </c>
      <c r="G1605" t="s">
        <v>23</v>
      </c>
      <c r="H1605">
        <v>2</v>
      </c>
    </row>
    <row r="1606" spans="1:8" ht="21.75" customHeight="1" x14ac:dyDescent="0.35">
      <c r="A1606" t="s">
        <v>1701</v>
      </c>
      <c r="B1606" s="3">
        <v>45472</v>
      </c>
      <c r="C1606" t="s">
        <v>594</v>
      </c>
      <c r="D1606" t="s">
        <v>87</v>
      </c>
      <c r="E1606" t="s">
        <v>17</v>
      </c>
      <c r="F1606" t="s">
        <v>12</v>
      </c>
      <c r="G1606" t="s">
        <v>13</v>
      </c>
      <c r="H1606">
        <v>13</v>
      </c>
    </row>
    <row r="1607" spans="1:8" ht="21.75" customHeight="1" x14ac:dyDescent="0.35">
      <c r="A1607" t="s">
        <v>1702</v>
      </c>
      <c r="B1607" s="3">
        <v>45639</v>
      </c>
      <c r="C1607" t="s">
        <v>111</v>
      </c>
      <c r="D1607" t="s">
        <v>96</v>
      </c>
      <c r="E1607" t="s">
        <v>11</v>
      </c>
      <c r="F1607" t="s">
        <v>306</v>
      </c>
      <c r="G1607" t="s">
        <v>23</v>
      </c>
      <c r="H1607">
        <v>2</v>
      </c>
    </row>
    <row r="1608" spans="1:8" ht="21.75" customHeight="1" x14ac:dyDescent="0.35">
      <c r="A1608" t="s">
        <v>1703</v>
      </c>
      <c r="B1608" s="3">
        <v>45412</v>
      </c>
      <c r="C1608" t="s">
        <v>420</v>
      </c>
      <c r="D1608" t="s">
        <v>21</v>
      </c>
      <c r="E1608" t="s">
        <v>17</v>
      </c>
      <c r="F1608" t="s">
        <v>42</v>
      </c>
      <c r="G1608" t="s">
        <v>23</v>
      </c>
      <c r="H1608">
        <v>19</v>
      </c>
    </row>
    <row r="1609" spans="1:8" ht="21.75" customHeight="1" x14ac:dyDescent="0.35">
      <c r="A1609" t="s">
        <v>1704</v>
      </c>
      <c r="B1609" s="3">
        <v>45370</v>
      </c>
      <c r="C1609" t="s">
        <v>422</v>
      </c>
      <c r="D1609" t="s">
        <v>70</v>
      </c>
      <c r="E1609" t="s">
        <v>17</v>
      </c>
      <c r="F1609" t="s">
        <v>42</v>
      </c>
      <c r="G1609" t="s">
        <v>23</v>
      </c>
      <c r="H1609">
        <v>3</v>
      </c>
    </row>
    <row r="1610" spans="1:8" ht="21.75" customHeight="1" x14ac:dyDescent="0.35">
      <c r="A1610" t="s">
        <v>1705</v>
      </c>
      <c r="B1610" s="3">
        <v>45563</v>
      </c>
      <c r="C1610" t="s">
        <v>83</v>
      </c>
      <c r="D1610" t="s">
        <v>31</v>
      </c>
      <c r="E1610" t="s">
        <v>17</v>
      </c>
      <c r="F1610" t="s">
        <v>42</v>
      </c>
      <c r="G1610" t="s">
        <v>28</v>
      </c>
      <c r="H1610">
        <v>4</v>
      </c>
    </row>
    <row r="1611" spans="1:8" ht="21.75" customHeight="1" x14ac:dyDescent="0.35">
      <c r="A1611" t="s">
        <v>1706</v>
      </c>
      <c r="B1611" s="3">
        <v>45387</v>
      </c>
      <c r="C1611" t="s">
        <v>432</v>
      </c>
      <c r="D1611" t="s">
        <v>160</v>
      </c>
      <c r="E1611" t="s">
        <v>17</v>
      </c>
      <c r="F1611" t="s">
        <v>306</v>
      </c>
      <c r="G1611" t="s">
        <v>13</v>
      </c>
      <c r="H1611">
        <v>9</v>
      </c>
    </row>
    <row r="1612" spans="1:8" ht="21.75" customHeight="1" x14ac:dyDescent="0.35">
      <c r="A1612" t="s">
        <v>1707</v>
      </c>
      <c r="B1612" s="3">
        <v>45652</v>
      </c>
      <c r="C1612" t="s">
        <v>430</v>
      </c>
      <c r="D1612" t="s">
        <v>65</v>
      </c>
      <c r="E1612" t="s">
        <v>22</v>
      </c>
      <c r="F1612" t="s">
        <v>42</v>
      </c>
      <c r="G1612" t="s">
        <v>23</v>
      </c>
      <c r="H1612">
        <v>7</v>
      </c>
    </row>
    <row r="1613" spans="1:8" ht="21.75" customHeight="1" x14ac:dyDescent="0.35">
      <c r="A1613" t="s">
        <v>1708</v>
      </c>
      <c r="B1613" s="3">
        <v>45329</v>
      </c>
      <c r="C1613" t="s">
        <v>430</v>
      </c>
      <c r="D1613" t="s">
        <v>45</v>
      </c>
      <c r="E1613" t="s">
        <v>22</v>
      </c>
      <c r="F1613" t="s">
        <v>27</v>
      </c>
      <c r="G1613" t="s">
        <v>13</v>
      </c>
      <c r="H1613">
        <v>11</v>
      </c>
    </row>
    <row r="1614" spans="1:8" ht="21.75" customHeight="1" x14ac:dyDescent="0.35">
      <c r="A1614" t="s">
        <v>1709</v>
      </c>
      <c r="B1614" s="3">
        <v>45655</v>
      </c>
      <c r="C1614" t="s">
        <v>58</v>
      </c>
      <c r="D1614" t="s">
        <v>174</v>
      </c>
      <c r="E1614" t="s">
        <v>22</v>
      </c>
      <c r="F1614" t="s">
        <v>42</v>
      </c>
      <c r="G1614" t="s">
        <v>32</v>
      </c>
      <c r="H1614">
        <v>6</v>
      </c>
    </row>
    <row r="1615" spans="1:8" ht="21.75" customHeight="1" x14ac:dyDescent="0.35">
      <c r="A1615" t="s">
        <v>1710</v>
      </c>
      <c r="B1615" s="3">
        <v>45650</v>
      </c>
      <c r="C1615" t="s">
        <v>541</v>
      </c>
      <c r="D1615" t="s">
        <v>45</v>
      </c>
      <c r="E1615" t="s">
        <v>17</v>
      </c>
      <c r="F1615" t="s">
        <v>306</v>
      </c>
      <c r="G1615" t="s">
        <v>28</v>
      </c>
      <c r="H1615">
        <v>4</v>
      </c>
    </row>
    <row r="1616" spans="1:8" ht="21.75" customHeight="1" x14ac:dyDescent="0.35">
      <c r="A1616" t="s">
        <v>1711</v>
      </c>
      <c r="B1616" s="3">
        <v>45363</v>
      </c>
      <c r="C1616" t="s">
        <v>93</v>
      </c>
      <c r="D1616" t="s">
        <v>35</v>
      </c>
      <c r="E1616" t="s">
        <v>11</v>
      </c>
      <c r="F1616" t="s">
        <v>42</v>
      </c>
      <c r="G1616" t="s">
        <v>36</v>
      </c>
      <c r="H1616">
        <v>19</v>
      </c>
    </row>
    <row r="1617" spans="1:8" ht="21.75" customHeight="1" x14ac:dyDescent="0.35">
      <c r="A1617" t="s">
        <v>1712</v>
      </c>
      <c r="B1617" s="3">
        <v>45574</v>
      </c>
      <c r="C1617" t="s">
        <v>34</v>
      </c>
      <c r="D1617" t="s">
        <v>109</v>
      </c>
      <c r="E1617" t="s">
        <v>11</v>
      </c>
      <c r="F1617" t="s">
        <v>12</v>
      </c>
      <c r="G1617" t="s">
        <v>32</v>
      </c>
      <c r="H1617">
        <v>13</v>
      </c>
    </row>
    <row r="1618" spans="1:8" ht="21.75" customHeight="1" x14ac:dyDescent="0.35">
      <c r="A1618" t="s">
        <v>1713</v>
      </c>
      <c r="B1618" s="3">
        <v>45537</v>
      </c>
      <c r="C1618" t="s">
        <v>339</v>
      </c>
      <c r="D1618" t="s">
        <v>87</v>
      </c>
      <c r="E1618" t="s">
        <v>17</v>
      </c>
      <c r="F1618" t="s">
        <v>306</v>
      </c>
      <c r="G1618" t="s">
        <v>13</v>
      </c>
      <c r="H1618">
        <v>5</v>
      </c>
    </row>
    <row r="1619" spans="1:8" ht="21.75" customHeight="1" x14ac:dyDescent="0.35">
      <c r="A1619" t="s">
        <v>1714</v>
      </c>
      <c r="B1619" s="3">
        <v>45620</v>
      </c>
      <c r="C1619" t="s">
        <v>208</v>
      </c>
      <c r="D1619" t="s">
        <v>70</v>
      </c>
      <c r="E1619" t="s">
        <v>17</v>
      </c>
      <c r="F1619" t="s">
        <v>306</v>
      </c>
      <c r="G1619" t="s">
        <v>32</v>
      </c>
      <c r="H1619">
        <v>5</v>
      </c>
    </row>
    <row r="1620" spans="1:8" ht="21.75" customHeight="1" x14ac:dyDescent="0.35">
      <c r="A1620" t="s">
        <v>1715</v>
      </c>
      <c r="B1620" s="3">
        <v>45574</v>
      </c>
      <c r="C1620" t="s">
        <v>541</v>
      </c>
      <c r="D1620" t="s">
        <v>59</v>
      </c>
      <c r="E1620" t="s">
        <v>11</v>
      </c>
      <c r="F1620" t="s">
        <v>56</v>
      </c>
      <c r="G1620" t="s">
        <v>23</v>
      </c>
      <c r="H1620">
        <v>17</v>
      </c>
    </row>
    <row r="1621" spans="1:8" ht="21.75" customHeight="1" x14ac:dyDescent="0.35">
      <c r="A1621" t="s">
        <v>1716</v>
      </c>
      <c r="B1621" s="3">
        <v>45320</v>
      </c>
      <c r="C1621" t="s">
        <v>114</v>
      </c>
      <c r="D1621" t="s">
        <v>160</v>
      </c>
      <c r="E1621" t="s">
        <v>11</v>
      </c>
      <c r="F1621" t="s">
        <v>42</v>
      </c>
      <c r="G1621" t="s">
        <v>28</v>
      </c>
      <c r="H1621">
        <v>6</v>
      </c>
    </row>
    <row r="1622" spans="1:8" ht="21.75" customHeight="1" x14ac:dyDescent="0.35">
      <c r="A1622" t="s">
        <v>1717</v>
      </c>
      <c r="B1622" s="3">
        <v>45655</v>
      </c>
      <c r="C1622" t="s">
        <v>240</v>
      </c>
      <c r="D1622" t="s">
        <v>48</v>
      </c>
      <c r="E1622" t="s">
        <v>22</v>
      </c>
      <c r="F1622" t="s">
        <v>42</v>
      </c>
      <c r="G1622" t="s">
        <v>13</v>
      </c>
      <c r="H1622">
        <v>9</v>
      </c>
    </row>
    <row r="1623" spans="1:8" ht="21.75" customHeight="1" x14ac:dyDescent="0.35">
      <c r="A1623" t="s">
        <v>1718</v>
      </c>
      <c r="B1623" s="3">
        <v>45574</v>
      </c>
      <c r="C1623" t="s">
        <v>89</v>
      </c>
      <c r="D1623" t="s">
        <v>16</v>
      </c>
      <c r="E1623" t="s">
        <v>22</v>
      </c>
      <c r="F1623" t="s">
        <v>42</v>
      </c>
      <c r="G1623" t="s">
        <v>36</v>
      </c>
      <c r="H1623">
        <v>18</v>
      </c>
    </row>
    <row r="1624" spans="1:8" ht="21.75" customHeight="1" x14ac:dyDescent="0.35">
      <c r="A1624" t="s">
        <v>1719</v>
      </c>
      <c r="B1624" s="3">
        <v>45620</v>
      </c>
      <c r="C1624" t="s">
        <v>30</v>
      </c>
      <c r="D1624" t="s">
        <v>59</v>
      </c>
      <c r="E1624" t="s">
        <v>22</v>
      </c>
      <c r="F1624" t="s">
        <v>56</v>
      </c>
      <c r="G1624" t="s">
        <v>28</v>
      </c>
      <c r="H1624">
        <v>20</v>
      </c>
    </row>
    <row r="1625" spans="1:8" ht="21.75" customHeight="1" x14ac:dyDescent="0.35">
      <c r="A1625" t="s">
        <v>1720</v>
      </c>
      <c r="B1625" s="3">
        <v>45601</v>
      </c>
      <c r="C1625" t="s">
        <v>47</v>
      </c>
      <c r="D1625" t="s">
        <v>59</v>
      </c>
      <c r="E1625" t="s">
        <v>11</v>
      </c>
      <c r="F1625" t="s">
        <v>12</v>
      </c>
      <c r="G1625" t="s">
        <v>13</v>
      </c>
      <c r="H1625">
        <v>2</v>
      </c>
    </row>
    <row r="1626" spans="1:8" ht="21.75" customHeight="1" x14ac:dyDescent="0.35">
      <c r="A1626" t="s">
        <v>1721</v>
      </c>
      <c r="B1626" s="3">
        <v>45587</v>
      </c>
      <c r="C1626" t="s">
        <v>86</v>
      </c>
      <c r="D1626" t="s">
        <v>21</v>
      </c>
      <c r="E1626" t="s">
        <v>11</v>
      </c>
      <c r="F1626" t="s">
        <v>306</v>
      </c>
      <c r="G1626" t="s">
        <v>23</v>
      </c>
      <c r="H1626">
        <v>20</v>
      </c>
    </row>
    <row r="1627" spans="1:8" ht="21.75" customHeight="1" x14ac:dyDescent="0.35">
      <c r="A1627" t="s">
        <v>1722</v>
      </c>
      <c r="B1627" s="3">
        <v>45546</v>
      </c>
      <c r="C1627" t="s">
        <v>451</v>
      </c>
      <c r="D1627" t="s">
        <v>174</v>
      </c>
      <c r="E1627" t="s">
        <v>17</v>
      </c>
      <c r="F1627" t="s">
        <v>42</v>
      </c>
      <c r="G1627" t="s">
        <v>23</v>
      </c>
      <c r="H1627">
        <v>8</v>
      </c>
    </row>
    <row r="1628" spans="1:8" ht="21.75" customHeight="1" x14ac:dyDescent="0.35">
      <c r="A1628" t="s">
        <v>1723</v>
      </c>
      <c r="B1628" s="3">
        <v>45642</v>
      </c>
      <c r="C1628" t="s">
        <v>341</v>
      </c>
      <c r="D1628" t="s">
        <v>74</v>
      </c>
      <c r="E1628" t="s">
        <v>17</v>
      </c>
      <c r="F1628" t="s">
        <v>12</v>
      </c>
      <c r="G1628" t="s">
        <v>13</v>
      </c>
      <c r="H1628">
        <v>6</v>
      </c>
    </row>
    <row r="1629" spans="1:8" ht="21.75" customHeight="1" x14ac:dyDescent="0.35">
      <c r="A1629" t="s">
        <v>1724</v>
      </c>
      <c r="B1629" s="3">
        <v>45539</v>
      </c>
      <c r="C1629" t="s">
        <v>319</v>
      </c>
      <c r="D1629" t="s">
        <v>65</v>
      </c>
      <c r="E1629" t="s">
        <v>17</v>
      </c>
      <c r="F1629" t="s">
        <v>306</v>
      </c>
      <c r="G1629" t="s">
        <v>28</v>
      </c>
      <c r="H1629">
        <v>11</v>
      </c>
    </row>
    <row r="1630" spans="1:8" ht="21.75" customHeight="1" x14ac:dyDescent="0.35">
      <c r="A1630" t="s">
        <v>1725</v>
      </c>
      <c r="B1630" s="3">
        <v>45455</v>
      </c>
      <c r="C1630" t="s">
        <v>388</v>
      </c>
      <c r="D1630" t="s">
        <v>48</v>
      </c>
      <c r="E1630" t="s">
        <v>17</v>
      </c>
      <c r="F1630" t="s">
        <v>56</v>
      </c>
      <c r="G1630" t="s">
        <v>32</v>
      </c>
      <c r="H1630">
        <v>17</v>
      </c>
    </row>
    <row r="1631" spans="1:8" ht="21.75" customHeight="1" x14ac:dyDescent="0.35">
      <c r="A1631" t="s">
        <v>1726</v>
      </c>
      <c r="B1631" s="3">
        <v>45455</v>
      </c>
      <c r="C1631" t="s">
        <v>93</v>
      </c>
      <c r="D1631" t="s">
        <v>70</v>
      </c>
      <c r="E1631" t="s">
        <v>11</v>
      </c>
      <c r="F1631" t="s">
        <v>42</v>
      </c>
      <c r="G1631" t="s">
        <v>23</v>
      </c>
      <c r="H1631">
        <v>8</v>
      </c>
    </row>
    <row r="1632" spans="1:8" ht="21.75" customHeight="1" x14ac:dyDescent="0.35">
      <c r="A1632" t="s">
        <v>1727</v>
      </c>
      <c r="B1632" s="3">
        <v>45317</v>
      </c>
      <c r="C1632" t="s">
        <v>61</v>
      </c>
      <c r="D1632" t="s">
        <v>31</v>
      </c>
      <c r="E1632" t="s">
        <v>22</v>
      </c>
      <c r="F1632" t="s">
        <v>27</v>
      </c>
      <c r="G1632" t="s">
        <v>28</v>
      </c>
      <c r="H1632">
        <v>6</v>
      </c>
    </row>
    <row r="1633" spans="1:8" ht="21.75" customHeight="1" x14ac:dyDescent="0.35">
      <c r="A1633" t="s">
        <v>1728</v>
      </c>
      <c r="B1633" s="3">
        <v>45587</v>
      </c>
      <c r="C1633" t="s">
        <v>329</v>
      </c>
      <c r="D1633" t="s">
        <v>72</v>
      </c>
      <c r="E1633" t="s">
        <v>11</v>
      </c>
      <c r="F1633" t="s">
        <v>56</v>
      </c>
      <c r="G1633" t="s">
        <v>23</v>
      </c>
      <c r="H1633">
        <v>17</v>
      </c>
    </row>
    <row r="1634" spans="1:8" ht="21.75" customHeight="1" x14ac:dyDescent="0.35">
      <c r="A1634" t="s">
        <v>1729</v>
      </c>
      <c r="B1634" s="3">
        <v>45449</v>
      </c>
      <c r="C1634" t="s">
        <v>432</v>
      </c>
      <c r="D1634" t="s">
        <v>96</v>
      </c>
      <c r="E1634" t="s">
        <v>11</v>
      </c>
      <c r="F1634" t="s">
        <v>27</v>
      </c>
      <c r="G1634" t="s">
        <v>36</v>
      </c>
      <c r="H1634">
        <v>15</v>
      </c>
    </row>
    <row r="1635" spans="1:8" ht="21.75" customHeight="1" x14ac:dyDescent="0.35">
      <c r="A1635" t="s">
        <v>1730</v>
      </c>
      <c r="B1635" s="3">
        <v>45402</v>
      </c>
      <c r="C1635" t="s">
        <v>361</v>
      </c>
      <c r="D1635" t="s">
        <v>48</v>
      </c>
      <c r="E1635" t="s">
        <v>11</v>
      </c>
      <c r="F1635" t="s">
        <v>12</v>
      </c>
      <c r="G1635" t="s">
        <v>32</v>
      </c>
      <c r="H1635">
        <v>16</v>
      </c>
    </row>
    <row r="1636" spans="1:8" ht="21.75" customHeight="1" x14ac:dyDescent="0.35">
      <c r="A1636" t="s">
        <v>1731</v>
      </c>
      <c r="B1636" s="3">
        <v>45626</v>
      </c>
      <c r="C1636" t="s">
        <v>422</v>
      </c>
      <c r="D1636" t="s">
        <v>35</v>
      </c>
      <c r="E1636" t="s">
        <v>17</v>
      </c>
      <c r="F1636" t="s">
        <v>306</v>
      </c>
      <c r="G1636" t="s">
        <v>13</v>
      </c>
      <c r="H1636">
        <v>4</v>
      </c>
    </row>
    <row r="1637" spans="1:8" ht="21.75" customHeight="1" x14ac:dyDescent="0.35">
      <c r="A1637" t="s">
        <v>1732</v>
      </c>
      <c r="B1637" s="3">
        <v>45427</v>
      </c>
      <c r="C1637" t="s">
        <v>388</v>
      </c>
      <c r="D1637" t="s">
        <v>48</v>
      </c>
      <c r="E1637" t="s">
        <v>17</v>
      </c>
      <c r="F1637" t="s">
        <v>42</v>
      </c>
      <c r="G1637" t="s">
        <v>13</v>
      </c>
      <c r="H1637">
        <v>13</v>
      </c>
    </row>
    <row r="1638" spans="1:8" ht="21.75" customHeight="1" x14ac:dyDescent="0.35">
      <c r="A1638" t="s">
        <v>1733</v>
      </c>
      <c r="B1638" s="3">
        <v>45579</v>
      </c>
      <c r="C1638" t="s">
        <v>150</v>
      </c>
      <c r="D1638" t="s">
        <v>48</v>
      </c>
      <c r="E1638" t="s">
        <v>22</v>
      </c>
      <c r="F1638" t="s">
        <v>42</v>
      </c>
      <c r="G1638" t="s">
        <v>13</v>
      </c>
      <c r="H1638">
        <v>13</v>
      </c>
    </row>
    <row r="1639" spans="1:8" ht="21.75" customHeight="1" x14ac:dyDescent="0.35">
      <c r="A1639" t="s">
        <v>1734</v>
      </c>
      <c r="B1639" s="3">
        <v>45573</v>
      </c>
      <c r="C1639" t="s">
        <v>89</v>
      </c>
      <c r="D1639" t="s">
        <v>109</v>
      </c>
      <c r="E1639" t="s">
        <v>22</v>
      </c>
      <c r="F1639" t="s">
        <v>306</v>
      </c>
      <c r="G1639" t="s">
        <v>13</v>
      </c>
      <c r="H1639">
        <v>5</v>
      </c>
    </row>
    <row r="1640" spans="1:8" ht="21.75" customHeight="1" x14ac:dyDescent="0.35">
      <c r="A1640" t="s">
        <v>1735</v>
      </c>
      <c r="B1640" s="3">
        <v>45493</v>
      </c>
      <c r="C1640" t="s">
        <v>200</v>
      </c>
      <c r="D1640" t="s">
        <v>72</v>
      </c>
      <c r="E1640" t="s">
        <v>22</v>
      </c>
      <c r="F1640" t="s">
        <v>42</v>
      </c>
      <c r="G1640" t="s">
        <v>28</v>
      </c>
      <c r="H1640">
        <v>7</v>
      </c>
    </row>
    <row r="1641" spans="1:8" ht="21.75" customHeight="1" x14ac:dyDescent="0.35">
      <c r="A1641" t="s">
        <v>1736</v>
      </c>
      <c r="B1641" s="3">
        <v>45497</v>
      </c>
      <c r="C1641" t="s">
        <v>358</v>
      </c>
      <c r="D1641" t="s">
        <v>79</v>
      </c>
      <c r="E1641" t="s">
        <v>11</v>
      </c>
      <c r="F1641" t="s">
        <v>12</v>
      </c>
      <c r="G1641" t="s">
        <v>28</v>
      </c>
      <c r="H1641">
        <v>11</v>
      </c>
    </row>
    <row r="1642" spans="1:8" ht="21.75" customHeight="1" x14ac:dyDescent="0.35">
      <c r="A1642" t="s">
        <v>1737</v>
      </c>
      <c r="B1642" s="3">
        <v>45557</v>
      </c>
      <c r="C1642" t="s">
        <v>366</v>
      </c>
      <c r="D1642" t="s">
        <v>16</v>
      </c>
      <c r="E1642" t="s">
        <v>22</v>
      </c>
      <c r="F1642" t="s">
        <v>306</v>
      </c>
      <c r="G1642" t="s">
        <v>28</v>
      </c>
      <c r="H1642">
        <v>11</v>
      </c>
    </row>
    <row r="1643" spans="1:8" ht="21.75" customHeight="1" x14ac:dyDescent="0.35">
      <c r="A1643" t="s">
        <v>1738</v>
      </c>
      <c r="B1643" s="3">
        <v>45455</v>
      </c>
      <c r="C1643" t="s">
        <v>111</v>
      </c>
      <c r="D1643" t="s">
        <v>31</v>
      </c>
      <c r="E1643" t="s">
        <v>22</v>
      </c>
      <c r="F1643" t="s">
        <v>42</v>
      </c>
      <c r="G1643" t="s">
        <v>36</v>
      </c>
      <c r="H1643">
        <v>11</v>
      </c>
    </row>
    <row r="1644" spans="1:8" ht="21.75" customHeight="1" x14ac:dyDescent="0.35">
      <c r="A1644" t="s">
        <v>1739</v>
      </c>
      <c r="B1644" s="3">
        <v>45552</v>
      </c>
      <c r="C1644" t="s">
        <v>312</v>
      </c>
      <c r="D1644" t="s">
        <v>35</v>
      </c>
      <c r="E1644" t="s">
        <v>22</v>
      </c>
      <c r="F1644" t="s">
        <v>306</v>
      </c>
      <c r="G1644" t="s">
        <v>32</v>
      </c>
      <c r="H1644">
        <v>16</v>
      </c>
    </row>
    <row r="1645" spans="1:8" ht="21.75" customHeight="1" x14ac:dyDescent="0.35">
      <c r="A1645" t="s">
        <v>1740</v>
      </c>
      <c r="B1645" s="3">
        <v>45480</v>
      </c>
      <c r="C1645" t="s">
        <v>118</v>
      </c>
      <c r="D1645" t="s">
        <v>41</v>
      </c>
      <c r="E1645" t="s">
        <v>11</v>
      </c>
      <c r="F1645" t="s">
        <v>27</v>
      </c>
      <c r="G1645" t="s">
        <v>36</v>
      </c>
      <c r="H1645">
        <v>10</v>
      </c>
    </row>
    <row r="1646" spans="1:8" ht="21.75" customHeight="1" x14ac:dyDescent="0.35">
      <c r="A1646" t="s">
        <v>1741</v>
      </c>
      <c r="B1646" s="3">
        <v>45644</v>
      </c>
      <c r="C1646" t="s">
        <v>451</v>
      </c>
      <c r="D1646" t="s">
        <v>96</v>
      </c>
      <c r="E1646" t="s">
        <v>22</v>
      </c>
      <c r="F1646" t="s">
        <v>27</v>
      </c>
      <c r="G1646" t="s">
        <v>32</v>
      </c>
      <c r="H1646">
        <v>19</v>
      </c>
    </row>
    <row r="1647" spans="1:8" ht="21.75" customHeight="1" x14ac:dyDescent="0.35">
      <c r="A1647" t="s">
        <v>1742</v>
      </c>
      <c r="B1647" s="3">
        <v>45318</v>
      </c>
      <c r="C1647" t="s">
        <v>361</v>
      </c>
      <c r="D1647" t="s">
        <v>35</v>
      </c>
      <c r="E1647" t="s">
        <v>11</v>
      </c>
      <c r="F1647" t="s">
        <v>306</v>
      </c>
      <c r="G1647" t="s">
        <v>36</v>
      </c>
      <c r="H1647">
        <v>13</v>
      </c>
    </row>
    <row r="1648" spans="1:8" ht="21.75" customHeight="1" x14ac:dyDescent="0.35">
      <c r="A1648" t="s">
        <v>1743</v>
      </c>
      <c r="B1648" s="3">
        <v>45640</v>
      </c>
      <c r="C1648" t="s">
        <v>78</v>
      </c>
      <c r="D1648" t="s">
        <v>79</v>
      </c>
      <c r="E1648" t="s">
        <v>22</v>
      </c>
      <c r="F1648" t="s">
        <v>12</v>
      </c>
      <c r="G1648" t="s">
        <v>28</v>
      </c>
      <c r="H1648">
        <v>1</v>
      </c>
    </row>
    <row r="1649" spans="1:8" ht="21.75" customHeight="1" x14ac:dyDescent="0.35">
      <c r="A1649" t="s">
        <v>1744</v>
      </c>
      <c r="B1649" s="3">
        <v>45506</v>
      </c>
      <c r="C1649" t="s">
        <v>125</v>
      </c>
      <c r="D1649" t="s">
        <v>87</v>
      </c>
      <c r="E1649" t="s">
        <v>22</v>
      </c>
      <c r="F1649" t="s">
        <v>56</v>
      </c>
      <c r="G1649" t="s">
        <v>23</v>
      </c>
      <c r="H1649">
        <v>17</v>
      </c>
    </row>
    <row r="1650" spans="1:8" ht="21.75" customHeight="1" x14ac:dyDescent="0.35">
      <c r="A1650" t="s">
        <v>1745</v>
      </c>
      <c r="B1650" s="3">
        <v>45533</v>
      </c>
      <c r="C1650" t="s">
        <v>304</v>
      </c>
      <c r="D1650" t="s">
        <v>84</v>
      </c>
      <c r="E1650" t="s">
        <v>11</v>
      </c>
      <c r="F1650" t="s">
        <v>56</v>
      </c>
      <c r="G1650" t="s">
        <v>36</v>
      </c>
      <c r="H1650">
        <v>7</v>
      </c>
    </row>
    <row r="1651" spans="1:8" ht="21.75" customHeight="1" x14ac:dyDescent="0.35">
      <c r="A1651" t="s">
        <v>1746</v>
      </c>
      <c r="B1651" s="3">
        <v>45631</v>
      </c>
      <c r="C1651" t="s">
        <v>517</v>
      </c>
      <c r="D1651" t="s">
        <v>160</v>
      </c>
      <c r="E1651" t="s">
        <v>17</v>
      </c>
      <c r="F1651" t="s">
        <v>42</v>
      </c>
      <c r="G1651" t="s">
        <v>28</v>
      </c>
      <c r="H1651">
        <v>15</v>
      </c>
    </row>
    <row r="1652" spans="1:8" ht="21.75" customHeight="1" x14ac:dyDescent="0.35">
      <c r="A1652" t="s">
        <v>1747</v>
      </c>
      <c r="B1652" s="3">
        <v>45467</v>
      </c>
      <c r="C1652" t="s">
        <v>591</v>
      </c>
      <c r="D1652" t="s">
        <v>48</v>
      </c>
      <c r="E1652" t="s">
        <v>22</v>
      </c>
      <c r="F1652" t="s">
        <v>42</v>
      </c>
      <c r="G1652" t="s">
        <v>36</v>
      </c>
      <c r="H1652">
        <v>16</v>
      </c>
    </row>
    <row r="1653" spans="1:8" ht="21.75" customHeight="1" x14ac:dyDescent="0.35">
      <c r="A1653" t="s">
        <v>1748</v>
      </c>
      <c r="B1653" s="3">
        <v>45418</v>
      </c>
      <c r="C1653" t="s">
        <v>89</v>
      </c>
      <c r="D1653" t="s">
        <v>174</v>
      </c>
      <c r="E1653" t="s">
        <v>17</v>
      </c>
      <c r="F1653" t="s">
        <v>56</v>
      </c>
      <c r="G1653" t="s">
        <v>32</v>
      </c>
      <c r="H1653">
        <v>10</v>
      </c>
    </row>
    <row r="1654" spans="1:8" ht="21.75" customHeight="1" x14ac:dyDescent="0.35">
      <c r="A1654" t="s">
        <v>1749</v>
      </c>
      <c r="B1654" s="3">
        <v>45645</v>
      </c>
      <c r="C1654" t="s">
        <v>369</v>
      </c>
      <c r="D1654" t="s">
        <v>35</v>
      </c>
      <c r="E1654" t="s">
        <v>17</v>
      </c>
      <c r="F1654" t="s">
        <v>27</v>
      </c>
      <c r="G1654" t="s">
        <v>32</v>
      </c>
      <c r="H1654">
        <v>18</v>
      </c>
    </row>
    <row r="1655" spans="1:8" ht="21.75" customHeight="1" x14ac:dyDescent="0.35">
      <c r="A1655" t="s">
        <v>1750</v>
      </c>
      <c r="B1655" s="3">
        <v>45432</v>
      </c>
      <c r="C1655" t="s">
        <v>55</v>
      </c>
      <c r="D1655" t="s">
        <v>102</v>
      </c>
      <c r="E1655" t="s">
        <v>22</v>
      </c>
      <c r="F1655" t="s">
        <v>306</v>
      </c>
      <c r="G1655" t="s">
        <v>23</v>
      </c>
      <c r="H1655">
        <v>13</v>
      </c>
    </row>
    <row r="1656" spans="1:8" ht="21.75" customHeight="1" x14ac:dyDescent="0.35">
      <c r="A1656" t="s">
        <v>1751</v>
      </c>
      <c r="B1656" s="3">
        <v>45366</v>
      </c>
      <c r="C1656" t="s">
        <v>61</v>
      </c>
      <c r="D1656" t="s">
        <v>79</v>
      </c>
      <c r="E1656" t="s">
        <v>17</v>
      </c>
      <c r="F1656" t="s">
        <v>12</v>
      </c>
      <c r="G1656" t="s">
        <v>32</v>
      </c>
      <c r="H1656">
        <v>15</v>
      </c>
    </row>
    <row r="1657" spans="1:8" ht="21.75" customHeight="1" x14ac:dyDescent="0.35">
      <c r="A1657" t="s">
        <v>1752</v>
      </c>
      <c r="B1657" s="3">
        <v>45537</v>
      </c>
      <c r="C1657" t="s">
        <v>133</v>
      </c>
      <c r="D1657" t="s">
        <v>65</v>
      </c>
      <c r="E1657" t="s">
        <v>22</v>
      </c>
      <c r="F1657" t="s">
        <v>42</v>
      </c>
      <c r="G1657" t="s">
        <v>36</v>
      </c>
      <c r="H1657">
        <v>9</v>
      </c>
    </row>
    <row r="1658" spans="1:8" ht="21.75" customHeight="1" x14ac:dyDescent="0.35">
      <c r="A1658" t="s">
        <v>1753</v>
      </c>
      <c r="B1658" s="3">
        <v>45607</v>
      </c>
      <c r="C1658" t="s">
        <v>304</v>
      </c>
      <c r="D1658" t="s">
        <v>59</v>
      </c>
      <c r="E1658" t="s">
        <v>11</v>
      </c>
      <c r="F1658" t="s">
        <v>56</v>
      </c>
      <c r="G1658" t="s">
        <v>13</v>
      </c>
      <c r="H1658">
        <v>17</v>
      </c>
    </row>
    <row r="1659" spans="1:8" ht="21.75" customHeight="1" x14ac:dyDescent="0.35">
      <c r="A1659" t="s">
        <v>1754</v>
      </c>
      <c r="B1659" s="3">
        <v>45411</v>
      </c>
      <c r="C1659" t="s">
        <v>9</v>
      </c>
      <c r="D1659" t="s">
        <v>102</v>
      </c>
      <c r="E1659" t="s">
        <v>17</v>
      </c>
      <c r="F1659" t="s">
        <v>42</v>
      </c>
      <c r="G1659" t="s">
        <v>23</v>
      </c>
      <c r="H1659">
        <v>4</v>
      </c>
    </row>
    <row r="1660" spans="1:8" ht="21.75" customHeight="1" x14ac:dyDescent="0.35">
      <c r="A1660" t="s">
        <v>1755</v>
      </c>
      <c r="B1660" s="3">
        <v>45362</v>
      </c>
      <c r="C1660" t="s">
        <v>25</v>
      </c>
      <c r="D1660" t="s">
        <v>174</v>
      </c>
      <c r="E1660" t="s">
        <v>11</v>
      </c>
      <c r="F1660" t="s">
        <v>27</v>
      </c>
      <c r="G1660" t="s">
        <v>23</v>
      </c>
      <c r="H1660">
        <v>16</v>
      </c>
    </row>
    <row r="1661" spans="1:8" ht="21.75" customHeight="1" x14ac:dyDescent="0.35">
      <c r="A1661" t="s">
        <v>1756</v>
      </c>
      <c r="B1661" s="3">
        <v>45439</v>
      </c>
      <c r="C1661" t="s">
        <v>187</v>
      </c>
      <c r="D1661" t="s">
        <v>74</v>
      </c>
      <c r="E1661" t="s">
        <v>22</v>
      </c>
      <c r="F1661" t="s">
        <v>12</v>
      </c>
      <c r="G1661" t="s">
        <v>13</v>
      </c>
      <c r="H1661">
        <v>19</v>
      </c>
    </row>
    <row r="1662" spans="1:8" ht="21.75" customHeight="1" x14ac:dyDescent="0.35">
      <c r="A1662" t="s">
        <v>1757</v>
      </c>
      <c r="B1662" s="3">
        <v>45311</v>
      </c>
      <c r="C1662" t="s">
        <v>235</v>
      </c>
      <c r="D1662" t="s">
        <v>87</v>
      </c>
      <c r="E1662" t="s">
        <v>11</v>
      </c>
      <c r="F1662" t="s">
        <v>12</v>
      </c>
      <c r="G1662" t="s">
        <v>23</v>
      </c>
      <c r="H1662">
        <v>16</v>
      </c>
    </row>
    <row r="1663" spans="1:8" ht="21.75" customHeight="1" x14ac:dyDescent="0.35">
      <c r="A1663" t="s">
        <v>1758</v>
      </c>
      <c r="B1663" s="3">
        <v>45440</v>
      </c>
      <c r="C1663" t="s">
        <v>122</v>
      </c>
      <c r="D1663" t="s">
        <v>96</v>
      </c>
      <c r="E1663" t="s">
        <v>17</v>
      </c>
      <c r="F1663" t="s">
        <v>306</v>
      </c>
      <c r="G1663" t="s">
        <v>36</v>
      </c>
      <c r="H1663">
        <v>4</v>
      </c>
    </row>
    <row r="1664" spans="1:8" ht="21.75" customHeight="1" x14ac:dyDescent="0.35">
      <c r="A1664" t="s">
        <v>1759</v>
      </c>
      <c r="B1664" s="3">
        <v>45463</v>
      </c>
      <c r="C1664" t="s">
        <v>55</v>
      </c>
      <c r="D1664" t="s">
        <v>70</v>
      </c>
      <c r="E1664" t="s">
        <v>22</v>
      </c>
      <c r="F1664" t="s">
        <v>306</v>
      </c>
      <c r="G1664" t="s">
        <v>36</v>
      </c>
      <c r="H1664">
        <v>16</v>
      </c>
    </row>
    <row r="1665" spans="1:8" ht="21.75" customHeight="1" x14ac:dyDescent="0.35">
      <c r="A1665" t="s">
        <v>1760</v>
      </c>
      <c r="B1665" s="3">
        <v>45360</v>
      </c>
      <c r="C1665" t="s">
        <v>358</v>
      </c>
      <c r="D1665" t="s">
        <v>70</v>
      </c>
      <c r="E1665" t="s">
        <v>17</v>
      </c>
      <c r="F1665" t="s">
        <v>56</v>
      </c>
      <c r="G1665" t="s">
        <v>13</v>
      </c>
      <c r="H1665">
        <v>11</v>
      </c>
    </row>
    <row r="1666" spans="1:8" ht="21.75" customHeight="1" x14ac:dyDescent="0.35">
      <c r="A1666" t="s">
        <v>1761</v>
      </c>
      <c r="B1666" s="3">
        <v>45526</v>
      </c>
      <c r="C1666" t="s">
        <v>736</v>
      </c>
      <c r="D1666" t="s">
        <v>26</v>
      </c>
      <c r="E1666" t="s">
        <v>22</v>
      </c>
      <c r="F1666" t="s">
        <v>56</v>
      </c>
      <c r="G1666" t="s">
        <v>13</v>
      </c>
      <c r="H1666">
        <v>11</v>
      </c>
    </row>
    <row r="1667" spans="1:8" ht="21.75" customHeight="1" x14ac:dyDescent="0.35">
      <c r="A1667" t="s">
        <v>1762</v>
      </c>
      <c r="B1667" s="3">
        <v>45582</v>
      </c>
      <c r="C1667" t="s">
        <v>422</v>
      </c>
      <c r="D1667" t="s">
        <v>119</v>
      </c>
      <c r="E1667" t="s">
        <v>11</v>
      </c>
      <c r="F1667" t="s">
        <v>56</v>
      </c>
      <c r="G1667" t="s">
        <v>36</v>
      </c>
      <c r="H1667">
        <v>13</v>
      </c>
    </row>
    <row r="1668" spans="1:8" ht="21.75" customHeight="1" x14ac:dyDescent="0.35">
      <c r="A1668" t="s">
        <v>1763</v>
      </c>
      <c r="B1668" s="3">
        <v>45555</v>
      </c>
      <c r="C1668" t="s">
        <v>187</v>
      </c>
      <c r="D1668" t="s">
        <v>10</v>
      </c>
      <c r="E1668" t="s">
        <v>17</v>
      </c>
      <c r="F1668" t="s">
        <v>12</v>
      </c>
      <c r="G1668" t="s">
        <v>28</v>
      </c>
      <c r="H1668">
        <v>5</v>
      </c>
    </row>
    <row r="1669" spans="1:8" ht="21.75" customHeight="1" x14ac:dyDescent="0.35">
      <c r="A1669" t="s">
        <v>1764</v>
      </c>
      <c r="B1669" s="3">
        <v>45419</v>
      </c>
      <c r="C1669" t="s">
        <v>25</v>
      </c>
      <c r="D1669" t="s">
        <v>26</v>
      </c>
      <c r="E1669" t="s">
        <v>17</v>
      </c>
      <c r="F1669" t="s">
        <v>56</v>
      </c>
      <c r="G1669" t="s">
        <v>23</v>
      </c>
      <c r="H1669">
        <v>9</v>
      </c>
    </row>
    <row r="1670" spans="1:8" ht="21.75" customHeight="1" x14ac:dyDescent="0.35">
      <c r="A1670" t="s">
        <v>1765</v>
      </c>
      <c r="B1670" s="3">
        <v>45446</v>
      </c>
      <c r="C1670" t="s">
        <v>361</v>
      </c>
      <c r="D1670" t="s">
        <v>84</v>
      </c>
      <c r="E1670" t="s">
        <v>22</v>
      </c>
      <c r="F1670" t="s">
        <v>12</v>
      </c>
      <c r="G1670" t="s">
        <v>32</v>
      </c>
      <c r="H1670">
        <v>12</v>
      </c>
    </row>
    <row r="1671" spans="1:8" ht="21.75" customHeight="1" x14ac:dyDescent="0.35">
      <c r="A1671" t="s">
        <v>1766</v>
      </c>
      <c r="B1671" s="3">
        <v>45323</v>
      </c>
      <c r="C1671" t="s">
        <v>317</v>
      </c>
      <c r="D1671" t="s">
        <v>102</v>
      </c>
      <c r="E1671" t="s">
        <v>17</v>
      </c>
      <c r="F1671" t="s">
        <v>42</v>
      </c>
      <c r="G1671" t="s">
        <v>28</v>
      </c>
      <c r="H1671">
        <v>13</v>
      </c>
    </row>
    <row r="1672" spans="1:8" ht="21.75" customHeight="1" x14ac:dyDescent="0.35">
      <c r="A1672" t="s">
        <v>1767</v>
      </c>
      <c r="B1672" s="3">
        <v>45652</v>
      </c>
      <c r="C1672" t="s">
        <v>337</v>
      </c>
      <c r="D1672" t="s">
        <v>74</v>
      </c>
      <c r="E1672" t="s">
        <v>22</v>
      </c>
      <c r="F1672" t="s">
        <v>12</v>
      </c>
      <c r="G1672" t="s">
        <v>32</v>
      </c>
      <c r="H1672">
        <v>12</v>
      </c>
    </row>
    <row r="1673" spans="1:8" ht="21.75" customHeight="1" x14ac:dyDescent="0.35">
      <c r="A1673" t="s">
        <v>1768</v>
      </c>
      <c r="B1673" s="3">
        <v>45404</v>
      </c>
      <c r="C1673" t="s">
        <v>99</v>
      </c>
      <c r="D1673" t="s">
        <v>35</v>
      </c>
      <c r="E1673" t="s">
        <v>11</v>
      </c>
      <c r="F1673" t="s">
        <v>27</v>
      </c>
      <c r="G1673" t="s">
        <v>36</v>
      </c>
      <c r="H1673">
        <v>12</v>
      </c>
    </row>
    <row r="1674" spans="1:8" ht="21.75" customHeight="1" x14ac:dyDescent="0.35">
      <c r="A1674" t="s">
        <v>1769</v>
      </c>
      <c r="B1674" s="3">
        <v>45573</v>
      </c>
      <c r="C1674" t="s">
        <v>553</v>
      </c>
      <c r="D1674" t="s">
        <v>119</v>
      </c>
      <c r="E1674" t="s">
        <v>22</v>
      </c>
      <c r="F1674" t="s">
        <v>56</v>
      </c>
      <c r="G1674" t="s">
        <v>28</v>
      </c>
      <c r="H1674">
        <v>20</v>
      </c>
    </row>
    <row r="1675" spans="1:8" ht="21.75" customHeight="1" x14ac:dyDescent="0.35">
      <c r="A1675" t="s">
        <v>1770</v>
      </c>
      <c r="B1675" s="3">
        <v>45333</v>
      </c>
      <c r="C1675" t="s">
        <v>339</v>
      </c>
      <c r="D1675" t="s">
        <v>70</v>
      </c>
      <c r="E1675" t="s">
        <v>22</v>
      </c>
      <c r="F1675" t="s">
        <v>42</v>
      </c>
      <c r="G1675" t="s">
        <v>13</v>
      </c>
      <c r="H1675">
        <v>19</v>
      </c>
    </row>
    <row r="1676" spans="1:8" ht="21.75" customHeight="1" x14ac:dyDescent="0.35">
      <c r="A1676" t="s">
        <v>1771</v>
      </c>
      <c r="B1676" s="3">
        <v>45572</v>
      </c>
      <c r="C1676" t="s">
        <v>358</v>
      </c>
      <c r="D1676" t="s">
        <v>65</v>
      </c>
      <c r="E1676" t="s">
        <v>22</v>
      </c>
      <c r="F1676" t="s">
        <v>306</v>
      </c>
      <c r="G1676" t="s">
        <v>28</v>
      </c>
      <c r="H1676">
        <v>6</v>
      </c>
    </row>
    <row r="1677" spans="1:8" ht="21.75" customHeight="1" x14ac:dyDescent="0.35">
      <c r="A1677" t="s">
        <v>1772</v>
      </c>
      <c r="B1677" s="3">
        <v>45558</v>
      </c>
      <c r="C1677" t="s">
        <v>396</v>
      </c>
      <c r="D1677" t="s">
        <v>102</v>
      </c>
      <c r="E1677" t="s">
        <v>22</v>
      </c>
      <c r="F1677" t="s">
        <v>56</v>
      </c>
      <c r="G1677" t="s">
        <v>36</v>
      </c>
      <c r="H1677">
        <v>16</v>
      </c>
    </row>
    <row r="1678" spans="1:8" ht="21.75" customHeight="1" x14ac:dyDescent="0.35">
      <c r="A1678" t="s">
        <v>1773</v>
      </c>
      <c r="B1678" s="3">
        <v>45553</v>
      </c>
      <c r="C1678" t="s">
        <v>430</v>
      </c>
      <c r="D1678" t="s">
        <v>79</v>
      </c>
      <c r="E1678" t="s">
        <v>17</v>
      </c>
      <c r="F1678" t="s">
        <v>56</v>
      </c>
      <c r="G1678" t="s">
        <v>36</v>
      </c>
      <c r="H1678">
        <v>14</v>
      </c>
    </row>
    <row r="1679" spans="1:8" ht="21.75" customHeight="1" x14ac:dyDescent="0.35">
      <c r="A1679" t="s">
        <v>1774</v>
      </c>
      <c r="B1679" s="3">
        <v>45321</v>
      </c>
      <c r="C1679" t="s">
        <v>642</v>
      </c>
      <c r="D1679" t="s">
        <v>70</v>
      </c>
      <c r="E1679" t="s">
        <v>22</v>
      </c>
      <c r="F1679" t="s">
        <v>42</v>
      </c>
      <c r="G1679" t="s">
        <v>13</v>
      </c>
      <c r="H1679">
        <v>13</v>
      </c>
    </row>
    <row r="1680" spans="1:8" ht="21.75" customHeight="1" x14ac:dyDescent="0.35">
      <c r="A1680" t="s">
        <v>1775</v>
      </c>
      <c r="B1680" s="3">
        <v>45293</v>
      </c>
      <c r="C1680" t="s">
        <v>323</v>
      </c>
      <c r="D1680" t="s">
        <v>65</v>
      </c>
      <c r="E1680" t="s">
        <v>22</v>
      </c>
      <c r="F1680" t="s">
        <v>12</v>
      </c>
      <c r="G1680" t="s">
        <v>13</v>
      </c>
      <c r="H1680">
        <v>14</v>
      </c>
    </row>
    <row r="1681" spans="1:8" ht="21.75" customHeight="1" x14ac:dyDescent="0.35">
      <c r="A1681" t="s">
        <v>1776</v>
      </c>
      <c r="B1681" s="3">
        <v>45324</v>
      </c>
      <c r="C1681" t="s">
        <v>591</v>
      </c>
      <c r="D1681" t="s">
        <v>79</v>
      </c>
      <c r="E1681" t="s">
        <v>11</v>
      </c>
      <c r="F1681" t="s">
        <v>27</v>
      </c>
      <c r="G1681" t="s">
        <v>13</v>
      </c>
      <c r="H1681">
        <v>10</v>
      </c>
    </row>
    <row r="1682" spans="1:8" ht="21.75" customHeight="1" x14ac:dyDescent="0.35">
      <c r="A1682" t="s">
        <v>1777</v>
      </c>
      <c r="B1682" s="3">
        <v>45361</v>
      </c>
      <c r="C1682" t="s">
        <v>337</v>
      </c>
      <c r="D1682" t="s">
        <v>21</v>
      </c>
      <c r="E1682" t="s">
        <v>22</v>
      </c>
      <c r="F1682" t="s">
        <v>27</v>
      </c>
      <c r="G1682" t="s">
        <v>32</v>
      </c>
      <c r="H1682">
        <v>13</v>
      </c>
    </row>
    <row r="1683" spans="1:8" ht="21.75" customHeight="1" x14ac:dyDescent="0.35">
      <c r="A1683" t="s">
        <v>1778</v>
      </c>
      <c r="B1683" s="3">
        <v>45485</v>
      </c>
      <c r="C1683" t="s">
        <v>159</v>
      </c>
      <c r="D1683" t="s">
        <v>10</v>
      </c>
      <c r="E1683" t="s">
        <v>22</v>
      </c>
      <c r="F1683" t="s">
        <v>306</v>
      </c>
      <c r="G1683" t="s">
        <v>28</v>
      </c>
      <c r="H1683">
        <v>12</v>
      </c>
    </row>
    <row r="1684" spans="1:8" ht="21.75" customHeight="1" x14ac:dyDescent="0.35">
      <c r="A1684" t="s">
        <v>1779</v>
      </c>
      <c r="B1684" s="3">
        <v>45567</v>
      </c>
      <c r="C1684" t="s">
        <v>106</v>
      </c>
      <c r="D1684" t="s">
        <v>160</v>
      </c>
      <c r="E1684" t="s">
        <v>11</v>
      </c>
      <c r="F1684" t="s">
        <v>56</v>
      </c>
      <c r="G1684" t="s">
        <v>13</v>
      </c>
      <c r="H1684">
        <v>1</v>
      </c>
    </row>
    <row r="1685" spans="1:8" ht="21.75" customHeight="1" x14ac:dyDescent="0.35">
      <c r="A1685" t="s">
        <v>1780</v>
      </c>
      <c r="B1685" s="3">
        <v>45529</v>
      </c>
      <c r="C1685" t="s">
        <v>422</v>
      </c>
      <c r="D1685" t="s">
        <v>84</v>
      </c>
      <c r="E1685" t="s">
        <v>22</v>
      </c>
      <c r="F1685" t="s">
        <v>27</v>
      </c>
      <c r="G1685" t="s">
        <v>36</v>
      </c>
      <c r="H1685">
        <v>13</v>
      </c>
    </row>
    <row r="1686" spans="1:8" ht="21.75" customHeight="1" x14ac:dyDescent="0.35">
      <c r="A1686" t="s">
        <v>1781</v>
      </c>
      <c r="B1686" s="3">
        <v>45418</v>
      </c>
      <c r="C1686" t="s">
        <v>366</v>
      </c>
      <c r="D1686" t="s">
        <v>48</v>
      </c>
      <c r="E1686" t="s">
        <v>11</v>
      </c>
      <c r="F1686" t="s">
        <v>42</v>
      </c>
      <c r="G1686" t="s">
        <v>28</v>
      </c>
      <c r="H1686">
        <v>4</v>
      </c>
    </row>
    <row r="1687" spans="1:8" ht="21.75" customHeight="1" x14ac:dyDescent="0.35">
      <c r="A1687" t="s">
        <v>1782</v>
      </c>
      <c r="B1687" s="3">
        <v>45630</v>
      </c>
      <c r="C1687" t="s">
        <v>572</v>
      </c>
      <c r="D1687" t="s">
        <v>109</v>
      </c>
      <c r="E1687" t="s">
        <v>11</v>
      </c>
      <c r="F1687" t="s">
        <v>56</v>
      </c>
      <c r="G1687" t="s">
        <v>28</v>
      </c>
      <c r="H1687">
        <v>3</v>
      </c>
    </row>
    <row r="1688" spans="1:8" ht="21.75" customHeight="1" x14ac:dyDescent="0.35">
      <c r="A1688" t="s">
        <v>1783</v>
      </c>
      <c r="B1688" s="3">
        <v>45309</v>
      </c>
      <c r="C1688" t="s">
        <v>430</v>
      </c>
      <c r="D1688" t="s">
        <v>109</v>
      </c>
      <c r="E1688" t="s">
        <v>22</v>
      </c>
      <c r="F1688" t="s">
        <v>12</v>
      </c>
      <c r="G1688" t="s">
        <v>28</v>
      </c>
      <c r="H1688">
        <v>2</v>
      </c>
    </row>
    <row r="1689" spans="1:8" ht="21.75" customHeight="1" x14ac:dyDescent="0.35">
      <c r="A1689" t="s">
        <v>1784</v>
      </c>
      <c r="B1689" s="3">
        <v>45411</v>
      </c>
      <c r="C1689" t="s">
        <v>591</v>
      </c>
      <c r="D1689" t="s">
        <v>65</v>
      </c>
      <c r="E1689" t="s">
        <v>11</v>
      </c>
      <c r="F1689" t="s">
        <v>56</v>
      </c>
      <c r="G1689" t="s">
        <v>36</v>
      </c>
      <c r="H1689">
        <v>10</v>
      </c>
    </row>
    <row r="1690" spans="1:8" ht="21.75" customHeight="1" x14ac:dyDescent="0.35">
      <c r="A1690" t="s">
        <v>1785</v>
      </c>
      <c r="B1690" s="3">
        <v>45586</v>
      </c>
      <c r="C1690" t="s">
        <v>38</v>
      </c>
      <c r="D1690" t="s">
        <v>59</v>
      </c>
      <c r="E1690" t="s">
        <v>22</v>
      </c>
      <c r="F1690" t="s">
        <v>42</v>
      </c>
      <c r="G1690" t="s">
        <v>28</v>
      </c>
      <c r="H1690">
        <v>10</v>
      </c>
    </row>
    <row r="1691" spans="1:8" ht="21.75" customHeight="1" x14ac:dyDescent="0.35">
      <c r="A1691" t="s">
        <v>1786</v>
      </c>
      <c r="B1691" s="3">
        <v>45630</v>
      </c>
      <c r="C1691" t="s">
        <v>363</v>
      </c>
      <c r="D1691" t="s">
        <v>197</v>
      </c>
      <c r="E1691" t="s">
        <v>17</v>
      </c>
      <c r="F1691" t="s">
        <v>42</v>
      </c>
      <c r="G1691" t="s">
        <v>32</v>
      </c>
      <c r="H1691">
        <v>2</v>
      </c>
    </row>
    <row r="1692" spans="1:8" ht="21.75" customHeight="1" x14ac:dyDescent="0.35">
      <c r="A1692" t="s">
        <v>1787</v>
      </c>
      <c r="B1692" s="3">
        <v>45594</v>
      </c>
      <c r="C1692" t="s">
        <v>304</v>
      </c>
      <c r="D1692" t="s">
        <v>45</v>
      </c>
      <c r="E1692" t="s">
        <v>22</v>
      </c>
      <c r="F1692" t="s">
        <v>27</v>
      </c>
      <c r="G1692" t="s">
        <v>36</v>
      </c>
      <c r="H1692">
        <v>16</v>
      </c>
    </row>
    <row r="1693" spans="1:8" ht="21.75" customHeight="1" x14ac:dyDescent="0.35">
      <c r="A1693" t="s">
        <v>1788</v>
      </c>
      <c r="B1693" s="3">
        <v>45468</v>
      </c>
      <c r="C1693" t="s">
        <v>736</v>
      </c>
      <c r="D1693" t="s">
        <v>41</v>
      </c>
      <c r="E1693" t="s">
        <v>17</v>
      </c>
      <c r="F1693" t="s">
        <v>306</v>
      </c>
      <c r="G1693" t="s">
        <v>32</v>
      </c>
      <c r="H1693">
        <v>14</v>
      </c>
    </row>
    <row r="1694" spans="1:8" ht="21.75" customHeight="1" x14ac:dyDescent="0.35">
      <c r="A1694" t="s">
        <v>1789</v>
      </c>
      <c r="B1694" s="3">
        <v>45445</v>
      </c>
      <c r="C1694" t="s">
        <v>159</v>
      </c>
      <c r="D1694" t="s">
        <v>45</v>
      </c>
      <c r="E1694" t="s">
        <v>22</v>
      </c>
      <c r="F1694" t="s">
        <v>27</v>
      </c>
      <c r="G1694" t="s">
        <v>28</v>
      </c>
      <c r="H1694">
        <v>8</v>
      </c>
    </row>
    <row r="1695" spans="1:8" ht="21.75" customHeight="1" x14ac:dyDescent="0.35">
      <c r="A1695" t="s">
        <v>1790</v>
      </c>
      <c r="B1695" s="3">
        <v>45654</v>
      </c>
      <c r="C1695" t="s">
        <v>167</v>
      </c>
      <c r="D1695" t="s">
        <v>70</v>
      </c>
      <c r="E1695" t="s">
        <v>11</v>
      </c>
      <c r="F1695" t="s">
        <v>306</v>
      </c>
      <c r="G1695" t="s">
        <v>23</v>
      </c>
      <c r="H1695">
        <v>14</v>
      </c>
    </row>
    <row r="1696" spans="1:8" ht="21.75" customHeight="1" x14ac:dyDescent="0.35">
      <c r="A1696" t="s">
        <v>1791</v>
      </c>
      <c r="B1696" s="3">
        <v>45360</v>
      </c>
      <c r="C1696" t="s">
        <v>53</v>
      </c>
      <c r="D1696" t="s">
        <v>197</v>
      </c>
      <c r="E1696" t="s">
        <v>17</v>
      </c>
      <c r="F1696" t="s">
        <v>56</v>
      </c>
      <c r="G1696" t="s">
        <v>32</v>
      </c>
      <c r="H1696">
        <v>3</v>
      </c>
    </row>
    <row r="1697" spans="1:8" ht="21.75" customHeight="1" x14ac:dyDescent="0.35">
      <c r="A1697" t="s">
        <v>1792</v>
      </c>
      <c r="B1697" s="3">
        <v>45481</v>
      </c>
      <c r="C1697" t="s">
        <v>203</v>
      </c>
      <c r="D1697" t="s">
        <v>174</v>
      </c>
      <c r="E1697" t="s">
        <v>22</v>
      </c>
      <c r="F1697" t="s">
        <v>56</v>
      </c>
      <c r="G1697" t="s">
        <v>13</v>
      </c>
      <c r="H1697">
        <v>9</v>
      </c>
    </row>
    <row r="1698" spans="1:8" ht="21.75" customHeight="1" x14ac:dyDescent="0.35">
      <c r="A1698" t="s">
        <v>1793</v>
      </c>
      <c r="B1698" s="3">
        <v>45601</v>
      </c>
      <c r="C1698" t="s">
        <v>493</v>
      </c>
      <c r="D1698" t="s">
        <v>79</v>
      </c>
      <c r="E1698" t="s">
        <v>11</v>
      </c>
      <c r="F1698" t="s">
        <v>56</v>
      </c>
      <c r="G1698" t="s">
        <v>36</v>
      </c>
      <c r="H1698">
        <v>18</v>
      </c>
    </row>
    <row r="1699" spans="1:8" ht="21.75" customHeight="1" x14ac:dyDescent="0.35">
      <c r="A1699" t="s">
        <v>1794</v>
      </c>
      <c r="B1699" s="3">
        <v>45398</v>
      </c>
      <c r="C1699" t="s">
        <v>118</v>
      </c>
      <c r="D1699" t="s">
        <v>74</v>
      </c>
      <c r="E1699" t="s">
        <v>11</v>
      </c>
      <c r="F1699" t="s">
        <v>56</v>
      </c>
      <c r="G1699" t="s">
        <v>28</v>
      </c>
      <c r="H1699">
        <v>4</v>
      </c>
    </row>
    <row r="1700" spans="1:8" ht="21.75" customHeight="1" x14ac:dyDescent="0.35">
      <c r="A1700" t="s">
        <v>1795</v>
      </c>
      <c r="B1700" s="3">
        <v>45537</v>
      </c>
      <c r="C1700" t="s">
        <v>78</v>
      </c>
      <c r="D1700" t="s">
        <v>62</v>
      </c>
      <c r="E1700" t="s">
        <v>22</v>
      </c>
      <c r="F1700" t="s">
        <v>56</v>
      </c>
      <c r="G1700" t="s">
        <v>23</v>
      </c>
      <c r="H1700">
        <v>8</v>
      </c>
    </row>
    <row r="1701" spans="1:8" ht="21.75" customHeight="1" x14ac:dyDescent="0.35">
      <c r="A1701" t="s">
        <v>1796</v>
      </c>
      <c r="B1701" s="3">
        <v>45436</v>
      </c>
      <c r="C1701" t="s">
        <v>159</v>
      </c>
      <c r="D1701" t="s">
        <v>70</v>
      </c>
      <c r="E1701" t="s">
        <v>22</v>
      </c>
      <c r="F1701" t="s">
        <v>42</v>
      </c>
      <c r="G1701" t="s">
        <v>32</v>
      </c>
      <c r="H1701">
        <v>9</v>
      </c>
    </row>
    <row r="1702" spans="1:8" ht="21.75" customHeight="1" x14ac:dyDescent="0.35">
      <c r="A1702" t="s">
        <v>1797</v>
      </c>
      <c r="B1702" s="3">
        <v>45546</v>
      </c>
      <c r="C1702" t="s">
        <v>319</v>
      </c>
      <c r="D1702" t="s">
        <v>102</v>
      </c>
      <c r="E1702" t="s">
        <v>22</v>
      </c>
      <c r="F1702" t="s">
        <v>27</v>
      </c>
      <c r="G1702" t="s">
        <v>32</v>
      </c>
      <c r="H1702">
        <v>7</v>
      </c>
    </row>
    <row r="1703" spans="1:8" ht="21.75" customHeight="1" x14ac:dyDescent="0.35">
      <c r="A1703" t="s">
        <v>1798</v>
      </c>
      <c r="B1703" s="3">
        <v>45503</v>
      </c>
      <c r="C1703" t="s">
        <v>116</v>
      </c>
      <c r="D1703" t="s">
        <v>59</v>
      </c>
      <c r="E1703" t="s">
        <v>11</v>
      </c>
      <c r="F1703" t="s">
        <v>56</v>
      </c>
      <c r="G1703" t="s">
        <v>13</v>
      </c>
      <c r="H1703">
        <v>9</v>
      </c>
    </row>
    <row r="1704" spans="1:8" ht="21.75" customHeight="1" x14ac:dyDescent="0.35">
      <c r="A1704" t="s">
        <v>1799</v>
      </c>
      <c r="B1704" s="3">
        <v>45591</v>
      </c>
      <c r="C1704" t="s">
        <v>361</v>
      </c>
      <c r="D1704" t="s">
        <v>84</v>
      </c>
      <c r="E1704" t="s">
        <v>17</v>
      </c>
      <c r="F1704" t="s">
        <v>42</v>
      </c>
      <c r="G1704" t="s">
        <v>28</v>
      </c>
      <c r="H1704">
        <v>7</v>
      </c>
    </row>
    <row r="1705" spans="1:8" ht="21.75" customHeight="1" x14ac:dyDescent="0.35">
      <c r="A1705" t="s">
        <v>1800</v>
      </c>
      <c r="B1705" s="3">
        <v>45486</v>
      </c>
      <c r="C1705" t="s">
        <v>614</v>
      </c>
      <c r="D1705" t="s">
        <v>197</v>
      </c>
      <c r="E1705" t="s">
        <v>17</v>
      </c>
      <c r="F1705" t="s">
        <v>306</v>
      </c>
      <c r="G1705" t="s">
        <v>32</v>
      </c>
      <c r="H1705">
        <v>9</v>
      </c>
    </row>
    <row r="1706" spans="1:8" ht="21.75" customHeight="1" x14ac:dyDescent="0.35">
      <c r="A1706" t="s">
        <v>1801</v>
      </c>
      <c r="B1706" s="3">
        <v>45542</v>
      </c>
      <c r="C1706" t="s">
        <v>329</v>
      </c>
      <c r="D1706" t="s">
        <v>21</v>
      </c>
      <c r="E1706" t="s">
        <v>22</v>
      </c>
      <c r="F1706" t="s">
        <v>27</v>
      </c>
      <c r="G1706" t="s">
        <v>23</v>
      </c>
      <c r="H1706">
        <v>6</v>
      </c>
    </row>
    <row r="1707" spans="1:8" ht="21.75" customHeight="1" x14ac:dyDescent="0.35">
      <c r="A1707" t="s">
        <v>1802</v>
      </c>
      <c r="B1707" s="3">
        <v>45472</v>
      </c>
      <c r="C1707" t="s">
        <v>30</v>
      </c>
      <c r="D1707" t="s">
        <v>16</v>
      </c>
      <c r="E1707" t="s">
        <v>22</v>
      </c>
      <c r="F1707" t="s">
        <v>306</v>
      </c>
      <c r="G1707" t="s">
        <v>23</v>
      </c>
      <c r="H1707">
        <v>6</v>
      </c>
    </row>
    <row r="1708" spans="1:8" ht="21.75" customHeight="1" x14ac:dyDescent="0.35">
      <c r="A1708" t="s">
        <v>1803</v>
      </c>
      <c r="B1708" s="3">
        <v>45569</v>
      </c>
      <c r="C1708" t="s">
        <v>736</v>
      </c>
      <c r="D1708" t="s">
        <v>79</v>
      </c>
      <c r="E1708" t="s">
        <v>22</v>
      </c>
      <c r="F1708" t="s">
        <v>12</v>
      </c>
      <c r="G1708" t="s">
        <v>13</v>
      </c>
      <c r="H1708">
        <v>2</v>
      </c>
    </row>
    <row r="1709" spans="1:8" ht="21.75" customHeight="1" x14ac:dyDescent="0.35">
      <c r="A1709" t="s">
        <v>1804</v>
      </c>
      <c r="B1709" s="3">
        <v>45503</v>
      </c>
      <c r="C1709" t="s">
        <v>99</v>
      </c>
      <c r="D1709" t="s">
        <v>21</v>
      </c>
      <c r="E1709" t="s">
        <v>11</v>
      </c>
      <c r="F1709" t="s">
        <v>12</v>
      </c>
      <c r="G1709" t="s">
        <v>28</v>
      </c>
      <c r="H1709">
        <v>1</v>
      </c>
    </row>
    <row r="1710" spans="1:8" ht="21.75" customHeight="1" x14ac:dyDescent="0.35">
      <c r="A1710" t="s">
        <v>1805</v>
      </c>
      <c r="B1710" s="3">
        <v>45525</v>
      </c>
      <c r="C1710" t="s">
        <v>200</v>
      </c>
      <c r="D1710" t="s">
        <v>79</v>
      </c>
      <c r="E1710" t="s">
        <v>22</v>
      </c>
      <c r="F1710" t="s">
        <v>306</v>
      </c>
      <c r="G1710" t="s">
        <v>23</v>
      </c>
      <c r="H1710">
        <v>16</v>
      </c>
    </row>
    <row r="1711" spans="1:8" ht="21.75" customHeight="1" x14ac:dyDescent="0.35">
      <c r="A1711" t="s">
        <v>1806</v>
      </c>
      <c r="B1711" s="3">
        <v>45564</v>
      </c>
      <c r="C1711" t="s">
        <v>378</v>
      </c>
      <c r="D1711" t="s">
        <v>87</v>
      </c>
      <c r="E1711" t="s">
        <v>11</v>
      </c>
      <c r="F1711" t="s">
        <v>12</v>
      </c>
      <c r="G1711" t="s">
        <v>36</v>
      </c>
      <c r="H1711">
        <v>9</v>
      </c>
    </row>
    <row r="1712" spans="1:8" ht="21.75" customHeight="1" x14ac:dyDescent="0.35">
      <c r="A1712" t="s">
        <v>1807</v>
      </c>
      <c r="B1712" s="3">
        <v>45438</v>
      </c>
      <c r="C1712" t="s">
        <v>138</v>
      </c>
      <c r="D1712" t="s">
        <v>160</v>
      </c>
      <c r="E1712" t="s">
        <v>22</v>
      </c>
      <c r="F1712" t="s">
        <v>27</v>
      </c>
      <c r="G1712" t="s">
        <v>28</v>
      </c>
      <c r="H1712">
        <v>4</v>
      </c>
    </row>
    <row r="1713" spans="1:8" ht="21.75" customHeight="1" x14ac:dyDescent="0.35">
      <c r="A1713" t="s">
        <v>1808</v>
      </c>
      <c r="B1713" s="3">
        <v>45560</v>
      </c>
      <c r="C1713" t="s">
        <v>125</v>
      </c>
      <c r="D1713" t="s">
        <v>197</v>
      </c>
      <c r="E1713" t="s">
        <v>11</v>
      </c>
      <c r="F1713" t="s">
        <v>306</v>
      </c>
      <c r="G1713" t="s">
        <v>36</v>
      </c>
      <c r="H1713">
        <v>9</v>
      </c>
    </row>
    <row r="1714" spans="1:8" ht="21.75" customHeight="1" x14ac:dyDescent="0.35">
      <c r="A1714" t="s">
        <v>1809</v>
      </c>
      <c r="B1714" s="3">
        <v>45428</v>
      </c>
      <c r="C1714" t="s">
        <v>106</v>
      </c>
      <c r="D1714" t="s">
        <v>10</v>
      </c>
      <c r="E1714" t="s">
        <v>17</v>
      </c>
      <c r="F1714" t="s">
        <v>27</v>
      </c>
      <c r="G1714" t="s">
        <v>23</v>
      </c>
      <c r="H1714">
        <v>19</v>
      </c>
    </row>
    <row r="1715" spans="1:8" ht="21.75" customHeight="1" x14ac:dyDescent="0.35">
      <c r="A1715" t="s">
        <v>1810</v>
      </c>
      <c r="B1715" s="3">
        <v>45648</v>
      </c>
      <c r="C1715" t="s">
        <v>240</v>
      </c>
      <c r="D1715" t="s">
        <v>74</v>
      </c>
      <c r="E1715" t="s">
        <v>22</v>
      </c>
      <c r="F1715" t="s">
        <v>12</v>
      </c>
      <c r="G1715" t="s">
        <v>13</v>
      </c>
      <c r="H1715">
        <v>3</v>
      </c>
    </row>
    <row r="1716" spans="1:8" ht="21.75" customHeight="1" x14ac:dyDescent="0.35">
      <c r="A1716" t="s">
        <v>1811</v>
      </c>
      <c r="B1716" s="3">
        <v>45485</v>
      </c>
      <c r="C1716" t="s">
        <v>378</v>
      </c>
      <c r="D1716" t="s">
        <v>35</v>
      </c>
      <c r="E1716" t="s">
        <v>11</v>
      </c>
      <c r="F1716" t="s">
        <v>12</v>
      </c>
      <c r="G1716" t="s">
        <v>28</v>
      </c>
      <c r="H1716">
        <v>3</v>
      </c>
    </row>
    <row r="1717" spans="1:8" ht="21.75" customHeight="1" x14ac:dyDescent="0.35">
      <c r="A1717" t="s">
        <v>1812</v>
      </c>
      <c r="B1717" s="3">
        <v>45514</v>
      </c>
      <c r="C1717" t="s">
        <v>736</v>
      </c>
      <c r="D1717" t="s">
        <v>72</v>
      </c>
      <c r="E1717" t="s">
        <v>22</v>
      </c>
      <c r="F1717" t="s">
        <v>12</v>
      </c>
      <c r="G1717" t="s">
        <v>36</v>
      </c>
      <c r="H1717">
        <v>2</v>
      </c>
    </row>
    <row r="1718" spans="1:8" ht="21.75" customHeight="1" x14ac:dyDescent="0.35">
      <c r="A1718" t="s">
        <v>1813</v>
      </c>
      <c r="B1718" s="3">
        <v>45646</v>
      </c>
      <c r="C1718" t="s">
        <v>614</v>
      </c>
      <c r="D1718" t="s">
        <v>35</v>
      </c>
      <c r="E1718" t="s">
        <v>17</v>
      </c>
      <c r="F1718" t="s">
        <v>12</v>
      </c>
      <c r="G1718" t="s">
        <v>13</v>
      </c>
      <c r="H1718">
        <v>9</v>
      </c>
    </row>
    <row r="1719" spans="1:8" ht="21.75" customHeight="1" x14ac:dyDescent="0.35">
      <c r="A1719" t="s">
        <v>1814</v>
      </c>
      <c r="B1719" s="3">
        <v>45580</v>
      </c>
      <c r="C1719" t="s">
        <v>371</v>
      </c>
      <c r="D1719" t="s">
        <v>79</v>
      </c>
      <c r="E1719" t="s">
        <v>11</v>
      </c>
      <c r="F1719" t="s">
        <v>42</v>
      </c>
      <c r="G1719" t="s">
        <v>13</v>
      </c>
      <c r="H1719">
        <v>7</v>
      </c>
    </row>
    <row r="1720" spans="1:8" ht="21.75" customHeight="1" x14ac:dyDescent="0.35">
      <c r="A1720" t="s">
        <v>1815</v>
      </c>
      <c r="B1720" s="3">
        <v>45656</v>
      </c>
      <c r="C1720" t="s">
        <v>106</v>
      </c>
      <c r="D1720" t="s">
        <v>10</v>
      </c>
      <c r="E1720" t="s">
        <v>17</v>
      </c>
      <c r="F1720" t="s">
        <v>56</v>
      </c>
      <c r="G1720" t="s">
        <v>36</v>
      </c>
      <c r="H1720">
        <v>8</v>
      </c>
    </row>
    <row r="1721" spans="1:8" ht="21.75" customHeight="1" x14ac:dyDescent="0.35">
      <c r="A1721" t="s">
        <v>1816</v>
      </c>
      <c r="B1721" s="3">
        <v>45491</v>
      </c>
      <c r="C1721" t="s">
        <v>422</v>
      </c>
      <c r="D1721" t="s">
        <v>174</v>
      </c>
      <c r="E1721" t="s">
        <v>17</v>
      </c>
      <c r="F1721" t="s">
        <v>27</v>
      </c>
      <c r="G1721" t="s">
        <v>28</v>
      </c>
      <c r="H1721">
        <v>3</v>
      </c>
    </row>
    <row r="1722" spans="1:8" ht="21.75" customHeight="1" x14ac:dyDescent="0.35">
      <c r="A1722" t="s">
        <v>1817</v>
      </c>
      <c r="B1722" s="3">
        <v>45469</v>
      </c>
      <c r="C1722" t="s">
        <v>9</v>
      </c>
      <c r="D1722" t="s">
        <v>102</v>
      </c>
      <c r="E1722" t="s">
        <v>17</v>
      </c>
      <c r="F1722" t="s">
        <v>56</v>
      </c>
      <c r="G1722" t="s">
        <v>13</v>
      </c>
      <c r="H1722">
        <v>11</v>
      </c>
    </row>
    <row r="1723" spans="1:8" ht="21.75" customHeight="1" x14ac:dyDescent="0.35">
      <c r="A1723" t="s">
        <v>1818</v>
      </c>
      <c r="B1723" s="3">
        <v>45606</v>
      </c>
      <c r="C1723" t="s">
        <v>327</v>
      </c>
      <c r="D1723" t="s">
        <v>31</v>
      </c>
      <c r="E1723" t="s">
        <v>17</v>
      </c>
      <c r="F1723" t="s">
        <v>12</v>
      </c>
      <c r="G1723" t="s">
        <v>32</v>
      </c>
      <c r="H1723">
        <v>15</v>
      </c>
    </row>
    <row r="1724" spans="1:8" ht="21.75" customHeight="1" x14ac:dyDescent="0.35">
      <c r="A1724" t="s">
        <v>1819</v>
      </c>
      <c r="B1724" s="3">
        <v>45474</v>
      </c>
      <c r="C1724" t="s">
        <v>378</v>
      </c>
      <c r="D1724" t="s">
        <v>31</v>
      </c>
      <c r="E1724" t="s">
        <v>17</v>
      </c>
      <c r="F1724" t="s">
        <v>56</v>
      </c>
      <c r="G1724" t="s">
        <v>36</v>
      </c>
      <c r="H1724">
        <v>13</v>
      </c>
    </row>
    <row r="1725" spans="1:8" ht="21.75" customHeight="1" x14ac:dyDescent="0.35">
      <c r="A1725" t="s">
        <v>1820</v>
      </c>
      <c r="B1725" s="3">
        <v>45608</v>
      </c>
      <c r="C1725" t="s">
        <v>61</v>
      </c>
      <c r="D1725" t="s">
        <v>197</v>
      </c>
      <c r="E1725" t="s">
        <v>22</v>
      </c>
      <c r="F1725" t="s">
        <v>12</v>
      </c>
      <c r="G1725" t="s">
        <v>13</v>
      </c>
      <c r="H1725">
        <v>9</v>
      </c>
    </row>
    <row r="1726" spans="1:8" ht="21.75" customHeight="1" x14ac:dyDescent="0.35">
      <c r="A1726" t="s">
        <v>1821</v>
      </c>
      <c r="B1726" s="3">
        <v>45656</v>
      </c>
      <c r="C1726" t="s">
        <v>728</v>
      </c>
      <c r="D1726" t="s">
        <v>21</v>
      </c>
      <c r="E1726" t="s">
        <v>11</v>
      </c>
      <c r="F1726" t="s">
        <v>27</v>
      </c>
      <c r="G1726" t="s">
        <v>32</v>
      </c>
      <c r="H1726">
        <v>12</v>
      </c>
    </row>
    <row r="1727" spans="1:8" ht="21.75" customHeight="1" x14ac:dyDescent="0.35">
      <c r="A1727" t="s">
        <v>1822</v>
      </c>
      <c r="B1727" s="3">
        <v>45294</v>
      </c>
      <c r="C1727" t="s">
        <v>147</v>
      </c>
      <c r="D1727" t="s">
        <v>70</v>
      </c>
      <c r="E1727" t="s">
        <v>17</v>
      </c>
      <c r="F1727" t="s">
        <v>42</v>
      </c>
      <c r="G1727" t="s">
        <v>13</v>
      </c>
      <c r="H1727">
        <v>5</v>
      </c>
    </row>
    <row r="1728" spans="1:8" ht="21.75" customHeight="1" x14ac:dyDescent="0.35">
      <c r="A1728" t="s">
        <v>1823</v>
      </c>
      <c r="B1728" s="3">
        <v>45512</v>
      </c>
      <c r="C1728" t="s">
        <v>430</v>
      </c>
      <c r="D1728" t="s">
        <v>174</v>
      </c>
      <c r="E1728" t="s">
        <v>22</v>
      </c>
      <c r="F1728" t="s">
        <v>306</v>
      </c>
      <c r="G1728" t="s">
        <v>23</v>
      </c>
      <c r="H1728">
        <v>4</v>
      </c>
    </row>
    <row r="1729" spans="1:8" ht="21.75" customHeight="1" x14ac:dyDescent="0.35">
      <c r="A1729" t="s">
        <v>1824</v>
      </c>
      <c r="B1729" s="3">
        <v>45473</v>
      </c>
      <c r="C1729" t="s">
        <v>378</v>
      </c>
      <c r="D1729" t="s">
        <v>10</v>
      </c>
      <c r="E1729" t="s">
        <v>22</v>
      </c>
      <c r="F1729" t="s">
        <v>306</v>
      </c>
      <c r="G1729" t="s">
        <v>32</v>
      </c>
      <c r="H1729">
        <v>13</v>
      </c>
    </row>
    <row r="1730" spans="1:8" ht="21.75" customHeight="1" x14ac:dyDescent="0.35">
      <c r="A1730" t="s">
        <v>1825</v>
      </c>
      <c r="B1730" s="3">
        <v>45503</v>
      </c>
      <c r="C1730" t="s">
        <v>53</v>
      </c>
      <c r="D1730" t="s">
        <v>119</v>
      </c>
      <c r="E1730" t="s">
        <v>11</v>
      </c>
      <c r="F1730" t="s">
        <v>306</v>
      </c>
      <c r="G1730" t="s">
        <v>28</v>
      </c>
      <c r="H1730">
        <v>19</v>
      </c>
    </row>
    <row r="1731" spans="1:8" ht="21.75" customHeight="1" x14ac:dyDescent="0.35">
      <c r="A1731" t="s">
        <v>1826</v>
      </c>
      <c r="B1731" s="3">
        <v>45642</v>
      </c>
      <c r="C1731" t="s">
        <v>159</v>
      </c>
      <c r="D1731" t="s">
        <v>45</v>
      </c>
      <c r="E1731" t="s">
        <v>11</v>
      </c>
      <c r="F1731" t="s">
        <v>42</v>
      </c>
      <c r="G1731" t="s">
        <v>32</v>
      </c>
      <c r="H1731">
        <v>9</v>
      </c>
    </row>
    <row r="1732" spans="1:8" ht="21.75" customHeight="1" x14ac:dyDescent="0.35">
      <c r="A1732" t="s">
        <v>1827</v>
      </c>
      <c r="B1732" s="3">
        <v>45324</v>
      </c>
      <c r="C1732" t="s">
        <v>30</v>
      </c>
      <c r="D1732" t="s">
        <v>87</v>
      </c>
      <c r="E1732" t="s">
        <v>17</v>
      </c>
      <c r="F1732" t="s">
        <v>27</v>
      </c>
      <c r="G1732" t="s">
        <v>32</v>
      </c>
      <c r="H1732">
        <v>16</v>
      </c>
    </row>
    <row r="1733" spans="1:8" ht="21.75" customHeight="1" x14ac:dyDescent="0.35">
      <c r="A1733" t="s">
        <v>1828</v>
      </c>
      <c r="B1733" s="3">
        <v>45476</v>
      </c>
      <c r="C1733" t="s">
        <v>230</v>
      </c>
      <c r="D1733" t="s">
        <v>197</v>
      </c>
      <c r="E1733" t="s">
        <v>22</v>
      </c>
      <c r="F1733" t="s">
        <v>27</v>
      </c>
      <c r="G1733" t="s">
        <v>36</v>
      </c>
      <c r="H1733">
        <v>20</v>
      </c>
    </row>
    <row r="1734" spans="1:8" ht="21.75" customHeight="1" x14ac:dyDescent="0.35">
      <c r="A1734" t="s">
        <v>1829</v>
      </c>
      <c r="B1734" s="3">
        <v>45346</v>
      </c>
      <c r="C1734" t="s">
        <v>99</v>
      </c>
      <c r="D1734" t="s">
        <v>74</v>
      </c>
      <c r="E1734" t="s">
        <v>11</v>
      </c>
      <c r="F1734" t="s">
        <v>27</v>
      </c>
      <c r="G1734" t="s">
        <v>32</v>
      </c>
      <c r="H1734">
        <v>20</v>
      </c>
    </row>
    <row r="1735" spans="1:8" ht="21.75" customHeight="1" x14ac:dyDescent="0.35">
      <c r="A1735" t="s">
        <v>1830</v>
      </c>
      <c r="B1735" s="3">
        <v>45460</v>
      </c>
      <c r="C1735" t="s">
        <v>396</v>
      </c>
      <c r="D1735" t="s">
        <v>72</v>
      </c>
      <c r="E1735" t="s">
        <v>17</v>
      </c>
      <c r="F1735" t="s">
        <v>306</v>
      </c>
      <c r="G1735" t="s">
        <v>28</v>
      </c>
      <c r="H1735">
        <v>10</v>
      </c>
    </row>
    <row r="1736" spans="1:8" ht="21.75" customHeight="1" x14ac:dyDescent="0.35">
      <c r="A1736" t="s">
        <v>1831</v>
      </c>
      <c r="B1736" s="3">
        <v>45647</v>
      </c>
      <c r="C1736" t="s">
        <v>104</v>
      </c>
      <c r="D1736" t="s">
        <v>35</v>
      </c>
      <c r="E1736" t="s">
        <v>17</v>
      </c>
      <c r="F1736" t="s">
        <v>56</v>
      </c>
      <c r="G1736" t="s">
        <v>23</v>
      </c>
      <c r="H1736">
        <v>11</v>
      </c>
    </row>
    <row r="1737" spans="1:8" ht="21.75" customHeight="1" x14ac:dyDescent="0.35">
      <c r="A1737" t="s">
        <v>1832</v>
      </c>
      <c r="B1737" s="3">
        <v>45647</v>
      </c>
      <c r="C1737" t="s">
        <v>541</v>
      </c>
      <c r="D1737" t="s">
        <v>35</v>
      </c>
      <c r="E1737" t="s">
        <v>22</v>
      </c>
      <c r="F1737" t="s">
        <v>56</v>
      </c>
      <c r="G1737" t="s">
        <v>32</v>
      </c>
      <c r="H1737">
        <v>13</v>
      </c>
    </row>
    <row r="1738" spans="1:8" ht="21.75" customHeight="1" x14ac:dyDescent="0.35">
      <c r="A1738" t="s">
        <v>1833</v>
      </c>
      <c r="B1738" s="3">
        <v>45493</v>
      </c>
      <c r="C1738" t="s">
        <v>83</v>
      </c>
      <c r="D1738" t="s">
        <v>102</v>
      </c>
      <c r="E1738" t="s">
        <v>22</v>
      </c>
      <c r="F1738" t="s">
        <v>56</v>
      </c>
      <c r="G1738" t="s">
        <v>36</v>
      </c>
      <c r="H1738">
        <v>18</v>
      </c>
    </row>
    <row r="1739" spans="1:8" ht="21.75" customHeight="1" x14ac:dyDescent="0.35">
      <c r="A1739" t="s">
        <v>1834</v>
      </c>
      <c r="B1739" s="3">
        <v>45573</v>
      </c>
      <c r="C1739" t="s">
        <v>64</v>
      </c>
      <c r="D1739" t="s">
        <v>84</v>
      </c>
      <c r="E1739" t="s">
        <v>17</v>
      </c>
      <c r="F1739" t="s">
        <v>56</v>
      </c>
      <c r="G1739" t="s">
        <v>23</v>
      </c>
      <c r="H1739">
        <v>10</v>
      </c>
    </row>
    <row r="1740" spans="1:8" ht="21.75" customHeight="1" x14ac:dyDescent="0.35">
      <c r="A1740" t="s">
        <v>1835</v>
      </c>
      <c r="B1740" s="3">
        <v>45327</v>
      </c>
      <c r="C1740" t="s">
        <v>408</v>
      </c>
      <c r="D1740" t="s">
        <v>41</v>
      </c>
      <c r="E1740" t="s">
        <v>17</v>
      </c>
      <c r="F1740" t="s">
        <v>56</v>
      </c>
      <c r="G1740" t="s">
        <v>32</v>
      </c>
      <c r="H1740">
        <v>8</v>
      </c>
    </row>
    <row r="1741" spans="1:8" ht="21.75" customHeight="1" x14ac:dyDescent="0.35">
      <c r="A1741" t="s">
        <v>1836</v>
      </c>
      <c r="B1741" s="3">
        <v>45370</v>
      </c>
      <c r="C1741" t="s">
        <v>436</v>
      </c>
      <c r="D1741" t="s">
        <v>87</v>
      </c>
      <c r="E1741" t="s">
        <v>17</v>
      </c>
      <c r="F1741" t="s">
        <v>12</v>
      </c>
      <c r="G1741" t="s">
        <v>23</v>
      </c>
      <c r="H1741">
        <v>20</v>
      </c>
    </row>
    <row r="1742" spans="1:8" ht="21.75" customHeight="1" x14ac:dyDescent="0.35">
      <c r="A1742" t="s">
        <v>1837</v>
      </c>
      <c r="B1742" s="3">
        <v>45497</v>
      </c>
      <c r="C1742" t="s">
        <v>312</v>
      </c>
      <c r="D1742" t="s">
        <v>160</v>
      </c>
      <c r="E1742" t="s">
        <v>22</v>
      </c>
      <c r="F1742" t="s">
        <v>27</v>
      </c>
      <c r="G1742" t="s">
        <v>36</v>
      </c>
      <c r="H1742">
        <v>2</v>
      </c>
    </row>
    <row r="1743" spans="1:8" ht="21.75" customHeight="1" x14ac:dyDescent="0.35">
      <c r="A1743" t="s">
        <v>1838</v>
      </c>
      <c r="B1743" s="3">
        <v>45476</v>
      </c>
      <c r="C1743" t="s">
        <v>424</v>
      </c>
      <c r="D1743" t="s">
        <v>174</v>
      </c>
      <c r="E1743" t="s">
        <v>22</v>
      </c>
      <c r="F1743" t="s">
        <v>12</v>
      </c>
      <c r="G1743" t="s">
        <v>13</v>
      </c>
      <c r="H1743">
        <v>8</v>
      </c>
    </row>
    <row r="1744" spans="1:8" ht="21.75" customHeight="1" x14ac:dyDescent="0.35">
      <c r="A1744" t="s">
        <v>1839</v>
      </c>
      <c r="B1744" s="3">
        <v>45473</v>
      </c>
      <c r="C1744" t="s">
        <v>30</v>
      </c>
      <c r="D1744" t="s">
        <v>21</v>
      </c>
      <c r="E1744" t="s">
        <v>22</v>
      </c>
      <c r="F1744" t="s">
        <v>12</v>
      </c>
      <c r="G1744" t="s">
        <v>36</v>
      </c>
      <c r="H1744">
        <v>13</v>
      </c>
    </row>
    <row r="1745" spans="1:8" ht="21.75" customHeight="1" x14ac:dyDescent="0.35">
      <c r="A1745" t="s">
        <v>1840</v>
      </c>
      <c r="B1745" s="3">
        <v>45461</v>
      </c>
      <c r="C1745" t="s">
        <v>348</v>
      </c>
      <c r="D1745" t="s">
        <v>102</v>
      </c>
      <c r="E1745" t="s">
        <v>11</v>
      </c>
      <c r="F1745" t="s">
        <v>12</v>
      </c>
      <c r="G1745" t="s">
        <v>32</v>
      </c>
      <c r="H1745">
        <v>8</v>
      </c>
    </row>
    <row r="1746" spans="1:8" ht="21.75" customHeight="1" x14ac:dyDescent="0.35">
      <c r="A1746" t="s">
        <v>1841</v>
      </c>
      <c r="B1746" s="3">
        <v>45557</v>
      </c>
      <c r="C1746" t="s">
        <v>642</v>
      </c>
      <c r="D1746" t="s">
        <v>59</v>
      </c>
      <c r="E1746" t="s">
        <v>22</v>
      </c>
      <c r="F1746" t="s">
        <v>306</v>
      </c>
      <c r="G1746" t="s">
        <v>28</v>
      </c>
      <c r="H1746">
        <v>15</v>
      </c>
    </row>
    <row r="1747" spans="1:8" ht="21.75" customHeight="1" x14ac:dyDescent="0.35">
      <c r="A1747" t="s">
        <v>1842</v>
      </c>
      <c r="B1747" s="3">
        <v>45529</v>
      </c>
      <c r="C1747" t="s">
        <v>337</v>
      </c>
      <c r="D1747" t="s">
        <v>41</v>
      </c>
      <c r="E1747" t="s">
        <v>22</v>
      </c>
      <c r="F1747" t="s">
        <v>306</v>
      </c>
      <c r="G1747" t="s">
        <v>28</v>
      </c>
      <c r="H1747">
        <v>12</v>
      </c>
    </row>
    <row r="1748" spans="1:8" ht="21.75" customHeight="1" x14ac:dyDescent="0.35">
      <c r="A1748" t="s">
        <v>1843</v>
      </c>
      <c r="B1748" s="3">
        <v>45539</v>
      </c>
      <c r="C1748" t="s">
        <v>15</v>
      </c>
      <c r="D1748" t="s">
        <v>74</v>
      </c>
      <c r="E1748" t="s">
        <v>17</v>
      </c>
      <c r="F1748" t="s">
        <v>12</v>
      </c>
      <c r="G1748" t="s">
        <v>13</v>
      </c>
      <c r="H1748">
        <v>5</v>
      </c>
    </row>
    <row r="1749" spans="1:8" ht="21.75" customHeight="1" x14ac:dyDescent="0.35">
      <c r="A1749" t="s">
        <v>1844</v>
      </c>
      <c r="B1749" s="3">
        <v>45467</v>
      </c>
      <c r="C1749" t="s">
        <v>366</v>
      </c>
      <c r="D1749" t="s">
        <v>65</v>
      </c>
      <c r="E1749" t="s">
        <v>22</v>
      </c>
      <c r="F1749" t="s">
        <v>27</v>
      </c>
      <c r="G1749" t="s">
        <v>32</v>
      </c>
      <c r="H1749">
        <v>16</v>
      </c>
    </row>
    <row r="1750" spans="1:8" ht="21.75" customHeight="1" x14ac:dyDescent="0.35">
      <c r="A1750" t="s">
        <v>1845</v>
      </c>
      <c r="B1750" s="3">
        <v>45648</v>
      </c>
      <c r="C1750" t="s">
        <v>430</v>
      </c>
      <c r="D1750" t="s">
        <v>72</v>
      </c>
      <c r="E1750" t="s">
        <v>11</v>
      </c>
      <c r="F1750" t="s">
        <v>42</v>
      </c>
      <c r="G1750" t="s">
        <v>13</v>
      </c>
      <c r="H1750">
        <v>4</v>
      </c>
    </row>
    <row r="1751" spans="1:8" ht="21.75" customHeight="1" x14ac:dyDescent="0.35">
      <c r="A1751" t="s">
        <v>1846</v>
      </c>
      <c r="B1751" s="3">
        <v>45467</v>
      </c>
      <c r="C1751" t="s">
        <v>736</v>
      </c>
      <c r="D1751" t="s">
        <v>102</v>
      </c>
      <c r="E1751" t="s">
        <v>22</v>
      </c>
      <c r="F1751" t="s">
        <v>56</v>
      </c>
      <c r="G1751" t="s">
        <v>28</v>
      </c>
      <c r="H1751">
        <v>17</v>
      </c>
    </row>
    <row r="1752" spans="1:8" ht="21.75" customHeight="1" x14ac:dyDescent="0.35">
      <c r="A1752" t="s">
        <v>1847</v>
      </c>
      <c r="B1752" s="3">
        <v>45373</v>
      </c>
      <c r="C1752" t="s">
        <v>118</v>
      </c>
      <c r="D1752" t="s">
        <v>174</v>
      </c>
      <c r="E1752" t="s">
        <v>17</v>
      </c>
      <c r="F1752" t="s">
        <v>27</v>
      </c>
      <c r="G1752" t="s">
        <v>28</v>
      </c>
      <c r="H1752">
        <v>13</v>
      </c>
    </row>
    <row r="1753" spans="1:8" ht="21.75" customHeight="1" x14ac:dyDescent="0.35">
      <c r="A1753" t="s">
        <v>1848</v>
      </c>
      <c r="B1753" s="3">
        <v>45387</v>
      </c>
      <c r="C1753" t="s">
        <v>541</v>
      </c>
      <c r="D1753" t="s">
        <v>41</v>
      </c>
      <c r="E1753" t="s">
        <v>17</v>
      </c>
      <c r="F1753" t="s">
        <v>27</v>
      </c>
      <c r="G1753" t="s">
        <v>13</v>
      </c>
      <c r="H1753">
        <v>20</v>
      </c>
    </row>
    <row r="1754" spans="1:8" ht="21.75" customHeight="1" x14ac:dyDescent="0.35">
      <c r="A1754" t="s">
        <v>1849</v>
      </c>
      <c r="B1754" s="3">
        <v>45522</v>
      </c>
      <c r="C1754" t="s">
        <v>449</v>
      </c>
      <c r="D1754" t="s">
        <v>87</v>
      </c>
      <c r="E1754" t="s">
        <v>17</v>
      </c>
      <c r="F1754" t="s">
        <v>12</v>
      </c>
      <c r="G1754" t="s">
        <v>28</v>
      </c>
      <c r="H1754">
        <v>7</v>
      </c>
    </row>
    <row r="1755" spans="1:8" ht="21.75" customHeight="1" x14ac:dyDescent="0.35">
      <c r="A1755" t="s">
        <v>1850</v>
      </c>
      <c r="B1755" s="3">
        <v>45652</v>
      </c>
      <c r="C1755" t="s">
        <v>58</v>
      </c>
      <c r="D1755" t="s">
        <v>59</v>
      </c>
      <c r="E1755" t="s">
        <v>11</v>
      </c>
      <c r="F1755" t="s">
        <v>306</v>
      </c>
      <c r="G1755" t="s">
        <v>28</v>
      </c>
      <c r="H1755">
        <v>12</v>
      </c>
    </row>
    <row r="1756" spans="1:8" ht="21.75" customHeight="1" x14ac:dyDescent="0.35">
      <c r="A1756" t="s">
        <v>1851</v>
      </c>
      <c r="B1756" s="3">
        <v>45526</v>
      </c>
      <c r="C1756" t="s">
        <v>40</v>
      </c>
      <c r="D1756" t="s">
        <v>26</v>
      </c>
      <c r="E1756" t="s">
        <v>22</v>
      </c>
      <c r="F1756" t="s">
        <v>27</v>
      </c>
      <c r="G1756" t="s">
        <v>36</v>
      </c>
      <c r="H1756">
        <v>11</v>
      </c>
    </row>
    <row r="1757" spans="1:8" ht="21.75" customHeight="1" x14ac:dyDescent="0.35">
      <c r="A1757" t="s">
        <v>1852</v>
      </c>
      <c r="B1757" s="3">
        <v>45604</v>
      </c>
      <c r="C1757" t="s">
        <v>106</v>
      </c>
      <c r="D1757" t="s">
        <v>59</v>
      </c>
      <c r="E1757" t="s">
        <v>11</v>
      </c>
      <c r="F1757" t="s">
        <v>42</v>
      </c>
      <c r="G1757" t="s">
        <v>32</v>
      </c>
      <c r="H1757">
        <v>15</v>
      </c>
    </row>
    <row r="1758" spans="1:8" ht="21.75" customHeight="1" x14ac:dyDescent="0.35">
      <c r="A1758" t="s">
        <v>1853</v>
      </c>
      <c r="B1758" s="3">
        <v>45636</v>
      </c>
      <c r="C1758" t="s">
        <v>369</v>
      </c>
      <c r="D1758" t="s">
        <v>74</v>
      </c>
      <c r="E1758" t="s">
        <v>22</v>
      </c>
      <c r="F1758" t="s">
        <v>306</v>
      </c>
      <c r="G1758" t="s">
        <v>13</v>
      </c>
      <c r="H1758">
        <v>5</v>
      </c>
    </row>
    <row r="1759" spans="1:8" ht="21.75" customHeight="1" x14ac:dyDescent="0.35">
      <c r="A1759" t="s">
        <v>1854</v>
      </c>
      <c r="B1759" s="3">
        <v>45414</v>
      </c>
      <c r="C1759" t="s">
        <v>147</v>
      </c>
      <c r="D1759" t="s">
        <v>102</v>
      </c>
      <c r="E1759" t="s">
        <v>11</v>
      </c>
      <c r="F1759" t="s">
        <v>42</v>
      </c>
      <c r="G1759" t="s">
        <v>28</v>
      </c>
      <c r="H1759">
        <v>17</v>
      </c>
    </row>
    <row r="1760" spans="1:8" ht="21.75" customHeight="1" x14ac:dyDescent="0.35">
      <c r="A1760" t="s">
        <v>1855</v>
      </c>
      <c r="B1760" s="3">
        <v>45597</v>
      </c>
      <c r="C1760" t="s">
        <v>99</v>
      </c>
      <c r="D1760" t="s">
        <v>59</v>
      </c>
      <c r="E1760" t="s">
        <v>17</v>
      </c>
      <c r="F1760" t="s">
        <v>27</v>
      </c>
      <c r="G1760" t="s">
        <v>28</v>
      </c>
      <c r="H1760">
        <v>16</v>
      </c>
    </row>
    <row r="1761" spans="1:8" ht="21.75" customHeight="1" x14ac:dyDescent="0.35">
      <c r="A1761" t="s">
        <v>1856</v>
      </c>
      <c r="B1761" s="3">
        <v>45647</v>
      </c>
      <c r="C1761" t="s">
        <v>736</v>
      </c>
      <c r="D1761" t="s">
        <v>45</v>
      </c>
      <c r="E1761" t="s">
        <v>22</v>
      </c>
      <c r="F1761" t="s">
        <v>56</v>
      </c>
      <c r="G1761" t="s">
        <v>23</v>
      </c>
      <c r="H1761">
        <v>10</v>
      </c>
    </row>
    <row r="1762" spans="1:8" ht="21.75" customHeight="1" x14ac:dyDescent="0.35">
      <c r="A1762" t="s">
        <v>1857</v>
      </c>
      <c r="B1762" s="3">
        <v>45453</v>
      </c>
      <c r="C1762" t="s">
        <v>430</v>
      </c>
      <c r="D1762" t="s">
        <v>109</v>
      </c>
      <c r="E1762" t="s">
        <v>11</v>
      </c>
      <c r="F1762" t="s">
        <v>42</v>
      </c>
      <c r="G1762" t="s">
        <v>13</v>
      </c>
      <c r="H1762">
        <v>16</v>
      </c>
    </row>
    <row r="1763" spans="1:8" ht="21.75" customHeight="1" x14ac:dyDescent="0.35">
      <c r="A1763" t="s">
        <v>1858</v>
      </c>
      <c r="B1763" s="3">
        <v>45488</v>
      </c>
      <c r="C1763" t="s">
        <v>642</v>
      </c>
      <c r="D1763" t="s">
        <v>160</v>
      </c>
      <c r="E1763" t="s">
        <v>22</v>
      </c>
      <c r="F1763" t="s">
        <v>27</v>
      </c>
      <c r="G1763" t="s">
        <v>23</v>
      </c>
      <c r="H1763">
        <v>16</v>
      </c>
    </row>
    <row r="1764" spans="1:8" ht="21.75" customHeight="1" x14ac:dyDescent="0.35">
      <c r="A1764" t="s">
        <v>1859</v>
      </c>
      <c r="B1764" s="3">
        <v>45519</v>
      </c>
      <c r="C1764" t="s">
        <v>374</v>
      </c>
      <c r="D1764" t="s">
        <v>45</v>
      </c>
      <c r="E1764" t="s">
        <v>11</v>
      </c>
      <c r="F1764" t="s">
        <v>306</v>
      </c>
      <c r="G1764" t="s">
        <v>13</v>
      </c>
      <c r="H1764">
        <v>8</v>
      </c>
    </row>
    <row r="1765" spans="1:8" ht="21.75" customHeight="1" x14ac:dyDescent="0.35">
      <c r="A1765" t="s">
        <v>1860</v>
      </c>
      <c r="B1765" s="3">
        <v>45432</v>
      </c>
      <c r="C1765" t="s">
        <v>240</v>
      </c>
      <c r="D1765" t="s">
        <v>174</v>
      </c>
      <c r="E1765" t="s">
        <v>17</v>
      </c>
      <c r="F1765" t="s">
        <v>56</v>
      </c>
      <c r="G1765" t="s">
        <v>23</v>
      </c>
      <c r="H1765">
        <v>19</v>
      </c>
    </row>
    <row r="1766" spans="1:8" ht="21.75" customHeight="1" x14ac:dyDescent="0.35">
      <c r="A1766" t="s">
        <v>1861</v>
      </c>
      <c r="B1766" s="3">
        <v>45545</v>
      </c>
      <c r="C1766" t="s">
        <v>378</v>
      </c>
      <c r="D1766" t="s">
        <v>160</v>
      </c>
      <c r="E1766" t="s">
        <v>11</v>
      </c>
      <c r="F1766" t="s">
        <v>306</v>
      </c>
      <c r="G1766" t="s">
        <v>13</v>
      </c>
      <c r="H1766">
        <v>9</v>
      </c>
    </row>
    <row r="1767" spans="1:8" ht="21.75" customHeight="1" x14ac:dyDescent="0.35">
      <c r="A1767" t="s">
        <v>1862</v>
      </c>
      <c r="B1767" s="3">
        <v>45479</v>
      </c>
      <c r="C1767" t="s">
        <v>591</v>
      </c>
      <c r="D1767" t="s">
        <v>119</v>
      </c>
      <c r="E1767" t="s">
        <v>11</v>
      </c>
      <c r="F1767" t="s">
        <v>27</v>
      </c>
      <c r="G1767" t="s">
        <v>36</v>
      </c>
      <c r="H1767">
        <v>7</v>
      </c>
    </row>
    <row r="1768" spans="1:8" ht="21.75" customHeight="1" x14ac:dyDescent="0.35">
      <c r="A1768" t="s">
        <v>1863</v>
      </c>
      <c r="B1768" s="3">
        <v>45344</v>
      </c>
      <c r="C1768" t="s">
        <v>304</v>
      </c>
      <c r="D1768" t="s">
        <v>21</v>
      </c>
      <c r="E1768" t="s">
        <v>11</v>
      </c>
      <c r="F1768" t="s">
        <v>42</v>
      </c>
      <c r="G1768" t="s">
        <v>13</v>
      </c>
      <c r="H1768">
        <v>15</v>
      </c>
    </row>
    <row r="1769" spans="1:8" ht="21.75" customHeight="1" x14ac:dyDescent="0.35">
      <c r="A1769" t="s">
        <v>1864</v>
      </c>
      <c r="B1769" s="3">
        <v>45336</v>
      </c>
      <c r="C1769" t="s">
        <v>396</v>
      </c>
      <c r="D1769" t="s">
        <v>102</v>
      </c>
      <c r="E1769" t="s">
        <v>11</v>
      </c>
      <c r="F1769" t="s">
        <v>56</v>
      </c>
      <c r="G1769" t="s">
        <v>36</v>
      </c>
      <c r="H1769">
        <v>12</v>
      </c>
    </row>
    <row r="1770" spans="1:8" ht="21.75" customHeight="1" x14ac:dyDescent="0.35">
      <c r="A1770" t="s">
        <v>1865</v>
      </c>
      <c r="B1770" s="3">
        <v>45604</v>
      </c>
      <c r="C1770" t="s">
        <v>451</v>
      </c>
      <c r="D1770" t="s">
        <v>87</v>
      </c>
      <c r="E1770" t="s">
        <v>11</v>
      </c>
      <c r="F1770" t="s">
        <v>306</v>
      </c>
      <c r="G1770" t="s">
        <v>28</v>
      </c>
      <c r="H1770">
        <v>7</v>
      </c>
    </row>
    <row r="1771" spans="1:8" ht="21.75" customHeight="1" x14ac:dyDescent="0.35">
      <c r="A1771" t="s">
        <v>1866</v>
      </c>
      <c r="B1771" s="3">
        <v>45322</v>
      </c>
      <c r="C1771" t="s">
        <v>614</v>
      </c>
      <c r="D1771" t="s">
        <v>48</v>
      </c>
      <c r="E1771" t="s">
        <v>22</v>
      </c>
      <c r="F1771" t="s">
        <v>42</v>
      </c>
      <c r="G1771" t="s">
        <v>36</v>
      </c>
      <c r="H1771">
        <v>18</v>
      </c>
    </row>
    <row r="1772" spans="1:8" ht="21.75" customHeight="1" x14ac:dyDescent="0.35">
      <c r="A1772" t="s">
        <v>1867</v>
      </c>
      <c r="B1772" s="3">
        <v>45652</v>
      </c>
      <c r="C1772" t="s">
        <v>61</v>
      </c>
      <c r="D1772" t="s">
        <v>74</v>
      </c>
      <c r="E1772" t="s">
        <v>22</v>
      </c>
      <c r="F1772" t="s">
        <v>42</v>
      </c>
      <c r="G1772" t="s">
        <v>36</v>
      </c>
      <c r="H1772">
        <v>4</v>
      </c>
    </row>
    <row r="1773" spans="1:8" ht="21.75" customHeight="1" x14ac:dyDescent="0.35">
      <c r="A1773" t="s">
        <v>1868</v>
      </c>
      <c r="B1773" s="3">
        <v>45502</v>
      </c>
      <c r="C1773" t="s">
        <v>131</v>
      </c>
      <c r="D1773" t="s">
        <v>26</v>
      </c>
      <c r="E1773" t="s">
        <v>22</v>
      </c>
      <c r="F1773" t="s">
        <v>56</v>
      </c>
      <c r="G1773" t="s">
        <v>28</v>
      </c>
      <c r="H1773">
        <v>8</v>
      </c>
    </row>
    <row r="1774" spans="1:8" ht="21.75" customHeight="1" x14ac:dyDescent="0.35">
      <c r="A1774" t="s">
        <v>1869</v>
      </c>
      <c r="B1774" s="3">
        <v>45456</v>
      </c>
      <c r="C1774" t="s">
        <v>78</v>
      </c>
      <c r="D1774" t="s">
        <v>119</v>
      </c>
      <c r="E1774" t="s">
        <v>22</v>
      </c>
      <c r="F1774" t="s">
        <v>27</v>
      </c>
      <c r="G1774" t="s">
        <v>23</v>
      </c>
      <c r="H1774">
        <v>5</v>
      </c>
    </row>
    <row r="1775" spans="1:8" ht="21.75" customHeight="1" x14ac:dyDescent="0.35">
      <c r="A1775" t="s">
        <v>1870</v>
      </c>
      <c r="B1775" s="3">
        <v>45429</v>
      </c>
      <c r="C1775" t="s">
        <v>451</v>
      </c>
      <c r="D1775" t="s">
        <v>87</v>
      </c>
      <c r="E1775" t="s">
        <v>17</v>
      </c>
      <c r="F1775" t="s">
        <v>27</v>
      </c>
      <c r="G1775" t="s">
        <v>13</v>
      </c>
      <c r="H1775">
        <v>3</v>
      </c>
    </row>
    <row r="1776" spans="1:8" ht="21.75" customHeight="1" x14ac:dyDescent="0.35">
      <c r="A1776" t="s">
        <v>1871</v>
      </c>
      <c r="B1776" s="3">
        <v>45434</v>
      </c>
      <c r="C1776" t="s">
        <v>465</v>
      </c>
      <c r="D1776" t="s">
        <v>48</v>
      </c>
      <c r="E1776" t="s">
        <v>17</v>
      </c>
      <c r="F1776" t="s">
        <v>27</v>
      </c>
      <c r="G1776" t="s">
        <v>32</v>
      </c>
      <c r="H1776">
        <v>19</v>
      </c>
    </row>
    <row r="1777" spans="1:8" ht="21.75" customHeight="1" x14ac:dyDescent="0.35">
      <c r="A1777" t="s">
        <v>1872</v>
      </c>
      <c r="B1777" s="3">
        <v>45339</v>
      </c>
      <c r="C1777" t="s">
        <v>388</v>
      </c>
      <c r="D1777" t="s">
        <v>70</v>
      </c>
      <c r="E1777" t="s">
        <v>22</v>
      </c>
      <c r="F1777" t="s">
        <v>42</v>
      </c>
      <c r="G1777" t="s">
        <v>13</v>
      </c>
      <c r="H1777">
        <v>18</v>
      </c>
    </row>
    <row r="1778" spans="1:8" ht="21.75" customHeight="1" x14ac:dyDescent="0.35">
      <c r="A1778" t="s">
        <v>1873</v>
      </c>
      <c r="B1778" s="3">
        <v>45511</v>
      </c>
      <c r="C1778" t="s">
        <v>133</v>
      </c>
      <c r="D1778" t="s">
        <v>35</v>
      </c>
      <c r="E1778" t="s">
        <v>17</v>
      </c>
      <c r="F1778" t="s">
        <v>42</v>
      </c>
      <c r="G1778" t="s">
        <v>32</v>
      </c>
      <c r="H1778">
        <v>11</v>
      </c>
    </row>
    <row r="1779" spans="1:8" ht="21.75" customHeight="1" x14ac:dyDescent="0.35">
      <c r="A1779" t="s">
        <v>1874</v>
      </c>
      <c r="B1779" s="3">
        <v>45358</v>
      </c>
      <c r="C1779" t="s">
        <v>614</v>
      </c>
      <c r="D1779" t="s">
        <v>35</v>
      </c>
      <c r="E1779" t="s">
        <v>17</v>
      </c>
      <c r="F1779" t="s">
        <v>12</v>
      </c>
      <c r="G1779" t="s">
        <v>13</v>
      </c>
      <c r="H1779">
        <v>4</v>
      </c>
    </row>
    <row r="1780" spans="1:8" ht="21.75" customHeight="1" x14ac:dyDescent="0.35">
      <c r="A1780" t="s">
        <v>1875</v>
      </c>
      <c r="B1780" s="3">
        <v>45527</v>
      </c>
      <c r="C1780" t="s">
        <v>138</v>
      </c>
      <c r="D1780" t="s">
        <v>102</v>
      </c>
      <c r="E1780" t="s">
        <v>11</v>
      </c>
      <c r="F1780" t="s">
        <v>27</v>
      </c>
      <c r="G1780" t="s">
        <v>23</v>
      </c>
      <c r="H1780">
        <v>1</v>
      </c>
    </row>
    <row r="1781" spans="1:8" ht="21.75" customHeight="1" x14ac:dyDescent="0.35">
      <c r="A1781" t="s">
        <v>1876</v>
      </c>
      <c r="B1781" s="3">
        <v>45511</v>
      </c>
      <c r="C1781" t="s">
        <v>104</v>
      </c>
      <c r="D1781" t="s">
        <v>62</v>
      </c>
      <c r="E1781" t="s">
        <v>11</v>
      </c>
      <c r="F1781" t="s">
        <v>42</v>
      </c>
      <c r="G1781" t="s">
        <v>28</v>
      </c>
      <c r="H1781">
        <v>9</v>
      </c>
    </row>
    <row r="1782" spans="1:8" ht="21.75" customHeight="1" x14ac:dyDescent="0.35">
      <c r="A1782" t="s">
        <v>1877</v>
      </c>
      <c r="B1782" s="3">
        <v>45476</v>
      </c>
      <c r="C1782" t="s">
        <v>230</v>
      </c>
      <c r="D1782" t="s">
        <v>10</v>
      </c>
      <c r="E1782" t="s">
        <v>17</v>
      </c>
      <c r="F1782" t="s">
        <v>56</v>
      </c>
      <c r="G1782" t="s">
        <v>13</v>
      </c>
      <c r="H1782">
        <v>13</v>
      </c>
    </row>
    <row r="1783" spans="1:8" ht="21.75" customHeight="1" x14ac:dyDescent="0.35">
      <c r="A1783" t="s">
        <v>1878</v>
      </c>
      <c r="B1783" s="3">
        <v>45650</v>
      </c>
      <c r="C1783" t="s">
        <v>664</v>
      </c>
      <c r="D1783" t="s">
        <v>197</v>
      </c>
      <c r="E1783" t="s">
        <v>17</v>
      </c>
      <c r="F1783" t="s">
        <v>12</v>
      </c>
      <c r="G1783" t="s">
        <v>13</v>
      </c>
      <c r="H1783">
        <v>1</v>
      </c>
    </row>
    <row r="1784" spans="1:8" ht="21.75" customHeight="1" x14ac:dyDescent="0.35">
      <c r="A1784" t="s">
        <v>1879</v>
      </c>
      <c r="B1784" s="3">
        <v>45331</v>
      </c>
      <c r="C1784" t="s">
        <v>34</v>
      </c>
      <c r="D1784" t="s">
        <v>59</v>
      </c>
      <c r="E1784" t="s">
        <v>11</v>
      </c>
      <c r="F1784" t="s">
        <v>306</v>
      </c>
      <c r="G1784" t="s">
        <v>23</v>
      </c>
      <c r="H1784">
        <v>1</v>
      </c>
    </row>
    <row r="1785" spans="1:8" ht="21.75" customHeight="1" x14ac:dyDescent="0.35">
      <c r="A1785" t="s">
        <v>1880</v>
      </c>
      <c r="B1785" s="3">
        <v>45467</v>
      </c>
      <c r="C1785" t="s">
        <v>114</v>
      </c>
      <c r="D1785" t="s">
        <v>87</v>
      </c>
      <c r="E1785" t="s">
        <v>22</v>
      </c>
      <c r="F1785" t="s">
        <v>56</v>
      </c>
      <c r="G1785" t="s">
        <v>23</v>
      </c>
      <c r="H1785">
        <v>3</v>
      </c>
    </row>
    <row r="1786" spans="1:8" ht="21.75" customHeight="1" x14ac:dyDescent="0.35">
      <c r="A1786" t="s">
        <v>1881</v>
      </c>
      <c r="B1786" s="3">
        <v>45337</v>
      </c>
      <c r="C1786" t="s">
        <v>388</v>
      </c>
      <c r="D1786" t="s">
        <v>102</v>
      </c>
      <c r="E1786" t="s">
        <v>11</v>
      </c>
      <c r="F1786" t="s">
        <v>42</v>
      </c>
      <c r="G1786" t="s">
        <v>32</v>
      </c>
      <c r="H1786">
        <v>10</v>
      </c>
    </row>
    <row r="1787" spans="1:8" ht="21.75" customHeight="1" x14ac:dyDescent="0.35">
      <c r="A1787" t="s">
        <v>1882</v>
      </c>
      <c r="B1787" s="3">
        <v>45360</v>
      </c>
      <c r="C1787" t="s">
        <v>736</v>
      </c>
      <c r="D1787" t="s">
        <v>41</v>
      </c>
      <c r="E1787" t="s">
        <v>11</v>
      </c>
      <c r="F1787" t="s">
        <v>12</v>
      </c>
      <c r="G1787" t="s">
        <v>36</v>
      </c>
      <c r="H1787">
        <v>19</v>
      </c>
    </row>
    <row r="1788" spans="1:8" ht="21.75" customHeight="1" x14ac:dyDescent="0.35">
      <c r="A1788" t="s">
        <v>1883</v>
      </c>
      <c r="B1788" s="3">
        <v>45624</v>
      </c>
      <c r="C1788" t="s">
        <v>30</v>
      </c>
      <c r="D1788" t="s">
        <v>70</v>
      </c>
      <c r="E1788" t="s">
        <v>17</v>
      </c>
      <c r="F1788" t="s">
        <v>56</v>
      </c>
      <c r="G1788" t="s">
        <v>28</v>
      </c>
      <c r="H1788">
        <v>14</v>
      </c>
    </row>
    <row r="1789" spans="1:8" ht="21.75" customHeight="1" x14ac:dyDescent="0.35">
      <c r="A1789" t="s">
        <v>1884</v>
      </c>
      <c r="B1789" s="3">
        <v>45518</v>
      </c>
      <c r="C1789" t="s">
        <v>133</v>
      </c>
      <c r="D1789" t="s">
        <v>10</v>
      </c>
      <c r="E1789" t="s">
        <v>11</v>
      </c>
      <c r="F1789" t="s">
        <v>56</v>
      </c>
      <c r="G1789" t="s">
        <v>13</v>
      </c>
      <c r="H1789">
        <v>19</v>
      </c>
    </row>
    <row r="1790" spans="1:8" ht="21.75" customHeight="1" x14ac:dyDescent="0.35">
      <c r="A1790" t="s">
        <v>1885</v>
      </c>
      <c r="B1790" s="3">
        <v>45471</v>
      </c>
      <c r="C1790" t="s">
        <v>309</v>
      </c>
      <c r="D1790" t="s">
        <v>72</v>
      </c>
      <c r="E1790" t="s">
        <v>11</v>
      </c>
      <c r="F1790" t="s">
        <v>56</v>
      </c>
      <c r="G1790" t="s">
        <v>32</v>
      </c>
      <c r="H1790">
        <v>3</v>
      </c>
    </row>
    <row r="1791" spans="1:8" ht="21.75" customHeight="1" x14ac:dyDescent="0.35">
      <c r="A1791" t="s">
        <v>1886</v>
      </c>
      <c r="B1791" s="3">
        <v>45599</v>
      </c>
      <c r="C1791" t="s">
        <v>327</v>
      </c>
      <c r="D1791" t="s">
        <v>84</v>
      </c>
      <c r="E1791" t="s">
        <v>22</v>
      </c>
      <c r="F1791" t="s">
        <v>42</v>
      </c>
      <c r="G1791" t="s">
        <v>13</v>
      </c>
      <c r="H1791">
        <v>10</v>
      </c>
    </row>
    <row r="1792" spans="1:8" ht="21.75" customHeight="1" x14ac:dyDescent="0.35">
      <c r="A1792" t="s">
        <v>1887</v>
      </c>
      <c r="B1792" s="3">
        <v>45602</v>
      </c>
      <c r="C1792" t="s">
        <v>345</v>
      </c>
      <c r="D1792" t="s">
        <v>65</v>
      </c>
      <c r="E1792" t="s">
        <v>22</v>
      </c>
      <c r="F1792" t="s">
        <v>27</v>
      </c>
      <c r="G1792" t="s">
        <v>32</v>
      </c>
      <c r="H1792">
        <v>2</v>
      </c>
    </row>
    <row r="1793" spans="1:8" ht="21.75" customHeight="1" x14ac:dyDescent="0.35">
      <c r="A1793" t="s">
        <v>1888</v>
      </c>
      <c r="B1793" s="3">
        <v>45414</v>
      </c>
      <c r="C1793" t="s">
        <v>432</v>
      </c>
      <c r="D1793" t="s">
        <v>31</v>
      </c>
      <c r="E1793" t="s">
        <v>11</v>
      </c>
      <c r="F1793" t="s">
        <v>56</v>
      </c>
      <c r="G1793" t="s">
        <v>23</v>
      </c>
      <c r="H1793">
        <v>20</v>
      </c>
    </row>
    <row r="1794" spans="1:8" ht="21.75" customHeight="1" x14ac:dyDescent="0.35">
      <c r="A1794" t="s">
        <v>1889</v>
      </c>
      <c r="B1794" s="3">
        <v>45298</v>
      </c>
      <c r="C1794" t="s">
        <v>83</v>
      </c>
      <c r="D1794" t="s">
        <v>72</v>
      </c>
      <c r="E1794" t="s">
        <v>11</v>
      </c>
      <c r="F1794" t="s">
        <v>27</v>
      </c>
      <c r="G1794" t="s">
        <v>36</v>
      </c>
      <c r="H1794">
        <v>14</v>
      </c>
    </row>
    <row r="1795" spans="1:8" ht="21.75" customHeight="1" x14ac:dyDescent="0.35">
      <c r="A1795" t="s">
        <v>1890</v>
      </c>
      <c r="B1795" s="3">
        <v>45641</v>
      </c>
      <c r="C1795" t="s">
        <v>235</v>
      </c>
      <c r="D1795" t="s">
        <v>119</v>
      </c>
      <c r="E1795" t="s">
        <v>17</v>
      </c>
      <c r="F1795" t="s">
        <v>12</v>
      </c>
      <c r="G1795" t="s">
        <v>13</v>
      </c>
      <c r="H1795">
        <v>19</v>
      </c>
    </row>
    <row r="1796" spans="1:8" ht="21.75" customHeight="1" x14ac:dyDescent="0.35">
      <c r="A1796" t="s">
        <v>1891</v>
      </c>
      <c r="B1796" s="3">
        <v>45426</v>
      </c>
      <c r="C1796" t="s">
        <v>133</v>
      </c>
      <c r="D1796" t="s">
        <v>79</v>
      </c>
      <c r="E1796" t="s">
        <v>11</v>
      </c>
      <c r="F1796" t="s">
        <v>27</v>
      </c>
      <c r="G1796" t="s">
        <v>36</v>
      </c>
      <c r="H1796">
        <v>10</v>
      </c>
    </row>
    <row r="1797" spans="1:8" ht="21.75" customHeight="1" x14ac:dyDescent="0.35">
      <c r="A1797" t="s">
        <v>1892</v>
      </c>
      <c r="B1797" s="3">
        <v>45548</v>
      </c>
      <c r="C1797" t="s">
        <v>337</v>
      </c>
      <c r="D1797" t="s">
        <v>87</v>
      </c>
      <c r="E1797" t="s">
        <v>17</v>
      </c>
      <c r="F1797" t="s">
        <v>27</v>
      </c>
      <c r="G1797" t="s">
        <v>13</v>
      </c>
      <c r="H1797">
        <v>18</v>
      </c>
    </row>
    <row r="1798" spans="1:8" ht="21.75" customHeight="1" x14ac:dyDescent="0.35">
      <c r="A1798" t="s">
        <v>1893</v>
      </c>
      <c r="B1798" s="3">
        <v>45370</v>
      </c>
      <c r="C1798" t="s">
        <v>89</v>
      </c>
      <c r="D1798" t="s">
        <v>10</v>
      </c>
      <c r="E1798" t="s">
        <v>17</v>
      </c>
      <c r="F1798" t="s">
        <v>12</v>
      </c>
      <c r="G1798" t="s">
        <v>36</v>
      </c>
      <c r="H1798">
        <v>7</v>
      </c>
    </row>
    <row r="1799" spans="1:8" ht="21.75" customHeight="1" x14ac:dyDescent="0.35">
      <c r="A1799" t="s">
        <v>1894</v>
      </c>
      <c r="B1799" s="3">
        <v>45371</v>
      </c>
      <c r="C1799" t="s">
        <v>312</v>
      </c>
      <c r="D1799" t="s">
        <v>72</v>
      </c>
      <c r="E1799" t="s">
        <v>17</v>
      </c>
      <c r="F1799" t="s">
        <v>306</v>
      </c>
      <c r="G1799" t="s">
        <v>13</v>
      </c>
      <c r="H1799">
        <v>10</v>
      </c>
    </row>
    <row r="1800" spans="1:8" ht="21.75" customHeight="1" x14ac:dyDescent="0.35">
      <c r="A1800" t="s">
        <v>1895</v>
      </c>
      <c r="B1800" s="3">
        <v>45414</v>
      </c>
      <c r="C1800" t="s">
        <v>131</v>
      </c>
      <c r="D1800" t="s">
        <v>197</v>
      </c>
      <c r="E1800" t="s">
        <v>11</v>
      </c>
      <c r="F1800" t="s">
        <v>27</v>
      </c>
      <c r="G1800" t="s">
        <v>13</v>
      </c>
      <c r="H1800">
        <v>15</v>
      </c>
    </row>
    <row r="1801" spans="1:8" ht="21.75" customHeight="1" x14ac:dyDescent="0.35">
      <c r="A1801" t="s">
        <v>1896</v>
      </c>
      <c r="B1801" s="3">
        <v>45320</v>
      </c>
      <c r="C1801" t="s">
        <v>147</v>
      </c>
      <c r="D1801" t="s">
        <v>41</v>
      </c>
      <c r="E1801" t="s">
        <v>22</v>
      </c>
      <c r="F1801" t="s">
        <v>56</v>
      </c>
      <c r="G1801" t="s">
        <v>13</v>
      </c>
      <c r="H1801">
        <v>1</v>
      </c>
    </row>
    <row r="1802" spans="1:8" ht="21.75" customHeight="1" x14ac:dyDescent="0.35">
      <c r="A1802" t="s">
        <v>1897</v>
      </c>
      <c r="B1802" s="3">
        <v>45651</v>
      </c>
      <c r="C1802" t="s">
        <v>142</v>
      </c>
      <c r="D1802" t="s">
        <v>45</v>
      </c>
      <c r="E1802" t="s">
        <v>17</v>
      </c>
      <c r="F1802" t="s">
        <v>42</v>
      </c>
      <c r="G1802" t="s">
        <v>36</v>
      </c>
      <c r="H1802">
        <v>17</v>
      </c>
    </row>
    <row r="1803" spans="1:8" ht="21.75" customHeight="1" x14ac:dyDescent="0.35">
      <c r="A1803" t="s">
        <v>1898</v>
      </c>
      <c r="B1803" s="3">
        <v>45424</v>
      </c>
      <c r="C1803" t="s">
        <v>30</v>
      </c>
      <c r="D1803" t="s">
        <v>48</v>
      </c>
      <c r="E1803" t="s">
        <v>11</v>
      </c>
      <c r="F1803" t="s">
        <v>42</v>
      </c>
      <c r="G1803" t="s">
        <v>13</v>
      </c>
      <c r="H1803">
        <v>1</v>
      </c>
    </row>
    <row r="1804" spans="1:8" ht="21.75" customHeight="1" x14ac:dyDescent="0.35">
      <c r="A1804" t="s">
        <v>1899</v>
      </c>
      <c r="B1804" s="3">
        <v>45511</v>
      </c>
      <c r="C1804" t="s">
        <v>101</v>
      </c>
      <c r="D1804" t="s">
        <v>160</v>
      </c>
      <c r="E1804" t="s">
        <v>11</v>
      </c>
      <c r="F1804" t="s">
        <v>42</v>
      </c>
      <c r="G1804" t="s">
        <v>36</v>
      </c>
      <c r="H1804">
        <v>3</v>
      </c>
    </row>
    <row r="1805" spans="1:8" ht="21.75" customHeight="1" x14ac:dyDescent="0.35">
      <c r="A1805" t="s">
        <v>1900</v>
      </c>
      <c r="B1805" s="3">
        <v>45553</v>
      </c>
      <c r="C1805" t="s">
        <v>83</v>
      </c>
      <c r="D1805" t="s">
        <v>79</v>
      </c>
      <c r="E1805" t="s">
        <v>17</v>
      </c>
      <c r="F1805" t="s">
        <v>306</v>
      </c>
      <c r="G1805" t="s">
        <v>28</v>
      </c>
      <c r="H1805">
        <v>12</v>
      </c>
    </row>
    <row r="1806" spans="1:8" ht="21.75" customHeight="1" x14ac:dyDescent="0.35">
      <c r="A1806" t="s">
        <v>1901</v>
      </c>
      <c r="B1806" s="3">
        <v>45344</v>
      </c>
      <c r="C1806" t="s">
        <v>314</v>
      </c>
      <c r="D1806" t="s">
        <v>41</v>
      </c>
      <c r="E1806" t="s">
        <v>22</v>
      </c>
      <c r="F1806" t="s">
        <v>12</v>
      </c>
      <c r="G1806" t="s">
        <v>28</v>
      </c>
      <c r="H1806">
        <v>17</v>
      </c>
    </row>
    <row r="1807" spans="1:8" ht="21.75" customHeight="1" x14ac:dyDescent="0.35">
      <c r="A1807" t="s">
        <v>1902</v>
      </c>
      <c r="B1807" s="3">
        <v>45298</v>
      </c>
      <c r="C1807" t="s">
        <v>78</v>
      </c>
      <c r="D1807" t="s">
        <v>79</v>
      </c>
      <c r="E1807" t="s">
        <v>17</v>
      </c>
      <c r="F1807" t="s">
        <v>42</v>
      </c>
      <c r="G1807" t="s">
        <v>23</v>
      </c>
      <c r="H1807">
        <v>5</v>
      </c>
    </row>
    <row r="1808" spans="1:8" ht="21.75" customHeight="1" x14ac:dyDescent="0.35">
      <c r="A1808" t="s">
        <v>1903</v>
      </c>
      <c r="B1808" s="3">
        <v>45310</v>
      </c>
      <c r="C1808" t="s">
        <v>378</v>
      </c>
      <c r="D1808" t="s">
        <v>62</v>
      </c>
      <c r="E1808" t="s">
        <v>22</v>
      </c>
      <c r="F1808" t="s">
        <v>27</v>
      </c>
      <c r="G1808" t="s">
        <v>28</v>
      </c>
      <c r="H1808">
        <v>11</v>
      </c>
    </row>
    <row r="1809" spans="1:8" ht="21.75" customHeight="1" x14ac:dyDescent="0.35">
      <c r="A1809" t="s">
        <v>1904</v>
      </c>
      <c r="B1809" s="3">
        <v>45455</v>
      </c>
      <c r="C1809" t="s">
        <v>101</v>
      </c>
      <c r="D1809" t="s">
        <v>10</v>
      </c>
      <c r="E1809" t="s">
        <v>22</v>
      </c>
      <c r="F1809" t="s">
        <v>42</v>
      </c>
      <c r="G1809" t="s">
        <v>13</v>
      </c>
      <c r="H1809">
        <v>17</v>
      </c>
    </row>
    <row r="1810" spans="1:8" ht="21.75" customHeight="1" x14ac:dyDescent="0.35">
      <c r="A1810" t="s">
        <v>1905</v>
      </c>
      <c r="B1810" s="3">
        <v>45318</v>
      </c>
      <c r="C1810" t="s">
        <v>235</v>
      </c>
      <c r="D1810" t="s">
        <v>197</v>
      </c>
      <c r="E1810" t="s">
        <v>22</v>
      </c>
      <c r="F1810" t="s">
        <v>12</v>
      </c>
      <c r="G1810" t="s">
        <v>23</v>
      </c>
      <c r="H1810">
        <v>3</v>
      </c>
    </row>
    <row r="1811" spans="1:8" ht="21.75" customHeight="1" x14ac:dyDescent="0.35">
      <c r="A1811" t="s">
        <v>1906</v>
      </c>
      <c r="B1811" s="3">
        <v>45436</v>
      </c>
      <c r="C1811" t="s">
        <v>420</v>
      </c>
      <c r="D1811" t="s">
        <v>74</v>
      </c>
      <c r="E1811" t="s">
        <v>17</v>
      </c>
      <c r="F1811" t="s">
        <v>12</v>
      </c>
      <c r="G1811" t="s">
        <v>36</v>
      </c>
      <c r="H1811">
        <v>15</v>
      </c>
    </row>
    <row r="1812" spans="1:8" ht="21.75" customHeight="1" x14ac:dyDescent="0.35">
      <c r="A1812" t="s">
        <v>1907</v>
      </c>
      <c r="B1812" s="3">
        <v>45394</v>
      </c>
      <c r="C1812" t="s">
        <v>61</v>
      </c>
      <c r="D1812" t="s">
        <v>59</v>
      </c>
      <c r="E1812" t="s">
        <v>17</v>
      </c>
      <c r="F1812" t="s">
        <v>306</v>
      </c>
      <c r="G1812" t="s">
        <v>28</v>
      </c>
      <c r="H1812">
        <v>15</v>
      </c>
    </row>
    <row r="1813" spans="1:8" ht="21.75" customHeight="1" x14ac:dyDescent="0.35">
      <c r="A1813" t="s">
        <v>1908</v>
      </c>
      <c r="B1813" s="3">
        <v>45544</v>
      </c>
      <c r="C1813" t="s">
        <v>337</v>
      </c>
      <c r="D1813" t="s">
        <v>119</v>
      </c>
      <c r="E1813" t="s">
        <v>11</v>
      </c>
      <c r="F1813" t="s">
        <v>306</v>
      </c>
      <c r="G1813" t="s">
        <v>28</v>
      </c>
      <c r="H1813">
        <v>5</v>
      </c>
    </row>
    <row r="1814" spans="1:8" ht="21.75" customHeight="1" x14ac:dyDescent="0.35">
      <c r="A1814" t="s">
        <v>1909</v>
      </c>
      <c r="B1814" s="3">
        <v>45501</v>
      </c>
      <c r="C1814" t="s">
        <v>64</v>
      </c>
      <c r="D1814" t="s">
        <v>197</v>
      </c>
      <c r="E1814" t="s">
        <v>22</v>
      </c>
      <c r="F1814" t="s">
        <v>42</v>
      </c>
      <c r="G1814" t="s">
        <v>13</v>
      </c>
      <c r="H1814">
        <v>11</v>
      </c>
    </row>
    <row r="1815" spans="1:8" ht="21.75" customHeight="1" x14ac:dyDescent="0.35">
      <c r="A1815" t="s">
        <v>1910</v>
      </c>
      <c r="B1815" s="3">
        <v>45628</v>
      </c>
      <c r="C1815" t="s">
        <v>159</v>
      </c>
      <c r="D1815" t="s">
        <v>84</v>
      </c>
      <c r="E1815" t="s">
        <v>22</v>
      </c>
      <c r="F1815" t="s">
        <v>42</v>
      </c>
      <c r="G1815" t="s">
        <v>13</v>
      </c>
      <c r="H1815">
        <v>7</v>
      </c>
    </row>
    <row r="1816" spans="1:8" ht="21.75" customHeight="1" x14ac:dyDescent="0.35">
      <c r="A1816" t="s">
        <v>1911</v>
      </c>
      <c r="B1816" s="3">
        <v>45413</v>
      </c>
      <c r="C1816" t="s">
        <v>572</v>
      </c>
      <c r="D1816" t="s">
        <v>35</v>
      </c>
      <c r="E1816" t="s">
        <v>11</v>
      </c>
      <c r="F1816" t="s">
        <v>56</v>
      </c>
      <c r="G1816" t="s">
        <v>32</v>
      </c>
      <c r="H1816">
        <v>3</v>
      </c>
    </row>
    <row r="1817" spans="1:8" ht="21.75" customHeight="1" x14ac:dyDescent="0.35">
      <c r="A1817" t="s">
        <v>1912</v>
      </c>
      <c r="B1817" s="3">
        <v>45410</v>
      </c>
      <c r="C1817" t="s">
        <v>363</v>
      </c>
      <c r="D1817" t="s">
        <v>87</v>
      </c>
      <c r="E1817" t="s">
        <v>22</v>
      </c>
      <c r="F1817" t="s">
        <v>42</v>
      </c>
      <c r="G1817" t="s">
        <v>23</v>
      </c>
      <c r="H1817">
        <v>3</v>
      </c>
    </row>
    <row r="1818" spans="1:8" ht="21.75" customHeight="1" x14ac:dyDescent="0.35">
      <c r="A1818" t="s">
        <v>1913</v>
      </c>
      <c r="B1818" s="3">
        <v>45550</v>
      </c>
      <c r="C1818" t="s">
        <v>99</v>
      </c>
      <c r="D1818" t="s">
        <v>21</v>
      </c>
      <c r="E1818" t="s">
        <v>17</v>
      </c>
      <c r="F1818" t="s">
        <v>12</v>
      </c>
      <c r="G1818" t="s">
        <v>36</v>
      </c>
      <c r="H1818">
        <v>19</v>
      </c>
    </row>
    <row r="1819" spans="1:8" ht="21.75" customHeight="1" x14ac:dyDescent="0.35">
      <c r="A1819" t="s">
        <v>1914</v>
      </c>
      <c r="B1819" s="3">
        <v>45631</v>
      </c>
      <c r="C1819" t="s">
        <v>34</v>
      </c>
      <c r="D1819" t="s">
        <v>197</v>
      </c>
      <c r="E1819" t="s">
        <v>17</v>
      </c>
      <c r="F1819" t="s">
        <v>42</v>
      </c>
      <c r="G1819" t="s">
        <v>32</v>
      </c>
      <c r="H1819">
        <v>13</v>
      </c>
    </row>
    <row r="1820" spans="1:8" ht="21.75" customHeight="1" x14ac:dyDescent="0.35">
      <c r="A1820" t="s">
        <v>1915</v>
      </c>
      <c r="B1820" s="3">
        <v>45459</v>
      </c>
      <c r="C1820" t="s">
        <v>38</v>
      </c>
      <c r="D1820" t="s">
        <v>70</v>
      </c>
      <c r="E1820" t="s">
        <v>17</v>
      </c>
      <c r="F1820" t="s">
        <v>56</v>
      </c>
      <c r="G1820" t="s">
        <v>13</v>
      </c>
      <c r="H1820">
        <v>7</v>
      </c>
    </row>
    <row r="1821" spans="1:8" ht="21.75" customHeight="1" x14ac:dyDescent="0.35">
      <c r="A1821" t="s">
        <v>1916</v>
      </c>
      <c r="B1821" s="3">
        <v>45591</v>
      </c>
      <c r="C1821" t="s">
        <v>15</v>
      </c>
      <c r="D1821" t="s">
        <v>16</v>
      </c>
      <c r="E1821" t="s">
        <v>11</v>
      </c>
      <c r="F1821" t="s">
        <v>56</v>
      </c>
      <c r="G1821" t="s">
        <v>23</v>
      </c>
      <c r="H1821">
        <v>15</v>
      </c>
    </row>
    <row r="1822" spans="1:8" ht="21.75" customHeight="1" x14ac:dyDescent="0.35">
      <c r="A1822" t="s">
        <v>1917</v>
      </c>
      <c r="B1822" s="3">
        <v>45353</v>
      </c>
      <c r="C1822" t="s">
        <v>312</v>
      </c>
      <c r="D1822" t="s">
        <v>48</v>
      </c>
      <c r="E1822" t="s">
        <v>11</v>
      </c>
      <c r="F1822" t="s">
        <v>27</v>
      </c>
      <c r="G1822" t="s">
        <v>32</v>
      </c>
      <c r="H1822">
        <v>15</v>
      </c>
    </row>
    <row r="1823" spans="1:8" ht="21.75" customHeight="1" x14ac:dyDescent="0.35">
      <c r="A1823" t="s">
        <v>1918</v>
      </c>
      <c r="B1823" s="3">
        <v>45353</v>
      </c>
      <c r="C1823" t="s">
        <v>203</v>
      </c>
      <c r="D1823" t="s">
        <v>45</v>
      </c>
      <c r="E1823" t="s">
        <v>22</v>
      </c>
      <c r="F1823" t="s">
        <v>42</v>
      </c>
      <c r="G1823" t="s">
        <v>36</v>
      </c>
      <c r="H1823">
        <v>2</v>
      </c>
    </row>
    <row r="1824" spans="1:8" ht="21.75" customHeight="1" x14ac:dyDescent="0.35">
      <c r="A1824" t="s">
        <v>1919</v>
      </c>
      <c r="B1824" s="3">
        <v>45459</v>
      </c>
      <c r="C1824" t="s">
        <v>167</v>
      </c>
      <c r="D1824" t="s">
        <v>10</v>
      </c>
      <c r="E1824" t="s">
        <v>22</v>
      </c>
      <c r="F1824" t="s">
        <v>56</v>
      </c>
      <c r="G1824" t="s">
        <v>32</v>
      </c>
      <c r="H1824">
        <v>13</v>
      </c>
    </row>
    <row r="1825" spans="1:8" ht="21.75" customHeight="1" x14ac:dyDescent="0.35">
      <c r="A1825" t="s">
        <v>1920</v>
      </c>
      <c r="B1825" s="3">
        <v>45638</v>
      </c>
      <c r="C1825" t="s">
        <v>68</v>
      </c>
      <c r="D1825" t="s">
        <v>26</v>
      </c>
      <c r="E1825" t="s">
        <v>11</v>
      </c>
      <c r="F1825" t="s">
        <v>12</v>
      </c>
      <c r="G1825" t="s">
        <v>23</v>
      </c>
      <c r="H1825">
        <v>15</v>
      </c>
    </row>
    <row r="1826" spans="1:8" ht="21.75" customHeight="1" x14ac:dyDescent="0.35">
      <c r="A1826" t="s">
        <v>1921</v>
      </c>
      <c r="B1826" s="3">
        <v>45573</v>
      </c>
      <c r="C1826" t="s">
        <v>78</v>
      </c>
      <c r="D1826" t="s">
        <v>102</v>
      </c>
      <c r="E1826" t="s">
        <v>17</v>
      </c>
      <c r="F1826" t="s">
        <v>12</v>
      </c>
      <c r="G1826" t="s">
        <v>28</v>
      </c>
      <c r="H1826">
        <v>4</v>
      </c>
    </row>
    <row r="1827" spans="1:8" ht="21.75" customHeight="1" x14ac:dyDescent="0.35">
      <c r="A1827" t="s">
        <v>1922</v>
      </c>
      <c r="B1827" s="3">
        <v>45405</v>
      </c>
      <c r="C1827" t="s">
        <v>34</v>
      </c>
      <c r="D1827" t="s">
        <v>65</v>
      </c>
      <c r="E1827" t="s">
        <v>17</v>
      </c>
      <c r="F1827" t="s">
        <v>42</v>
      </c>
      <c r="G1827" t="s">
        <v>13</v>
      </c>
      <c r="H1827">
        <v>19</v>
      </c>
    </row>
    <row r="1828" spans="1:8" ht="21.75" customHeight="1" x14ac:dyDescent="0.35">
      <c r="A1828" t="s">
        <v>1923</v>
      </c>
      <c r="B1828" s="3">
        <v>45330</v>
      </c>
      <c r="C1828" t="s">
        <v>138</v>
      </c>
      <c r="D1828" t="s">
        <v>10</v>
      </c>
      <c r="E1828" t="s">
        <v>11</v>
      </c>
      <c r="F1828" t="s">
        <v>27</v>
      </c>
      <c r="G1828" t="s">
        <v>28</v>
      </c>
      <c r="H1828">
        <v>3</v>
      </c>
    </row>
    <row r="1829" spans="1:8" ht="21.75" customHeight="1" x14ac:dyDescent="0.35">
      <c r="A1829" t="s">
        <v>1924</v>
      </c>
      <c r="B1829" s="3">
        <v>45461</v>
      </c>
      <c r="C1829" t="s">
        <v>114</v>
      </c>
      <c r="D1829" t="s">
        <v>79</v>
      </c>
      <c r="E1829" t="s">
        <v>17</v>
      </c>
      <c r="F1829" t="s">
        <v>12</v>
      </c>
      <c r="G1829" t="s">
        <v>28</v>
      </c>
      <c r="H1829">
        <v>19</v>
      </c>
    </row>
    <row r="1830" spans="1:8" ht="21.75" customHeight="1" x14ac:dyDescent="0.35">
      <c r="A1830" t="s">
        <v>1925</v>
      </c>
      <c r="B1830" s="3">
        <v>45494</v>
      </c>
      <c r="C1830" t="s">
        <v>432</v>
      </c>
      <c r="D1830" t="s">
        <v>96</v>
      </c>
      <c r="E1830" t="s">
        <v>17</v>
      </c>
      <c r="F1830" t="s">
        <v>27</v>
      </c>
      <c r="G1830" t="s">
        <v>28</v>
      </c>
      <c r="H1830">
        <v>12</v>
      </c>
    </row>
    <row r="1831" spans="1:8" ht="21.75" customHeight="1" x14ac:dyDescent="0.35">
      <c r="A1831" t="s">
        <v>1926</v>
      </c>
      <c r="B1831" s="3">
        <v>45387</v>
      </c>
      <c r="C1831" t="s">
        <v>89</v>
      </c>
      <c r="D1831" t="s">
        <v>26</v>
      </c>
      <c r="E1831" t="s">
        <v>17</v>
      </c>
      <c r="F1831" t="s">
        <v>56</v>
      </c>
      <c r="G1831" t="s">
        <v>13</v>
      </c>
      <c r="H1831">
        <v>20</v>
      </c>
    </row>
    <row r="1832" spans="1:8" ht="21.75" customHeight="1" x14ac:dyDescent="0.35">
      <c r="A1832" t="s">
        <v>1927</v>
      </c>
      <c r="B1832" s="3">
        <v>45417</v>
      </c>
      <c r="C1832" t="s">
        <v>736</v>
      </c>
      <c r="D1832" t="s">
        <v>74</v>
      </c>
      <c r="E1832" t="s">
        <v>17</v>
      </c>
      <c r="F1832" t="s">
        <v>27</v>
      </c>
      <c r="G1832" t="s">
        <v>36</v>
      </c>
      <c r="H1832">
        <v>16</v>
      </c>
    </row>
    <row r="1833" spans="1:8" ht="21.75" customHeight="1" x14ac:dyDescent="0.35">
      <c r="A1833" t="s">
        <v>1928</v>
      </c>
      <c r="B1833" s="3">
        <v>45435</v>
      </c>
      <c r="C1833" t="s">
        <v>53</v>
      </c>
      <c r="D1833" t="s">
        <v>16</v>
      </c>
      <c r="E1833" t="s">
        <v>17</v>
      </c>
      <c r="F1833" t="s">
        <v>56</v>
      </c>
      <c r="G1833" t="s">
        <v>36</v>
      </c>
      <c r="H1833">
        <v>8</v>
      </c>
    </row>
    <row r="1834" spans="1:8" ht="21.75" customHeight="1" x14ac:dyDescent="0.35">
      <c r="A1834" t="s">
        <v>1929</v>
      </c>
      <c r="B1834" s="3">
        <v>45570</v>
      </c>
      <c r="C1834" t="s">
        <v>138</v>
      </c>
      <c r="D1834" t="s">
        <v>31</v>
      </c>
      <c r="E1834" t="s">
        <v>22</v>
      </c>
      <c r="F1834" t="s">
        <v>42</v>
      </c>
      <c r="G1834" t="s">
        <v>23</v>
      </c>
      <c r="H1834">
        <v>18</v>
      </c>
    </row>
    <row r="1835" spans="1:8" ht="21.75" customHeight="1" x14ac:dyDescent="0.35">
      <c r="A1835" t="s">
        <v>1930</v>
      </c>
      <c r="B1835" s="3">
        <v>45468</v>
      </c>
      <c r="C1835" t="s">
        <v>614</v>
      </c>
      <c r="D1835" t="s">
        <v>160</v>
      </c>
      <c r="E1835" t="s">
        <v>17</v>
      </c>
      <c r="F1835" t="s">
        <v>27</v>
      </c>
      <c r="G1835" t="s">
        <v>32</v>
      </c>
      <c r="H1835">
        <v>6</v>
      </c>
    </row>
    <row r="1836" spans="1:8" ht="21.75" customHeight="1" x14ac:dyDescent="0.35">
      <c r="A1836" t="s">
        <v>1931</v>
      </c>
      <c r="B1836" s="3">
        <v>45597</v>
      </c>
      <c r="C1836" t="s">
        <v>240</v>
      </c>
      <c r="D1836" t="s">
        <v>96</v>
      </c>
      <c r="E1836" t="s">
        <v>17</v>
      </c>
      <c r="F1836" t="s">
        <v>12</v>
      </c>
      <c r="G1836" t="s">
        <v>23</v>
      </c>
      <c r="H1836">
        <v>17</v>
      </c>
    </row>
    <row r="1837" spans="1:8" ht="21.75" customHeight="1" x14ac:dyDescent="0.35">
      <c r="A1837" t="s">
        <v>1932</v>
      </c>
      <c r="B1837" s="3">
        <v>45591</v>
      </c>
      <c r="C1837" t="s">
        <v>51</v>
      </c>
      <c r="D1837" t="s">
        <v>45</v>
      </c>
      <c r="E1837" t="s">
        <v>11</v>
      </c>
      <c r="F1837" t="s">
        <v>56</v>
      </c>
      <c r="G1837" t="s">
        <v>28</v>
      </c>
      <c r="H1837">
        <v>9</v>
      </c>
    </row>
    <row r="1838" spans="1:8" ht="21.75" customHeight="1" x14ac:dyDescent="0.35">
      <c r="A1838" t="s">
        <v>1933</v>
      </c>
      <c r="B1838" s="3">
        <v>45320</v>
      </c>
      <c r="C1838" t="s">
        <v>332</v>
      </c>
      <c r="D1838" t="s">
        <v>197</v>
      </c>
      <c r="E1838" t="s">
        <v>22</v>
      </c>
      <c r="F1838" t="s">
        <v>27</v>
      </c>
      <c r="G1838" t="s">
        <v>32</v>
      </c>
      <c r="H1838">
        <v>6</v>
      </c>
    </row>
    <row r="1839" spans="1:8" ht="21.75" customHeight="1" x14ac:dyDescent="0.35">
      <c r="A1839" t="s">
        <v>1934</v>
      </c>
      <c r="B1839" s="3">
        <v>45595</v>
      </c>
      <c r="C1839" t="s">
        <v>38</v>
      </c>
      <c r="D1839" t="s">
        <v>84</v>
      </c>
      <c r="E1839" t="s">
        <v>22</v>
      </c>
      <c r="F1839" t="s">
        <v>42</v>
      </c>
      <c r="G1839" t="s">
        <v>36</v>
      </c>
      <c r="H1839">
        <v>1</v>
      </c>
    </row>
    <row r="1840" spans="1:8" ht="21.75" customHeight="1" x14ac:dyDescent="0.35">
      <c r="A1840" t="s">
        <v>1935</v>
      </c>
      <c r="B1840" s="3">
        <v>45472</v>
      </c>
      <c r="C1840" t="s">
        <v>614</v>
      </c>
      <c r="D1840" t="s">
        <v>59</v>
      </c>
      <c r="E1840" t="s">
        <v>11</v>
      </c>
      <c r="F1840" t="s">
        <v>306</v>
      </c>
      <c r="G1840" t="s">
        <v>28</v>
      </c>
      <c r="H1840">
        <v>16</v>
      </c>
    </row>
    <row r="1841" spans="1:8" ht="21.75" customHeight="1" x14ac:dyDescent="0.35">
      <c r="A1841" t="s">
        <v>1936</v>
      </c>
      <c r="B1841" s="3">
        <v>45381</v>
      </c>
      <c r="C1841" t="s">
        <v>374</v>
      </c>
      <c r="D1841" t="s">
        <v>79</v>
      </c>
      <c r="E1841" t="s">
        <v>11</v>
      </c>
      <c r="F1841" t="s">
        <v>12</v>
      </c>
      <c r="G1841" t="s">
        <v>28</v>
      </c>
      <c r="H1841">
        <v>20</v>
      </c>
    </row>
    <row r="1842" spans="1:8" ht="21.75" customHeight="1" x14ac:dyDescent="0.35">
      <c r="A1842" t="s">
        <v>1937</v>
      </c>
      <c r="B1842" s="3">
        <v>45561</v>
      </c>
      <c r="C1842" t="s">
        <v>517</v>
      </c>
      <c r="D1842" t="s">
        <v>96</v>
      </c>
      <c r="E1842" t="s">
        <v>17</v>
      </c>
      <c r="F1842" t="s">
        <v>306</v>
      </c>
      <c r="G1842" t="s">
        <v>28</v>
      </c>
      <c r="H1842">
        <v>5</v>
      </c>
    </row>
    <row r="1843" spans="1:8" ht="21.75" customHeight="1" x14ac:dyDescent="0.35">
      <c r="A1843" t="s">
        <v>1938</v>
      </c>
      <c r="B1843" s="3">
        <v>45382</v>
      </c>
      <c r="C1843" t="s">
        <v>187</v>
      </c>
      <c r="D1843" t="s">
        <v>79</v>
      </c>
      <c r="E1843" t="s">
        <v>11</v>
      </c>
      <c r="F1843" t="s">
        <v>56</v>
      </c>
      <c r="G1843" t="s">
        <v>36</v>
      </c>
      <c r="H1843">
        <v>5</v>
      </c>
    </row>
    <row r="1844" spans="1:8" ht="21.75" customHeight="1" x14ac:dyDescent="0.35">
      <c r="A1844" t="s">
        <v>1939</v>
      </c>
      <c r="B1844" s="3">
        <v>45561</v>
      </c>
      <c r="C1844" t="s">
        <v>83</v>
      </c>
      <c r="D1844" t="s">
        <v>10</v>
      </c>
      <c r="E1844" t="s">
        <v>17</v>
      </c>
      <c r="F1844" t="s">
        <v>27</v>
      </c>
      <c r="G1844" t="s">
        <v>36</v>
      </c>
      <c r="H1844">
        <v>4</v>
      </c>
    </row>
    <row r="1845" spans="1:8" ht="21.75" customHeight="1" x14ac:dyDescent="0.35">
      <c r="A1845" t="s">
        <v>1940</v>
      </c>
      <c r="B1845" s="3">
        <v>45457</v>
      </c>
      <c r="C1845" t="s">
        <v>99</v>
      </c>
      <c r="D1845" t="s">
        <v>45</v>
      </c>
      <c r="E1845" t="s">
        <v>22</v>
      </c>
      <c r="F1845" t="s">
        <v>27</v>
      </c>
      <c r="G1845" t="s">
        <v>23</v>
      </c>
      <c r="H1845">
        <v>11</v>
      </c>
    </row>
    <row r="1846" spans="1:8" ht="21.75" customHeight="1" x14ac:dyDescent="0.35">
      <c r="A1846" t="s">
        <v>1941</v>
      </c>
      <c r="B1846" s="3">
        <v>45579</v>
      </c>
      <c r="C1846" t="s">
        <v>465</v>
      </c>
      <c r="D1846" t="s">
        <v>109</v>
      </c>
      <c r="E1846" t="s">
        <v>17</v>
      </c>
      <c r="F1846" t="s">
        <v>56</v>
      </c>
      <c r="G1846" t="s">
        <v>36</v>
      </c>
      <c r="H1846">
        <v>6</v>
      </c>
    </row>
    <row r="1847" spans="1:8" ht="21.75" customHeight="1" x14ac:dyDescent="0.35">
      <c r="A1847" t="s">
        <v>1942</v>
      </c>
      <c r="B1847" s="3">
        <v>45644</v>
      </c>
      <c r="C1847" t="s">
        <v>61</v>
      </c>
      <c r="D1847" t="s">
        <v>16</v>
      </c>
      <c r="E1847" t="s">
        <v>11</v>
      </c>
      <c r="F1847" t="s">
        <v>12</v>
      </c>
      <c r="G1847" t="s">
        <v>36</v>
      </c>
      <c r="H1847">
        <v>13</v>
      </c>
    </row>
    <row r="1848" spans="1:8" ht="21.75" customHeight="1" x14ac:dyDescent="0.35">
      <c r="A1848" t="s">
        <v>1943</v>
      </c>
      <c r="B1848" s="3">
        <v>45582</v>
      </c>
      <c r="C1848" t="s">
        <v>122</v>
      </c>
      <c r="D1848" t="s">
        <v>45</v>
      </c>
      <c r="E1848" t="s">
        <v>22</v>
      </c>
      <c r="F1848" t="s">
        <v>42</v>
      </c>
      <c r="G1848" t="s">
        <v>36</v>
      </c>
      <c r="H1848">
        <v>8</v>
      </c>
    </row>
    <row r="1849" spans="1:8" ht="21.75" customHeight="1" x14ac:dyDescent="0.35">
      <c r="A1849" t="s">
        <v>1944</v>
      </c>
      <c r="B1849" s="3">
        <v>45345</v>
      </c>
      <c r="C1849" t="s">
        <v>432</v>
      </c>
      <c r="D1849" t="s">
        <v>16</v>
      </c>
      <c r="E1849" t="s">
        <v>17</v>
      </c>
      <c r="F1849" t="s">
        <v>12</v>
      </c>
      <c r="G1849" t="s">
        <v>28</v>
      </c>
      <c r="H1849">
        <v>12</v>
      </c>
    </row>
    <row r="1850" spans="1:8" ht="21.75" customHeight="1" x14ac:dyDescent="0.35">
      <c r="A1850" t="s">
        <v>1945</v>
      </c>
      <c r="B1850" s="3">
        <v>45377</v>
      </c>
      <c r="C1850" t="s">
        <v>541</v>
      </c>
      <c r="D1850" t="s">
        <v>10</v>
      </c>
      <c r="E1850" t="s">
        <v>22</v>
      </c>
      <c r="F1850" t="s">
        <v>42</v>
      </c>
      <c r="G1850" t="s">
        <v>23</v>
      </c>
      <c r="H1850">
        <v>1</v>
      </c>
    </row>
    <row r="1851" spans="1:8" ht="21.75" customHeight="1" x14ac:dyDescent="0.35">
      <c r="A1851" t="s">
        <v>1946</v>
      </c>
      <c r="B1851" s="3">
        <v>45419</v>
      </c>
      <c r="C1851" t="s">
        <v>465</v>
      </c>
      <c r="D1851" t="s">
        <v>10</v>
      </c>
      <c r="E1851" t="s">
        <v>17</v>
      </c>
      <c r="F1851" t="s">
        <v>42</v>
      </c>
      <c r="G1851" t="s">
        <v>13</v>
      </c>
      <c r="H1851">
        <v>1</v>
      </c>
    </row>
    <row r="1852" spans="1:8" ht="21.75" customHeight="1" x14ac:dyDescent="0.35">
      <c r="A1852" t="s">
        <v>1947</v>
      </c>
      <c r="B1852" s="3">
        <v>45516</v>
      </c>
      <c r="C1852" t="s">
        <v>388</v>
      </c>
      <c r="D1852" t="s">
        <v>87</v>
      </c>
      <c r="E1852" t="s">
        <v>11</v>
      </c>
      <c r="F1852" t="s">
        <v>27</v>
      </c>
      <c r="G1852" t="s">
        <v>23</v>
      </c>
      <c r="H1852">
        <v>13</v>
      </c>
    </row>
    <row r="1853" spans="1:8" ht="21.75" customHeight="1" x14ac:dyDescent="0.35">
      <c r="A1853" t="s">
        <v>1948</v>
      </c>
      <c r="B1853" s="3">
        <v>45484</v>
      </c>
      <c r="C1853" t="s">
        <v>108</v>
      </c>
      <c r="D1853" t="s">
        <v>35</v>
      </c>
      <c r="E1853" t="s">
        <v>22</v>
      </c>
      <c r="F1853" t="s">
        <v>56</v>
      </c>
      <c r="G1853" t="s">
        <v>28</v>
      </c>
      <c r="H1853">
        <v>15</v>
      </c>
    </row>
    <row r="1854" spans="1:8" ht="21.75" customHeight="1" x14ac:dyDescent="0.35">
      <c r="A1854" t="s">
        <v>1949</v>
      </c>
      <c r="B1854" s="3">
        <v>45309</v>
      </c>
      <c r="C1854" t="s">
        <v>61</v>
      </c>
      <c r="D1854" t="s">
        <v>96</v>
      </c>
      <c r="E1854" t="s">
        <v>17</v>
      </c>
      <c r="F1854" t="s">
        <v>42</v>
      </c>
      <c r="G1854" t="s">
        <v>13</v>
      </c>
      <c r="H1854">
        <v>3</v>
      </c>
    </row>
    <row r="1855" spans="1:8" ht="21.75" customHeight="1" x14ac:dyDescent="0.35">
      <c r="A1855" t="s">
        <v>1950</v>
      </c>
      <c r="B1855" s="3">
        <v>45484</v>
      </c>
      <c r="C1855" t="s">
        <v>111</v>
      </c>
      <c r="D1855" t="s">
        <v>84</v>
      </c>
      <c r="E1855" t="s">
        <v>11</v>
      </c>
      <c r="F1855" t="s">
        <v>306</v>
      </c>
      <c r="G1855" t="s">
        <v>13</v>
      </c>
      <c r="H1855">
        <v>11</v>
      </c>
    </row>
    <row r="1856" spans="1:8" ht="21.75" customHeight="1" x14ac:dyDescent="0.35">
      <c r="A1856" t="s">
        <v>1951</v>
      </c>
      <c r="B1856" s="3">
        <v>45606</v>
      </c>
      <c r="C1856" t="s">
        <v>517</v>
      </c>
      <c r="D1856" t="s">
        <v>62</v>
      </c>
      <c r="E1856" t="s">
        <v>11</v>
      </c>
      <c r="F1856" t="s">
        <v>27</v>
      </c>
      <c r="G1856" t="s">
        <v>28</v>
      </c>
      <c r="H1856">
        <v>20</v>
      </c>
    </row>
    <row r="1857" spans="1:8" ht="21.75" customHeight="1" x14ac:dyDescent="0.35">
      <c r="A1857" t="s">
        <v>1952</v>
      </c>
      <c r="B1857" s="3">
        <v>45372</v>
      </c>
      <c r="C1857" t="s">
        <v>9</v>
      </c>
      <c r="D1857" t="s">
        <v>102</v>
      </c>
      <c r="E1857" t="s">
        <v>17</v>
      </c>
      <c r="F1857" t="s">
        <v>56</v>
      </c>
      <c r="G1857" t="s">
        <v>28</v>
      </c>
      <c r="H1857">
        <v>14</v>
      </c>
    </row>
    <row r="1858" spans="1:8" ht="21.75" customHeight="1" x14ac:dyDescent="0.35">
      <c r="A1858" t="s">
        <v>1953</v>
      </c>
      <c r="B1858" s="3">
        <v>45568</v>
      </c>
      <c r="C1858" t="s">
        <v>86</v>
      </c>
      <c r="D1858" t="s">
        <v>41</v>
      </c>
      <c r="E1858" t="s">
        <v>17</v>
      </c>
      <c r="F1858" t="s">
        <v>42</v>
      </c>
      <c r="G1858" t="s">
        <v>28</v>
      </c>
      <c r="H1858">
        <v>4</v>
      </c>
    </row>
    <row r="1859" spans="1:8" ht="21.75" customHeight="1" x14ac:dyDescent="0.35">
      <c r="A1859" t="s">
        <v>1954</v>
      </c>
      <c r="B1859" s="3">
        <v>45584</v>
      </c>
      <c r="C1859" t="s">
        <v>378</v>
      </c>
      <c r="D1859" t="s">
        <v>35</v>
      </c>
      <c r="E1859" t="s">
        <v>11</v>
      </c>
      <c r="F1859" t="s">
        <v>12</v>
      </c>
      <c r="G1859" t="s">
        <v>32</v>
      </c>
      <c r="H1859">
        <v>1</v>
      </c>
    </row>
    <row r="1860" spans="1:8" ht="21.75" customHeight="1" x14ac:dyDescent="0.35">
      <c r="A1860" t="s">
        <v>1955</v>
      </c>
      <c r="B1860" s="3">
        <v>45442</v>
      </c>
      <c r="C1860" t="s">
        <v>371</v>
      </c>
      <c r="D1860" t="s">
        <v>21</v>
      </c>
      <c r="E1860" t="s">
        <v>22</v>
      </c>
      <c r="F1860" t="s">
        <v>27</v>
      </c>
      <c r="G1860" t="s">
        <v>28</v>
      </c>
      <c r="H1860">
        <v>4</v>
      </c>
    </row>
    <row r="1861" spans="1:8" ht="21.75" customHeight="1" x14ac:dyDescent="0.35">
      <c r="A1861" t="s">
        <v>1956</v>
      </c>
      <c r="B1861" s="3">
        <v>45379</v>
      </c>
      <c r="C1861" t="s">
        <v>541</v>
      </c>
      <c r="D1861" t="s">
        <v>74</v>
      </c>
      <c r="E1861" t="s">
        <v>11</v>
      </c>
      <c r="F1861" t="s">
        <v>27</v>
      </c>
      <c r="G1861" t="s">
        <v>13</v>
      </c>
      <c r="H1861">
        <v>10</v>
      </c>
    </row>
    <row r="1862" spans="1:8" ht="21.75" customHeight="1" x14ac:dyDescent="0.35">
      <c r="A1862" t="s">
        <v>1957</v>
      </c>
      <c r="B1862" s="3">
        <v>45533</v>
      </c>
      <c r="C1862" t="s">
        <v>374</v>
      </c>
      <c r="D1862" t="s">
        <v>41</v>
      </c>
      <c r="E1862" t="s">
        <v>17</v>
      </c>
      <c r="F1862" t="s">
        <v>12</v>
      </c>
      <c r="G1862" t="s">
        <v>36</v>
      </c>
      <c r="H1862">
        <v>13</v>
      </c>
    </row>
    <row r="1863" spans="1:8" ht="21.75" customHeight="1" x14ac:dyDescent="0.35">
      <c r="A1863" t="s">
        <v>1958</v>
      </c>
      <c r="B1863" s="3">
        <v>45487</v>
      </c>
      <c r="C1863" t="s">
        <v>200</v>
      </c>
      <c r="D1863" t="s">
        <v>45</v>
      </c>
      <c r="E1863" t="s">
        <v>17</v>
      </c>
      <c r="F1863" t="s">
        <v>12</v>
      </c>
      <c r="G1863" t="s">
        <v>32</v>
      </c>
      <c r="H1863">
        <v>15</v>
      </c>
    </row>
    <row r="1864" spans="1:8" ht="21.75" customHeight="1" x14ac:dyDescent="0.35">
      <c r="A1864" t="s">
        <v>1959</v>
      </c>
      <c r="B1864" s="3">
        <v>45407</v>
      </c>
      <c r="C1864" t="s">
        <v>101</v>
      </c>
      <c r="D1864" t="s">
        <v>59</v>
      </c>
      <c r="E1864" t="s">
        <v>11</v>
      </c>
      <c r="F1864" t="s">
        <v>56</v>
      </c>
      <c r="G1864" t="s">
        <v>13</v>
      </c>
      <c r="H1864">
        <v>3</v>
      </c>
    </row>
    <row r="1865" spans="1:8" ht="21.75" customHeight="1" x14ac:dyDescent="0.35">
      <c r="A1865" t="s">
        <v>1960</v>
      </c>
      <c r="B1865" s="3">
        <v>45569</v>
      </c>
      <c r="C1865" t="s">
        <v>408</v>
      </c>
      <c r="D1865" t="s">
        <v>119</v>
      </c>
      <c r="E1865" t="s">
        <v>22</v>
      </c>
      <c r="F1865" t="s">
        <v>56</v>
      </c>
      <c r="G1865" t="s">
        <v>36</v>
      </c>
      <c r="H1865">
        <v>2</v>
      </c>
    </row>
    <row r="1866" spans="1:8" ht="21.75" customHeight="1" x14ac:dyDescent="0.35">
      <c r="A1866" t="s">
        <v>1961</v>
      </c>
      <c r="B1866" s="3">
        <v>45559</v>
      </c>
      <c r="C1866" t="s">
        <v>572</v>
      </c>
      <c r="D1866" t="s">
        <v>174</v>
      </c>
      <c r="E1866" t="s">
        <v>22</v>
      </c>
      <c r="F1866" t="s">
        <v>27</v>
      </c>
      <c r="G1866" t="s">
        <v>36</v>
      </c>
      <c r="H1866">
        <v>8</v>
      </c>
    </row>
    <row r="1867" spans="1:8" ht="21.75" customHeight="1" x14ac:dyDescent="0.35">
      <c r="A1867" t="s">
        <v>1962</v>
      </c>
      <c r="B1867" s="3">
        <v>45332</v>
      </c>
      <c r="C1867" t="s">
        <v>106</v>
      </c>
      <c r="D1867" t="s">
        <v>62</v>
      </c>
      <c r="E1867" t="s">
        <v>11</v>
      </c>
      <c r="F1867" t="s">
        <v>306</v>
      </c>
      <c r="G1867" t="s">
        <v>36</v>
      </c>
      <c r="H1867">
        <v>17</v>
      </c>
    </row>
    <row r="1868" spans="1:8" ht="21.75" customHeight="1" x14ac:dyDescent="0.35">
      <c r="A1868" t="s">
        <v>1963</v>
      </c>
      <c r="B1868" s="3">
        <v>45638</v>
      </c>
      <c r="C1868" t="s">
        <v>381</v>
      </c>
      <c r="D1868" t="s">
        <v>16</v>
      </c>
      <c r="E1868" t="s">
        <v>11</v>
      </c>
      <c r="F1868" t="s">
        <v>27</v>
      </c>
      <c r="G1868" t="s">
        <v>28</v>
      </c>
      <c r="H1868">
        <v>6</v>
      </c>
    </row>
    <row r="1869" spans="1:8" ht="21.75" customHeight="1" x14ac:dyDescent="0.35">
      <c r="A1869" t="s">
        <v>1964</v>
      </c>
      <c r="B1869" s="3">
        <v>45390</v>
      </c>
      <c r="C1869" t="s">
        <v>34</v>
      </c>
      <c r="D1869" t="s">
        <v>79</v>
      </c>
      <c r="E1869" t="s">
        <v>17</v>
      </c>
      <c r="F1869" t="s">
        <v>12</v>
      </c>
      <c r="G1869" t="s">
        <v>23</v>
      </c>
      <c r="H1869">
        <v>7</v>
      </c>
    </row>
    <row r="1870" spans="1:8" ht="21.75" customHeight="1" x14ac:dyDescent="0.35">
      <c r="A1870" t="s">
        <v>1965</v>
      </c>
      <c r="B1870" s="3">
        <v>45613</v>
      </c>
      <c r="C1870" t="s">
        <v>167</v>
      </c>
      <c r="D1870" t="s">
        <v>109</v>
      </c>
      <c r="E1870" t="s">
        <v>17</v>
      </c>
      <c r="F1870" t="s">
        <v>42</v>
      </c>
      <c r="G1870" t="s">
        <v>13</v>
      </c>
      <c r="H1870">
        <v>3</v>
      </c>
    </row>
    <row r="1871" spans="1:8" ht="21.75" customHeight="1" x14ac:dyDescent="0.35">
      <c r="A1871" t="s">
        <v>1966</v>
      </c>
      <c r="B1871" s="3">
        <v>45495</v>
      </c>
      <c r="C1871" t="s">
        <v>378</v>
      </c>
      <c r="D1871" t="s">
        <v>72</v>
      </c>
      <c r="E1871" t="s">
        <v>17</v>
      </c>
      <c r="F1871" t="s">
        <v>306</v>
      </c>
      <c r="G1871" t="s">
        <v>23</v>
      </c>
      <c r="H1871">
        <v>1</v>
      </c>
    </row>
    <row r="1872" spans="1:8" ht="21.75" customHeight="1" x14ac:dyDescent="0.35">
      <c r="A1872" t="s">
        <v>1967</v>
      </c>
      <c r="B1872" s="3">
        <v>45611</v>
      </c>
      <c r="C1872" t="s">
        <v>449</v>
      </c>
      <c r="D1872" t="s">
        <v>160</v>
      </c>
      <c r="E1872" t="s">
        <v>17</v>
      </c>
      <c r="F1872" t="s">
        <v>12</v>
      </c>
      <c r="G1872" t="s">
        <v>23</v>
      </c>
      <c r="H1872">
        <v>5</v>
      </c>
    </row>
    <row r="1873" spans="1:8" ht="21.75" customHeight="1" x14ac:dyDescent="0.35">
      <c r="A1873" t="s">
        <v>1968</v>
      </c>
      <c r="B1873" s="3">
        <v>45593</v>
      </c>
      <c r="C1873" t="s">
        <v>361</v>
      </c>
      <c r="D1873" t="s">
        <v>119</v>
      </c>
      <c r="E1873" t="s">
        <v>11</v>
      </c>
      <c r="F1873" t="s">
        <v>12</v>
      </c>
      <c r="G1873" t="s">
        <v>36</v>
      </c>
      <c r="H1873">
        <v>4</v>
      </c>
    </row>
    <row r="1874" spans="1:8" ht="21.75" customHeight="1" x14ac:dyDescent="0.35">
      <c r="A1874" t="s">
        <v>1969</v>
      </c>
      <c r="B1874" s="3">
        <v>45566</v>
      </c>
      <c r="C1874" t="s">
        <v>20</v>
      </c>
      <c r="D1874" t="s">
        <v>87</v>
      </c>
      <c r="E1874" t="s">
        <v>17</v>
      </c>
      <c r="F1874" t="s">
        <v>27</v>
      </c>
      <c r="G1874" t="s">
        <v>23</v>
      </c>
      <c r="H1874">
        <v>19</v>
      </c>
    </row>
    <row r="1875" spans="1:8" ht="21.75" customHeight="1" x14ac:dyDescent="0.35">
      <c r="A1875" t="s">
        <v>1970</v>
      </c>
      <c r="B1875" s="3">
        <v>45311</v>
      </c>
      <c r="C1875" t="s">
        <v>235</v>
      </c>
      <c r="D1875" t="s">
        <v>26</v>
      </c>
      <c r="E1875" t="s">
        <v>17</v>
      </c>
      <c r="F1875" t="s">
        <v>56</v>
      </c>
      <c r="G1875" t="s">
        <v>36</v>
      </c>
      <c r="H1875">
        <v>20</v>
      </c>
    </row>
    <row r="1876" spans="1:8" ht="21.75" customHeight="1" x14ac:dyDescent="0.35">
      <c r="A1876" t="s">
        <v>1971</v>
      </c>
      <c r="B1876" s="3">
        <v>45497</v>
      </c>
      <c r="C1876" t="s">
        <v>122</v>
      </c>
      <c r="D1876" t="s">
        <v>31</v>
      </c>
      <c r="E1876" t="s">
        <v>17</v>
      </c>
      <c r="F1876" t="s">
        <v>56</v>
      </c>
      <c r="G1876" t="s">
        <v>13</v>
      </c>
      <c r="H1876">
        <v>16</v>
      </c>
    </row>
    <row r="1877" spans="1:8" ht="21.75" customHeight="1" x14ac:dyDescent="0.35">
      <c r="A1877" t="s">
        <v>1972</v>
      </c>
      <c r="B1877" s="3">
        <v>45482</v>
      </c>
      <c r="C1877" t="s">
        <v>138</v>
      </c>
      <c r="D1877" t="s">
        <v>72</v>
      </c>
      <c r="E1877" t="s">
        <v>17</v>
      </c>
      <c r="F1877" t="s">
        <v>42</v>
      </c>
      <c r="G1877" t="s">
        <v>32</v>
      </c>
      <c r="H1877">
        <v>16</v>
      </c>
    </row>
    <row r="1878" spans="1:8" ht="21.75" customHeight="1" x14ac:dyDescent="0.35">
      <c r="A1878" t="s">
        <v>1973</v>
      </c>
      <c r="B1878" s="3">
        <v>45642</v>
      </c>
      <c r="C1878" t="s">
        <v>108</v>
      </c>
      <c r="D1878" t="s">
        <v>197</v>
      </c>
      <c r="E1878" t="s">
        <v>11</v>
      </c>
      <c r="F1878" t="s">
        <v>42</v>
      </c>
      <c r="G1878" t="s">
        <v>23</v>
      </c>
      <c r="H1878">
        <v>11</v>
      </c>
    </row>
    <row r="1879" spans="1:8" ht="21.75" customHeight="1" x14ac:dyDescent="0.35">
      <c r="A1879" t="s">
        <v>1974</v>
      </c>
      <c r="B1879" s="3">
        <v>45505</v>
      </c>
      <c r="C1879" t="s">
        <v>493</v>
      </c>
      <c r="D1879" t="s">
        <v>21</v>
      </c>
      <c r="E1879" t="s">
        <v>11</v>
      </c>
      <c r="F1879" t="s">
        <v>56</v>
      </c>
      <c r="G1879" t="s">
        <v>23</v>
      </c>
      <c r="H1879">
        <v>7</v>
      </c>
    </row>
    <row r="1880" spans="1:8" ht="21.75" customHeight="1" x14ac:dyDescent="0.35">
      <c r="A1880" t="s">
        <v>1975</v>
      </c>
      <c r="B1880" s="3">
        <v>45500</v>
      </c>
      <c r="C1880" t="s">
        <v>304</v>
      </c>
      <c r="D1880" t="s">
        <v>35</v>
      </c>
      <c r="E1880" t="s">
        <v>22</v>
      </c>
      <c r="F1880" t="s">
        <v>42</v>
      </c>
      <c r="G1880" t="s">
        <v>13</v>
      </c>
      <c r="H1880">
        <v>17</v>
      </c>
    </row>
    <row r="1881" spans="1:8" ht="21.75" customHeight="1" x14ac:dyDescent="0.35">
      <c r="A1881" t="s">
        <v>1976</v>
      </c>
      <c r="B1881" s="3">
        <v>45325</v>
      </c>
      <c r="C1881" t="s">
        <v>147</v>
      </c>
      <c r="D1881" t="s">
        <v>62</v>
      </c>
      <c r="E1881" t="s">
        <v>22</v>
      </c>
      <c r="F1881" t="s">
        <v>27</v>
      </c>
      <c r="G1881" t="s">
        <v>28</v>
      </c>
      <c r="H1881">
        <v>17</v>
      </c>
    </row>
    <row r="1882" spans="1:8" ht="21.75" customHeight="1" x14ac:dyDescent="0.35">
      <c r="A1882" t="s">
        <v>1977</v>
      </c>
      <c r="B1882" s="3">
        <v>45306</v>
      </c>
      <c r="C1882" t="s">
        <v>235</v>
      </c>
      <c r="D1882" t="s">
        <v>65</v>
      </c>
      <c r="E1882" t="s">
        <v>11</v>
      </c>
      <c r="F1882" t="s">
        <v>12</v>
      </c>
      <c r="G1882" t="s">
        <v>28</v>
      </c>
      <c r="H1882">
        <v>2</v>
      </c>
    </row>
    <row r="1883" spans="1:8" ht="21.75" customHeight="1" x14ac:dyDescent="0.35">
      <c r="A1883" t="s">
        <v>1978</v>
      </c>
      <c r="B1883" s="3">
        <v>45476</v>
      </c>
      <c r="C1883" t="s">
        <v>369</v>
      </c>
      <c r="D1883" t="s">
        <v>65</v>
      </c>
      <c r="E1883" t="s">
        <v>17</v>
      </c>
      <c r="F1883" t="s">
        <v>42</v>
      </c>
      <c r="G1883" t="s">
        <v>23</v>
      </c>
      <c r="H1883">
        <v>17</v>
      </c>
    </row>
    <row r="1884" spans="1:8" ht="21.75" customHeight="1" x14ac:dyDescent="0.35">
      <c r="A1884" t="s">
        <v>1979</v>
      </c>
      <c r="B1884" s="3">
        <v>45355</v>
      </c>
      <c r="C1884" t="s">
        <v>455</v>
      </c>
      <c r="D1884" t="s">
        <v>96</v>
      </c>
      <c r="E1884" t="s">
        <v>11</v>
      </c>
      <c r="F1884" t="s">
        <v>42</v>
      </c>
      <c r="G1884" t="s">
        <v>23</v>
      </c>
      <c r="H1884">
        <v>20</v>
      </c>
    </row>
    <row r="1885" spans="1:8" ht="21.75" customHeight="1" x14ac:dyDescent="0.35">
      <c r="A1885" t="s">
        <v>1980</v>
      </c>
      <c r="B1885" s="3">
        <v>45534</v>
      </c>
      <c r="C1885" t="s">
        <v>449</v>
      </c>
      <c r="D1885" t="s">
        <v>174</v>
      </c>
      <c r="E1885" t="s">
        <v>17</v>
      </c>
      <c r="F1885" t="s">
        <v>42</v>
      </c>
      <c r="G1885" t="s">
        <v>28</v>
      </c>
      <c r="H1885">
        <v>9</v>
      </c>
    </row>
    <row r="1886" spans="1:8" ht="21.75" customHeight="1" x14ac:dyDescent="0.35">
      <c r="A1886" t="s">
        <v>1981</v>
      </c>
      <c r="B1886" s="3">
        <v>45644</v>
      </c>
      <c r="C1886" t="s">
        <v>203</v>
      </c>
      <c r="D1886" t="s">
        <v>74</v>
      </c>
      <c r="E1886" t="s">
        <v>11</v>
      </c>
      <c r="F1886" t="s">
        <v>27</v>
      </c>
      <c r="G1886" t="s">
        <v>13</v>
      </c>
      <c r="H1886">
        <v>6</v>
      </c>
    </row>
    <row r="1887" spans="1:8" ht="21.75" customHeight="1" x14ac:dyDescent="0.35">
      <c r="A1887" t="s">
        <v>1982</v>
      </c>
      <c r="B1887" s="3">
        <v>45401</v>
      </c>
      <c r="C1887" t="s">
        <v>240</v>
      </c>
      <c r="D1887" t="s">
        <v>21</v>
      </c>
      <c r="E1887" t="s">
        <v>11</v>
      </c>
      <c r="F1887" t="s">
        <v>56</v>
      </c>
      <c r="G1887" t="s">
        <v>32</v>
      </c>
      <c r="H1887">
        <v>14</v>
      </c>
    </row>
    <row r="1888" spans="1:8" ht="21.75" customHeight="1" x14ac:dyDescent="0.35">
      <c r="A1888" t="s">
        <v>1983</v>
      </c>
      <c r="B1888" s="3">
        <v>45641</v>
      </c>
      <c r="C1888" t="s">
        <v>142</v>
      </c>
      <c r="D1888" t="s">
        <v>35</v>
      </c>
      <c r="E1888" t="s">
        <v>11</v>
      </c>
      <c r="F1888" t="s">
        <v>56</v>
      </c>
      <c r="G1888" t="s">
        <v>36</v>
      </c>
      <c r="H1888">
        <v>1</v>
      </c>
    </row>
    <row r="1889" spans="1:8" ht="21.75" customHeight="1" x14ac:dyDescent="0.35">
      <c r="A1889" t="s">
        <v>1984</v>
      </c>
      <c r="B1889" s="3">
        <v>45603</v>
      </c>
      <c r="C1889" t="s">
        <v>147</v>
      </c>
      <c r="D1889" t="s">
        <v>62</v>
      </c>
      <c r="E1889" t="s">
        <v>22</v>
      </c>
      <c r="F1889" t="s">
        <v>42</v>
      </c>
      <c r="G1889" t="s">
        <v>23</v>
      </c>
      <c r="H1889">
        <v>13</v>
      </c>
    </row>
    <row r="1890" spans="1:8" ht="21.75" customHeight="1" x14ac:dyDescent="0.35">
      <c r="A1890" t="s">
        <v>1985</v>
      </c>
      <c r="B1890" s="3">
        <v>45527</v>
      </c>
      <c r="C1890" t="s">
        <v>230</v>
      </c>
      <c r="D1890" t="s">
        <v>65</v>
      </c>
      <c r="E1890" t="s">
        <v>17</v>
      </c>
      <c r="F1890" t="s">
        <v>42</v>
      </c>
      <c r="G1890" t="s">
        <v>36</v>
      </c>
      <c r="H1890">
        <v>20</v>
      </c>
    </row>
    <row r="1891" spans="1:8" ht="21.75" customHeight="1" x14ac:dyDescent="0.35">
      <c r="A1891" t="s">
        <v>1986</v>
      </c>
      <c r="B1891" s="3">
        <v>45344</v>
      </c>
      <c r="C1891" t="s">
        <v>25</v>
      </c>
      <c r="D1891" t="s">
        <v>160</v>
      </c>
      <c r="E1891" t="s">
        <v>22</v>
      </c>
      <c r="F1891" t="s">
        <v>42</v>
      </c>
      <c r="G1891" t="s">
        <v>36</v>
      </c>
      <c r="H1891">
        <v>20</v>
      </c>
    </row>
    <row r="1892" spans="1:8" ht="21.75" customHeight="1" x14ac:dyDescent="0.35">
      <c r="A1892" t="s">
        <v>1987</v>
      </c>
      <c r="B1892" s="3">
        <v>45444</v>
      </c>
      <c r="C1892" t="s">
        <v>455</v>
      </c>
      <c r="D1892" t="s">
        <v>102</v>
      </c>
      <c r="E1892" t="s">
        <v>17</v>
      </c>
      <c r="F1892" t="s">
        <v>12</v>
      </c>
      <c r="G1892" t="s">
        <v>32</v>
      </c>
      <c r="H1892">
        <v>9</v>
      </c>
    </row>
    <row r="1893" spans="1:8" ht="21.75" customHeight="1" x14ac:dyDescent="0.35">
      <c r="A1893" t="s">
        <v>1988</v>
      </c>
      <c r="B1893" s="3">
        <v>45433</v>
      </c>
      <c r="C1893" t="s">
        <v>86</v>
      </c>
      <c r="D1893" t="s">
        <v>21</v>
      </c>
      <c r="E1893" t="s">
        <v>22</v>
      </c>
      <c r="F1893" t="s">
        <v>42</v>
      </c>
      <c r="G1893" t="s">
        <v>28</v>
      </c>
      <c r="H1893">
        <v>5</v>
      </c>
    </row>
    <row r="1894" spans="1:8" ht="21.75" customHeight="1" x14ac:dyDescent="0.35">
      <c r="A1894" t="s">
        <v>1989</v>
      </c>
      <c r="B1894" s="3">
        <v>45415</v>
      </c>
      <c r="C1894" t="s">
        <v>131</v>
      </c>
      <c r="D1894" t="s">
        <v>109</v>
      </c>
      <c r="E1894" t="s">
        <v>17</v>
      </c>
      <c r="F1894" t="s">
        <v>42</v>
      </c>
      <c r="G1894" t="s">
        <v>28</v>
      </c>
      <c r="H1894">
        <v>1</v>
      </c>
    </row>
    <row r="1895" spans="1:8" ht="21.75" customHeight="1" x14ac:dyDescent="0.35">
      <c r="A1895" t="s">
        <v>1990</v>
      </c>
      <c r="B1895" s="3">
        <v>45443</v>
      </c>
      <c r="C1895" t="s">
        <v>86</v>
      </c>
      <c r="D1895" t="s">
        <v>87</v>
      </c>
      <c r="E1895" t="s">
        <v>17</v>
      </c>
      <c r="F1895" t="s">
        <v>27</v>
      </c>
      <c r="G1895" t="s">
        <v>13</v>
      </c>
      <c r="H1895">
        <v>19</v>
      </c>
    </row>
    <row r="1896" spans="1:8" ht="21.75" customHeight="1" x14ac:dyDescent="0.35">
      <c r="A1896" t="s">
        <v>1991</v>
      </c>
      <c r="B1896" s="3">
        <v>45584</v>
      </c>
      <c r="C1896" t="s">
        <v>150</v>
      </c>
      <c r="D1896" t="s">
        <v>72</v>
      </c>
      <c r="E1896" t="s">
        <v>22</v>
      </c>
      <c r="F1896" t="s">
        <v>56</v>
      </c>
      <c r="G1896" t="s">
        <v>36</v>
      </c>
      <c r="H1896">
        <v>16</v>
      </c>
    </row>
    <row r="1897" spans="1:8" ht="21.75" customHeight="1" x14ac:dyDescent="0.35">
      <c r="A1897" t="s">
        <v>1992</v>
      </c>
      <c r="B1897" s="3">
        <v>45635</v>
      </c>
      <c r="C1897" t="s">
        <v>182</v>
      </c>
      <c r="D1897" t="s">
        <v>160</v>
      </c>
      <c r="E1897" t="s">
        <v>17</v>
      </c>
      <c r="F1897" t="s">
        <v>56</v>
      </c>
      <c r="G1897" t="s">
        <v>36</v>
      </c>
      <c r="H1897">
        <v>6</v>
      </c>
    </row>
    <row r="1898" spans="1:8" ht="21.75" customHeight="1" x14ac:dyDescent="0.35">
      <c r="A1898" t="s">
        <v>1993</v>
      </c>
      <c r="B1898" s="3">
        <v>45533</v>
      </c>
      <c r="C1898" t="s">
        <v>34</v>
      </c>
      <c r="D1898" t="s">
        <v>84</v>
      </c>
      <c r="E1898" t="s">
        <v>17</v>
      </c>
      <c r="F1898" t="s">
        <v>306</v>
      </c>
      <c r="G1898" t="s">
        <v>28</v>
      </c>
      <c r="H1898">
        <v>11</v>
      </c>
    </row>
    <row r="1899" spans="1:8" ht="21.75" customHeight="1" x14ac:dyDescent="0.35">
      <c r="A1899" t="s">
        <v>1994</v>
      </c>
      <c r="B1899" s="3">
        <v>45405</v>
      </c>
      <c r="C1899" t="s">
        <v>182</v>
      </c>
      <c r="D1899" t="s">
        <v>197</v>
      </c>
      <c r="E1899" t="s">
        <v>22</v>
      </c>
      <c r="F1899" t="s">
        <v>42</v>
      </c>
      <c r="G1899" t="s">
        <v>23</v>
      </c>
      <c r="H1899">
        <v>11</v>
      </c>
    </row>
    <row r="1900" spans="1:8" ht="21.75" customHeight="1" x14ac:dyDescent="0.35">
      <c r="A1900" t="s">
        <v>1995</v>
      </c>
      <c r="B1900" s="3">
        <v>45591</v>
      </c>
      <c r="C1900" t="s">
        <v>61</v>
      </c>
      <c r="D1900" t="s">
        <v>70</v>
      </c>
      <c r="E1900" t="s">
        <v>11</v>
      </c>
      <c r="F1900" t="s">
        <v>27</v>
      </c>
      <c r="G1900" t="s">
        <v>13</v>
      </c>
      <c r="H1900">
        <v>19</v>
      </c>
    </row>
    <row r="1901" spans="1:8" ht="21.75" customHeight="1" x14ac:dyDescent="0.35">
      <c r="A1901" t="s">
        <v>1996</v>
      </c>
      <c r="B1901" s="3">
        <v>45609</v>
      </c>
      <c r="C1901" t="s">
        <v>208</v>
      </c>
      <c r="D1901" t="s">
        <v>35</v>
      </c>
      <c r="E1901" t="s">
        <v>11</v>
      </c>
      <c r="F1901" t="s">
        <v>306</v>
      </c>
      <c r="G1901" t="s">
        <v>13</v>
      </c>
      <c r="H1901">
        <v>13</v>
      </c>
    </row>
    <row r="1902" spans="1:8" ht="21.75" customHeight="1" x14ac:dyDescent="0.35">
      <c r="A1902" t="s">
        <v>1997</v>
      </c>
      <c r="B1902" s="3">
        <v>45503</v>
      </c>
      <c r="C1902" t="s">
        <v>9</v>
      </c>
      <c r="D1902" t="s">
        <v>16</v>
      </c>
      <c r="E1902" t="s">
        <v>11</v>
      </c>
      <c r="F1902" t="s">
        <v>56</v>
      </c>
      <c r="G1902" t="s">
        <v>32</v>
      </c>
      <c r="H1902">
        <v>14</v>
      </c>
    </row>
    <row r="1903" spans="1:8" ht="21.75" customHeight="1" x14ac:dyDescent="0.35">
      <c r="A1903" t="s">
        <v>1998</v>
      </c>
      <c r="B1903" s="3">
        <v>45526</v>
      </c>
      <c r="C1903" t="s">
        <v>167</v>
      </c>
      <c r="D1903" t="s">
        <v>72</v>
      </c>
      <c r="E1903" t="s">
        <v>22</v>
      </c>
      <c r="F1903" t="s">
        <v>56</v>
      </c>
      <c r="G1903" t="s">
        <v>13</v>
      </c>
      <c r="H1903">
        <v>16</v>
      </c>
    </row>
    <row r="1904" spans="1:8" ht="21.75" customHeight="1" x14ac:dyDescent="0.35">
      <c r="A1904" t="s">
        <v>1999</v>
      </c>
      <c r="B1904" s="3">
        <v>45382</v>
      </c>
      <c r="C1904" t="s">
        <v>38</v>
      </c>
      <c r="D1904" t="s">
        <v>21</v>
      </c>
      <c r="E1904" t="s">
        <v>11</v>
      </c>
      <c r="F1904" t="s">
        <v>12</v>
      </c>
      <c r="G1904" t="s">
        <v>23</v>
      </c>
      <c r="H1904">
        <v>9</v>
      </c>
    </row>
    <row r="1905" spans="1:8" ht="21.75" customHeight="1" x14ac:dyDescent="0.35">
      <c r="A1905" t="s">
        <v>2000</v>
      </c>
      <c r="B1905" s="3">
        <v>45378</v>
      </c>
      <c r="C1905" t="s">
        <v>314</v>
      </c>
      <c r="D1905" t="s">
        <v>119</v>
      </c>
      <c r="E1905" t="s">
        <v>11</v>
      </c>
      <c r="F1905" t="s">
        <v>27</v>
      </c>
      <c r="G1905" t="s">
        <v>13</v>
      </c>
      <c r="H1905">
        <v>5</v>
      </c>
    </row>
    <row r="1906" spans="1:8" ht="21.75" customHeight="1" x14ac:dyDescent="0.35">
      <c r="A1906" t="s">
        <v>2001</v>
      </c>
      <c r="B1906" s="3">
        <v>45616</v>
      </c>
      <c r="C1906" t="s">
        <v>309</v>
      </c>
      <c r="D1906" t="s">
        <v>31</v>
      </c>
      <c r="E1906" t="s">
        <v>17</v>
      </c>
      <c r="F1906" t="s">
        <v>27</v>
      </c>
      <c r="G1906" t="s">
        <v>23</v>
      </c>
      <c r="H1906">
        <v>1</v>
      </c>
    </row>
    <row r="1907" spans="1:8" ht="21.75" customHeight="1" x14ac:dyDescent="0.35">
      <c r="A1907" t="s">
        <v>2002</v>
      </c>
      <c r="B1907" s="3">
        <v>45394</v>
      </c>
      <c r="C1907" t="s">
        <v>388</v>
      </c>
      <c r="D1907" t="s">
        <v>48</v>
      </c>
      <c r="E1907" t="s">
        <v>11</v>
      </c>
      <c r="F1907" t="s">
        <v>42</v>
      </c>
      <c r="G1907" t="s">
        <v>36</v>
      </c>
      <c r="H1907">
        <v>7</v>
      </c>
    </row>
    <row r="1908" spans="1:8" ht="21.75" customHeight="1" x14ac:dyDescent="0.35">
      <c r="A1908" t="s">
        <v>2003</v>
      </c>
      <c r="B1908" s="3">
        <v>45294</v>
      </c>
      <c r="C1908" t="s">
        <v>451</v>
      </c>
      <c r="D1908" t="s">
        <v>84</v>
      </c>
      <c r="E1908" t="s">
        <v>11</v>
      </c>
      <c r="F1908" t="s">
        <v>56</v>
      </c>
      <c r="G1908" t="s">
        <v>32</v>
      </c>
      <c r="H1908">
        <v>10</v>
      </c>
    </row>
    <row r="1909" spans="1:8" ht="21.75" customHeight="1" x14ac:dyDescent="0.35">
      <c r="A1909" t="s">
        <v>2004</v>
      </c>
      <c r="B1909" s="3">
        <v>45488</v>
      </c>
      <c r="C1909" t="s">
        <v>358</v>
      </c>
      <c r="D1909" t="s">
        <v>59</v>
      </c>
      <c r="E1909" t="s">
        <v>17</v>
      </c>
      <c r="F1909" t="s">
        <v>56</v>
      </c>
      <c r="G1909" t="s">
        <v>13</v>
      </c>
      <c r="H1909">
        <v>2</v>
      </c>
    </row>
    <row r="1910" spans="1:8" ht="21.75" customHeight="1" x14ac:dyDescent="0.35">
      <c r="A1910" t="s">
        <v>2005</v>
      </c>
      <c r="B1910" s="3">
        <v>45440</v>
      </c>
      <c r="C1910" t="s">
        <v>366</v>
      </c>
      <c r="D1910" t="s">
        <v>84</v>
      </c>
      <c r="E1910" t="s">
        <v>22</v>
      </c>
      <c r="F1910" t="s">
        <v>306</v>
      </c>
      <c r="G1910" t="s">
        <v>36</v>
      </c>
      <c r="H1910">
        <v>11</v>
      </c>
    </row>
    <row r="1911" spans="1:8" ht="21.75" customHeight="1" x14ac:dyDescent="0.35">
      <c r="A1911" t="s">
        <v>2006</v>
      </c>
      <c r="B1911" s="3">
        <v>45643</v>
      </c>
      <c r="C1911" t="s">
        <v>99</v>
      </c>
      <c r="D1911" t="s">
        <v>72</v>
      </c>
      <c r="E1911" t="s">
        <v>17</v>
      </c>
      <c r="F1911" t="s">
        <v>42</v>
      </c>
      <c r="G1911" t="s">
        <v>28</v>
      </c>
      <c r="H1911">
        <v>6</v>
      </c>
    </row>
    <row r="1912" spans="1:8" ht="21.75" customHeight="1" x14ac:dyDescent="0.35">
      <c r="A1912" t="s">
        <v>2007</v>
      </c>
      <c r="B1912" s="3">
        <v>45498</v>
      </c>
      <c r="C1912" t="s">
        <v>138</v>
      </c>
      <c r="D1912" t="s">
        <v>197</v>
      </c>
      <c r="E1912" t="s">
        <v>11</v>
      </c>
      <c r="F1912" t="s">
        <v>56</v>
      </c>
      <c r="G1912" t="s">
        <v>28</v>
      </c>
      <c r="H1912">
        <v>1</v>
      </c>
    </row>
    <row r="1913" spans="1:8" ht="21.75" customHeight="1" x14ac:dyDescent="0.35">
      <c r="A1913" t="s">
        <v>2008</v>
      </c>
      <c r="B1913" s="3">
        <v>45378</v>
      </c>
      <c r="C1913" t="s">
        <v>114</v>
      </c>
      <c r="D1913" t="s">
        <v>48</v>
      </c>
      <c r="E1913" t="s">
        <v>22</v>
      </c>
      <c r="F1913" t="s">
        <v>12</v>
      </c>
      <c r="G1913" t="s">
        <v>23</v>
      </c>
      <c r="H1913">
        <v>9</v>
      </c>
    </row>
    <row r="1914" spans="1:8" ht="21.75" customHeight="1" x14ac:dyDescent="0.35">
      <c r="A1914" t="s">
        <v>2009</v>
      </c>
      <c r="B1914" s="3">
        <v>45611</v>
      </c>
      <c r="C1914" t="s">
        <v>9</v>
      </c>
      <c r="D1914" t="s">
        <v>109</v>
      </c>
      <c r="E1914" t="s">
        <v>11</v>
      </c>
      <c r="F1914" t="s">
        <v>12</v>
      </c>
      <c r="G1914" t="s">
        <v>13</v>
      </c>
      <c r="H1914">
        <v>2</v>
      </c>
    </row>
    <row r="1915" spans="1:8" ht="21.75" customHeight="1" x14ac:dyDescent="0.35">
      <c r="A1915" t="s">
        <v>2010</v>
      </c>
      <c r="B1915" s="3">
        <v>45505</v>
      </c>
      <c r="C1915" t="s">
        <v>396</v>
      </c>
      <c r="D1915" t="s">
        <v>31</v>
      </c>
      <c r="E1915" t="s">
        <v>11</v>
      </c>
      <c r="F1915" t="s">
        <v>306</v>
      </c>
      <c r="G1915" t="s">
        <v>32</v>
      </c>
      <c r="H1915">
        <v>16</v>
      </c>
    </row>
    <row r="1916" spans="1:8" ht="21.75" customHeight="1" x14ac:dyDescent="0.35">
      <c r="A1916" t="s">
        <v>2011</v>
      </c>
      <c r="B1916" s="3">
        <v>45397</v>
      </c>
      <c r="C1916" t="s">
        <v>465</v>
      </c>
      <c r="D1916" t="s">
        <v>41</v>
      </c>
      <c r="E1916" t="s">
        <v>22</v>
      </c>
      <c r="F1916" t="s">
        <v>12</v>
      </c>
      <c r="G1916" t="s">
        <v>32</v>
      </c>
      <c r="H1916">
        <v>14</v>
      </c>
    </row>
    <row r="1917" spans="1:8" ht="21.75" customHeight="1" x14ac:dyDescent="0.35">
      <c r="A1917" t="s">
        <v>2012</v>
      </c>
      <c r="B1917" s="3">
        <v>45631</v>
      </c>
      <c r="C1917" t="s">
        <v>363</v>
      </c>
      <c r="D1917" t="s">
        <v>26</v>
      </c>
      <c r="E1917" t="s">
        <v>22</v>
      </c>
      <c r="F1917" t="s">
        <v>306</v>
      </c>
      <c r="G1917" t="s">
        <v>28</v>
      </c>
      <c r="H1917">
        <v>14</v>
      </c>
    </row>
    <row r="1918" spans="1:8" ht="21.75" customHeight="1" x14ac:dyDescent="0.35">
      <c r="A1918" t="s">
        <v>2013</v>
      </c>
      <c r="B1918" s="3">
        <v>45345</v>
      </c>
      <c r="C1918" t="s">
        <v>345</v>
      </c>
      <c r="D1918" t="s">
        <v>84</v>
      </c>
      <c r="E1918" t="s">
        <v>22</v>
      </c>
      <c r="F1918" t="s">
        <v>12</v>
      </c>
      <c r="G1918" t="s">
        <v>32</v>
      </c>
      <c r="H1918">
        <v>4</v>
      </c>
    </row>
    <row r="1919" spans="1:8" ht="21.75" customHeight="1" x14ac:dyDescent="0.35">
      <c r="A1919" t="s">
        <v>2014</v>
      </c>
      <c r="B1919" s="3">
        <v>45546</v>
      </c>
      <c r="C1919" t="s">
        <v>104</v>
      </c>
      <c r="D1919" t="s">
        <v>109</v>
      </c>
      <c r="E1919" t="s">
        <v>11</v>
      </c>
      <c r="F1919" t="s">
        <v>42</v>
      </c>
      <c r="G1919" t="s">
        <v>36</v>
      </c>
      <c r="H1919">
        <v>7</v>
      </c>
    </row>
    <row r="1920" spans="1:8" ht="21.75" customHeight="1" x14ac:dyDescent="0.35">
      <c r="A1920" t="s">
        <v>2015</v>
      </c>
      <c r="B1920" s="3">
        <v>45501</v>
      </c>
      <c r="C1920" t="s">
        <v>61</v>
      </c>
      <c r="D1920" t="s">
        <v>45</v>
      </c>
      <c r="E1920" t="s">
        <v>11</v>
      </c>
      <c r="F1920" t="s">
        <v>306</v>
      </c>
      <c r="G1920" t="s">
        <v>23</v>
      </c>
      <c r="H1920">
        <v>7</v>
      </c>
    </row>
    <row r="1921" spans="1:8" ht="21.75" customHeight="1" x14ac:dyDescent="0.35">
      <c r="A1921" t="s">
        <v>2016</v>
      </c>
      <c r="B1921" s="3">
        <v>45538</v>
      </c>
      <c r="C1921" t="s">
        <v>118</v>
      </c>
      <c r="D1921" t="s">
        <v>197</v>
      </c>
      <c r="E1921" t="s">
        <v>11</v>
      </c>
      <c r="F1921" t="s">
        <v>12</v>
      </c>
      <c r="G1921" t="s">
        <v>13</v>
      </c>
      <c r="H1921">
        <v>4</v>
      </c>
    </row>
    <row r="1922" spans="1:8" ht="21.75" customHeight="1" x14ac:dyDescent="0.35">
      <c r="A1922" t="s">
        <v>2017</v>
      </c>
      <c r="B1922" s="3">
        <v>45634</v>
      </c>
      <c r="C1922" t="s">
        <v>432</v>
      </c>
      <c r="D1922" t="s">
        <v>16</v>
      </c>
      <c r="E1922" t="s">
        <v>11</v>
      </c>
      <c r="F1922" t="s">
        <v>306</v>
      </c>
      <c r="G1922" t="s">
        <v>13</v>
      </c>
      <c r="H1922">
        <v>4</v>
      </c>
    </row>
    <row r="1923" spans="1:8" ht="21.75" customHeight="1" x14ac:dyDescent="0.35">
      <c r="A1923" t="s">
        <v>2018</v>
      </c>
      <c r="B1923" s="3">
        <v>45621</v>
      </c>
      <c r="C1923" t="s">
        <v>51</v>
      </c>
      <c r="D1923" t="s">
        <v>70</v>
      </c>
      <c r="E1923" t="s">
        <v>17</v>
      </c>
      <c r="F1923" t="s">
        <v>42</v>
      </c>
      <c r="G1923" t="s">
        <v>23</v>
      </c>
      <c r="H1923">
        <v>2</v>
      </c>
    </row>
    <row r="1924" spans="1:8" ht="21.75" customHeight="1" x14ac:dyDescent="0.35">
      <c r="A1924" t="s">
        <v>2019</v>
      </c>
      <c r="B1924" s="3">
        <v>45381</v>
      </c>
      <c r="C1924" t="s">
        <v>116</v>
      </c>
      <c r="D1924" t="s">
        <v>74</v>
      </c>
      <c r="E1924" t="s">
        <v>17</v>
      </c>
      <c r="F1924" t="s">
        <v>42</v>
      </c>
      <c r="G1924" t="s">
        <v>23</v>
      </c>
      <c r="H1924">
        <v>4</v>
      </c>
    </row>
    <row r="1925" spans="1:8" ht="21.75" customHeight="1" x14ac:dyDescent="0.35">
      <c r="A1925" t="s">
        <v>2020</v>
      </c>
      <c r="B1925" s="3">
        <v>45315</v>
      </c>
      <c r="C1925" t="s">
        <v>142</v>
      </c>
      <c r="D1925" t="s">
        <v>16</v>
      </c>
      <c r="E1925" t="s">
        <v>22</v>
      </c>
      <c r="F1925" t="s">
        <v>56</v>
      </c>
      <c r="G1925" t="s">
        <v>32</v>
      </c>
      <c r="H1925">
        <v>12</v>
      </c>
    </row>
    <row r="1926" spans="1:8" ht="21.75" customHeight="1" x14ac:dyDescent="0.35">
      <c r="A1926" t="s">
        <v>2021</v>
      </c>
      <c r="B1926" s="3">
        <v>45610</v>
      </c>
      <c r="C1926" t="s">
        <v>101</v>
      </c>
      <c r="D1926" t="s">
        <v>84</v>
      </c>
      <c r="E1926" t="s">
        <v>11</v>
      </c>
      <c r="F1926" t="s">
        <v>42</v>
      </c>
      <c r="G1926" t="s">
        <v>32</v>
      </c>
      <c r="H1926">
        <v>6</v>
      </c>
    </row>
    <row r="1927" spans="1:8" ht="21.75" customHeight="1" x14ac:dyDescent="0.35">
      <c r="A1927" t="s">
        <v>2022</v>
      </c>
      <c r="B1927" s="3">
        <v>45496</v>
      </c>
      <c r="C1927" t="s">
        <v>366</v>
      </c>
      <c r="D1927" t="s">
        <v>26</v>
      </c>
      <c r="E1927" t="s">
        <v>17</v>
      </c>
      <c r="F1927" t="s">
        <v>27</v>
      </c>
      <c r="G1927" t="s">
        <v>23</v>
      </c>
      <c r="H1927">
        <v>6</v>
      </c>
    </row>
    <row r="1928" spans="1:8" ht="21.75" customHeight="1" x14ac:dyDescent="0.35">
      <c r="A1928" t="s">
        <v>2023</v>
      </c>
      <c r="B1928" s="3">
        <v>45648</v>
      </c>
      <c r="C1928" t="s">
        <v>329</v>
      </c>
      <c r="D1928" t="s">
        <v>79</v>
      </c>
      <c r="E1928" t="s">
        <v>11</v>
      </c>
      <c r="F1928" t="s">
        <v>12</v>
      </c>
      <c r="G1928" t="s">
        <v>23</v>
      </c>
      <c r="H1928">
        <v>19</v>
      </c>
    </row>
    <row r="1929" spans="1:8" ht="21.75" customHeight="1" x14ac:dyDescent="0.35">
      <c r="A1929" t="s">
        <v>2024</v>
      </c>
      <c r="B1929" s="3">
        <v>45583</v>
      </c>
      <c r="C1929" t="s">
        <v>422</v>
      </c>
      <c r="D1929" t="s">
        <v>70</v>
      </c>
      <c r="E1929" t="s">
        <v>11</v>
      </c>
      <c r="F1929" t="s">
        <v>306</v>
      </c>
      <c r="G1929" t="s">
        <v>23</v>
      </c>
      <c r="H1929">
        <v>12</v>
      </c>
    </row>
    <row r="1930" spans="1:8" ht="21.75" customHeight="1" x14ac:dyDescent="0.35">
      <c r="A1930" t="s">
        <v>2025</v>
      </c>
      <c r="B1930" s="3">
        <v>45642</v>
      </c>
      <c r="C1930" t="s">
        <v>388</v>
      </c>
      <c r="D1930" t="s">
        <v>16</v>
      </c>
      <c r="E1930" t="s">
        <v>17</v>
      </c>
      <c r="F1930" t="s">
        <v>27</v>
      </c>
      <c r="G1930" t="s">
        <v>13</v>
      </c>
      <c r="H1930">
        <v>14</v>
      </c>
    </row>
    <row r="1931" spans="1:8" ht="21.75" customHeight="1" x14ac:dyDescent="0.35">
      <c r="A1931" t="s">
        <v>2026</v>
      </c>
      <c r="B1931" s="3">
        <v>45324</v>
      </c>
      <c r="C1931" t="s">
        <v>86</v>
      </c>
      <c r="D1931" t="s">
        <v>21</v>
      </c>
      <c r="E1931" t="s">
        <v>17</v>
      </c>
      <c r="F1931" t="s">
        <v>12</v>
      </c>
      <c r="G1931" t="s">
        <v>36</v>
      </c>
      <c r="H1931">
        <v>19</v>
      </c>
    </row>
    <row r="1932" spans="1:8" ht="21.75" customHeight="1" x14ac:dyDescent="0.35">
      <c r="A1932" t="s">
        <v>2027</v>
      </c>
      <c r="B1932" s="3">
        <v>45406</v>
      </c>
      <c r="C1932" t="s">
        <v>317</v>
      </c>
      <c r="D1932" t="s">
        <v>72</v>
      </c>
      <c r="E1932" t="s">
        <v>22</v>
      </c>
      <c r="F1932" t="s">
        <v>306</v>
      </c>
      <c r="G1932" t="s">
        <v>36</v>
      </c>
      <c r="H1932">
        <v>4</v>
      </c>
    </row>
    <row r="1933" spans="1:8" ht="21.75" customHeight="1" x14ac:dyDescent="0.35">
      <c r="A1933" t="s">
        <v>2028</v>
      </c>
      <c r="B1933" s="3">
        <v>45419</v>
      </c>
      <c r="C1933" t="s">
        <v>517</v>
      </c>
      <c r="D1933" t="s">
        <v>48</v>
      </c>
      <c r="E1933" t="s">
        <v>22</v>
      </c>
      <c r="F1933" t="s">
        <v>27</v>
      </c>
      <c r="G1933" t="s">
        <v>28</v>
      </c>
      <c r="H1933">
        <v>18</v>
      </c>
    </row>
    <row r="1934" spans="1:8" ht="21.75" customHeight="1" x14ac:dyDescent="0.35">
      <c r="A1934" t="s">
        <v>2029</v>
      </c>
      <c r="B1934" s="3">
        <v>45605</v>
      </c>
      <c r="C1934" t="s">
        <v>9</v>
      </c>
      <c r="D1934" t="s">
        <v>96</v>
      </c>
      <c r="E1934" t="s">
        <v>22</v>
      </c>
      <c r="F1934" t="s">
        <v>56</v>
      </c>
      <c r="G1934" t="s">
        <v>36</v>
      </c>
      <c r="H1934">
        <v>16</v>
      </c>
    </row>
    <row r="1935" spans="1:8" ht="21.75" customHeight="1" x14ac:dyDescent="0.35">
      <c r="A1935" t="s">
        <v>2030</v>
      </c>
      <c r="B1935" s="3">
        <v>45376</v>
      </c>
      <c r="C1935" t="s">
        <v>208</v>
      </c>
      <c r="D1935" t="s">
        <v>119</v>
      </c>
      <c r="E1935" t="s">
        <v>17</v>
      </c>
      <c r="F1935" t="s">
        <v>42</v>
      </c>
      <c r="G1935" t="s">
        <v>28</v>
      </c>
      <c r="H1935">
        <v>11</v>
      </c>
    </row>
    <row r="1936" spans="1:8" ht="21.75" customHeight="1" x14ac:dyDescent="0.35">
      <c r="A1936" t="s">
        <v>2031</v>
      </c>
      <c r="B1936" s="3">
        <v>45317</v>
      </c>
      <c r="C1936" t="s">
        <v>358</v>
      </c>
      <c r="D1936" t="s">
        <v>197</v>
      </c>
      <c r="E1936" t="s">
        <v>22</v>
      </c>
      <c r="F1936" t="s">
        <v>27</v>
      </c>
      <c r="G1936" t="s">
        <v>23</v>
      </c>
      <c r="H1936">
        <v>8</v>
      </c>
    </row>
    <row r="1937" spans="1:8" ht="21.75" customHeight="1" x14ac:dyDescent="0.35">
      <c r="A1937" t="s">
        <v>2032</v>
      </c>
      <c r="B1937" s="3">
        <v>45519</v>
      </c>
      <c r="C1937" t="s">
        <v>314</v>
      </c>
      <c r="D1937" t="s">
        <v>70</v>
      </c>
      <c r="E1937" t="s">
        <v>11</v>
      </c>
      <c r="F1937" t="s">
        <v>27</v>
      </c>
      <c r="G1937" t="s">
        <v>23</v>
      </c>
      <c r="H1937">
        <v>11</v>
      </c>
    </row>
    <row r="1938" spans="1:8" ht="21.75" customHeight="1" x14ac:dyDescent="0.35">
      <c r="A1938" t="s">
        <v>2033</v>
      </c>
      <c r="B1938" s="3">
        <v>45546</v>
      </c>
      <c r="C1938" t="s">
        <v>323</v>
      </c>
      <c r="D1938" t="s">
        <v>21</v>
      </c>
      <c r="E1938" t="s">
        <v>11</v>
      </c>
      <c r="F1938" t="s">
        <v>12</v>
      </c>
      <c r="G1938" t="s">
        <v>23</v>
      </c>
      <c r="H1938">
        <v>14</v>
      </c>
    </row>
    <row r="1939" spans="1:8" ht="21.75" customHeight="1" x14ac:dyDescent="0.35">
      <c r="A1939" t="s">
        <v>2034</v>
      </c>
      <c r="B1939" s="3">
        <v>45573</v>
      </c>
      <c r="C1939" t="s">
        <v>25</v>
      </c>
      <c r="D1939" t="s">
        <v>10</v>
      </c>
      <c r="E1939" t="s">
        <v>22</v>
      </c>
      <c r="F1939" t="s">
        <v>306</v>
      </c>
      <c r="G1939" t="s">
        <v>32</v>
      </c>
      <c r="H1939">
        <v>17</v>
      </c>
    </row>
    <row r="1940" spans="1:8" ht="21.75" customHeight="1" x14ac:dyDescent="0.35">
      <c r="A1940" t="s">
        <v>2035</v>
      </c>
      <c r="B1940" s="3">
        <v>45627</v>
      </c>
      <c r="C1940" t="s">
        <v>317</v>
      </c>
      <c r="D1940" t="s">
        <v>70</v>
      </c>
      <c r="E1940" t="s">
        <v>17</v>
      </c>
      <c r="F1940" t="s">
        <v>42</v>
      </c>
      <c r="G1940" t="s">
        <v>13</v>
      </c>
      <c r="H1940">
        <v>8</v>
      </c>
    </row>
    <row r="1941" spans="1:8" ht="21.75" customHeight="1" x14ac:dyDescent="0.35">
      <c r="A1941" t="s">
        <v>2036</v>
      </c>
      <c r="B1941" s="3">
        <v>45461</v>
      </c>
      <c r="C1941" t="s">
        <v>642</v>
      </c>
      <c r="D1941" t="s">
        <v>119</v>
      </c>
      <c r="E1941" t="s">
        <v>22</v>
      </c>
      <c r="F1941" t="s">
        <v>306</v>
      </c>
      <c r="G1941" t="s">
        <v>23</v>
      </c>
      <c r="H1941">
        <v>12</v>
      </c>
    </row>
    <row r="1942" spans="1:8" ht="21.75" customHeight="1" x14ac:dyDescent="0.35">
      <c r="A1942" t="s">
        <v>2037</v>
      </c>
      <c r="B1942" s="3">
        <v>45350</v>
      </c>
      <c r="C1942" t="s">
        <v>108</v>
      </c>
      <c r="D1942" t="s">
        <v>119</v>
      </c>
      <c r="E1942" t="s">
        <v>22</v>
      </c>
      <c r="F1942" t="s">
        <v>56</v>
      </c>
      <c r="G1942" t="s">
        <v>13</v>
      </c>
      <c r="H1942">
        <v>11</v>
      </c>
    </row>
    <row r="1943" spans="1:8" ht="21.75" customHeight="1" x14ac:dyDescent="0.35">
      <c r="A1943" t="s">
        <v>2038</v>
      </c>
      <c r="B1943" s="3">
        <v>45616</v>
      </c>
      <c r="C1943" t="s">
        <v>61</v>
      </c>
      <c r="D1943" t="s">
        <v>174</v>
      </c>
      <c r="E1943" t="s">
        <v>22</v>
      </c>
      <c r="F1943" t="s">
        <v>42</v>
      </c>
      <c r="G1943" t="s">
        <v>13</v>
      </c>
      <c r="H1943">
        <v>2</v>
      </c>
    </row>
    <row r="1944" spans="1:8" ht="21.75" customHeight="1" x14ac:dyDescent="0.35">
      <c r="A1944" t="s">
        <v>2039</v>
      </c>
      <c r="B1944" s="3">
        <v>45544</v>
      </c>
      <c r="C1944" t="s">
        <v>99</v>
      </c>
      <c r="D1944" t="s">
        <v>62</v>
      </c>
      <c r="E1944" t="s">
        <v>22</v>
      </c>
      <c r="F1944" t="s">
        <v>27</v>
      </c>
      <c r="G1944" t="s">
        <v>13</v>
      </c>
      <c r="H1944">
        <v>9</v>
      </c>
    </row>
    <row r="1945" spans="1:8" ht="21.75" customHeight="1" x14ac:dyDescent="0.35">
      <c r="A1945" t="s">
        <v>2040</v>
      </c>
      <c r="B1945" s="3">
        <v>45388</v>
      </c>
      <c r="C1945" t="s">
        <v>114</v>
      </c>
      <c r="D1945" t="s">
        <v>31</v>
      </c>
      <c r="E1945" t="s">
        <v>11</v>
      </c>
      <c r="F1945" t="s">
        <v>27</v>
      </c>
      <c r="G1945" t="s">
        <v>28</v>
      </c>
      <c r="H1945">
        <v>11</v>
      </c>
    </row>
    <row r="1946" spans="1:8" ht="21.75" customHeight="1" x14ac:dyDescent="0.35">
      <c r="A1946" t="s">
        <v>2041</v>
      </c>
      <c r="B1946" s="3">
        <v>45504</v>
      </c>
      <c r="C1946" t="s">
        <v>116</v>
      </c>
      <c r="D1946" t="s">
        <v>21</v>
      </c>
      <c r="E1946" t="s">
        <v>22</v>
      </c>
      <c r="F1946" t="s">
        <v>306</v>
      </c>
      <c r="G1946" t="s">
        <v>13</v>
      </c>
      <c r="H1946">
        <v>15</v>
      </c>
    </row>
    <row r="1947" spans="1:8" ht="21.75" customHeight="1" x14ac:dyDescent="0.35">
      <c r="A1947" t="s">
        <v>2042</v>
      </c>
      <c r="B1947" s="3">
        <v>45593</v>
      </c>
      <c r="C1947" t="s">
        <v>358</v>
      </c>
      <c r="D1947" t="s">
        <v>16</v>
      </c>
      <c r="E1947" t="s">
        <v>17</v>
      </c>
      <c r="F1947" t="s">
        <v>12</v>
      </c>
      <c r="G1947" t="s">
        <v>36</v>
      </c>
      <c r="H1947">
        <v>2</v>
      </c>
    </row>
    <row r="1948" spans="1:8" ht="21.75" customHeight="1" x14ac:dyDescent="0.35">
      <c r="A1948" t="s">
        <v>2043</v>
      </c>
      <c r="B1948" s="3">
        <v>45513</v>
      </c>
      <c r="C1948" t="s">
        <v>361</v>
      </c>
      <c r="D1948" t="s">
        <v>35</v>
      </c>
      <c r="E1948" t="s">
        <v>22</v>
      </c>
      <c r="F1948" t="s">
        <v>56</v>
      </c>
      <c r="G1948" t="s">
        <v>36</v>
      </c>
      <c r="H1948">
        <v>6</v>
      </c>
    </row>
    <row r="1949" spans="1:8" ht="21.75" customHeight="1" x14ac:dyDescent="0.35">
      <c r="A1949" t="s">
        <v>2044</v>
      </c>
      <c r="B1949" s="3">
        <v>45357</v>
      </c>
      <c r="C1949" t="s">
        <v>15</v>
      </c>
      <c r="D1949" t="s">
        <v>31</v>
      </c>
      <c r="E1949" t="s">
        <v>22</v>
      </c>
      <c r="F1949" t="s">
        <v>306</v>
      </c>
      <c r="G1949" t="s">
        <v>36</v>
      </c>
      <c r="H1949">
        <v>11</v>
      </c>
    </row>
    <row r="1950" spans="1:8" ht="21.75" customHeight="1" x14ac:dyDescent="0.35">
      <c r="A1950" t="s">
        <v>2045</v>
      </c>
      <c r="B1950" s="3">
        <v>45488</v>
      </c>
      <c r="C1950" t="s">
        <v>572</v>
      </c>
      <c r="D1950" t="s">
        <v>109</v>
      </c>
      <c r="E1950" t="s">
        <v>22</v>
      </c>
      <c r="F1950" t="s">
        <v>56</v>
      </c>
      <c r="G1950" t="s">
        <v>32</v>
      </c>
      <c r="H1950">
        <v>13</v>
      </c>
    </row>
    <row r="1951" spans="1:8" ht="21.75" customHeight="1" x14ac:dyDescent="0.35">
      <c r="A1951" t="s">
        <v>2046</v>
      </c>
      <c r="B1951" s="3">
        <v>45442</v>
      </c>
      <c r="C1951" t="s">
        <v>430</v>
      </c>
      <c r="D1951" t="s">
        <v>16</v>
      </c>
      <c r="E1951" t="s">
        <v>11</v>
      </c>
      <c r="F1951" t="s">
        <v>27</v>
      </c>
      <c r="G1951" t="s">
        <v>36</v>
      </c>
      <c r="H1951">
        <v>17</v>
      </c>
    </row>
    <row r="1952" spans="1:8" ht="21.75" customHeight="1" x14ac:dyDescent="0.35">
      <c r="A1952" t="s">
        <v>2047</v>
      </c>
      <c r="B1952" s="3">
        <v>45651</v>
      </c>
      <c r="C1952" t="s">
        <v>378</v>
      </c>
      <c r="D1952" t="s">
        <v>72</v>
      </c>
      <c r="E1952" t="s">
        <v>22</v>
      </c>
      <c r="F1952" t="s">
        <v>306</v>
      </c>
      <c r="G1952" t="s">
        <v>28</v>
      </c>
      <c r="H1952">
        <v>7</v>
      </c>
    </row>
    <row r="1953" spans="1:8" ht="21.75" customHeight="1" x14ac:dyDescent="0.35">
      <c r="A1953" t="s">
        <v>2048</v>
      </c>
      <c r="B1953" s="3">
        <v>45440</v>
      </c>
      <c r="C1953" t="s">
        <v>455</v>
      </c>
      <c r="D1953" t="s">
        <v>48</v>
      </c>
      <c r="E1953" t="s">
        <v>22</v>
      </c>
      <c r="F1953" t="s">
        <v>56</v>
      </c>
      <c r="G1953" t="s">
        <v>28</v>
      </c>
      <c r="H1953">
        <v>17</v>
      </c>
    </row>
    <row r="1954" spans="1:8" ht="21.75" customHeight="1" x14ac:dyDescent="0.35">
      <c r="A1954" t="s">
        <v>2049</v>
      </c>
      <c r="B1954" s="3">
        <v>45618</v>
      </c>
      <c r="C1954" t="s">
        <v>187</v>
      </c>
      <c r="D1954" t="s">
        <v>62</v>
      </c>
      <c r="E1954" t="s">
        <v>11</v>
      </c>
      <c r="F1954" t="s">
        <v>42</v>
      </c>
      <c r="G1954" t="s">
        <v>36</v>
      </c>
      <c r="H1954">
        <v>16</v>
      </c>
    </row>
    <row r="1955" spans="1:8" ht="21.75" customHeight="1" x14ac:dyDescent="0.35">
      <c r="A1955" t="s">
        <v>2050</v>
      </c>
      <c r="B1955" s="3">
        <v>45633</v>
      </c>
      <c r="C1955" t="s">
        <v>369</v>
      </c>
      <c r="D1955" t="s">
        <v>87</v>
      </c>
      <c r="E1955" t="s">
        <v>22</v>
      </c>
      <c r="F1955" t="s">
        <v>306</v>
      </c>
      <c r="G1955" t="s">
        <v>32</v>
      </c>
      <c r="H1955">
        <v>14</v>
      </c>
    </row>
    <row r="1956" spans="1:8" ht="21.75" customHeight="1" x14ac:dyDescent="0.35">
      <c r="A1956" t="s">
        <v>2051</v>
      </c>
      <c r="B1956" s="3">
        <v>45559</v>
      </c>
      <c r="C1956" t="s">
        <v>15</v>
      </c>
      <c r="D1956" t="s">
        <v>96</v>
      </c>
      <c r="E1956" t="s">
        <v>17</v>
      </c>
      <c r="F1956" t="s">
        <v>56</v>
      </c>
      <c r="G1956" t="s">
        <v>13</v>
      </c>
      <c r="H1956">
        <v>2</v>
      </c>
    </row>
    <row r="1957" spans="1:8" ht="21.75" customHeight="1" x14ac:dyDescent="0.35">
      <c r="A1957" t="s">
        <v>2052</v>
      </c>
      <c r="B1957" s="3">
        <v>45374</v>
      </c>
      <c r="C1957" t="s">
        <v>55</v>
      </c>
      <c r="D1957" t="s">
        <v>41</v>
      </c>
      <c r="E1957" t="s">
        <v>17</v>
      </c>
      <c r="F1957" t="s">
        <v>56</v>
      </c>
      <c r="G1957" t="s">
        <v>13</v>
      </c>
      <c r="H1957">
        <v>10</v>
      </c>
    </row>
    <row r="1958" spans="1:8" ht="21.75" customHeight="1" x14ac:dyDescent="0.35">
      <c r="A1958" t="s">
        <v>2053</v>
      </c>
      <c r="B1958" s="3">
        <v>45569</v>
      </c>
      <c r="C1958" t="s">
        <v>122</v>
      </c>
      <c r="D1958" t="s">
        <v>48</v>
      </c>
      <c r="E1958" t="s">
        <v>17</v>
      </c>
      <c r="F1958" t="s">
        <v>12</v>
      </c>
      <c r="G1958" t="s">
        <v>36</v>
      </c>
      <c r="H1958">
        <v>18</v>
      </c>
    </row>
    <row r="1959" spans="1:8" ht="21.75" customHeight="1" x14ac:dyDescent="0.35">
      <c r="A1959" t="s">
        <v>2054</v>
      </c>
      <c r="B1959" s="3">
        <v>45623</v>
      </c>
      <c r="C1959" t="s">
        <v>642</v>
      </c>
      <c r="D1959" t="s">
        <v>31</v>
      </c>
      <c r="E1959" t="s">
        <v>11</v>
      </c>
      <c r="F1959" t="s">
        <v>306</v>
      </c>
      <c r="G1959" t="s">
        <v>32</v>
      </c>
      <c r="H1959">
        <v>2</v>
      </c>
    </row>
    <row r="1960" spans="1:8" ht="21.75" customHeight="1" x14ac:dyDescent="0.35">
      <c r="A1960" t="s">
        <v>2055</v>
      </c>
      <c r="B1960" s="3">
        <v>45490</v>
      </c>
      <c r="C1960" t="s">
        <v>572</v>
      </c>
      <c r="D1960" t="s">
        <v>41</v>
      </c>
      <c r="E1960" t="s">
        <v>17</v>
      </c>
      <c r="F1960" t="s">
        <v>306</v>
      </c>
      <c r="G1960" t="s">
        <v>13</v>
      </c>
      <c r="H1960">
        <v>1</v>
      </c>
    </row>
    <row r="1961" spans="1:8" ht="21.75" customHeight="1" x14ac:dyDescent="0.35">
      <c r="A1961" t="s">
        <v>2056</v>
      </c>
      <c r="B1961" s="3">
        <v>45395</v>
      </c>
      <c r="C1961" t="s">
        <v>381</v>
      </c>
      <c r="D1961" t="s">
        <v>119</v>
      </c>
      <c r="E1961" t="s">
        <v>17</v>
      </c>
      <c r="F1961" t="s">
        <v>56</v>
      </c>
      <c r="G1961" t="s">
        <v>32</v>
      </c>
      <c r="H1961">
        <v>19</v>
      </c>
    </row>
    <row r="1962" spans="1:8" ht="21.75" customHeight="1" x14ac:dyDescent="0.35">
      <c r="A1962" t="s">
        <v>2057</v>
      </c>
      <c r="B1962" s="3">
        <v>45600</v>
      </c>
      <c r="C1962" t="s">
        <v>104</v>
      </c>
      <c r="D1962" t="s">
        <v>119</v>
      </c>
      <c r="E1962" t="s">
        <v>22</v>
      </c>
      <c r="F1962" t="s">
        <v>56</v>
      </c>
      <c r="G1962" t="s">
        <v>32</v>
      </c>
      <c r="H1962">
        <v>15</v>
      </c>
    </row>
    <row r="1963" spans="1:8" ht="21.75" customHeight="1" x14ac:dyDescent="0.35">
      <c r="A1963" t="s">
        <v>2058</v>
      </c>
      <c r="B1963" s="3">
        <v>45641</v>
      </c>
      <c r="C1963" t="s">
        <v>208</v>
      </c>
      <c r="D1963" t="s">
        <v>45</v>
      </c>
      <c r="E1963" t="s">
        <v>11</v>
      </c>
      <c r="F1963" t="s">
        <v>306</v>
      </c>
      <c r="G1963" t="s">
        <v>13</v>
      </c>
      <c r="H1963">
        <v>13</v>
      </c>
    </row>
    <row r="1964" spans="1:8" ht="21.75" customHeight="1" x14ac:dyDescent="0.35">
      <c r="A1964" t="s">
        <v>2059</v>
      </c>
      <c r="B1964" s="3">
        <v>45434</v>
      </c>
      <c r="C1964" t="s">
        <v>642</v>
      </c>
      <c r="D1964" t="s">
        <v>26</v>
      </c>
      <c r="E1964" t="s">
        <v>11</v>
      </c>
      <c r="F1964" t="s">
        <v>56</v>
      </c>
      <c r="G1964" t="s">
        <v>36</v>
      </c>
      <c r="H1964">
        <v>9</v>
      </c>
    </row>
    <row r="1965" spans="1:8" ht="21.75" customHeight="1" x14ac:dyDescent="0.35">
      <c r="A1965" t="s">
        <v>2060</v>
      </c>
      <c r="B1965" s="3">
        <v>45530</v>
      </c>
      <c r="C1965" t="s">
        <v>369</v>
      </c>
      <c r="D1965" t="s">
        <v>16</v>
      </c>
      <c r="E1965" t="s">
        <v>11</v>
      </c>
      <c r="F1965" t="s">
        <v>56</v>
      </c>
      <c r="G1965" t="s">
        <v>32</v>
      </c>
      <c r="H1965">
        <v>20</v>
      </c>
    </row>
    <row r="1966" spans="1:8" ht="21.75" customHeight="1" x14ac:dyDescent="0.35">
      <c r="A1966" t="s">
        <v>2061</v>
      </c>
      <c r="B1966" s="3">
        <v>45612</v>
      </c>
      <c r="C1966" t="s">
        <v>594</v>
      </c>
      <c r="D1966" t="s">
        <v>41</v>
      </c>
      <c r="E1966" t="s">
        <v>17</v>
      </c>
      <c r="F1966" t="s">
        <v>27</v>
      </c>
      <c r="G1966" t="s">
        <v>36</v>
      </c>
      <c r="H1966">
        <v>18</v>
      </c>
    </row>
    <row r="1967" spans="1:8" ht="21.75" customHeight="1" x14ac:dyDescent="0.35">
      <c r="A1967" t="s">
        <v>2062</v>
      </c>
      <c r="B1967" s="3">
        <v>45654</v>
      </c>
      <c r="C1967" t="s">
        <v>38</v>
      </c>
      <c r="D1967" t="s">
        <v>160</v>
      </c>
      <c r="E1967" t="s">
        <v>11</v>
      </c>
      <c r="F1967" t="s">
        <v>56</v>
      </c>
      <c r="G1967" t="s">
        <v>36</v>
      </c>
      <c r="H1967">
        <v>3</v>
      </c>
    </row>
    <row r="1968" spans="1:8" ht="21.75" customHeight="1" x14ac:dyDescent="0.35">
      <c r="A1968" t="s">
        <v>2063</v>
      </c>
      <c r="B1968" s="3">
        <v>45373</v>
      </c>
      <c r="C1968" t="s">
        <v>572</v>
      </c>
      <c r="D1968" t="s">
        <v>174</v>
      </c>
      <c r="E1968" t="s">
        <v>22</v>
      </c>
      <c r="F1968" t="s">
        <v>27</v>
      </c>
      <c r="G1968" t="s">
        <v>13</v>
      </c>
      <c r="H1968">
        <v>12</v>
      </c>
    </row>
    <row r="1969" spans="1:8" ht="21.75" customHeight="1" x14ac:dyDescent="0.35">
      <c r="A1969" t="s">
        <v>2064</v>
      </c>
      <c r="B1969" s="3">
        <v>45401</v>
      </c>
      <c r="C1969" t="s">
        <v>371</v>
      </c>
      <c r="D1969" t="s">
        <v>72</v>
      </c>
      <c r="E1969" t="s">
        <v>17</v>
      </c>
      <c r="F1969" t="s">
        <v>42</v>
      </c>
      <c r="G1969" t="s">
        <v>32</v>
      </c>
      <c r="H1969">
        <v>7</v>
      </c>
    </row>
    <row r="1970" spans="1:8" ht="21.75" customHeight="1" x14ac:dyDescent="0.35">
      <c r="A1970" t="s">
        <v>2065</v>
      </c>
      <c r="B1970" s="3">
        <v>45608</v>
      </c>
      <c r="C1970" t="s">
        <v>339</v>
      </c>
      <c r="D1970" t="s">
        <v>35</v>
      </c>
      <c r="E1970" t="s">
        <v>22</v>
      </c>
      <c r="F1970" t="s">
        <v>12</v>
      </c>
      <c r="G1970" t="s">
        <v>13</v>
      </c>
      <c r="H1970">
        <v>12</v>
      </c>
    </row>
    <row r="1971" spans="1:8" ht="21.75" customHeight="1" x14ac:dyDescent="0.35">
      <c r="A1971" t="s">
        <v>2066</v>
      </c>
      <c r="B1971" s="3">
        <v>45620</v>
      </c>
      <c r="C1971" t="s">
        <v>594</v>
      </c>
      <c r="D1971" t="s">
        <v>109</v>
      </c>
      <c r="E1971" t="s">
        <v>11</v>
      </c>
      <c r="F1971" t="s">
        <v>12</v>
      </c>
      <c r="G1971" t="s">
        <v>32</v>
      </c>
      <c r="H1971">
        <v>13</v>
      </c>
    </row>
    <row r="1972" spans="1:8" ht="21.75" customHeight="1" x14ac:dyDescent="0.35">
      <c r="A1972" t="s">
        <v>2067</v>
      </c>
      <c r="B1972" s="3">
        <v>45350</v>
      </c>
      <c r="C1972" t="s">
        <v>53</v>
      </c>
      <c r="D1972" t="s">
        <v>26</v>
      </c>
      <c r="E1972" t="s">
        <v>22</v>
      </c>
      <c r="F1972" t="s">
        <v>42</v>
      </c>
      <c r="G1972" t="s">
        <v>13</v>
      </c>
      <c r="H1972">
        <v>17</v>
      </c>
    </row>
    <row r="1973" spans="1:8" ht="21.75" customHeight="1" x14ac:dyDescent="0.35">
      <c r="A1973" t="s">
        <v>2068</v>
      </c>
      <c r="B1973" s="3">
        <v>45483</v>
      </c>
      <c r="C1973" t="s">
        <v>345</v>
      </c>
      <c r="D1973" t="s">
        <v>160</v>
      </c>
      <c r="E1973" t="s">
        <v>17</v>
      </c>
      <c r="F1973" t="s">
        <v>27</v>
      </c>
      <c r="G1973" t="s">
        <v>13</v>
      </c>
      <c r="H1973">
        <v>10</v>
      </c>
    </row>
    <row r="1974" spans="1:8" ht="21.75" customHeight="1" x14ac:dyDescent="0.35">
      <c r="A1974" t="s">
        <v>2069</v>
      </c>
      <c r="B1974" s="3">
        <v>45390</v>
      </c>
      <c r="C1974" t="s">
        <v>187</v>
      </c>
      <c r="D1974" t="s">
        <v>160</v>
      </c>
      <c r="E1974" t="s">
        <v>11</v>
      </c>
      <c r="F1974" t="s">
        <v>12</v>
      </c>
      <c r="G1974" t="s">
        <v>28</v>
      </c>
      <c r="H1974">
        <v>18</v>
      </c>
    </row>
    <row r="1975" spans="1:8" ht="21.75" customHeight="1" x14ac:dyDescent="0.35">
      <c r="A1975" t="s">
        <v>2070</v>
      </c>
      <c r="B1975" s="3">
        <v>45612</v>
      </c>
      <c r="C1975" t="s">
        <v>58</v>
      </c>
      <c r="D1975" t="s">
        <v>65</v>
      </c>
      <c r="E1975" t="s">
        <v>22</v>
      </c>
      <c r="F1975" t="s">
        <v>56</v>
      </c>
      <c r="G1975" t="s">
        <v>23</v>
      </c>
      <c r="H1975">
        <v>4</v>
      </c>
    </row>
    <row r="1976" spans="1:8" ht="21.75" customHeight="1" x14ac:dyDescent="0.35">
      <c r="A1976" t="s">
        <v>2071</v>
      </c>
      <c r="B1976" s="3">
        <v>45651</v>
      </c>
      <c r="C1976" t="s">
        <v>304</v>
      </c>
      <c r="D1976" t="s">
        <v>119</v>
      </c>
      <c r="E1976" t="s">
        <v>17</v>
      </c>
      <c r="F1976" t="s">
        <v>12</v>
      </c>
      <c r="G1976" t="s">
        <v>28</v>
      </c>
      <c r="H1976">
        <v>1</v>
      </c>
    </row>
    <row r="1977" spans="1:8" ht="21.75" customHeight="1" x14ac:dyDescent="0.35">
      <c r="A1977" t="s">
        <v>2072</v>
      </c>
      <c r="B1977" s="3">
        <v>45461</v>
      </c>
      <c r="C1977" t="s">
        <v>122</v>
      </c>
      <c r="D1977" t="s">
        <v>10</v>
      </c>
      <c r="E1977" t="s">
        <v>11</v>
      </c>
      <c r="F1977" t="s">
        <v>12</v>
      </c>
      <c r="G1977" t="s">
        <v>28</v>
      </c>
      <c r="H1977">
        <v>9</v>
      </c>
    </row>
    <row r="1978" spans="1:8" ht="21.75" customHeight="1" x14ac:dyDescent="0.35">
      <c r="A1978" t="s">
        <v>2073</v>
      </c>
      <c r="B1978" s="3">
        <v>45586</v>
      </c>
      <c r="C1978" t="s">
        <v>51</v>
      </c>
      <c r="D1978" t="s">
        <v>26</v>
      </c>
      <c r="E1978" t="s">
        <v>17</v>
      </c>
      <c r="F1978" t="s">
        <v>27</v>
      </c>
      <c r="G1978" t="s">
        <v>23</v>
      </c>
      <c r="H1978">
        <v>13</v>
      </c>
    </row>
    <row r="1979" spans="1:8" ht="21.75" customHeight="1" x14ac:dyDescent="0.35">
      <c r="A1979" t="s">
        <v>2074</v>
      </c>
      <c r="B1979" s="3">
        <v>45300</v>
      </c>
      <c r="C1979" t="s">
        <v>53</v>
      </c>
      <c r="D1979" t="s">
        <v>41</v>
      </c>
      <c r="E1979" t="s">
        <v>11</v>
      </c>
      <c r="F1979" t="s">
        <v>306</v>
      </c>
      <c r="G1979" t="s">
        <v>13</v>
      </c>
      <c r="H1979">
        <v>20</v>
      </c>
    </row>
    <row r="1980" spans="1:8" ht="21.75" customHeight="1" x14ac:dyDescent="0.35">
      <c r="A1980" t="s">
        <v>2075</v>
      </c>
      <c r="B1980" s="3">
        <v>45591</v>
      </c>
      <c r="C1980" t="s">
        <v>116</v>
      </c>
      <c r="D1980" t="s">
        <v>62</v>
      </c>
      <c r="E1980" t="s">
        <v>11</v>
      </c>
      <c r="F1980" t="s">
        <v>42</v>
      </c>
      <c r="G1980" t="s">
        <v>36</v>
      </c>
      <c r="H1980">
        <v>4</v>
      </c>
    </row>
    <row r="1981" spans="1:8" ht="21.75" customHeight="1" x14ac:dyDescent="0.35">
      <c r="A1981" t="s">
        <v>2076</v>
      </c>
      <c r="B1981" s="3">
        <v>45643</v>
      </c>
      <c r="C1981" t="s">
        <v>68</v>
      </c>
      <c r="D1981" t="s">
        <v>109</v>
      </c>
      <c r="E1981" t="s">
        <v>11</v>
      </c>
      <c r="F1981" t="s">
        <v>42</v>
      </c>
      <c r="G1981" t="s">
        <v>23</v>
      </c>
      <c r="H1981">
        <v>13</v>
      </c>
    </row>
    <row r="1982" spans="1:8" ht="21.75" customHeight="1" x14ac:dyDescent="0.35">
      <c r="A1982" t="s">
        <v>2077</v>
      </c>
      <c r="B1982" s="3">
        <v>45630</v>
      </c>
      <c r="C1982" t="s">
        <v>64</v>
      </c>
      <c r="D1982" t="s">
        <v>35</v>
      </c>
      <c r="E1982" t="s">
        <v>11</v>
      </c>
      <c r="F1982" t="s">
        <v>306</v>
      </c>
      <c r="G1982" t="s">
        <v>28</v>
      </c>
      <c r="H1982">
        <v>5</v>
      </c>
    </row>
    <row r="1983" spans="1:8" ht="21.75" customHeight="1" x14ac:dyDescent="0.35">
      <c r="A1983" t="s">
        <v>2078</v>
      </c>
      <c r="B1983" s="3">
        <v>45571</v>
      </c>
      <c r="C1983" t="s">
        <v>61</v>
      </c>
      <c r="D1983" t="s">
        <v>21</v>
      </c>
      <c r="E1983" t="s">
        <v>11</v>
      </c>
      <c r="F1983" t="s">
        <v>42</v>
      </c>
      <c r="G1983" t="s">
        <v>32</v>
      </c>
      <c r="H1983">
        <v>1</v>
      </c>
    </row>
    <row r="1984" spans="1:8" ht="21.75" customHeight="1" x14ac:dyDescent="0.35">
      <c r="A1984" t="s">
        <v>2079</v>
      </c>
      <c r="B1984" s="3">
        <v>45576</v>
      </c>
      <c r="C1984" t="s">
        <v>167</v>
      </c>
      <c r="D1984" t="s">
        <v>102</v>
      </c>
      <c r="E1984" t="s">
        <v>11</v>
      </c>
      <c r="F1984" t="s">
        <v>12</v>
      </c>
      <c r="G1984" t="s">
        <v>36</v>
      </c>
      <c r="H1984">
        <v>20</v>
      </c>
    </row>
    <row r="1985" spans="1:8" ht="21.75" customHeight="1" x14ac:dyDescent="0.35">
      <c r="A1985" t="s">
        <v>2080</v>
      </c>
      <c r="B1985" s="3">
        <v>45572</v>
      </c>
      <c r="C1985" t="s">
        <v>81</v>
      </c>
      <c r="D1985" t="s">
        <v>74</v>
      </c>
      <c r="E1985" t="s">
        <v>11</v>
      </c>
      <c r="F1985" t="s">
        <v>42</v>
      </c>
      <c r="G1985" t="s">
        <v>28</v>
      </c>
      <c r="H1985">
        <v>14</v>
      </c>
    </row>
    <row r="1986" spans="1:8" ht="21.75" customHeight="1" x14ac:dyDescent="0.35">
      <c r="A1986" t="s">
        <v>2081</v>
      </c>
      <c r="B1986" s="3">
        <v>45554</v>
      </c>
      <c r="C1986" t="s">
        <v>167</v>
      </c>
      <c r="D1986" t="s">
        <v>45</v>
      </c>
      <c r="E1986" t="s">
        <v>11</v>
      </c>
      <c r="F1986" t="s">
        <v>56</v>
      </c>
      <c r="G1986" t="s">
        <v>36</v>
      </c>
      <c r="H1986">
        <v>9</v>
      </c>
    </row>
    <row r="1987" spans="1:8" ht="21.75" customHeight="1" x14ac:dyDescent="0.35">
      <c r="A1987" t="s">
        <v>2082</v>
      </c>
      <c r="B1987" s="3">
        <v>45384</v>
      </c>
      <c r="C1987" t="s">
        <v>317</v>
      </c>
      <c r="D1987" t="s">
        <v>59</v>
      </c>
      <c r="E1987" t="s">
        <v>11</v>
      </c>
      <c r="F1987" t="s">
        <v>306</v>
      </c>
      <c r="G1987" t="s">
        <v>23</v>
      </c>
      <c r="H1987">
        <v>18</v>
      </c>
    </row>
    <row r="1988" spans="1:8" ht="21.75" customHeight="1" x14ac:dyDescent="0.35">
      <c r="A1988" t="s">
        <v>2083</v>
      </c>
      <c r="B1988" s="3">
        <v>45635</v>
      </c>
      <c r="C1988" t="s">
        <v>58</v>
      </c>
      <c r="D1988" t="s">
        <v>26</v>
      </c>
      <c r="E1988" t="s">
        <v>11</v>
      </c>
      <c r="F1988" t="s">
        <v>56</v>
      </c>
      <c r="G1988" t="s">
        <v>36</v>
      </c>
      <c r="H1988">
        <v>16</v>
      </c>
    </row>
    <row r="1989" spans="1:8" ht="21.75" customHeight="1" x14ac:dyDescent="0.35">
      <c r="A1989" t="s">
        <v>2084</v>
      </c>
      <c r="B1989" s="3">
        <v>45474</v>
      </c>
      <c r="C1989" t="s">
        <v>34</v>
      </c>
      <c r="D1989" t="s">
        <v>41</v>
      </c>
      <c r="E1989" t="s">
        <v>22</v>
      </c>
      <c r="F1989" t="s">
        <v>56</v>
      </c>
      <c r="G1989" t="s">
        <v>13</v>
      </c>
      <c r="H1989">
        <v>10</v>
      </c>
    </row>
    <row r="1990" spans="1:8" ht="21.75" customHeight="1" x14ac:dyDescent="0.35">
      <c r="A1990" t="s">
        <v>2085</v>
      </c>
      <c r="B1990" s="3">
        <v>45391</v>
      </c>
      <c r="C1990" t="s">
        <v>38</v>
      </c>
      <c r="D1990" t="s">
        <v>35</v>
      </c>
      <c r="E1990" t="s">
        <v>17</v>
      </c>
      <c r="F1990" t="s">
        <v>42</v>
      </c>
      <c r="G1990" t="s">
        <v>36</v>
      </c>
      <c r="H1990">
        <v>10</v>
      </c>
    </row>
    <row r="1991" spans="1:8" ht="21.75" customHeight="1" x14ac:dyDescent="0.35">
      <c r="A1991" t="s">
        <v>2086</v>
      </c>
      <c r="B1991" s="3">
        <v>45370</v>
      </c>
      <c r="C1991" t="s">
        <v>614</v>
      </c>
      <c r="D1991" t="s">
        <v>59</v>
      </c>
      <c r="E1991" t="s">
        <v>17</v>
      </c>
      <c r="F1991" t="s">
        <v>42</v>
      </c>
      <c r="G1991" t="s">
        <v>23</v>
      </c>
      <c r="H1991">
        <v>6</v>
      </c>
    </row>
    <row r="1992" spans="1:8" ht="21.75" customHeight="1" x14ac:dyDescent="0.35">
      <c r="A1992" t="s">
        <v>2087</v>
      </c>
      <c r="B1992" s="3">
        <v>45418</v>
      </c>
      <c r="C1992" t="s">
        <v>728</v>
      </c>
      <c r="D1992" t="s">
        <v>197</v>
      </c>
      <c r="E1992" t="s">
        <v>22</v>
      </c>
      <c r="F1992" t="s">
        <v>27</v>
      </c>
      <c r="G1992" t="s">
        <v>32</v>
      </c>
      <c r="H1992">
        <v>12</v>
      </c>
    </row>
    <row r="1993" spans="1:8" ht="21.75" customHeight="1" x14ac:dyDescent="0.35">
      <c r="A1993" t="s">
        <v>2088</v>
      </c>
      <c r="B1993" s="3">
        <v>45461</v>
      </c>
      <c r="C1993" t="s">
        <v>517</v>
      </c>
      <c r="D1993" t="s">
        <v>70</v>
      </c>
      <c r="E1993" t="s">
        <v>17</v>
      </c>
      <c r="F1993" t="s">
        <v>42</v>
      </c>
      <c r="G1993" t="s">
        <v>32</v>
      </c>
      <c r="H1993">
        <v>16</v>
      </c>
    </row>
    <row r="1994" spans="1:8" ht="21.75" customHeight="1" x14ac:dyDescent="0.35">
      <c r="A1994" t="s">
        <v>2089</v>
      </c>
      <c r="B1994" s="3">
        <v>45381</v>
      </c>
      <c r="C1994" t="s">
        <v>736</v>
      </c>
      <c r="D1994" t="s">
        <v>109</v>
      </c>
      <c r="E1994" t="s">
        <v>11</v>
      </c>
      <c r="F1994" t="s">
        <v>42</v>
      </c>
      <c r="G1994" t="s">
        <v>28</v>
      </c>
      <c r="H1994">
        <v>18</v>
      </c>
    </row>
    <row r="1995" spans="1:8" ht="21.75" customHeight="1" x14ac:dyDescent="0.35">
      <c r="A1995" t="s">
        <v>2090</v>
      </c>
      <c r="B1995" s="3">
        <v>45612</v>
      </c>
      <c r="C1995" t="s">
        <v>208</v>
      </c>
      <c r="D1995" t="s">
        <v>84</v>
      </c>
      <c r="E1995" t="s">
        <v>11</v>
      </c>
      <c r="F1995" t="s">
        <v>12</v>
      </c>
      <c r="G1995" t="s">
        <v>36</v>
      </c>
      <c r="H1995">
        <v>1</v>
      </c>
    </row>
    <row r="1996" spans="1:8" ht="21.75" customHeight="1" x14ac:dyDescent="0.35">
      <c r="A1996" t="s">
        <v>2091</v>
      </c>
      <c r="B1996" s="3">
        <v>45588</v>
      </c>
      <c r="C1996" t="s">
        <v>341</v>
      </c>
      <c r="D1996" t="s">
        <v>119</v>
      </c>
      <c r="E1996" t="s">
        <v>22</v>
      </c>
      <c r="F1996" t="s">
        <v>56</v>
      </c>
      <c r="G1996" t="s">
        <v>13</v>
      </c>
      <c r="H1996">
        <v>18</v>
      </c>
    </row>
    <row r="1997" spans="1:8" ht="21.75" customHeight="1" x14ac:dyDescent="0.35">
      <c r="A1997" t="s">
        <v>2092</v>
      </c>
      <c r="B1997" s="3">
        <v>45568</v>
      </c>
      <c r="C1997" t="s">
        <v>553</v>
      </c>
      <c r="D1997" t="s">
        <v>21</v>
      </c>
      <c r="E1997" t="s">
        <v>11</v>
      </c>
      <c r="F1997" t="s">
        <v>42</v>
      </c>
      <c r="G1997" t="s">
        <v>23</v>
      </c>
      <c r="H1997">
        <v>8</v>
      </c>
    </row>
    <row r="1998" spans="1:8" ht="21.75" customHeight="1" x14ac:dyDescent="0.35">
      <c r="A1998" t="s">
        <v>2093</v>
      </c>
      <c r="B1998" s="3">
        <v>45593</v>
      </c>
      <c r="C1998" t="s">
        <v>388</v>
      </c>
      <c r="D1998" t="s">
        <v>74</v>
      </c>
      <c r="E1998" t="s">
        <v>11</v>
      </c>
      <c r="F1998" t="s">
        <v>27</v>
      </c>
      <c r="G1998" t="s">
        <v>36</v>
      </c>
      <c r="H1998">
        <v>17</v>
      </c>
    </row>
    <row r="1999" spans="1:8" ht="21.75" customHeight="1" x14ac:dyDescent="0.35">
      <c r="A1999" t="s">
        <v>2094</v>
      </c>
      <c r="B1999" s="3">
        <v>45478</v>
      </c>
      <c r="C1999" t="s">
        <v>358</v>
      </c>
      <c r="D1999" t="s">
        <v>96</v>
      </c>
      <c r="E1999" t="s">
        <v>22</v>
      </c>
      <c r="F1999" t="s">
        <v>56</v>
      </c>
      <c r="G1999" t="s">
        <v>36</v>
      </c>
      <c r="H1999">
        <v>6</v>
      </c>
    </row>
    <row r="2000" spans="1:8" ht="21.75" customHeight="1" x14ac:dyDescent="0.35">
      <c r="A2000" t="s">
        <v>2095</v>
      </c>
      <c r="B2000" s="3">
        <v>45363</v>
      </c>
      <c r="C2000" t="s">
        <v>430</v>
      </c>
      <c r="D2000" t="s">
        <v>45</v>
      </c>
      <c r="E2000" t="s">
        <v>11</v>
      </c>
      <c r="F2000" t="s">
        <v>306</v>
      </c>
      <c r="G2000" t="s">
        <v>36</v>
      </c>
      <c r="H2000">
        <v>5</v>
      </c>
    </row>
    <row r="2001" spans="1:8" ht="21.75" customHeight="1" x14ac:dyDescent="0.35">
      <c r="A2001" t="s">
        <v>2096</v>
      </c>
      <c r="B2001" s="3">
        <v>45539</v>
      </c>
      <c r="C2001" t="s">
        <v>182</v>
      </c>
      <c r="D2001" t="s">
        <v>79</v>
      </c>
      <c r="E2001" t="s">
        <v>11</v>
      </c>
      <c r="F2001" t="s">
        <v>27</v>
      </c>
      <c r="G2001" t="s">
        <v>28</v>
      </c>
      <c r="H2001">
        <v>3</v>
      </c>
    </row>
    <row r="2002" spans="1:8" ht="21.75" customHeight="1" x14ac:dyDescent="0.35">
      <c r="A2002" t="s">
        <v>2097</v>
      </c>
      <c r="B2002" s="3">
        <v>45411</v>
      </c>
      <c r="C2002" t="s">
        <v>116</v>
      </c>
      <c r="D2002" t="s">
        <v>41</v>
      </c>
      <c r="E2002" t="s">
        <v>11</v>
      </c>
      <c r="F2002" t="s">
        <v>306</v>
      </c>
      <c r="G2002" t="s">
        <v>32</v>
      </c>
      <c r="H2002">
        <v>13</v>
      </c>
    </row>
    <row r="2003" spans="1:8" ht="21.75" customHeight="1" x14ac:dyDescent="0.35">
      <c r="A2003" t="s">
        <v>2098</v>
      </c>
      <c r="B2003" s="3">
        <v>45524</v>
      </c>
      <c r="C2003" t="s">
        <v>116</v>
      </c>
      <c r="D2003" t="s">
        <v>79</v>
      </c>
      <c r="E2003" t="s">
        <v>22</v>
      </c>
      <c r="F2003" t="s">
        <v>42</v>
      </c>
      <c r="G2003" t="s">
        <v>13</v>
      </c>
      <c r="H2003">
        <v>17</v>
      </c>
    </row>
    <row r="2004" spans="1:8" ht="21.75" customHeight="1" x14ac:dyDescent="0.35">
      <c r="A2004" t="s">
        <v>2099</v>
      </c>
      <c r="B2004" s="3">
        <v>45432</v>
      </c>
      <c r="C2004" t="s">
        <v>304</v>
      </c>
      <c r="D2004" t="s">
        <v>26</v>
      </c>
      <c r="E2004" t="s">
        <v>22</v>
      </c>
      <c r="F2004" t="s">
        <v>306</v>
      </c>
      <c r="G2004" t="s">
        <v>36</v>
      </c>
      <c r="H2004">
        <v>6</v>
      </c>
    </row>
    <row r="2005" spans="1:8" ht="21.75" customHeight="1" x14ac:dyDescent="0.35">
      <c r="A2005" t="s">
        <v>2100</v>
      </c>
      <c r="B2005" s="3">
        <v>45485</v>
      </c>
      <c r="C2005" t="s">
        <v>83</v>
      </c>
      <c r="D2005" t="s">
        <v>59</v>
      </c>
      <c r="E2005" t="s">
        <v>22</v>
      </c>
      <c r="F2005" t="s">
        <v>12</v>
      </c>
      <c r="G2005" t="s">
        <v>36</v>
      </c>
      <c r="H2005">
        <v>9</v>
      </c>
    </row>
    <row r="2006" spans="1:8" ht="21.75" customHeight="1" x14ac:dyDescent="0.35">
      <c r="A2006" t="s">
        <v>2101</v>
      </c>
      <c r="B2006" s="3">
        <v>45406</v>
      </c>
      <c r="C2006" t="s">
        <v>363</v>
      </c>
      <c r="D2006" t="s">
        <v>31</v>
      </c>
      <c r="E2006" t="s">
        <v>17</v>
      </c>
      <c r="F2006" t="s">
        <v>42</v>
      </c>
      <c r="G2006" t="s">
        <v>23</v>
      </c>
      <c r="H2006">
        <v>16</v>
      </c>
    </row>
    <row r="2007" spans="1:8" ht="21.75" customHeight="1" x14ac:dyDescent="0.35">
      <c r="A2007" t="s">
        <v>2102</v>
      </c>
      <c r="B2007" s="3">
        <v>45295</v>
      </c>
      <c r="C2007" t="s">
        <v>358</v>
      </c>
      <c r="D2007" t="s">
        <v>16</v>
      </c>
      <c r="E2007" t="s">
        <v>17</v>
      </c>
      <c r="F2007" t="s">
        <v>56</v>
      </c>
      <c r="G2007" t="s">
        <v>28</v>
      </c>
      <c r="H2007">
        <v>3</v>
      </c>
    </row>
    <row r="2008" spans="1:8" ht="21.75" customHeight="1" x14ac:dyDescent="0.35">
      <c r="A2008" t="s">
        <v>2103</v>
      </c>
      <c r="B2008" s="3">
        <v>45435</v>
      </c>
      <c r="C2008" t="s">
        <v>133</v>
      </c>
      <c r="D2008" t="s">
        <v>16</v>
      </c>
      <c r="E2008" t="s">
        <v>11</v>
      </c>
      <c r="F2008" t="s">
        <v>56</v>
      </c>
      <c r="G2008" t="s">
        <v>32</v>
      </c>
      <c r="H2008">
        <v>20</v>
      </c>
    </row>
    <row r="2009" spans="1:8" ht="21.75" customHeight="1" x14ac:dyDescent="0.35">
      <c r="A2009" t="s">
        <v>2104</v>
      </c>
      <c r="B2009" s="3">
        <v>45352</v>
      </c>
      <c r="C2009" t="s">
        <v>371</v>
      </c>
      <c r="D2009" t="s">
        <v>197</v>
      </c>
      <c r="E2009" t="s">
        <v>17</v>
      </c>
      <c r="F2009" t="s">
        <v>42</v>
      </c>
      <c r="G2009" t="s">
        <v>13</v>
      </c>
      <c r="H2009">
        <v>16</v>
      </c>
    </row>
    <row r="2010" spans="1:8" ht="21.75" customHeight="1" x14ac:dyDescent="0.35">
      <c r="A2010" t="s">
        <v>2105</v>
      </c>
      <c r="B2010" s="3">
        <v>45537</v>
      </c>
      <c r="C2010" t="s">
        <v>95</v>
      </c>
      <c r="D2010" t="s">
        <v>59</v>
      </c>
      <c r="E2010" t="s">
        <v>11</v>
      </c>
      <c r="F2010" t="s">
        <v>27</v>
      </c>
      <c r="G2010" t="s">
        <v>13</v>
      </c>
      <c r="H2010">
        <v>8</v>
      </c>
    </row>
    <row r="2011" spans="1:8" ht="21.75" customHeight="1" x14ac:dyDescent="0.35">
      <c r="A2011" t="s">
        <v>2106</v>
      </c>
      <c r="B2011" s="3">
        <v>45585</v>
      </c>
      <c r="C2011" t="s">
        <v>449</v>
      </c>
      <c r="D2011" t="s">
        <v>45</v>
      </c>
      <c r="E2011" t="s">
        <v>11</v>
      </c>
      <c r="F2011" t="s">
        <v>306</v>
      </c>
      <c r="G2011" t="s">
        <v>13</v>
      </c>
      <c r="H2011">
        <v>19</v>
      </c>
    </row>
    <row r="2012" spans="1:8" ht="21.75" customHeight="1" x14ac:dyDescent="0.35">
      <c r="A2012" t="s">
        <v>2107</v>
      </c>
      <c r="B2012" s="3">
        <v>45377</v>
      </c>
      <c r="C2012" t="s">
        <v>86</v>
      </c>
      <c r="D2012" t="s">
        <v>45</v>
      </c>
      <c r="E2012" t="s">
        <v>22</v>
      </c>
      <c r="F2012" t="s">
        <v>27</v>
      </c>
      <c r="G2012" t="s">
        <v>36</v>
      </c>
      <c r="H2012">
        <v>19</v>
      </c>
    </row>
    <row r="2013" spans="1:8" ht="21.75" customHeight="1" x14ac:dyDescent="0.35">
      <c r="A2013" t="s">
        <v>2108</v>
      </c>
      <c r="B2013" s="3">
        <v>45630</v>
      </c>
      <c r="C2013" t="s">
        <v>55</v>
      </c>
      <c r="D2013" t="s">
        <v>10</v>
      </c>
      <c r="E2013" t="s">
        <v>11</v>
      </c>
      <c r="F2013" t="s">
        <v>27</v>
      </c>
      <c r="G2013" t="s">
        <v>36</v>
      </c>
      <c r="H2013">
        <v>16</v>
      </c>
    </row>
    <row r="2014" spans="1:8" ht="21.75" customHeight="1" x14ac:dyDescent="0.35">
      <c r="A2014" t="s">
        <v>2109</v>
      </c>
      <c r="B2014" s="3">
        <v>45379</v>
      </c>
      <c r="C2014" t="s">
        <v>240</v>
      </c>
      <c r="D2014" t="s">
        <v>87</v>
      </c>
      <c r="E2014" t="s">
        <v>22</v>
      </c>
      <c r="F2014" t="s">
        <v>56</v>
      </c>
      <c r="G2014" t="s">
        <v>36</v>
      </c>
      <c r="H2014">
        <v>6</v>
      </c>
    </row>
    <row r="2015" spans="1:8" ht="21.75" customHeight="1" x14ac:dyDescent="0.35">
      <c r="A2015" t="s">
        <v>2110</v>
      </c>
      <c r="B2015" s="3">
        <v>45553</v>
      </c>
      <c r="C2015" t="s">
        <v>86</v>
      </c>
      <c r="D2015" t="s">
        <v>45</v>
      </c>
      <c r="E2015" t="s">
        <v>22</v>
      </c>
      <c r="F2015" t="s">
        <v>42</v>
      </c>
      <c r="G2015" t="s">
        <v>23</v>
      </c>
      <c r="H2015">
        <v>20</v>
      </c>
    </row>
    <row r="2016" spans="1:8" ht="21.75" customHeight="1" x14ac:dyDescent="0.35">
      <c r="A2016" t="s">
        <v>2111</v>
      </c>
      <c r="B2016" s="3">
        <v>45409</v>
      </c>
      <c r="C2016" t="s">
        <v>159</v>
      </c>
      <c r="D2016" t="s">
        <v>31</v>
      </c>
      <c r="E2016" t="s">
        <v>11</v>
      </c>
      <c r="F2016" t="s">
        <v>12</v>
      </c>
      <c r="G2016" t="s">
        <v>13</v>
      </c>
      <c r="H2016">
        <v>7</v>
      </c>
    </row>
    <row r="2017" spans="1:8" ht="21.75" customHeight="1" x14ac:dyDescent="0.35">
      <c r="A2017" t="s">
        <v>2112</v>
      </c>
      <c r="B2017" s="3">
        <v>45550</v>
      </c>
      <c r="C2017" t="s">
        <v>455</v>
      </c>
      <c r="D2017" t="s">
        <v>87</v>
      </c>
      <c r="E2017" t="s">
        <v>11</v>
      </c>
      <c r="F2017" t="s">
        <v>306</v>
      </c>
      <c r="G2017" t="s">
        <v>13</v>
      </c>
      <c r="H2017">
        <v>6</v>
      </c>
    </row>
    <row r="2018" spans="1:8" ht="21.75" customHeight="1" x14ac:dyDescent="0.35">
      <c r="A2018" t="s">
        <v>2113</v>
      </c>
      <c r="B2018" s="3">
        <v>45606</v>
      </c>
      <c r="C2018" t="s">
        <v>327</v>
      </c>
      <c r="D2018" t="s">
        <v>79</v>
      </c>
      <c r="E2018" t="s">
        <v>22</v>
      </c>
      <c r="F2018" t="s">
        <v>306</v>
      </c>
      <c r="G2018" t="s">
        <v>13</v>
      </c>
      <c r="H2018">
        <v>3</v>
      </c>
    </row>
    <row r="2019" spans="1:8" ht="21.75" customHeight="1" x14ac:dyDescent="0.35">
      <c r="A2019" t="s">
        <v>2114</v>
      </c>
      <c r="B2019" s="3">
        <v>45358</v>
      </c>
      <c r="C2019" t="s">
        <v>493</v>
      </c>
      <c r="D2019" t="s">
        <v>174</v>
      </c>
      <c r="E2019" t="s">
        <v>11</v>
      </c>
      <c r="F2019" t="s">
        <v>27</v>
      </c>
      <c r="G2019" t="s">
        <v>36</v>
      </c>
      <c r="H2019">
        <v>14</v>
      </c>
    </row>
    <row r="2020" spans="1:8" ht="21.75" customHeight="1" x14ac:dyDescent="0.35">
      <c r="A2020" t="s">
        <v>2115</v>
      </c>
      <c r="B2020" s="3">
        <v>45314</v>
      </c>
      <c r="C2020" t="s">
        <v>424</v>
      </c>
      <c r="D2020" t="s">
        <v>160</v>
      </c>
      <c r="E2020" t="s">
        <v>17</v>
      </c>
      <c r="F2020" t="s">
        <v>56</v>
      </c>
      <c r="G2020" t="s">
        <v>23</v>
      </c>
      <c r="H2020">
        <v>13</v>
      </c>
    </row>
    <row r="2021" spans="1:8" ht="21.75" customHeight="1" x14ac:dyDescent="0.35">
      <c r="A2021" t="s">
        <v>2116</v>
      </c>
      <c r="B2021" s="3">
        <v>45648</v>
      </c>
      <c r="C2021" t="s">
        <v>314</v>
      </c>
      <c r="D2021" t="s">
        <v>102</v>
      </c>
      <c r="E2021" t="s">
        <v>17</v>
      </c>
      <c r="F2021" t="s">
        <v>56</v>
      </c>
      <c r="G2021" t="s">
        <v>32</v>
      </c>
      <c r="H2021">
        <v>16</v>
      </c>
    </row>
    <row r="2022" spans="1:8" ht="21.75" customHeight="1" x14ac:dyDescent="0.35">
      <c r="A2022" t="s">
        <v>2117</v>
      </c>
      <c r="B2022" s="3">
        <v>45334</v>
      </c>
      <c r="C2022" t="s">
        <v>55</v>
      </c>
      <c r="D2022" t="s">
        <v>109</v>
      </c>
      <c r="E2022" t="s">
        <v>22</v>
      </c>
      <c r="F2022" t="s">
        <v>27</v>
      </c>
      <c r="G2022" t="s">
        <v>32</v>
      </c>
      <c r="H2022">
        <v>7</v>
      </c>
    </row>
    <row r="2023" spans="1:8" ht="21.75" customHeight="1" x14ac:dyDescent="0.35">
      <c r="A2023" t="s">
        <v>2118</v>
      </c>
      <c r="B2023" s="3">
        <v>45295</v>
      </c>
      <c r="C2023" t="s">
        <v>314</v>
      </c>
      <c r="D2023" t="s">
        <v>160</v>
      </c>
      <c r="E2023" t="s">
        <v>11</v>
      </c>
      <c r="F2023" t="s">
        <v>306</v>
      </c>
      <c r="G2023" t="s">
        <v>13</v>
      </c>
      <c r="H2023">
        <v>13</v>
      </c>
    </row>
    <row r="2024" spans="1:8" ht="21.75" customHeight="1" x14ac:dyDescent="0.35">
      <c r="A2024" t="s">
        <v>2119</v>
      </c>
      <c r="B2024" s="3">
        <v>45644</v>
      </c>
      <c r="C2024" t="s">
        <v>38</v>
      </c>
      <c r="D2024" t="s">
        <v>87</v>
      </c>
      <c r="E2024" t="s">
        <v>17</v>
      </c>
      <c r="F2024" t="s">
        <v>12</v>
      </c>
      <c r="G2024" t="s">
        <v>28</v>
      </c>
      <c r="H2024">
        <v>14</v>
      </c>
    </row>
    <row r="2025" spans="1:8" ht="21.75" customHeight="1" x14ac:dyDescent="0.35">
      <c r="A2025" t="s">
        <v>2120</v>
      </c>
      <c r="B2025" s="3">
        <v>45421</v>
      </c>
      <c r="C2025" t="s">
        <v>86</v>
      </c>
      <c r="D2025" t="s">
        <v>174</v>
      </c>
      <c r="E2025" t="s">
        <v>17</v>
      </c>
      <c r="F2025" t="s">
        <v>306</v>
      </c>
      <c r="G2025" t="s">
        <v>32</v>
      </c>
      <c r="H2025">
        <v>20</v>
      </c>
    </row>
    <row r="2026" spans="1:8" ht="21.75" customHeight="1" x14ac:dyDescent="0.35">
      <c r="A2026" t="s">
        <v>2121</v>
      </c>
      <c r="B2026" s="3">
        <v>45640</v>
      </c>
      <c r="C2026" t="s">
        <v>106</v>
      </c>
      <c r="D2026" t="s">
        <v>119</v>
      </c>
      <c r="E2026" t="s">
        <v>11</v>
      </c>
      <c r="F2026" t="s">
        <v>27</v>
      </c>
      <c r="G2026" t="s">
        <v>36</v>
      </c>
      <c r="H2026">
        <v>18</v>
      </c>
    </row>
    <row r="2027" spans="1:8" ht="21.75" customHeight="1" x14ac:dyDescent="0.35">
      <c r="A2027" t="s">
        <v>2122</v>
      </c>
      <c r="B2027" s="3">
        <v>45481</v>
      </c>
      <c r="C2027" t="s">
        <v>642</v>
      </c>
      <c r="D2027" t="s">
        <v>174</v>
      </c>
      <c r="E2027" t="s">
        <v>17</v>
      </c>
      <c r="F2027" t="s">
        <v>42</v>
      </c>
      <c r="G2027" t="s">
        <v>32</v>
      </c>
      <c r="H2027">
        <v>19</v>
      </c>
    </row>
    <row r="2028" spans="1:8" ht="21.75" customHeight="1" x14ac:dyDescent="0.35">
      <c r="A2028" t="s">
        <v>2123</v>
      </c>
      <c r="B2028" s="3">
        <v>45653</v>
      </c>
      <c r="C2028" t="s">
        <v>106</v>
      </c>
      <c r="D2028" t="s">
        <v>84</v>
      </c>
      <c r="E2028" t="s">
        <v>11</v>
      </c>
      <c r="F2028" t="s">
        <v>12</v>
      </c>
      <c r="G2028" t="s">
        <v>28</v>
      </c>
      <c r="H2028">
        <v>15</v>
      </c>
    </row>
    <row r="2029" spans="1:8" ht="21.75" customHeight="1" x14ac:dyDescent="0.35">
      <c r="A2029" t="s">
        <v>2124</v>
      </c>
      <c r="B2029" s="3">
        <v>45374</v>
      </c>
      <c r="C2029" t="s">
        <v>108</v>
      </c>
      <c r="D2029" t="s">
        <v>65</v>
      </c>
      <c r="E2029" t="s">
        <v>22</v>
      </c>
      <c r="F2029" t="s">
        <v>27</v>
      </c>
      <c r="G2029" t="s">
        <v>32</v>
      </c>
      <c r="H2029">
        <v>18</v>
      </c>
    </row>
    <row r="2030" spans="1:8" ht="21.75" customHeight="1" x14ac:dyDescent="0.35">
      <c r="A2030" t="s">
        <v>2125</v>
      </c>
      <c r="B2030" s="3">
        <v>45642</v>
      </c>
      <c r="C2030" t="s">
        <v>369</v>
      </c>
      <c r="D2030" t="s">
        <v>79</v>
      </c>
      <c r="E2030" t="s">
        <v>11</v>
      </c>
      <c r="F2030" t="s">
        <v>27</v>
      </c>
      <c r="G2030" t="s">
        <v>13</v>
      </c>
      <c r="H2030">
        <v>3</v>
      </c>
    </row>
    <row r="2031" spans="1:8" ht="21.75" customHeight="1" x14ac:dyDescent="0.35">
      <c r="A2031" t="s">
        <v>2126</v>
      </c>
      <c r="B2031" s="3">
        <v>45533</v>
      </c>
      <c r="C2031" t="s">
        <v>327</v>
      </c>
      <c r="D2031" t="s">
        <v>87</v>
      </c>
      <c r="E2031" t="s">
        <v>11</v>
      </c>
      <c r="F2031" t="s">
        <v>12</v>
      </c>
      <c r="G2031" t="s">
        <v>32</v>
      </c>
      <c r="H2031">
        <v>8</v>
      </c>
    </row>
    <row r="2032" spans="1:8" ht="21.75" customHeight="1" x14ac:dyDescent="0.35">
      <c r="A2032" t="s">
        <v>2127</v>
      </c>
      <c r="B2032" s="3">
        <v>45603</v>
      </c>
      <c r="C2032" t="s">
        <v>122</v>
      </c>
      <c r="D2032" t="s">
        <v>84</v>
      </c>
      <c r="E2032" t="s">
        <v>17</v>
      </c>
      <c r="F2032" t="s">
        <v>27</v>
      </c>
      <c r="G2032" t="s">
        <v>36</v>
      </c>
      <c r="H2032">
        <v>17</v>
      </c>
    </row>
    <row r="2033" spans="1:8" ht="21.75" customHeight="1" x14ac:dyDescent="0.35">
      <c r="A2033" t="s">
        <v>2128</v>
      </c>
      <c r="B2033" s="3">
        <v>45597</v>
      </c>
      <c r="C2033" t="s">
        <v>131</v>
      </c>
      <c r="D2033" t="s">
        <v>119</v>
      </c>
      <c r="E2033" t="s">
        <v>11</v>
      </c>
      <c r="F2033" t="s">
        <v>27</v>
      </c>
      <c r="G2033" t="s">
        <v>23</v>
      </c>
      <c r="H2033">
        <v>1</v>
      </c>
    </row>
    <row r="2034" spans="1:8" ht="21.75" customHeight="1" x14ac:dyDescent="0.35">
      <c r="A2034" t="s">
        <v>2129</v>
      </c>
      <c r="B2034" s="3">
        <v>45628</v>
      </c>
      <c r="C2034" t="s">
        <v>363</v>
      </c>
      <c r="D2034" t="s">
        <v>74</v>
      </c>
      <c r="E2034" t="s">
        <v>11</v>
      </c>
      <c r="F2034" t="s">
        <v>12</v>
      </c>
      <c r="G2034" t="s">
        <v>36</v>
      </c>
      <c r="H2034">
        <v>17</v>
      </c>
    </row>
    <row r="2035" spans="1:8" ht="21.75" customHeight="1" x14ac:dyDescent="0.35">
      <c r="A2035" t="s">
        <v>2130</v>
      </c>
      <c r="B2035" s="3">
        <v>45410</v>
      </c>
      <c r="C2035" t="s">
        <v>594</v>
      </c>
      <c r="D2035" t="s">
        <v>45</v>
      </c>
      <c r="E2035" t="s">
        <v>22</v>
      </c>
      <c r="F2035" t="s">
        <v>12</v>
      </c>
      <c r="G2035" t="s">
        <v>32</v>
      </c>
      <c r="H2035">
        <v>8</v>
      </c>
    </row>
    <row r="2036" spans="1:8" ht="21.75" customHeight="1" x14ac:dyDescent="0.35">
      <c r="A2036" t="s">
        <v>2131</v>
      </c>
      <c r="B2036" s="3">
        <v>45372</v>
      </c>
      <c r="C2036" t="s">
        <v>203</v>
      </c>
      <c r="D2036" t="s">
        <v>26</v>
      </c>
      <c r="E2036" t="s">
        <v>17</v>
      </c>
      <c r="F2036" t="s">
        <v>42</v>
      </c>
      <c r="G2036" t="s">
        <v>23</v>
      </c>
      <c r="H2036">
        <v>13</v>
      </c>
    </row>
    <row r="2037" spans="1:8" ht="21.75" customHeight="1" x14ac:dyDescent="0.35">
      <c r="A2037" t="s">
        <v>2132</v>
      </c>
      <c r="B2037" s="3">
        <v>45557</v>
      </c>
      <c r="C2037" t="s">
        <v>142</v>
      </c>
      <c r="D2037" t="s">
        <v>84</v>
      </c>
      <c r="E2037" t="s">
        <v>22</v>
      </c>
      <c r="F2037" t="s">
        <v>12</v>
      </c>
      <c r="G2037" t="s">
        <v>13</v>
      </c>
      <c r="H2037">
        <v>18</v>
      </c>
    </row>
    <row r="2038" spans="1:8" ht="21.75" customHeight="1" x14ac:dyDescent="0.35">
      <c r="A2038" t="s">
        <v>2133</v>
      </c>
      <c r="B2038" s="3">
        <v>45578</v>
      </c>
      <c r="C2038" t="s">
        <v>361</v>
      </c>
      <c r="D2038" t="s">
        <v>48</v>
      </c>
      <c r="E2038" t="s">
        <v>17</v>
      </c>
      <c r="F2038" t="s">
        <v>42</v>
      </c>
      <c r="G2038" t="s">
        <v>28</v>
      </c>
      <c r="H2038">
        <v>20</v>
      </c>
    </row>
    <row r="2039" spans="1:8" ht="21.75" customHeight="1" x14ac:dyDescent="0.35">
      <c r="A2039" t="s">
        <v>2134</v>
      </c>
      <c r="B2039" s="3">
        <v>45524</v>
      </c>
      <c r="C2039" t="s">
        <v>341</v>
      </c>
      <c r="D2039" t="s">
        <v>59</v>
      </c>
      <c r="E2039" t="s">
        <v>11</v>
      </c>
      <c r="F2039" t="s">
        <v>42</v>
      </c>
      <c r="G2039" t="s">
        <v>28</v>
      </c>
      <c r="H2039">
        <v>14</v>
      </c>
    </row>
    <row r="2040" spans="1:8" ht="21.75" customHeight="1" x14ac:dyDescent="0.35">
      <c r="A2040" t="s">
        <v>2135</v>
      </c>
      <c r="B2040" s="3">
        <v>45578</v>
      </c>
      <c r="C2040" t="s">
        <v>208</v>
      </c>
      <c r="D2040" t="s">
        <v>160</v>
      </c>
      <c r="E2040" t="s">
        <v>17</v>
      </c>
      <c r="F2040" t="s">
        <v>42</v>
      </c>
      <c r="G2040" t="s">
        <v>13</v>
      </c>
      <c r="H2040">
        <v>17</v>
      </c>
    </row>
    <row r="2041" spans="1:8" ht="21.75" customHeight="1" x14ac:dyDescent="0.35">
      <c r="A2041" t="s">
        <v>2136</v>
      </c>
      <c r="B2041" s="3">
        <v>45567</v>
      </c>
      <c r="C2041" t="s">
        <v>314</v>
      </c>
      <c r="D2041" t="s">
        <v>26</v>
      </c>
      <c r="E2041" t="s">
        <v>22</v>
      </c>
      <c r="F2041" t="s">
        <v>27</v>
      </c>
      <c r="G2041" t="s">
        <v>23</v>
      </c>
      <c r="H2041">
        <v>19</v>
      </c>
    </row>
    <row r="2042" spans="1:8" ht="21.75" customHeight="1" x14ac:dyDescent="0.35">
      <c r="A2042" t="s">
        <v>2137</v>
      </c>
      <c r="B2042" s="3">
        <v>45416</v>
      </c>
      <c r="C2042" t="s">
        <v>664</v>
      </c>
      <c r="D2042" t="s">
        <v>72</v>
      </c>
      <c r="E2042" t="s">
        <v>17</v>
      </c>
      <c r="F2042" t="s">
        <v>27</v>
      </c>
      <c r="G2042" t="s">
        <v>36</v>
      </c>
      <c r="H2042">
        <v>1</v>
      </c>
    </row>
    <row r="2043" spans="1:8" ht="21.75" customHeight="1" x14ac:dyDescent="0.35">
      <c r="A2043" t="s">
        <v>2138</v>
      </c>
      <c r="B2043" s="3">
        <v>45424</v>
      </c>
      <c r="C2043" t="s">
        <v>58</v>
      </c>
      <c r="D2043" t="s">
        <v>31</v>
      </c>
      <c r="E2043" t="s">
        <v>22</v>
      </c>
      <c r="F2043" t="s">
        <v>56</v>
      </c>
      <c r="G2043" t="s">
        <v>28</v>
      </c>
      <c r="H2043">
        <v>11</v>
      </c>
    </row>
    <row r="2044" spans="1:8" ht="21.75" customHeight="1" x14ac:dyDescent="0.35">
      <c r="A2044" t="s">
        <v>2139</v>
      </c>
      <c r="B2044" s="3">
        <v>45472</v>
      </c>
      <c r="C2044" t="s">
        <v>363</v>
      </c>
      <c r="D2044" t="s">
        <v>174</v>
      </c>
      <c r="E2044" t="s">
        <v>11</v>
      </c>
      <c r="F2044" t="s">
        <v>42</v>
      </c>
      <c r="G2044" t="s">
        <v>28</v>
      </c>
      <c r="H2044">
        <v>10</v>
      </c>
    </row>
    <row r="2045" spans="1:8" ht="21.75" customHeight="1" x14ac:dyDescent="0.35">
      <c r="A2045" t="s">
        <v>2140</v>
      </c>
      <c r="B2045" s="3">
        <v>45636</v>
      </c>
      <c r="C2045" t="s">
        <v>323</v>
      </c>
      <c r="D2045" t="s">
        <v>72</v>
      </c>
      <c r="E2045" t="s">
        <v>11</v>
      </c>
      <c r="F2045" t="s">
        <v>306</v>
      </c>
      <c r="G2045" t="s">
        <v>28</v>
      </c>
      <c r="H2045">
        <v>16</v>
      </c>
    </row>
    <row r="2046" spans="1:8" ht="21.75" customHeight="1" x14ac:dyDescent="0.35">
      <c r="A2046" t="s">
        <v>2141</v>
      </c>
      <c r="B2046" s="3">
        <v>45403</v>
      </c>
      <c r="C2046" t="s">
        <v>314</v>
      </c>
      <c r="D2046" t="s">
        <v>26</v>
      </c>
      <c r="E2046" t="s">
        <v>11</v>
      </c>
      <c r="F2046" t="s">
        <v>56</v>
      </c>
      <c r="G2046" t="s">
        <v>23</v>
      </c>
      <c r="H2046">
        <v>7</v>
      </c>
    </row>
    <row r="2047" spans="1:8" ht="21.75" customHeight="1" x14ac:dyDescent="0.35">
      <c r="A2047" t="s">
        <v>2142</v>
      </c>
      <c r="B2047" s="3">
        <v>45415</v>
      </c>
      <c r="C2047" t="s">
        <v>86</v>
      </c>
      <c r="D2047" t="s">
        <v>65</v>
      </c>
      <c r="E2047" t="s">
        <v>11</v>
      </c>
      <c r="F2047" t="s">
        <v>56</v>
      </c>
      <c r="G2047" t="s">
        <v>28</v>
      </c>
      <c r="H2047">
        <v>20</v>
      </c>
    </row>
    <row r="2048" spans="1:8" ht="21.75" customHeight="1" x14ac:dyDescent="0.35">
      <c r="A2048" t="s">
        <v>2143</v>
      </c>
      <c r="B2048" s="3">
        <v>45346</v>
      </c>
      <c r="C2048" t="s">
        <v>114</v>
      </c>
      <c r="D2048" t="s">
        <v>10</v>
      </c>
      <c r="E2048" t="s">
        <v>22</v>
      </c>
      <c r="F2048" t="s">
        <v>27</v>
      </c>
      <c r="G2048" t="s">
        <v>36</v>
      </c>
      <c r="H2048">
        <v>1</v>
      </c>
    </row>
    <row r="2049" spans="1:8" ht="21.75" customHeight="1" x14ac:dyDescent="0.35">
      <c r="A2049" t="s">
        <v>2144</v>
      </c>
      <c r="B2049" s="3">
        <v>45569</v>
      </c>
      <c r="C2049" t="s">
        <v>116</v>
      </c>
      <c r="D2049" t="s">
        <v>35</v>
      </c>
      <c r="E2049" t="s">
        <v>17</v>
      </c>
      <c r="F2049" t="s">
        <v>306</v>
      </c>
      <c r="G2049" t="s">
        <v>32</v>
      </c>
      <c r="H2049">
        <v>16</v>
      </c>
    </row>
    <row r="2050" spans="1:8" ht="21.75" customHeight="1" x14ac:dyDescent="0.35">
      <c r="A2050" t="s">
        <v>2145</v>
      </c>
      <c r="B2050" s="3">
        <v>45586</v>
      </c>
      <c r="C2050" t="s">
        <v>89</v>
      </c>
      <c r="D2050" t="s">
        <v>35</v>
      </c>
      <c r="E2050" t="s">
        <v>11</v>
      </c>
      <c r="F2050" t="s">
        <v>306</v>
      </c>
      <c r="G2050" t="s">
        <v>32</v>
      </c>
      <c r="H2050">
        <v>13</v>
      </c>
    </row>
    <row r="2051" spans="1:8" ht="21.75" customHeight="1" x14ac:dyDescent="0.35">
      <c r="A2051" t="s">
        <v>2146</v>
      </c>
      <c r="B2051" s="3">
        <v>45587</v>
      </c>
      <c r="C2051" t="s">
        <v>34</v>
      </c>
      <c r="D2051" t="s">
        <v>79</v>
      </c>
      <c r="E2051" t="s">
        <v>22</v>
      </c>
      <c r="F2051" t="s">
        <v>27</v>
      </c>
      <c r="G2051" t="s">
        <v>23</v>
      </c>
      <c r="H2051">
        <v>18</v>
      </c>
    </row>
    <row r="2052" spans="1:8" ht="21.75" customHeight="1" x14ac:dyDescent="0.35">
      <c r="A2052" t="s">
        <v>2147</v>
      </c>
      <c r="B2052" s="3">
        <v>45469</v>
      </c>
      <c r="C2052" t="s">
        <v>106</v>
      </c>
      <c r="D2052" t="s">
        <v>41</v>
      </c>
      <c r="E2052" t="s">
        <v>11</v>
      </c>
      <c r="F2052" t="s">
        <v>27</v>
      </c>
      <c r="G2052" t="s">
        <v>13</v>
      </c>
      <c r="H2052">
        <v>17</v>
      </c>
    </row>
    <row r="2053" spans="1:8" ht="21.75" customHeight="1" x14ac:dyDescent="0.35">
      <c r="A2053" t="s">
        <v>2148</v>
      </c>
      <c r="B2053" s="3">
        <v>45644</v>
      </c>
      <c r="C2053" t="s">
        <v>142</v>
      </c>
      <c r="D2053" t="s">
        <v>96</v>
      </c>
      <c r="E2053" t="s">
        <v>22</v>
      </c>
      <c r="F2053" t="s">
        <v>56</v>
      </c>
      <c r="G2053" t="s">
        <v>23</v>
      </c>
      <c r="H2053">
        <v>19</v>
      </c>
    </row>
    <row r="2054" spans="1:8" ht="21.75" customHeight="1" x14ac:dyDescent="0.35">
      <c r="A2054" t="s">
        <v>2149</v>
      </c>
      <c r="B2054" s="3">
        <v>45477</v>
      </c>
      <c r="C2054" t="s">
        <v>594</v>
      </c>
      <c r="D2054" t="s">
        <v>26</v>
      </c>
      <c r="E2054" t="s">
        <v>11</v>
      </c>
      <c r="F2054" t="s">
        <v>306</v>
      </c>
      <c r="G2054" t="s">
        <v>32</v>
      </c>
      <c r="H2054">
        <v>8</v>
      </c>
    </row>
    <row r="2055" spans="1:8" ht="21.75" customHeight="1" x14ac:dyDescent="0.35">
      <c r="A2055" t="s">
        <v>2150</v>
      </c>
      <c r="B2055" s="3">
        <v>45605</v>
      </c>
      <c r="C2055" t="s">
        <v>47</v>
      </c>
      <c r="D2055" t="s">
        <v>48</v>
      </c>
      <c r="E2055" t="s">
        <v>11</v>
      </c>
      <c r="F2055" t="s">
        <v>27</v>
      </c>
      <c r="G2055" t="s">
        <v>23</v>
      </c>
      <c r="H2055">
        <v>7</v>
      </c>
    </row>
    <row r="2056" spans="1:8" ht="21.75" customHeight="1" x14ac:dyDescent="0.35">
      <c r="A2056" t="s">
        <v>2151</v>
      </c>
      <c r="B2056" s="3">
        <v>45482</v>
      </c>
      <c r="C2056" t="s">
        <v>83</v>
      </c>
      <c r="D2056" t="s">
        <v>31</v>
      </c>
      <c r="E2056" t="s">
        <v>17</v>
      </c>
      <c r="F2056" t="s">
        <v>27</v>
      </c>
      <c r="G2056" t="s">
        <v>28</v>
      </c>
      <c r="H2056">
        <v>19</v>
      </c>
    </row>
    <row r="2057" spans="1:8" ht="21.75" customHeight="1" x14ac:dyDescent="0.35">
      <c r="A2057" t="s">
        <v>2152</v>
      </c>
      <c r="B2057" s="3">
        <v>45586</v>
      </c>
      <c r="C2057" t="s">
        <v>455</v>
      </c>
      <c r="D2057" t="s">
        <v>197</v>
      </c>
      <c r="E2057" t="s">
        <v>11</v>
      </c>
      <c r="F2057" t="s">
        <v>42</v>
      </c>
      <c r="G2057" t="s">
        <v>28</v>
      </c>
      <c r="H2057">
        <v>18</v>
      </c>
    </row>
    <row r="2058" spans="1:8" ht="21.75" customHeight="1" x14ac:dyDescent="0.35">
      <c r="A2058" t="s">
        <v>2153</v>
      </c>
      <c r="B2058" s="3">
        <v>45487</v>
      </c>
      <c r="C2058" t="s">
        <v>104</v>
      </c>
      <c r="D2058" t="s">
        <v>16</v>
      </c>
      <c r="E2058" t="s">
        <v>22</v>
      </c>
      <c r="F2058" t="s">
        <v>56</v>
      </c>
      <c r="G2058" t="s">
        <v>23</v>
      </c>
      <c r="H2058">
        <v>1</v>
      </c>
    </row>
    <row r="2059" spans="1:8" ht="21.75" customHeight="1" x14ac:dyDescent="0.35">
      <c r="A2059" t="s">
        <v>2154</v>
      </c>
      <c r="B2059" s="3">
        <v>45547</v>
      </c>
      <c r="C2059" t="s">
        <v>99</v>
      </c>
      <c r="D2059" t="s">
        <v>21</v>
      </c>
      <c r="E2059" t="s">
        <v>22</v>
      </c>
      <c r="F2059" t="s">
        <v>306</v>
      </c>
      <c r="G2059" t="s">
        <v>32</v>
      </c>
      <c r="H2059">
        <v>16</v>
      </c>
    </row>
    <row r="2060" spans="1:8" ht="21.75" customHeight="1" x14ac:dyDescent="0.35">
      <c r="A2060" t="s">
        <v>2155</v>
      </c>
      <c r="B2060" s="3">
        <v>45579</v>
      </c>
      <c r="C2060" t="s">
        <v>614</v>
      </c>
      <c r="D2060" t="s">
        <v>79</v>
      </c>
      <c r="E2060" t="s">
        <v>17</v>
      </c>
      <c r="F2060" t="s">
        <v>12</v>
      </c>
      <c r="G2060" t="s">
        <v>28</v>
      </c>
      <c r="H2060">
        <v>2</v>
      </c>
    </row>
    <row r="2061" spans="1:8" ht="21.75" customHeight="1" x14ac:dyDescent="0.35">
      <c r="A2061" t="s">
        <v>2156</v>
      </c>
      <c r="B2061" s="3">
        <v>45422</v>
      </c>
      <c r="C2061" t="s">
        <v>553</v>
      </c>
      <c r="D2061" t="s">
        <v>21</v>
      </c>
      <c r="E2061" t="s">
        <v>11</v>
      </c>
      <c r="F2061" t="s">
        <v>27</v>
      </c>
      <c r="G2061" t="s">
        <v>32</v>
      </c>
      <c r="H2061">
        <v>9</v>
      </c>
    </row>
    <row r="2062" spans="1:8" ht="21.75" customHeight="1" x14ac:dyDescent="0.35">
      <c r="A2062" t="s">
        <v>2157</v>
      </c>
      <c r="B2062" s="3">
        <v>45578</v>
      </c>
      <c r="C2062" t="s">
        <v>642</v>
      </c>
      <c r="D2062" t="s">
        <v>26</v>
      </c>
      <c r="E2062" t="s">
        <v>17</v>
      </c>
      <c r="F2062" t="s">
        <v>12</v>
      </c>
      <c r="G2062" t="s">
        <v>23</v>
      </c>
      <c r="H2062">
        <v>4</v>
      </c>
    </row>
    <row r="2063" spans="1:8" ht="21.75" customHeight="1" x14ac:dyDescent="0.35">
      <c r="A2063" t="s">
        <v>2158</v>
      </c>
      <c r="B2063" s="3">
        <v>45639</v>
      </c>
      <c r="C2063" t="s">
        <v>493</v>
      </c>
      <c r="D2063" t="s">
        <v>65</v>
      </c>
      <c r="E2063" t="s">
        <v>22</v>
      </c>
      <c r="F2063" t="s">
        <v>306</v>
      </c>
      <c r="G2063" t="s">
        <v>36</v>
      </c>
      <c r="H2063">
        <v>6</v>
      </c>
    </row>
    <row r="2064" spans="1:8" ht="21.75" customHeight="1" x14ac:dyDescent="0.35">
      <c r="A2064" t="s">
        <v>2159</v>
      </c>
      <c r="B2064" s="3">
        <v>45437</v>
      </c>
      <c r="C2064" t="s">
        <v>182</v>
      </c>
      <c r="D2064" t="s">
        <v>72</v>
      </c>
      <c r="E2064" t="s">
        <v>22</v>
      </c>
      <c r="F2064" t="s">
        <v>306</v>
      </c>
      <c r="G2064" t="s">
        <v>23</v>
      </c>
      <c r="H2064">
        <v>15</v>
      </c>
    </row>
    <row r="2065" spans="1:8" ht="21.75" customHeight="1" x14ac:dyDescent="0.35">
      <c r="A2065" t="s">
        <v>2160</v>
      </c>
      <c r="B2065" s="3">
        <v>45487</v>
      </c>
      <c r="C2065" t="s">
        <v>594</v>
      </c>
      <c r="D2065" t="s">
        <v>74</v>
      </c>
      <c r="E2065" t="s">
        <v>17</v>
      </c>
      <c r="F2065" t="s">
        <v>56</v>
      </c>
      <c r="G2065" t="s">
        <v>28</v>
      </c>
      <c r="H2065">
        <v>11</v>
      </c>
    </row>
    <row r="2066" spans="1:8" ht="21.75" customHeight="1" x14ac:dyDescent="0.35">
      <c r="A2066" t="s">
        <v>2161</v>
      </c>
      <c r="B2066" s="3">
        <v>45605</v>
      </c>
      <c r="C2066" t="s">
        <v>314</v>
      </c>
      <c r="D2066" t="s">
        <v>31</v>
      </c>
      <c r="E2066" t="s">
        <v>11</v>
      </c>
      <c r="F2066" t="s">
        <v>12</v>
      </c>
      <c r="G2066" t="s">
        <v>28</v>
      </c>
      <c r="H2066">
        <v>11</v>
      </c>
    </row>
    <row r="2067" spans="1:8" ht="21.75" customHeight="1" x14ac:dyDescent="0.35">
      <c r="A2067" t="s">
        <v>2162</v>
      </c>
      <c r="B2067" s="3">
        <v>45454</v>
      </c>
      <c r="C2067" t="s">
        <v>350</v>
      </c>
      <c r="D2067" t="s">
        <v>74</v>
      </c>
      <c r="E2067" t="s">
        <v>22</v>
      </c>
      <c r="F2067" t="s">
        <v>42</v>
      </c>
      <c r="G2067" t="s">
        <v>36</v>
      </c>
      <c r="H2067">
        <v>13</v>
      </c>
    </row>
    <row r="2068" spans="1:8" ht="21.75" customHeight="1" x14ac:dyDescent="0.35">
      <c r="A2068" t="s">
        <v>2163</v>
      </c>
      <c r="B2068" s="3">
        <v>45519</v>
      </c>
      <c r="C2068" t="s">
        <v>420</v>
      </c>
      <c r="D2068" t="s">
        <v>48</v>
      </c>
      <c r="E2068" t="s">
        <v>22</v>
      </c>
      <c r="F2068" t="s">
        <v>306</v>
      </c>
      <c r="G2068" t="s">
        <v>36</v>
      </c>
      <c r="H2068">
        <v>15</v>
      </c>
    </row>
    <row r="2069" spans="1:8" ht="21.75" customHeight="1" x14ac:dyDescent="0.35">
      <c r="A2069" t="s">
        <v>2164</v>
      </c>
      <c r="B2069" s="3">
        <v>45386</v>
      </c>
      <c r="C2069" t="s">
        <v>138</v>
      </c>
      <c r="D2069" t="s">
        <v>16</v>
      </c>
      <c r="E2069" t="s">
        <v>22</v>
      </c>
      <c r="F2069" t="s">
        <v>56</v>
      </c>
      <c r="G2069" t="s">
        <v>32</v>
      </c>
      <c r="H2069">
        <v>3</v>
      </c>
    </row>
    <row r="2070" spans="1:8" ht="21.75" customHeight="1" x14ac:dyDescent="0.35">
      <c r="A2070" t="s">
        <v>2165</v>
      </c>
      <c r="B2070" s="3">
        <v>45495</v>
      </c>
      <c r="C2070" t="s">
        <v>15</v>
      </c>
      <c r="D2070" t="s">
        <v>102</v>
      </c>
      <c r="E2070" t="s">
        <v>11</v>
      </c>
      <c r="F2070" t="s">
        <v>27</v>
      </c>
      <c r="G2070" t="s">
        <v>36</v>
      </c>
      <c r="H2070">
        <v>2</v>
      </c>
    </row>
    <row r="2071" spans="1:8" ht="21.75" customHeight="1" x14ac:dyDescent="0.35">
      <c r="A2071" t="s">
        <v>2166</v>
      </c>
      <c r="B2071" s="3">
        <v>45495</v>
      </c>
      <c r="C2071" t="s">
        <v>339</v>
      </c>
      <c r="D2071" t="s">
        <v>119</v>
      </c>
      <c r="E2071" t="s">
        <v>11</v>
      </c>
      <c r="F2071" t="s">
        <v>12</v>
      </c>
      <c r="G2071" t="s">
        <v>32</v>
      </c>
      <c r="H2071">
        <v>20</v>
      </c>
    </row>
    <row r="2072" spans="1:8" ht="21.75" customHeight="1" x14ac:dyDescent="0.35">
      <c r="A2072" t="s">
        <v>2167</v>
      </c>
      <c r="B2072" s="3">
        <v>45627</v>
      </c>
      <c r="C2072" t="s">
        <v>53</v>
      </c>
      <c r="D2072" t="s">
        <v>74</v>
      </c>
      <c r="E2072" t="s">
        <v>11</v>
      </c>
      <c r="F2072" t="s">
        <v>56</v>
      </c>
      <c r="G2072" t="s">
        <v>32</v>
      </c>
      <c r="H2072">
        <v>15</v>
      </c>
    </row>
    <row r="2073" spans="1:8" ht="21.75" customHeight="1" x14ac:dyDescent="0.35">
      <c r="A2073" t="s">
        <v>2168</v>
      </c>
      <c r="B2073" s="3">
        <v>45359</v>
      </c>
      <c r="C2073" t="s">
        <v>339</v>
      </c>
      <c r="D2073" t="s">
        <v>45</v>
      </c>
      <c r="E2073" t="s">
        <v>11</v>
      </c>
      <c r="F2073" t="s">
        <v>12</v>
      </c>
      <c r="G2073" t="s">
        <v>32</v>
      </c>
      <c r="H2073">
        <v>11</v>
      </c>
    </row>
    <row r="2074" spans="1:8" ht="21.75" customHeight="1" x14ac:dyDescent="0.35">
      <c r="A2074" t="s">
        <v>2169</v>
      </c>
      <c r="B2074" s="3">
        <v>45531</v>
      </c>
      <c r="C2074" t="s">
        <v>591</v>
      </c>
      <c r="D2074" t="s">
        <v>26</v>
      </c>
      <c r="E2074" t="s">
        <v>22</v>
      </c>
      <c r="F2074" t="s">
        <v>27</v>
      </c>
      <c r="G2074" t="s">
        <v>28</v>
      </c>
      <c r="H2074">
        <v>18</v>
      </c>
    </row>
    <row r="2075" spans="1:8" ht="21.75" customHeight="1" x14ac:dyDescent="0.35">
      <c r="A2075" t="s">
        <v>2170</v>
      </c>
      <c r="B2075" s="3">
        <v>45597</v>
      </c>
      <c r="C2075" t="s">
        <v>366</v>
      </c>
      <c r="D2075" t="s">
        <v>21</v>
      </c>
      <c r="E2075" t="s">
        <v>22</v>
      </c>
      <c r="F2075" t="s">
        <v>306</v>
      </c>
      <c r="G2075" t="s">
        <v>23</v>
      </c>
      <c r="H2075">
        <v>17</v>
      </c>
    </row>
    <row r="2076" spans="1:8" ht="21.75" customHeight="1" x14ac:dyDescent="0.35">
      <c r="A2076" t="s">
        <v>2171</v>
      </c>
      <c r="B2076" s="3">
        <v>45565</v>
      </c>
      <c r="C2076" t="s">
        <v>147</v>
      </c>
      <c r="D2076" t="s">
        <v>48</v>
      </c>
      <c r="E2076" t="s">
        <v>17</v>
      </c>
      <c r="F2076" t="s">
        <v>306</v>
      </c>
      <c r="G2076" t="s">
        <v>28</v>
      </c>
      <c r="H2076">
        <v>3</v>
      </c>
    </row>
    <row r="2077" spans="1:8" ht="21.75" customHeight="1" x14ac:dyDescent="0.35">
      <c r="A2077" t="s">
        <v>2172</v>
      </c>
      <c r="B2077" s="3">
        <v>45479</v>
      </c>
      <c r="C2077" t="s">
        <v>408</v>
      </c>
      <c r="D2077" t="s">
        <v>26</v>
      </c>
      <c r="E2077" t="s">
        <v>11</v>
      </c>
      <c r="F2077" t="s">
        <v>42</v>
      </c>
      <c r="G2077" t="s">
        <v>13</v>
      </c>
      <c r="H2077">
        <v>1</v>
      </c>
    </row>
    <row r="2078" spans="1:8" ht="21.75" customHeight="1" x14ac:dyDescent="0.35">
      <c r="A2078" t="s">
        <v>2173</v>
      </c>
      <c r="B2078" s="3">
        <v>45361</v>
      </c>
      <c r="C2078" t="s">
        <v>20</v>
      </c>
      <c r="D2078" t="s">
        <v>74</v>
      </c>
      <c r="E2078" t="s">
        <v>17</v>
      </c>
      <c r="F2078" t="s">
        <v>306</v>
      </c>
      <c r="G2078" t="s">
        <v>13</v>
      </c>
      <c r="H2078">
        <v>16</v>
      </c>
    </row>
    <row r="2079" spans="1:8" ht="21.75" customHeight="1" x14ac:dyDescent="0.35">
      <c r="A2079" t="s">
        <v>2174</v>
      </c>
      <c r="B2079" s="3">
        <v>45536</v>
      </c>
      <c r="C2079" t="s">
        <v>68</v>
      </c>
      <c r="D2079" t="s">
        <v>96</v>
      </c>
      <c r="E2079" t="s">
        <v>17</v>
      </c>
      <c r="F2079" t="s">
        <v>42</v>
      </c>
      <c r="G2079" t="s">
        <v>36</v>
      </c>
      <c r="H2079">
        <v>8</v>
      </c>
    </row>
    <row r="2080" spans="1:8" ht="21.75" customHeight="1" x14ac:dyDescent="0.35">
      <c r="A2080" t="s">
        <v>2175</v>
      </c>
      <c r="B2080" s="3">
        <v>45572</v>
      </c>
      <c r="C2080" t="s">
        <v>200</v>
      </c>
      <c r="D2080" t="s">
        <v>65</v>
      </c>
      <c r="E2080" t="s">
        <v>17</v>
      </c>
      <c r="F2080" t="s">
        <v>306</v>
      </c>
      <c r="G2080" t="s">
        <v>23</v>
      </c>
      <c r="H2080">
        <v>13</v>
      </c>
    </row>
    <row r="2081" spans="1:8" ht="21.75" customHeight="1" x14ac:dyDescent="0.35">
      <c r="A2081" t="s">
        <v>2176</v>
      </c>
      <c r="B2081" s="3">
        <v>45622</v>
      </c>
      <c r="C2081" t="s">
        <v>53</v>
      </c>
      <c r="D2081" t="s">
        <v>31</v>
      </c>
      <c r="E2081" t="s">
        <v>11</v>
      </c>
      <c r="F2081" t="s">
        <v>42</v>
      </c>
      <c r="G2081" t="s">
        <v>13</v>
      </c>
      <c r="H2081">
        <v>14</v>
      </c>
    </row>
    <row r="2082" spans="1:8" ht="21.75" customHeight="1" x14ac:dyDescent="0.35">
      <c r="A2082" t="s">
        <v>2177</v>
      </c>
      <c r="B2082" s="3">
        <v>45556</v>
      </c>
      <c r="C2082" t="s">
        <v>332</v>
      </c>
      <c r="D2082" t="s">
        <v>109</v>
      </c>
      <c r="E2082" t="s">
        <v>22</v>
      </c>
      <c r="F2082" t="s">
        <v>42</v>
      </c>
      <c r="G2082" t="s">
        <v>32</v>
      </c>
      <c r="H2082">
        <v>18</v>
      </c>
    </row>
    <row r="2083" spans="1:8" ht="21.75" customHeight="1" x14ac:dyDescent="0.35">
      <c r="A2083" t="s">
        <v>2178</v>
      </c>
      <c r="B2083" s="3">
        <v>45503</v>
      </c>
      <c r="C2083" t="s">
        <v>150</v>
      </c>
      <c r="D2083" t="s">
        <v>10</v>
      </c>
      <c r="E2083" t="s">
        <v>11</v>
      </c>
      <c r="F2083" t="s">
        <v>56</v>
      </c>
      <c r="G2083" t="s">
        <v>32</v>
      </c>
      <c r="H2083">
        <v>4</v>
      </c>
    </row>
    <row r="2084" spans="1:8" ht="21.75" customHeight="1" x14ac:dyDescent="0.35">
      <c r="A2084" t="s">
        <v>2179</v>
      </c>
      <c r="B2084" s="3">
        <v>45608</v>
      </c>
      <c r="C2084" t="s">
        <v>430</v>
      </c>
      <c r="D2084" t="s">
        <v>26</v>
      </c>
      <c r="E2084" t="s">
        <v>22</v>
      </c>
      <c r="F2084" t="s">
        <v>306</v>
      </c>
      <c r="G2084" t="s">
        <v>23</v>
      </c>
      <c r="H2084">
        <v>7</v>
      </c>
    </row>
    <row r="2085" spans="1:8" ht="21.75" customHeight="1" x14ac:dyDescent="0.35">
      <c r="A2085" t="s">
        <v>2180</v>
      </c>
      <c r="B2085" s="3">
        <v>45369</v>
      </c>
      <c r="C2085" t="s">
        <v>9</v>
      </c>
      <c r="D2085" t="s">
        <v>174</v>
      </c>
      <c r="E2085" t="s">
        <v>11</v>
      </c>
      <c r="F2085" t="s">
        <v>56</v>
      </c>
      <c r="G2085" t="s">
        <v>13</v>
      </c>
      <c r="H2085">
        <v>10</v>
      </c>
    </row>
    <row r="2086" spans="1:8" ht="21.75" customHeight="1" x14ac:dyDescent="0.35">
      <c r="A2086" t="s">
        <v>2181</v>
      </c>
      <c r="B2086" s="3">
        <v>45516</v>
      </c>
      <c r="C2086" t="s">
        <v>388</v>
      </c>
      <c r="D2086" t="s">
        <v>96</v>
      </c>
      <c r="E2086" t="s">
        <v>11</v>
      </c>
      <c r="F2086" t="s">
        <v>12</v>
      </c>
      <c r="G2086" t="s">
        <v>28</v>
      </c>
      <c r="H2086">
        <v>1</v>
      </c>
    </row>
    <row r="2087" spans="1:8" ht="21.75" customHeight="1" x14ac:dyDescent="0.35">
      <c r="A2087" t="s">
        <v>2182</v>
      </c>
      <c r="B2087" s="3">
        <v>45467</v>
      </c>
      <c r="C2087" t="s">
        <v>572</v>
      </c>
      <c r="D2087" t="s">
        <v>74</v>
      </c>
      <c r="E2087" t="s">
        <v>17</v>
      </c>
      <c r="F2087" t="s">
        <v>42</v>
      </c>
      <c r="G2087" t="s">
        <v>23</v>
      </c>
      <c r="H2087">
        <v>2</v>
      </c>
    </row>
    <row r="2088" spans="1:8" ht="21.75" customHeight="1" x14ac:dyDescent="0.35">
      <c r="A2088" t="s">
        <v>2183</v>
      </c>
      <c r="B2088" s="3">
        <v>45366</v>
      </c>
      <c r="C2088" t="s">
        <v>131</v>
      </c>
      <c r="D2088" t="s">
        <v>26</v>
      </c>
      <c r="E2088" t="s">
        <v>17</v>
      </c>
      <c r="F2088" t="s">
        <v>12</v>
      </c>
      <c r="G2088" t="s">
        <v>36</v>
      </c>
      <c r="H2088">
        <v>16</v>
      </c>
    </row>
    <row r="2089" spans="1:8" ht="21.75" customHeight="1" x14ac:dyDescent="0.35">
      <c r="A2089" t="s">
        <v>2184</v>
      </c>
      <c r="B2089" s="3">
        <v>45420</v>
      </c>
      <c r="C2089" t="s">
        <v>159</v>
      </c>
      <c r="D2089" t="s">
        <v>96</v>
      </c>
      <c r="E2089" t="s">
        <v>11</v>
      </c>
      <c r="F2089" t="s">
        <v>56</v>
      </c>
      <c r="G2089" t="s">
        <v>23</v>
      </c>
      <c r="H2089">
        <v>15</v>
      </c>
    </row>
    <row r="2090" spans="1:8" ht="21.75" customHeight="1" x14ac:dyDescent="0.35">
      <c r="A2090" t="s">
        <v>2185</v>
      </c>
      <c r="B2090" s="3">
        <v>45309</v>
      </c>
      <c r="C2090" t="s">
        <v>104</v>
      </c>
      <c r="D2090" t="s">
        <v>70</v>
      </c>
      <c r="E2090" t="s">
        <v>22</v>
      </c>
      <c r="F2090" t="s">
        <v>12</v>
      </c>
      <c r="G2090" t="s">
        <v>36</v>
      </c>
      <c r="H2090">
        <v>7</v>
      </c>
    </row>
    <row r="2091" spans="1:8" ht="21.75" customHeight="1" x14ac:dyDescent="0.35">
      <c r="A2091" t="s">
        <v>2186</v>
      </c>
      <c r="B2091" s="3">
        <v>45640</v>
      </c>
      <c r="C2091" t="s">
        <v>147</v>
      </c>
      <c r="D2091" t="s">
        <v>72</v>
      </c>
      <c r="E2091" t="s">
        <v>11</v>
      </c>
      <c r="F2091" t="s">
        <v>12</v>
      </c>
      <c r="G2091" t="s">
        <v>36</v>
      </c>
      <c r="H2091">
        <v>17</v>
      </c>
    </row>
    <row r="2092" spans="1:8" ht="21.75" customHeight="1" x14ac:dyDescent="0.35">
      <c r="A2092" t="s">
        <v>2187</v>
      </c>
      <c r="B2092" s="3">
        <v>45538</v>
      </c>
      <c r="C2092" t="s">
        <v>541</v>
      </c>
      <c r="D2092" t="s">
        <v>74</v>
      </c>
      <c r="E2092" t="s">
        <v>11</v>
      </c>
      <c r="F2092" t="s">
        <v>42</v>
      </c>
      <c r="G2092" t="s">
        <v>13</v>
      </c>
      <c r="H2092">
        <v>7</v>
      </c>
    </row>
    <row r="2093" spans="1:8" ht="21.75" customHeight="1" x14ac:dyDescent="0.35">
      <c r="A2093" t="s">
        <v>2188</v>
      </c>
      <c r="B2093" s="3">
        <v>45412</v>
      </c>
      <c r="C2093" t="s">
        <v>541</v>
      </c>
      <c r="D2093" t="s">
        <v>87</v>
      </c>
      <c r="E2093" t="s">
        <v>17</v>
      </c>
      <c r="F2093" t="s">
        <v>12</v>
      </c>
      <c r="G2093" t="s">
        <v>28</v>
      </c>
      <c r="H2093">
        <v>9</v>
      </c>
    </row>
    <row r="2094" spans="1:8" ht="21.75" customHeight="1" x14ac:dyDescent="0.35">
      <c r="A2094" t="s">
        <v>2189</v>
      </c>
      <c r="B2094" s="3">
        <v>45494</v>
      </c>
      <c r="C2094" t="s">
        <v>78</v>
      </c>
      <c r="D2094" t="s">
        <v>96</v>
      </c>
      <c r="E2094" t="s">
        <v>11</v>
      </c>
      <c r="F2094" t="s">
        <v>306</v>
      </c>
      <c r="G2094" t="s">
        <v>23</v>
      </c>
      <c r="H2094">
        <v>20</v>
      </c>
    </row>
    <row r="2095" spans="1:8" ht="21.75" customHeight="1" x14ac:dyDescent="0.35">
      <c r="A2095" t="s">
        <v>2190</v>
      </c>
      <c r="B2095" s="3">
        <v>45337</v>
      </c>
      <c r="C2095" t="s">
        <v>78</v>
      </c>
      <c r="D2095" t="s">
        <v>45</v>
      </c>
      <c r="E2095" t="s">
        <v>17</v>
      </c>
      <c r="F2095" t="s">
        <v>12</v>
      </c>
      <c r="G2095" t="s">
        <v>36</v>
      </c>
      <c r="H2095">
        <v>11</v>
      </c>
    </row>
    <row r="2096" spans="1:8" ht="21.75" customHeight="1" x14ac:dyDescent="0.35">
      <c r="A2096" t="s">
        <v>2191</v>
      </c>
      <c r="B2096" s="3">
        <v>45612</v>
      </c>
      <c r="C2096" t="s">
        <v>131</v>
      </c>
      <c r="D2096" t="s">
        <v>79</v>
      </c>
      <c r="E2096" t="s">
        <v>17</v>
      </c>
      <c r="F2096" t="s">
        <v>56</v>
      </c>
      <c r="G2096" t="s">
        <v>36</v>
      </c>
      <c r="H2096">
        <v>4</v>
      </c>
    </row>
    <row r="2097" spans="1:8" ht="21.75" customHeight="1" x14ac:dyDescent="0.35">
      <c r="A2097" t="s">
        <v>2192</v>
      </c>
      <c r="B2097" s="3">
        <v>45411</v>
      </c>
      <c r="C2097" t="s">
        <v>38</v>
      </c>
      <c r="D2097" t="s">
        <v>174</v>
      </c>
      <c r="E2097" t="s">
        <v>22</v>
      </c>
      <c r="F2097" t="s">
        <v>42</v>
      </c>
      <c r="G2097" t="s">
        <v>23</v>
      </c>
      <c r="H2097">
        <v>7</v>
      </c>
    </row>
    <row r="2098" spans="1:8" ht="21.75" customHeight="1" x14ac:dyDescent="0.35">
      <c r="A2098" t="s">
        <v>2193</v>
      </c>
      <c r="B2098" s="3">
        <v>45485</v>
      </c>
      <c r="C2098" t="s">
        <v>182</v>
      </c>
      <c r="D2098" t="s">
        <v>84</v>
      </c>
      <c r="E2098" t="s">
        <v>11</v>
      </c>
      <c r="F2098" t="s">
        <v>42</v>
      </c>
      <c r="G2098" t="s">
        <v>13</v>
      </c>
      <c r="H2098">
        <v>16</v>
      </c>
    </row>
    <row r="2099" spans="1:8" ht="21.75" customHeight="1" x14ac:dyDescent="0.35">
      <c r="A2099" t="s">
        <v>2194</v>
      </c>
      <c r="B2099" s="3">
        <v>45578</v>
      </c>
      <c r="C2099" t="s">
        <v>61</v>
      </c>
      <c r="D2099" t="s">
        <v>174</v>
      </c>
      <c r="E2099" t="s">
        <v>22</v>
      </c>
      <c r="F2099" t="s">
        <v>27</v>
      </c>
      <c r="G2099" t="s">
        <v>28</v>
      </c>
      <c r="H2099">
        <v>19</v>
      </c>
    </row>
    <row r="2100" spans="1:8" ht="21.75" customHeight="1" x14ac:dyDescent="0.35">
      <c r="A2100" t="s">
        <v>2195</v>
      </c>
      <c r="B2100" s="3">
        <v>45470</v>
      </c>
      <c r="C2100" t="s">
        <v>187</v>
      </c>
      <c r="D2100" t="s">
        <v>84</v>
      </c>
      <c r="E2100" t="s">
        <v>17</v>
      </c>
      <c r="F2100" t="s">
        <v>42</v>
      </c>
      <c r="G2100" t="s">
        <v>36</v>
      </c>
      <c r="H2100">
        <v>18</v>
      </c>
    </row>
    <row r="2101" spans="1:8" ht="21.75" customHeight="1" x14ac:dyDescent="0.35">
      <c r="A2101" t="s">
        <v>2196</v>
      </c>
      <c r="B2101" s="3">
        <v>45563</v>
      </c>
      <c r="C2101" t="s">
        <v>125</v>
      </c>
      <c r="D2101" t="s">
        <v>70</v>
      </c>
      <c r="E2101" t="s">
        <v>17</v>
      </c>
      <c r="F2101" t="s">
        <v>42</v>
      </c>
      <c r="G2101" t="s">
        <v>36</v>
      </c>
      <c r="H2101">
        <v>12</v>
      </c>
    </row>
    <row r="2102" spans="1:8" ht="21.75" customHeight="1" x14ac:dyDescent="0.35">
      <c r="A2102" t="s">
        <v>2197</v>
      </c>
      <c r="B2102" s="3">
        <v>45618</v>
      </c>
      <c r="C2102" t="s">
        <v>358</v>
      </c>
      <c r="D2102" t="s">
        <v>31</v>
      </c>
      <c r="E2102" t="s">
        <v>22</v>
      </c>
      <c r="F2102" t="s">
        <v>56</v>
      </c>
      <c r="G2102" t="s">
        <v>13</v>
      </c>
      <c r="H2102">
        <v>20</v>
      </c>
    </row>
    <row r="2103" spans="1:8" ht="21.75" customHeight="1" x14ac:dyDescent="0.35">
      <c r="A2103" t="s">
        <v>2198</v>
      </c>
      <c r="B2103" s="3">
        <v>45609</v>
      </c>
      <c r="C2103" t="s">
        <v>93</v>
      </c>
      <c r="D2103" t="s">
        <v>72</v>
      </c>
      <c r="E2103" t="s">
        <v>22</v>
      </c>
      <c r="F2103" t="s">
        <v>12</v>
      </c>
      <c r="G2103" t="s">
        <v>36</v>
      </c>
      <c r="H2103">
        <v>13</v>
      </c>
    </row>
    <row r="2104" spans="1:8" ht="21.75" customHeight="1" x14ac:dyDescent="0.35">
      <c r="A2104" t="s">
        <v>2199</v>
      </c>
      <c r="B2104" s="3">
        <v>45641</v>
      </c>
      <c r="C2104" t="s">
        <v>432</v>
      </c>
      <c r="D2104" t="s">
        <v>119</v>
      </c>
      <c r="E2104" t="s">
        <v>22</v>
      </c>
      <c r="F2104" t="s">
        <v>56</v>
      </c>
      <c r="G2104" t="s">
        <v>36</v>
      </c>
      <c r="H2104">
        <v>10</v>
      </c>
    </row>
    <row r="2105" spans="1:8" ht="21.75" customHeight="1" x14ac:dyDescent="0.35">
      <c r="A2105" t="s">
        <v>2200</v>
      </c>
      <c r="B2105" s="3">
        <v>45620</v>
      </c>
      <c r="C2105" t="s">
        <v>187</v>
      </c>
      <c r="D2105" t="s">
        <v>102</v>
      </c>
      <c r="E2105" t="s">
        <v>11</v>
      </c>
      <c r="F2105" t="s">
        <v>306</v>
      </c>
      <c r="G2105" t="s">
        <v>13</v>
      </c>
      <c r="H2105">
        <v>2</v>
      </c>
    </row>
    <row r="2106" spans="1:8" ht="21.75" customHeight="1" x14ac:dyDescent="0.35">
      <c r="A2106" t="s">
        <v>2201</v>
      </c>
      <c r="B2106" s="3">
        <v>45358</v>
      </c>
      <c r="C2106" t="s">
        <v>235</v>
      </c>
      <c r="D2106" t="s">
        <v>79</v>
      </c>
      <c r="E2106" t="s">
        <v>11</v>
      </c>
      <c r="F2106" t="s">
        <v>12</v>
      </c>
      <c r="G2106" t="s">
        <v>23</v>
      </c>
      <c r="H2106">
        <v>7</v>
      </c>
    </row>
    <row r="2107" spans="1:8" ht="21.75" customHeight="1" x14ac:dyDescent="0.35">
      <c r="A2107" t="s">
        <v>2202</v>
      </c>
      <c r="B2107" s="3">
        <v>45584</v>
      </c>
      <c r="C2107" t="s">
        <v>736</v>
      </c>
      <c r="D2107" t="s">
        <v>31</v>
      </c>
      <c r="E2107" t="s">
        <v>22</v>
      </c>
      <c r="F2107" t="s">
        <v>27</v>
      </c>
      <c r="G2107" t="s">
        <v>36</v>
      </c>
      <c r="H2107">
        <v>20</v>
      </c>
    </row>
    <row r="2108" spans="1:8" ht="21.75" customHeight="1" x14ac:dyDescent="0.35">
      <c r="A2108" t="s">
        <v>2203</v>
      </c>
      <c r="B2108" s="3">
        <v>45423</v>
      </c>
      <c r="C2108" t="s">
        <v>9</v>
      </c>
      <c r="D2108" t="s">
        <v>48</v>
      </c>
      <c r="E2108" t="s">
        <v>11</v>
      </c>
      <c r="F2108" t="s">
        <v>306</v>
      </c>
      <c r="G2108" t="s">
        <v>13</v>
      </c>
      <c r="H2108">
        <v>1</v>
      </c>
    </row>
    <row r="2109" spans="1:8" ht="21.75" customHeight="1" x14ac:dyDescent="0.35">
      <c r="A2109" t="s">
        <v>2204</v>
      </c>
      <c r="B2109" s="3">
        <v>45398</v>
      </c>
      <c r="C2109" t="s">
        <v>350</v>
      </c>
      <c r="D2109" t="s">
        <v>35</v>
      </c>
      <c r="E2109" t="s">
        <v>11</v>
      </c>
      <c r="F2109" t="s">
        <v>27</v>
      </c>
      <c r="G2109" t="s">
        <v>13</v>
      </c>
      <c r="H2109">
        <v>12</v>
      </c>
    </row>
    <row r="2110" spans="1:8" ht="21.75" customHeight="1" x14ac:dyDescent="0.35">
      <c r="A2110" t="s">
        <v>2205</v>
      </c>
      <c r="B2110" s="3">
        <v>45504</v>
      </c>
      <c r="C2110" t="s">
        <v>200</v>
      </c>
      <c r="D2110" t="s">
        <v>62</v>
      </c>
      <c r="E2110" t="s">
        <v>11</v>
      </c>
      <c r="F2110" t="s">
        <v>306</v>
      </c>
      <c r="G2110" t="s">
        <v>32</v>
      </c>
      <c r="H2110">
        <v>17</v>
      </c>
    </row>
    <row r="2111" spans="1:8" ht="21.75" customHeight="1" x14ac:dyDescent="0.35">
      <c r="A2111" t="s">
        <v>2206</v>
      </c>
      <c r="B2111" s="3">
        <v>45328</v>
      </c>
      <c r="C2111" t="s">
        <v>68</v>
      </c>
      <c r="D2111" t="s">
        <v>10</v>
      </c>
      <c r="E2111" t="s">
        <v>11</v>
      </c>
      <c r="F2111" t="s">
        <v>306</v>
      </c>
      <c r="G2111" t="s">
        <v>13</v>
      </c>
      <c r="H2111">
        <v>4</v>
      </c>
    </row>
    <row r="2112" spans="1:8" ht="21.75" customHeight="1" x14ac:dyDescent="0.35">
      <c r="A2112" t="s">
        <v>2207</v>
      </c>
      <c r="B2112" s="3">
        <v>45564</v>
      </c>
      <c r="C2112" t="s">
        <v>53</v>
      </c>
      <c r="D2112" t="s">
        <v>65</v>
      </c>
      <c r="E2112" t="s">
        <v>11</v>
      </c>
      <c r="F2112" t="s">
        <v>306</v>
      </c>
      <c r="G2112" t="s">
        <v>28</v>
      </c>
      <c r="H2112">
        <v>19</v>
      </c>
    </row>
    <row r="2113" spans="1:8" ht="21.75" customHeight="1" x14ac:dyDescent="0.35">
      <c r="A2113" t="s">
        <v>2208</v>
      </c>
      <c r="B2113" s="3">
        <v>45383</v>
      </c>
      <c r="C2113" t="s">
        <v>642</v>
      </c>
      <c r="D2113" t="s">
        <v>84</v>
      </c>
      <c r="E2113" t="s">
        <v>22</v>
      </c>
      <c r="F2113" t="s">
        <v>27</v>
      </c>
      <c r="G2113" t="s">
        <v>13</v>
      </c>
      <c r="H2113">
        <v>19</v>
      </c>
    </row>
    <row r="2114" spans="1:8" ht="21.75" customHeight="1" x14ac:dyDescent="0.35">
      <c r="A2114" t="s">
        <v>2209</v>
      </c>
      <c r="B2114" s="3">
        <v>45526</v>
      </c>
      <c r="C2114" t="s">
        <v>424</v>
      </c>
      <c r="D2114" t="s">
        <v>41</v>
      </c>
      <c r="E2114" t="s">
        <v>17</v>
      </c>
      <c r="F2114" t="s">
        <v>12</v>
      </c>
      <c r="G2114" t="s">
        <v>28</v>
      </c>
      <c r="H2114">
        <v>6</v>
      </c>
    </row>
    <row r="2115" spans="1:8" ht="21.75" customHeight="1" x14ac:dyDescent="0.35">
      <c r="A2115" t="s">
        <v>2210</v>
      </c>
      <c r="B2115" s="3">
        <v>45550</v>
      </c>
      <c r="C2115" t="s">
        <v>47</v>
      </c>
      <c r="D2115" t="s">
        <v>41</v>
      </c>
      <c r="E2115" t="s">
        <v>11</v>
      </c>
      <c r="F2115" t="s">
        <v>306</v>
      </c>
      <c r="G2115" t="s">
        <v>36</v>
      </c>
      <c r="H2115">
        <v>15</v>
      </c>
    </row>
    <row r="2116" spans="1:8" ht="21.75" customHeight="1" x14ac:dyDescent="0.35">
      <c r="A2116" t="s">
        <v>2211</v>
      </c>
      <c r="B2116" s="3">
        <v>45453</v>
      </c>
      <c r="C2116" t="s">
        <v>378</v>
      </c>
      <c r="D2116" t="s">
        <v>72</v>
      </c>
      <c r="E2116" t="s">
        <v>17</v>
      </c>
      <c r="F2116" t="s">
        <v>27</v>
      </c>
      <c r="G2116" t="s">
        <v>23</v>
      </c>
      <c r="H2116">
        <v>11</v>
      </c>
    </row>
    <row r="2117" spans="1:8" ht="21.75" customHeight="1" x14ac:dyDescent="0.35">
      <c r="A2117" t="s">
        <v>2212</v>
      </c>
      <c r="B2117" s="3">
        <v>45580</v>
      </c>
      <c r="C2117" t="s">
        <v>591</v>
      </c>
      <c r="D2117" t="s">
        <v>65</v>
      </c>
      <c r="E2117" t="s">
        <v>17</v>
      </c>
      <c r="F2117" t="s">
        <v>306</v>
      </c>
      <c r="G2117" t="s">
        <v>32</v>
      </c>
      <c r="H2117">
        <v>12</v>
      </c>
    </row>
    <row r="2118" spans="1:8" ht="21.75" customHeight="1" x14ac:dyDescent="0.35">
      <c r="A2118" t="s">
        <v>2213</v>
      </c>
      <c r="B2118" s="3">
        <v>45521</v>
      </c>
      <c r="C2118" t="s">
        <v>106</v>
      </c>
      <c r="D2118" t="s">
        <v>96</v>
      </c>
      <c r="E2118" t="s">
        <v>22</v>
      </c>
      <c r="F2118" t="s">
        <v>12</v>
      </c>
      <c r="G2118" t="s">
        <v>32</v>
      </c>
      <c r="H2118">
        <v>20</v>
      </c>
    </row>
    <row r="2119" spans="1:8" ht="21.75" customHeight="1" x14ac:dyDescent="0.35">
      <c r="A2119" t="s">
        <v>2214</v>
      </c>
      <c r="B2119" s="3">
        <v>45361</v>
      </c>
      <c r="C2119" t="s">
        <v>68</v>
      </c>
      <c r="D2119" t="s">
        <v>96</v>
      </c>
      <c r="E2119" t="s">
        <v>17</v>
      </c>
      <c r="F2119" t="s">
        <v>56</v>
      </c>
      <c r="G2119" t="s">
        <v>28</v>
      </c>
      <c r="H2119">
        <v>11</v>
      </c>
    </row>
    <row r="2120" spans="1:8" ht="21.75" customHeight="1" x14ac:dyDescent="0.35">
      <c r="A2120" t="s">
        <v>2215</v>
      </c>
      <c r="B2120" s="3">
        <v>45645</v>
      </c>
      <c r="C2120" t="s">
        <v>89</v>
      </c>
      <c r="D2120" t="s">
        <v>174</v>
      </c>
      <c r="E2120" t="s">
        <v>22</v>
      </c>
      <c r="F2120" t="s">
        <v>306</v>
      </c>
      <c r="G2120" t="s">
        <v>36</v>
      </c>
      <c r="H2120">
        <v>19</v>
      </c>
    </row>
    <row r="2121" spans="1:8" ht="21.75" customHeight="1" x14ac:dyDescent="0.35">
      <c r="A2121" t="s">
        <v>2216</v>
      </c>
      <c r="B2121" s="3">
        <v>45311</v>
      </c>
      <c r="C2121" t="s">
        <v>366</v>
      </c>
      <c r="D2121" t="s">
        <v>48</v>
      </c>
      <c r="E2121" t="s">
        <v>11</v>
      </c>
      <c r="F2121" t="s">
        <v>56</v>
      </c>
      <c r="G2121" t="s">
        <v>32</v>
      </c>
      <c r="H2121">
        <v>12</v>
      </c>
    </row>
    <row r="2122" spans="1:8" ht="21.75" customHeight="1" x14ac:dyDescent="0.35">
      <c r="A2122" t="s">
        <v>2217</v>
      </c>
      <c r="B2122" s="3">
        <v>45419</v>
      </c>
      <c r="C2122" t="s">
        <v>51</v>
      </c>
      <c r="D2122" t="s">
        <v>26</v>
      </c>
      <c r="E2122" t="s">
        <v>17</v>
      </c>
      <c r="F2122" t="s">
        <v>12</v>
      </c>
      <c r="G2122" t="s">
        <v>36</v>
      </c>
      <c r="H2122">
        <v>13</v>
      </c>
    </row>
    <row r="2123" spans="1:8" ht="21.75" customHeight="1" x14ac:dyDescent="0.35">
      <c r="A2123" t="s">
        <v>2218</v>
      </c>
      <c r="B2123" s="3">
        <v>45403</v>
      </c>
      <c r="C2123" t="s">
        <v>388</v>
      </c>
      <c r="D2123" t="s">
        <v>10</v>
      </c>
      <c r="E2123" t="s">
        <v>22</v>
      </c>
      <c r="F2123" t="s">
        <v>42</v>
      </c>
      <c r="G2123" t="s">
        <v>23</v>
      </c>
      <c r="H2123">
        <v>6</v>
      </c>
    </row>
    <row r="2124" spans="1:8" ht="21.75" customHeight="1" x14ac:dyDescent="0.35">
      <c r="A2124" t="s">
        <v>2219</v>
      </c>
      <c r="B2124" s="3">
        <v>45645</v>
      </c>
      <c r="C2124" t="s">
        <v>424</v>
      </c>
      <c r="D2124" t="s">
        <v>59</v>
      </c>
      <c r="E2124" t="s">
        <v>11</v>
      </c>
      <c r="F2124" t="s">
        <v>306</v>
      </c>
      <c r="G2124" t="s">
        <v>32</v>
      </c>
      <c r="H2124">
        <v>2</v>
      </c>
    </row>
    <row r="2125" spans="1:8" ht="21.75" customHeight="1" x14ac:dyDescent="0.35">
      <c r="A2125" t="s">
        <v>2220</v>
      </c>
      <c r="B2125" s="3">
        <v>45587</v>
      </c>
      <c r="C2125" t="s">
        <v>159</v>
      </c>
      <c r="D2125" t="s">
        <v>10</v>
      </c>
      <c r="E2125" t="s">
        <v>11</v>
      </c>
      <c r="F2125" t="s">
        <v>42</v>
      </c>
      <c r="G2125" t="s">
        <v>32</v>
      </c>
      <c r="H2125">
        <v>14</v>
      </c>
    </row>
    <row r="2126" spans="1:8" ht="21.75" customHeight="1" x14ac:dyDescent="0.35">
      <c r="A2126" t="s">
        <v>2221</v>
      </c>
      <c r="B2126" s="3">
        <v>45353</v>
      </c>
      <c r="C2126" t="s">
        <v>337</v>
      </c>
      <c r="D2126" t="s">
        <v>197</v>
      </c>
      <c r="E2126" t="s">
        <v>22</v>
      </c>
      <c r="F2126" t="s">
        <v>306</v>
      </c>
      <c r="G2126" t="s">
        <v>13</v>
      </c>
      <c r="H2126">
        <v>13</v>
      </c>
    </row>
    <row r="2127" spans="1:8" ht="21.75" customHeight="1" x14ac:dyDescent="0.35">
      <c r="A2127" t="s">
        <v>2222</v>
      </c>
      <c r="B2127" s="3">
        <v>45560</v>
      </c>
      <c r="C2127" t="s">
        <v>116</v>
      </c>
      <c r="D2127" t="s">
        <v>72</v>
      </c>
      <c r="E2127" t="s">
        <v>22</v>
      </c>
      <c r="F2127" t="s">
        <v>306</v>
      </c>
      <c r="G2127" t="s">
        <v>28</v>
      </c>
      <c r="H2127">
        <v>11</v>
      </c>
    </row>
    <row r="2128" spans="1:8" ht="21.75" customHeight="1" x14ac:dyDescent="0.35">
      <c r="A2128" t="s">
        <v>2223</v>
      </c>
      <c r="B2128" s="3">
        <v>45405</v>
      </c>
      <c r="C2128" t="s">
        <v>125</v>
      </c>
      <c r="D2128" t="s">
        <v>79</v>
      </c>
      <c r="E2128" t="s">
        <v>22</v>
      </c>
      <c r="F2128" t="s">
        <v>27</v>
      </c>
      <c r="G2128" t="s">
        <v>23</v>
      </c>
      <c r="H2128">
        <v>20</v>
      </c>
    </row>
    <row r="2129" spans="1:8" ht="21.75" customHeight="1" x14ac:dyDescent="0.35">
      <c r="A2129" t="s">
        <v>2224</v>
      </c>
      <c r="B2129" s="3">
        <v>45338</v>
      </c>
      <c r="C2129" t="s">
        <v>240</v>
      </c>
      <c r="D2129" t="s">
        <v>87</v>
      </c>
      <c r="E2129" t="s">
        <v>17</v>
      </c>
      <c r="F2129" t="s">
        <v>27</v>
      </c>
      <c r="G2129" t="s">
        <v>28</v>
      </c>
      <c r="H2129">
        <v>5</v>
      </c>
    </row>
    <row r="2130" spans="1:8" ht="21.75" customHeight="1" x14ac:dyDescent="0.35">
      <c r="A2130" t="s">
        <v>2225</v>
      </c>
      <c r="B2130" s="3">
        <v>45535</v>
      </c>
      <c r="C2130" t="s">
        <v>314</v>
      </c>
      <c r="D2130" t="s">
        <v>84</v>
      </c>
      <c r="E2130" t="s">
        <v>11</v>
      </c>
      <c r="F2130" t="s">
        <v>306</v>
      </c>
      <c r="G2130" t="s">
        <v>23</v>
      </c>
      <c r="H2130">
        <v>9</v>
      </c>
    </row>
    <row r="2131" spans="1:8" ht="21.75" customHeight="1" x14ac:dyDescent="0.35">
      <c r="A2131" t="s">
        <v>2226</v>
      </c>
      <c r="B2131" s="3">
        <v>45548</v>
      </c>
      <c r="C2131" t="s">
        <v>348</v>
      </c>
      <c r="D2131" t="s">
        <v>119</v>
      </c>
      <c r="E2131" t="s">
        <v>22</v>
      </c>
      <c r="F2131" t="s">
        <v>56</v>
      </c>
      <c r="G2131" t="s">
        <v>28</v>
      </c>
      <c r="H2131">
        <v>16</v>
      </c>
    </row>
    <row r="2132" spans="1:8" ht="21.75" customHeight="1" x14ac:dyDescent="0.35">
      <c r="A2132" t="s">
        <v>2227</v>
      </c>
      <c r="B2132" s="3">
        <v>45541</v>
      </c>
      <c r="C2132" t="s">
        <v>106</v>
      </c>
      <c r="D2132" t="s">
        <v>21</v>
      </c>
      <c r="E2132" t="s">
        <v>22</v>
      </c>
      <c r="F2132" t="s">
        <v>56</v>
      </c>
      <c r="G2132" t="s">
        <v>36</v>
      </c>
      <c r="H2132">
        <v>20</v>
      </c>
    </row>
    <row r="2133" spans="1:8" ht="21.75" customHeight="1" x14ac:dyDescent="0.35">
      <c r="A2133" t="s">
        <v>2228</v>
      </c>
      <c r="B2133" s="3">
        <v>45560</v>
      </c>
      <c r="C2133" t="s">
        <v>78</v>
      </c>
      <c r="D2133" t="s">
        <v>197</v>
      </c>
      <c r="E2133" t="s">
        <v>11</v>
      </c>
      <c r="F2133" t="s">
        <v>42</v>
      </c>
      <c r="G2133" t="s">
        <v>23</v>
      </c>
      <c r="H2133">
        <v>11</v>
      </c>
    </row>
    <row r="2134" spans="1:8" ht="21.75" customHeight="1" x14ac:dyDescent="0.35">
      <c r="A2134" t="s">
        <v>2229</v>
      </c>
      <c r="B2134" s="3">
        <v>45586</v>
      </c>
      <c r="C2134" t="s">
        <v>203</v>
      </c>
      <c r="D2134" t="s">
        <v>102</v>
      </c>
      <c r="E2134" t="s">
        <v>22</v>
      </c>
      <c r="F2134" t="s">
        <v>27</v>
      </c>
      <c r="G2134" t="s">
        <v>23</v>
      </c>
      <c r="H2134">
        <v>12</v>
      </c>
    </row>
    <row r="2135" spans="1:8" ht="21.75" customHeight="1" x14ac:dyDescent="0.35">
      <c r="A2135" t="s">
        <v>2230</v>
      </c>
      <c r="B2135" s="3">
        <v>45456</v>
      </c>
      <c r="C2135" t="s">
        <v>20</v>
      </c>
      <c r="D2135" t="s">
        <v>109</v>
      </c>
      <c r="E2135" t="s">
        <v>22</v>
      </c>
      <c r="F2135" t="s">
        <v>12</v>
      </c>
      <c r="G2135" t="s">
        <v>32</v>
      </c>
      <c r="H2135">
        <v>6</v>
      </c>
    </row>
    <row r="2136" spans="1:8" ht="21.75" customHeight="1" x14ac:dyDescent="0.35">
      <c r="A2136" t="s">
        <v>2231</v>
      </c>
      <c r="B2136" s="3">
        <v>45607</v>
      </c>
      <c r="C2136" t="s">
        <v>396</v>
      </c>
      <c r="D2136" t="s">
        <v>109</v>
      </c>
      <c r="E2136" t="s">
        <v>11</v>
      </c>
      <c r="F2136" t="s">
        <v>27</v>
      </c>
      <c r="G2136" t="s">
        <v>13</v>
      </c>
      <c r="H2136">
        <v>8</v>
      </c>
    </row>
    <row r="2137" spans="1:8" ht="21.75" customHeight="1" x14ac:dyDescent="0.35">
      <c r="A2137" t="s">
        <v>2232</v>
      </c>
      <c r="B2137" s="3">
        <v>45483</v>
      </c>
      <c r="C2137" t="s">
        <v>125</v>
      </c>
      <c r="D2137" t="s">
        <v>119</v>
      </c>
      <c r="E2137" t="s">
        <v>22</v>
      </c>
      <c r="F2137" t="s">
        <v>12</v>
      </c>
      <c r="G2137" t="s">
        <v>13</v>
      </c>
      <c r="H2137">
        <v>2</v>
      </c>
    </row>
    <row r="2138" spans="1:8" ht="21.75" customHeight="1" x14ac:dyDescent="0.35">
      <c r="A2138" t="s">
        <v>2233</v>
      </c>
      <c r="B2138" s="3">
        <v>45609</v>
      </c>
      <c r="C2138" t="s">
        <v>167</v>
      </c>
      <c r="D2138" t="s">
        <v>74</v>
      </c>
      <c r="E2138" t="s">
        <v>11</v>
      </c>
      <c r="F2138" t="s">
        <v>42</v>
      </c>
      <c r="G2138" t="s">
        <v>13</v>
      </c>
      <c r="H2138">
        <v>10</v>
      </c>
    </row>
    <row r="2139" spans="1:8" ht="21.75" customHeight="1" x14ac:dyDescent="0.35">
      <c r="A2139" t="s">
        <v>2234</v>
      </c>
      <c r="B2139" s="3">
        <v>45303</v>
      </c>
      <c r="C2139" t="s">
        <v>118</v>
      </c>
      <c r="D2139" t="s">
        <v>65</v>
      </c>
      <c r="E2139" t="s">
        <v>22</v>
      </c>
      <c r="F2139" t="s">
        <v>306</v>
      </c>
      <c r="G2139" t="s">
        <v>28</v>
      </c>
      <c r="H2139">
        <v>7</v>
      </c>
    </row>
    <row r="2140" spans="1:8" ht="21.75" customHeight="1" x14ac:dyDescent="0.35">
      <c r="A2140" t="s">
        <v>2235</v>
      </c>
      <c r="B2140" s="3">
        <v>45424</v>
      </c>
      <c r="C2140" t="s">
        <v>378</v>
      </c>
      <c r="D2140" t="s">
        <v>35</v>
      </c>
      <c r="E2140" t="s">
        <v>22</v>
      </c>
      <c r="F2140" t="s">
        <v>56</v>
      </c>
      <c r="G2140" t="s">
        <v>13</v>
      </c>
      <c r="H2140">
        <v>13</v>
      </c>
    </row>
    <row r="2141" spans="1:8" ht="21.75" customHeight="1" x14ac:dyDescent="0.35">
      <c r="A2141" t="s">
        <v>2236</v>
      </c>
      <c r="B2141" s="3">
        <v>45631</v>
      </c>
      <c r="C2141" t="s">
        <v>339</v>
      </c>
      <c r="D2141" t="s">
        <v>79</v>
      </c>
      <c r="E2141" t="s">
        <v>17</v>
      </c>
      <c r="F2141" t="s">
        <v>56</v>
      </c>
      <c r="G2141" t="s">
        <v>13</v>
      </c>
      <c r="H2141">
        <v>10</v>
      </c>
    </row>
    <row r="2142" spans="1:8" ht="21.75" customHeight="1" x14ac:dyDescent="0.35">
      <c r="A2142" t="s">
        <v>2237</v>
      </c>
      <c r="B2142" s="3">
        <v>45648</v>
      </c>
      <c r="C2142" t="s">
        <v>381</v>
      </c>
      <c r="D2142" t="s">
        <v>26</v>
      </c>
      <c r="E2142" t="s">
        <v>11</v>
      </c>
      <c r="F2142" t="s">
        <v>27</v>
      </c>
      <c r="G2142" t="s">
        <v>13</v>
      </c>
      <c r="H2142">
        <v>3</v>
      </c>
    </row>
    <row r="2143" spans="1:8" ht="21.75" customHeight="1" x14ac:dyDescent="0.35">
      <c r="A2143" t="s">
        <v>2238</v>
      </c>
      <c r="B2143" s="3">
        <v>45430</v>
      </c>
      <c r="C2143" t="s">
        <v>371</v>
      </c>
      <c r="D2143" t="s">
        <v>41</v>
      </c>
      <c r="E2143" t="s">
        <v>17</v>
      </c>
      <c r="F2143" t="s">
        <v>12</v>
      </c>
      <c r="G2143" t="s">
        <v>13</v>
      </c>
      <c r="H2143">
        <v>10</v>
      </c>
    </row>
    <row r="2144" spans="1:8" ht="21.75" customHeight="1" x14ac:dyDescent="0.35">
      <c r="A2144" t="s">
        <v>2239</v>
      </c>
      <c r="B2144" s="3">
        <v>45624</v>
      </c>
      <c r="C2144" t="s">
        <v>53</v>
      </c>
      <c r="D2144" t="s">
        <v>197</v>
      </c>
      <c r="E2144" t="s">
        <v>17</v>
      </c>
      <c r="F2144" t="s">
        <v>306</v>
      </c>
      <c r="G2144" t="s">
        <v>13</v>
      </c>
      <c r="H2144">
        <v>11</v>
      </c>
    </row>
    <row r="2145" spans="1:8" ht="21.75" customHeight="1" x14ac:dyDescent="0.35">
      <c r="A2145" t="s">
        <v>2240</v>
      </c>
      <c r="B2145" s="3">
        <v>45597</v>
      </c>
      <c r="C2145" t="s">
        <v>312</v>
      </c>
      <c r="D2145" t="s">
        <v>10</v>
      </c>
      <c r="E2145" t="s">
        <v>11</v>
      </c>
      <c r="F2145" t="s">
        <v>56</v>
      </c>
      <c r="G2145" t="s">
        <v>36</v>
      </c>
      <c r="H2145">
        <v>15</v>
      </c>
    </row>
    <row r="2146" spans="1:8" ht="21.75" customHeight="1" x14ac:dyDescent="0.35">
      <c r="A2146" t="s">
        <v>2241</v>
      </c>
      <c r="B2146" s="3">
        <v>45656</v>
      </c>
      <c r="C2146" t="s">
        <v>138</v>
      </c>
      <c r="D2146" t="s">
        <v>79</v>
      </c>
      <c r="E2146" t="s">
        <v>11</v>
      </c>
      <c r="F2146" t="s">
        <v>306</v>
      </c>
      <c r="G2146" t="s">
        <v>32</v>
      </c>
      <c r="H2146">
        <v>11</v>
      </c>
    </row>
    <row r="2147" spans="1:8" ht="21.75" customHeight="1" x14ac:dyDescent="0.35">
      <c r="A2147" t="s">
        <v>2242</v>
      </c>
      <c r="B2147" s="3">
        <v>45372</v>
      </c>
      <c r="C2147" t="s">
        <v>138</v>
      </c>
      <c r="D2147" t="s">
        <v>48</v>
      </c>
      <c r="E2147" t="s">
        <v>22</v>
      </c>
      <c r="F2147" t="s">
        <v>42</v>
      </c>
      <c r="G2147" t="s">
        <v>32</v>
      </c>
      <c r="H2147">
        <v>10</v>
      </c>
    </row>
    <row r="2148" spans="1:8" ht="21.75" customHeight="1" x14ac:dyDescent="0.35">
      <c r="A2148" t="s">
        <v>2243</v>
      </c>
      <c r="B2148" s="3">
        <v>45548</v>
      </c>
      <c r="C2148" t="s">
        <v>89</v>
      </c>
      <c r="D2148" t="s">
        <v>79</v>
      </c>
      <c r="E2148" t="s">
        <v>22</v>
      </c>
      <c r="F2148" t="s">
        <v>42</v>
      </c>
      <c r="G2148" t="s">
        <v>23</v>
      </c>
      <c r="H2148">
        <v>1</v>
      </c>
    </row>
    <row r="2149" spans="1:8" ht="21.75" customHeight="1" x14ac:dyDescent="0.35">
      <c r="A2149" t="s">
        <v>2244</v>
      </c>
      <c r="B2149" s="3">
        <v>45435</v>
      </c>
      <c r="C2149" t="s">
        <v>240</v>
      </c>
      <c r="D2149" t="s">
        <v>16</v>
      </c>
      <c r="E2149" t="s">
        <v>17</v>
      </c>
      <c r="F2149" t="s">
        <v>27</v>
      </c>
      <c r="G2149" t="s">
        <v>28</v>
      </c>
      <c r="H2149">
        <v>3</v>
      </c>
    </row>
    <row r="2150" spans="1:8" ht="21.75" customHeight="1" x14ac:dyDescent="0.35">
      <c r="A2150" t="s">
        <v>2245</v>
      </c>
      <c r="B2150" s="3">
        <v>45558</v>
      </c>
      <c r="C2150" t="s">
        <v>422</v>
      </c>
      <c r="D2150" t="s">
        <v>109</v>
      </c>
      <c r="E2150" t="s">
        <v>22</v>
      </c>
      <c r="F2150" t="s">
        <v>56</v>
      </c>
      <c r="G2150" t="s">
        <v>23</v>
      </c>
      <c r="H2150">
        <v>8</v>
      </c>
    </row>
    <row r="2151" spans="1:8" ht="21.75" customHeight="1" x14ac:dyDescent="0.35">
      <c r="A2151" t="s">
        <v>2246</v>
      </c>
      <c r="B2151" s="3">
        <v>45510</v>
      </c>
      <c r="C2151" t="s">
        <v>147</v>
      </c>
      <c r="D2151" t="s">
        <v>109</v>
      </c>
      <c r="E2151" t="s">
        <v>17</v>
      </c>
      <c r="F2151" t="s">
        <v>27</v>
      </c>
      <c r="G2151" t="s">
        <v>36</v>
      </c>
      <c r="H2151">
        <v>5</v>
      </c>
    </row>
    <row r="2152" spans="1:8" ht="21.75" customHeight="1" x14ac:dyDescent="0.35">
      <c r="A2152" t="s">
        <v>2247</v>
      </c>
      <c r="B2152" s="3">
        <v>45362</v>
      </c>
      <c r="C2152" t="s">
        <v>361</v>
      </c>
      <c r="D2152" t="s">
        <v>174</v>
      </c>
      <c r="E2152" t="s">
        <v>22</v>
      </c>
      <c r="F2152" t="s">
        <v>56</v>
      </c>
      <c r="G2152" t="s">
        <v>28</v>
      </c>
      <c r="H2152">
        <v>10</v>
      </c>
    </row>
    <row r="2153" spans="1:8" ht="21.75" customHeight="1" x14ac:dyDescent="0.35">
      <c r="A2153" t="s">
        <v>2248</v>
      </c>
      <c r="B2153" s="3">
        <v>45560</v>
      </c>
      <c r="C2153" t="s">
        <v>99</v>
      </c>
      <c r="D2153" t="s">
        <v>87</v>
      </c>
      <c r="E2153" t="s">
        <v>11</v>
      </c>
      <c r="F2153" t="s">
        <v>306</v>
      </c>
      <c r="G2153" t="s">
        <v>28</v>
      </c>
      <c r="H2153">
        <v>11</v>
      </c>
    </row>
    <row r="2154" spans="1:8" ht="21.75" customHeight="1" x14ac:dyDescent="0.35">
      <c r="A2154" t="s">
        <v>2249</v>
      </c>
      <c r="B2154" s="3">
        <v>45564</v>
      </c>
      <c r="C2154" t="s">
        <v>329</v>
      </c>
      <c r="D2154" t="s">
        <v>102</v>
      </c>
      <c r="E2154" t="s">
        <v>11</v>
      </c>
      <c r="F2154" t="s">
        <v>42</v>
      </c>
      <c r="G2154" t="s">
        <v>28</v>
      </c>
      <c r="H2154">
        <v>1</v>
      </c>
    </row>
    <row r="2155" spans="1:8" ht="21.75" customHeight="1" x14ac:dyDescent="0.35">
      <c r="A2155" t="s">
        <v>2250</v>
      </c>
      <c r="B2155" s="3">
        <v>45503</v>
      </c>
      <c r="C2155" t="s">
        <v>408</v>
      </c>
      <c r="D2155" t="s">
        <v>74</v>
      </c>
      <c r="E2155" t="s">
        <v>17</v>
      </c>
      <c r="F2155" t="s">
        <v>42</v>
      </c>
      <c r="G2155" t="s">
        <v>28</v>
      </c>
      <c r="H2155">
        <v>7</v>
      </c>
    </row>
    <row r="2156" spans="1:8" ht="21.75" customHeight="1" x14ac:dyDescent="0.35">
      <c r="A2156" t="s">
        <v>2251</v>
      </c>
      <c r="B2156" s="3">
        <v>45386</v>
      </c>
      <c r="C2156" t="s">
        <v>64</v>
      </c>
      <c r="D2156" t="s">
        <v>119</v>
      </c>
      <c r="E2156" t="s">
        <v>22</v>
      </c>
      <c r="F2156" t="s">
        <v>306</v>
      </c>
      <c r="G2156" t="s">
        <v>32</v>
      </c>
      <c r="H2156">
        <v>20</v>
      </c>
    </row>
    <row r="2157" spans="1:8" ht="21.75" customHeight="1" x14ac:dyDescent="0.35">
      <c r="A2157" t="s">
        <v>2252</v>
      </c>
      <c r="B2157" s="3">
        <v>45410</v>
      </c>
      <c r="C2157" t="s">
        <v>327</v>
      </c>
      <c r="D2157" t="s">
        <v>197</v>
      </c>
      <c r="E2157" t="s">
        <v>11</v>
      </c>
      <c r="F2157" t="s">
        <v>12</v>
      </c>
      <c r="G2157" t="s">
        <v>32</v>
      </c>
      <c r="H2157">
        <v>3</v>
      </c>
    </row>
    <row r="2158" spans="1:8" ht="21.75" customHeight="1" x14ac:dyDescent="0.35">
      <c r="A2158" t="s">
        <v>2253</v>
      </c>
      <c r="B2158" s="3">
        <v>45536</v>
      </c>
      <c r="C2158" t="s">
        <v>99</v>
      </c>
      <c r="D2158" t="s">
        <v>160</v>
      </c>
      <c r="E2158" t="s">
        <v>22</v>
      </c>
      <c r="F2158" t="s">
        <v>27</v>
      </c>
      <c r="G2158" t="s">
        <v>32</v>
      </c>
      <c r="H2158">
        <v>6</v>
      </c>
    </row>
    <row r="2159" spans="1:8" ht="21.75" customHeight="1" x14ac:dyDescent="0.35">
      <c r="A2159" t="s">
        <v>2254</v>
      </c>
      <c r="B2159" s="3">
        <v>45543</v>
      </c>
      <c r="C2159" t="s">
        <v>553</v>
      </c>
      <c r="D2159" t="s">
        <v>16</v>
      </c>
      <c r="E2159" t="s">
        <v>11</v>
      </c>
      <c r="F2159" t="s">
        <v>56</v>
      </c>
      <c r="G2159" t="s">
        <v>28</v>
      </c>
      <c r="H2159">
        <v>2</v>
      </c>
    </row>
    <row r="2160" spans="1:8" ht="21.75" customHeight="1" x14ac:dyDescent="0.35">
      <c r="A2160" t="s">
        <v>2255</v>
      </c>
      <c r="B2160" s="3">
        <v>45299</v>
      </c>
      <c r="C2160" t="s">
        <v>101</v>
      </c>
      <c r="D2160" t="s">
        <v>87</v>
      </c>
      <c r="E2160" t="s">
        <v>11</v>
      </c>
      <c r="F2160" t="s">
        <v>56</v>
      </c>
      <c r="G2160" t="s">
        <v>28</v>
      </c>
      <c r="H2160">
        <v>3</v>
      </c>
    </row>
    <row r="2161" spans="1:8" ht="21.75" customHeight="1" x14ac:dyDescent="0.35">
      <c r="A2161" t="s">
        <v>2256</v>
      </c>
      <c r="B2161" s="3">
        <v>45516</v>
      </c>
      <c r="C2161" t="s">
        <v>594</v>
      </c>
      <c r="D2161" t="s">
        <v>35</v>
      </c>
      <c r="E2161" t="s">
        <v>22</v>
      </c>
      <c r="F2161" t="s">
        <v>42</v>
      </c>
      <c r="G2161" t="s">
        <v>23</v>
      </c>
      <c r="H2161">
        <v>8</v>
      </c>
    </row>
    <row r="2162" spans="1:8" ht="21.75" customHeight="1" x14ac:dyDescent="0.35">
      <c r="A2162" t="s">
        <v>2257</v>
      </c>
      <c r="B2162" s="3">
        <v>45313</v>
      </c>
      <c r="C2162" t="s">
        <v>493</v>
      </c>
      <c r="D2162" t="s">
        <v>84</v>
      </c>
      <c r="E2162" t="s">
        <v>17</v>
      </c>
      <c r="F2162" t="s">
        <v>42</v>
      </c>
      <c r="G2162" t="s">
        <v>23</v>
      </c>
      <c r="H2162">
        <v>20</v>
      </c>
    </row>
    <row r="2163" spans="1:8" ht="21.75" customHeight="1" x14ac:dyDescent="0.35">
      <c r="A2163" t="s">
        <v>2258</v>
      </c>
      <c r="B2163" s="3">
        <v>45584</v>
      </c>
      <c r="C2163" t="s">
        <v>327</v>
      </c>
      <c r="D2163" t="s">
        <v>174</v>
      </c>
      <c r="E2163" t="s">
        <v>22</v>
      </c>
      <c r="F2163" t="s">
        <v>12</v>
      </c>
      <c r="G2163" t="s">
        <v>36</v>
      </c>
      <c r="H2163">
        <v>4</v>
      </c>
    </row>
    <row r="2164" spans="1:8" ht="21.75" customHeight="1" x14ac:dyDescent="0.35">
      <c r="A2164" t="s">
        <v>2259</v>
      </c>
      <c r="B2164" s="3">
        <v>45313</v>
      </c>
      <c r="C2164" t="s">
        <v>78</v>
      </c>
      <c r="D2164" t="s">
        <v>160</v>
      </c>
      <c r="E2164" t="s">
        <v>22</v>
      </c>
      <c r="F2164" t="s">
        <v>27</v>
      </c>
      <c r="G2164" t="s">
        <v>13</v>
      </c>
      <c r="H2164">
        <v>18</v>
      </c>
    </row>
    <row r="2165" spans="1:8" ht="21.75" customHeight="1" x14ac:dyDescent="0.35">
      <c r="A2165" t="s">
        <v>2260</v>
      </c>
      <c r="B2165" s="3">
        <v>45614</v>
      </c>
      <c r="C2165" t="s">
        <v>9</v>
      </c>
      <c r="D2165" t="s">
        <v>65</v>
      </c>
      <c r="E2165" t="s">
        <v>17</v>
      </c>
      <c r="F2165" t="s">
        <v>27</v>
      </c>
      <c r="G2165" t="s">
        <v>23</v>
      </c>
      <c r="H2165">
        <v>10</v>
      </c>
    </row>
    <row r="2166" spans="1:8" ht="21.75" customHeight="1" x14ac:dyDescent="0.35">
      <c r="A2166" t="s">
        <v>2261</v>
      </c>
      <c r="B2166" s="3">
        <v>45438</v>
      </c>
      <c r="C2166" t="s">
        <v>319</v>
      </c>
      <c r="D2166" t="s">
        <v>45</v>
      </c>
      <c r="E2166" t="s">
        <v>17</v>
      </c>
      <c r="F2166" t="s">
        <v>42</v>
      </c>
      <c r="G2166" t="s">
        <v>36</v>
      </c>
      <c r="H2166">
        <v>2</v>
      </c>
    </row>
    <row r="2167" spans="1:8" ht="21.75" customHeight="1" x14ac:dyDescent="0.35">
      <c r="A2167" t="s">
        <v>2262</v>
      </c>
      <c r="B2167" s="3">
        <v>45364</v>
      </c>
      <c r="C2167" t="s">
        <v>319</v>
      </c>
      <c r="D2167" t="s">
        <v>21</v>
      </c>
      <c r="E2167" t="s">
        <v>17</v>
      </c>
      <c r="F2167" t="s">
        <v>12</v>
      </c>
      <c r="G2167" t="s">
        <v>36</v>
      </c>
      <c r="H2167">
        <v>4</v>
      </c>
    </row>
    <row r="2168" spans="1:8" ht="21.75" customHeight="1" x14ac:dyDescent="0.35">
      <c r="A2168" t="s">
        <v>2263</v>
      </c>
      <c r="B2168" s="3">
        <v>45591</v>
      </c>
      <c r="C2168" t="s">
        <v>424</v>
      </c>
      <c r="D2168" t="s">
        <v>174</v>
      </c>
      <c r="E2168" t="s">
        <v>11</v>
      </c>
      <c r="F2168" t="s">
        <v>27</v>
      </c>
      <c r="G2168" t="s">
        <v>23</v>
      </c>
      <c r="H2168">
        <v>11</v>
      </c>
    </row>
    <row r="2169" spans="1:8" ht="21.75" customHeight="1" x14ac:dyDescent="0.35">
      <c r="A2169" t="s">
        <v>2264</v>
      </c>
      <c r="B2169" s="3">
        <v>45383</v>
      </c>
      <c r="C2169" t="s">
        <v>366</v>
      </c>
      <c r="D2169" t="s">
        <v>59</v>
      </c>
      <c r="E2169" t="s">
        <v>22</v>
      </c>
      <c r="F2169" t="s">
        <v>56</v>
      </c>
      <c r="G2169" t="s">
        <v>23</v>
      </c>
      <c r="H2169">
        <v>3</v>
      </c>
    </row>
    <row r="2170" spans="1:8" ht="21.75" customHeight="1" x14ac:dyDescent="0.35">
      <c r="A2170" t="s">
        <v>2265</v>
      </c>
      <c r="B2170" s="3">
        <v>45646</v>
      </c>
      <c r="C2170" t="s">
        <v>350</v>
      </c>
      <c r="D2170" t="s">
        <v>62</v>
      </c>
      <c r="E2170" t="s">
        <v>11</v>
      </c>
      <c r="F2170" t="s">
        <v>12</v>
      </c>
      <c r="G2170" t="s">
        <v>13</v>
      </c>
      <c r="H2170">
        <v>4</v>
      </c>
    </row>
    <row r="2171" spans="1:8" ht="21.75" customHeight="1" x14ac:dyDescent="0.35">
      <c r="A2171" t="s">
        <v>2266</v>
      </c>
      <c r="B2171" s="3">
        <v>45616</v>
      </c>
      <c r="C2171" t="s">
        <v>83</v>
      </c>
      <c r="D2171" t="s">
        <v>10</v>
      </c>
      <c r="E2171" t="s">
        <v>22</v>
      </c>
      <c r="F2171" t="s">
        <v>27</v>
      </c>
      <c r="G2171" t="s">
        <v>36</v>
      </c>
      <c r="H2171">
        <v>20</v>
      </c>
    </row>
    <row r="2172" spans="1:8" ht="21.75" customHeight="1" x14ac:dyDescent="0.35">
      <c r="A2172" t="s">
        <v>2267</v>
      </c>
      <c r="B2172" s="3">
        <v>45485</v>
      </c>
      <c r="C2172" t="s">
        <v>378</v>
      </c>
      <c r="D2172" t="s">
        <v>31</v>
      </c>
      <c r="E2172" t="s">
        <v>11</v>
      </c>
      <c r="F2172" t="s">
        <v>56</v>
      </c>
      <c r="G2172" t="s">
        <v>32</v>
      </c>
      <c r="H2172">
        <v>19</v>
      </c>
    </row>
    <row r="2173" spans="1:8" ht="21.75" customHeight="1" x14ac:dyDescent="0.35">
      <c r="A2173" t="s">
        <v>2268</v>
      </c>
      <c r="B2173" s="3">
        <v>45368</v>
      </c>
      <c r="C2173" t="s">
        <v>111</v>
      </c>
      <c r="D2173" t="s">
        <v>16</v>
      </c>
      <c r="E2173" t="s">
        <v>11</v>
      </c>
      <c r="F2173" t="s">
        <v>12</v>
      </c>
      <c r="G2173" t="s">
        <v>23</v>
      </c>
      <c r="H2173">
        <v>10</v>
      </c>
    </row>
    <row r="2174" spans="1:8" ht="21.75" customHeight="1" x14ac:dyDescent="0.35">
      <c r="A2174" t="s">
        <v>2269</v>
      </c>
      <c r="B2174" s="3">
        <v>45520</v>
      </c>
      <c r="C2174" t="s">
        <v>55</v>
      </c>
      <c r="D2174" t="s">
        <v>21</v>
      </c>
      <c r="E2174" t="s">
        <v>11</v>
      </c>
      <c r="F2174" t="s">
        <v>12</v>
      </c>
      <c r="G2174" t="s">
        <v>28</v>
      </c>
      <c r="H2174">
        <v>7</v>
      </c>
    </row>
    <row r="2175" spans="1:8" ht="21.75" customHeight="1" x14ac:dyDescent="0.35">
      <c r="A2175" t="s">
        <v>2270</v>
      </c>
      <c r="B2175" s="3">
        <v>45421</v>
      </c>
      <c r="C2175" t="s">
        <v>142</v>
      </c>
      <c r="D2175" t="s">
        <v>70</v>
      </c>
      <c r="E2175" t="s">
        <v>17</v>
      </c>
      <c r="F2175" t="s">
        <v>27</v>
      </c>
      <c r="G2175" t="s">
        <v>36</v>
      </c>
      <c r="H2175">
        <v>1</v>
      </c>
    </row>
    <row r="2176" spans="1:8" ht="21.75" customHeight="1" x14ac:dyDescent="0.35">
      <c r="A2176" t="s">
        <v>2271</v>
      </c>
      <c r="B2176" s="3">
        <v>45544</v>
      </c>
      <c r="C2176" t="s">
        <v>93</v>
      </c>
      <c r="D2176" t="s">
        <v>65</v>
      </c>
      <c r="E2176" t="s">
        <v>22</v>
      </c>
      <c r="F2176" t="s">
        <v>27</v>
      </c>
      <c r="G2176" t="s">
        <v>23</v>
      </c>
      <c r="H2176">
        <v>14</v>
      </c>
    </row>
    <row r="2177" spans="1:8" ht="21.75" customHeight="1" x14ac:dyDescent="0.35">
      <c r="A2177" t="s">
        <v>2272</v>
      </c>
      <c r="B2177" s="3">
        <v>45599</v>
      </c>
      <c r="C2177" t="s">
        <v>327</v>
      </c>
      <c r="D2177" t="s">
        <v>96</v>
      </c>
      <c r="E2177" t="s">
        <v>11</v>
      </c>
      <c r="F2177" t="s">
        <v>306</v>
      </c>
      <c r="G2177" t="s">
        <v>32</v>
      </c>
      <c r="H2177">
        <v>20</v>
      </c>
    </row>
    <row r="2178" spans="1:8" ht="21.75" customHeight="1" x14ac:dyDescent="0.35">
      <c r="A2178" t="s">
        <v>2273</v>
      </c>
      <c r="B2178" s="3">
        <v>45398</v>
      </c>
      <c r="C2178" t="s">
        <v>9</v>
      </c>
      <c r="D2178" t="s">
        <v>45</v>
      </c>
      <c r="E2178" t="s">
        <v>11</v>
      </c>
      <c r="F2178" t="s">
        <v>12</v>
      </c>
      <c r="G2178" t="s">
        <v>32</v>
      </c>
      <c r="H2178">
        <v>2</v>
      </c>
    </row>
    <row r="2179" spans="1:8" ht="21.75" customHeight="1" x14ac:dyDescent="0.35">
      <c r="A2179" t="s">
        <v>2274</v>
      </c>
      <c r="B2179" s="3">
        <v>45308</v>
      </c>
      <c r="C2179" t="s">
        <v>317</v>
      </c>
      <c r="D2179" t="s">
        <v>59</v>
      </c>
      <c r="E2179" t="s">
        <v>22</v>
      </c>
      <c r="F2179" t="s">
        <v>42</v>
      </c>
      <c r="G2179" t="s">
        <v>32</v>
      </c>
      <c r="H2179">
        <v>3</v>
      </c>
    </row>
    <row r="2180" spans="1:8" ht="21.75" customHeight="1" x14ac:dyDescent="0.35">
      <c r="A2180" t="s">
        <v>2275</v>
      </c>
      <c r="B2180" s="3">
        <v>45505</v>
      </c>
      <c r="C2180" t="s">
        <v>235</v>
      </c>
      <c r="D2180" t="s">
        <v>45</v>
      </c>
      <c r="E2180" t="s">
        <v>22</v>
      </c>
      <c r="F2180" t="s">
        <v>42</v>
      </c>
      <c r="G2180" t="s">
        <v>36</v>
      </c>
      <c r="H2180">
        <v>20</v>
      </c>
    </row>
    <row r="2181" spans="1:8" ht="21.75" customHeight="1" x14ac:dyDescent="0.35">
      <c r="A2181" t="s">
        <v>2276</v>
      </c>
      <c r="B2181" s="3">
        <v>45579</v>
      </c>
      <c r="C2181" t="s">
        <v>235</v>
      </c>
      <c r="D2181" t="s">
        <v>70</v>
      </c>
      <c r="E2181" t="s">
        <v>22</v>
      </c>
      <c r="F2181" t="s">
        <v>306</v>
      </c>
      <c r="G2181" t="s">
        <v>32</v>
      </c>
      <c r="H2181">
        <v>2</v>
      </c>
    </row>
    <row r="2182" spans="1:8" ht="21.75" customHeight="1" x14ac:dyDescent="0.35">
      <c r="A2182" t="s">
        <v>2277</v>
      </c>
      <c r="B2182" s="3">
        <v>45445</v>
      </c>
      <c r="C2182" t="s">
        <v>187</v>
      </c>
      <c r="D2182" t="s">
        <v>48</v>
      </c>
      <c r="E2182" t="s">
        <v>17</v>
      </c>
      <c r="F2182" t="s">
        <v>12</v>
      </c>
      <c r="G2182" t="s">
        <v>23</v>
      </c>
      <c r="H2182">
        <v>18</v>
      </c>
    </row>
    <row r="2183" spans="1:8" ht="21.75" customHeight="1" x14ac:dyDescent="0.35">
      <c r="A2183" t="s">
        <v>2278</v>
      </c>
      <c r="B2183" s="3">
        <v>45533</v>
      </c>
      <c r="C2183" t="s">
        <v>99</v>
      </c>
      <c r="D2183" t="s">
        <v>102</v>
      </c>
      <c r="E2183" t="s">
        <v>22</v>
      </c>
      <c r="F2183" t="s">
        <v>42</v>
      </c>
      <c r="G2183" t="s">
        <v>32</v>
      </c>
      <c r="H2183">
        <v>17</v>
      </c>
    </row>
    <row r="2184" spans="1:8" ht="21.75" customHeight="1" x14ac:dyDescent="0.35">
      <c r="A2184" t="s">
        <v>2279</v>
      </c>
      <c r="B2184" s="3">
        <v>45399</v>
      </c>
      <c r="C2184" t="s">
        <v>424</v>
      </c>
      <c r="D2184" t="s">
        <v>65</v>
      </c>
      <c r="E2184" t="s">
        <v>22</v>
      </c>
      <c r="F2184" t="s">
        <v>12</v>
      </c>
      <c r="G2184" t="s">
        <v>13</v>
      </c>
      <c r="H2184">
        <v>19</v>
      </c>
    </row>
    <row r="2185" spans="1:8" ht="21.75" customHeight="1" x14ac:dyDescent="0.35">
      <c r="A2185" t="s">
        <v>2280</v>
      </c>
      <c r="B2185" s="3">
        <v>45614</v>
      </c>
      <c r="C2185" t="s">
        <v>339</v>
      </c>
      <c r="D2185" t="s">
        <v>10</v>
      </c>
      <c r="E2185" t="s">
        <v>17</v>
      </c>
      <c r="F2185" t="s">
        <v>306</v>
      </c>
      <c r="G2185" t="s">
        <v>32</v>
      </c>
      <c r="H2185">
        <v>14</v>
      </c>
    </row>
    <row r="2186" spans="1:8" ht="21.75" customHeight="1" x14ac:dyDescent="0.35">
      <c r="A2186" t="s">
        <v>2281</v>
      </c>
      <c r="B2186" s="3">
        <v>45454</v>
      </c>
      <c r="C2186" t="s">
        <v>86</v>
      </c>
      <c r="D2186" t="s">
        <v>160</v>
      </c>
      <c r="E2186" t="s">
        <v>22</v>
      </c>
      <c r="F2186" t="s">
        <v>306</v>
      </c>
      <c r="G2186" t="s">
        <v>32</v>
      </c>
      <c r="H2186">
        <v>5</v>
      </c>
    </row>
    <row r="2187" spans="1:8" ht="21.75" customHeight="1" x14ac:dyDescent="0.35">
      <c r="A2187" t="s">
        <v>2282</v>
      </c>
      <c r="B2187" s="3">
        <v>45546</v>
      </c>
      <c r="C2187" t="s">
        <v>363</v>
      </c>
      <c r="D2187" t="s">
        <v>84</v>
      </c>
      <c r="E2187" t="s">
        <v>22</v>
      </c>
      <c r="F2187" t="s">
        <v>27</v>
      </c>
      <c r="G2187" t="s">
        <v>23</v>
      </c>
      <c r="H2187">
        <v>6</v>
      </c>
    </row>
    <row r="2188" spans="1:8" ht="21.75" customHeight="1" x14ac:dyDescent="0.35">
      <c r="A2188" t="s">
        <v>2283</v>
      </c>
      <c r="B2188" s="3">
        <v>45411</v>
      </c>
      <c r="C2188" t="s">
        <v>369</v>
      </c>
      <c r="D2188" t="s">
        <v>74</v>
      </c>
      <c r="E2188" t="s">
        <v>11</v>
      </c>
      <c r="F2188" t="s">
        <v>12</v>
      </c>
      <c r="G2188" t="s">
        <v>13</v>
      </c>
      <c r="H2188">
        <v>1</v>
      </c>
    </row>
    <row r="2189" spans="1:8" ht="21.75" customHeight="1" x14ac:dyDescent="0.35">
      <c r="A2189" t="s">
        <v>2284</v>
      </c>
      <c r="B2189" s="3">
        <v>45352</v>
      </c>
      <c r="C2189" t="s">
        <v>304</v>
      </c>
      <c r="D2189" t="s">
        <v>65</v>
      </c>
      <c r="E2189" t="s">
        <v>22</v>
      </c>
      <c r="F2189" t="s">
        <v>27</v>
      </c>
      <c r="G2189" t="s">
        <v>23</v>
      </c>
      <c r="H2189">
        <v>2</v>
      </c>
    </row>
    <row r="2190" spans="1:8" ht="21.75" customHeight="1" x14ac:dyDescent="0.35">
      <c r="A2190" t="s">
        <v>2285</v>
      </c>
      <c r="B2190" s="3">
        <v>45578</v>
      </c>
      <c r="C2190" t="s">
        <v>541</v>
      </c>
      <c r="D2190" t="s">
        <v>65</v>
      </c>
      <c r="E2190" t="s">
        <v>11</v>
      </c>
      <c r="F2190" t="s">
        <v>56</v>
      </c>
      <c r="G2190" t="s">
        <v>32</v>
      </c>
      <c r="H2190">
        <v>9</v>
      </c>
    </row>
    <row r="2191" spans="1:8" ht="21.75" customHeight="1" x14ac:dyDescent="0.35">
      <c r="A2191" t="s">
        <v>2286</v>
      </c>
      <c r="B2191" s="3">
        <v>45449</v>
      </c>
      <c r="C2191" t="s">
        <v>68</v>
      </c>
      <c r="D2191" t="s">
        <v>160</v>
      </c>
      <c r="E2191" t="s">
        <v>22</v>
      </c>
      <c r="F2191" t="s">
        <v>42</v>
      </c>
      <c r="G2191" t="s">
        <v>13</v>
      </c>
      <c r="H2191">
        <v>4</v>
      </c>
    </row>
    <row r="2192" spans="1:8" ht="21.75" customHeight="1" x14ac:dyDescent="0.35">
      <c r="A2192" t="s">
        <v>2287</v>
      </c>
      <c r="B2192" s="3">
        <v>45466</v>
      </c>
      <c r="C2192" t="s">
        <v>106</v>
      </c>
      <c r="D2192" t="s">
        <v>84</v>
      </c>
      <c r="E2192" t="s">
        <v>22</v>
      </c>
      <c r="F2192" t="s">
        <v>306</v>
      </c>
      <c r="G2192" t="s">
        <v>13</v>
      </c>
      <c r="H2192">
        <v>6</v>
      </c>
    </row>
    <row r="2193" spans="1:8" ht="21.75" customHeight="1" x14ac:dyDescent="0.35">
      <c r="A2193" t="s">
        <v>2288</v>
      </c>
      <c r="B2193" s="3">
        <v>45465</v>
      </c>
      <c r="C2193" t="s">
        <v>422</v>
      </c>
      <c r="D2193" t="s">
        <v>35</v>
      </c>
      <c r="E2193" t="s">
        <v>17</v>
      </c>
      <c r="F2193" t="s">
        <v>12</v>
      </c>
      <c r="G2193" t="s">
        <v>28</v>
      </c>
      <c r="H2193">
        <v>16</v>
      </c>
    </row>
    <row r="2194" spans="1:8" ht="21.75" customHeight="1" x14ac:dyDescent="0.35">
      <c r="A2194" t="s">
        <v>2289</v>
      </c>
      <c r="B2194" s="3">
        <v>45527</v>
      </c>
      <c r="C2194" t="s">
        <v>312</v>
      </c>
      <c r="D2194" t="s">
        <v>72</v>
      </c>
      <c r="E2194" t="s">
        <v>17</v>
      </c>
      <c r="F2194" t="s">
        <v>27</v>
      </c>
      <c r="G2194" t="s">
        <v>13</v>
      </c>
      <c r="H2194">
        <v>17</v>
      </c>
    </row>
    <row r="2195" spans="1:8" ht="21.75" customHeight="1" x14ac:dyDescent="0.35">
      <c r="A2195" t="s">
        <v>2290</v>
      </c>
      <c r="B2195" s="3">
        <v>45639</v>
      </c>
      <c r="C2195" t="s">
        <v>38</v>
      </c>
      <c r="D2195" t="s">
        <v>174</v>
      </c>
      <c r="E2195" t="s">
        <v>22</v>
      </c>
      <c r="F2195" t="s">
        <v>12</v>
      </c>
      <c r="G2195" t="s">
        <v>28</v>
      </c>
      <c r="H2195">
        <v>19</v>
      </c>
    </row>
    <row r="2196" spans="1:8" ht="21.75" customHeight="1" x14ac:dyDescent="0.35">
      <c r="A2196" t="s">
        <v>2291</v>
      </c>
      <c r="B2196" s="3">
        <v>45473</v>
      </c>
      <c r="C2196" t="s">
        <v>58</v>
      </c>
      <c r="D2196" t="s">
        <v>16</v>
      </c>
      <c r="E2196" t="s">
        <v>17</v>
      </c>
      <c r="F2196" t="s">
        <v>12</v>
      </c>
      <c r="G2196" t="s">
        <v>32</v>
      </c>
      <c r="H2196">
        <v>13</v>
      </c>
    </row>
    <row r="2197" spans="1:8" ht="21.75" customHeight="1" x14ac:dyDescent="0.35">
      <c r="A2197" t="s">
        <v>2292</v>
      </c>
      <c r="B2197" s="3">
        <v>45376</v>
      </c>
      <c r="C2197" t="s">
        <v>314</v>
      </c>
      <c r="D2197" t="s">
        <v>109</v>
      </c>
      <c r="E2197" t="s">
        <v>17</v>
      </c>
      <c r="F2197" t="s">
        <v>56</v>
      </c>
      <c r="G2197" t="s">
        <v>36</v>
      </c>
      <c r="H2197">
        <v>4</v>
      </c>
    </row>
    <row r="2198" spans="1:8" ht="21.75" customHeight="1" x14ac:dyDescent="0.35">
      <c r="A2198" t="s">
        <v>2293</v>
      </c>
      <c r="B2198" s="3">
        <v>45449</v>
      </c>
      <c r="C2198" t="s">
        <v>369</v>
      </c>
      <c r="D2198" t="s">
        <v>72</v>
      </c>
      <c r="E2198" t="s">
        <v>22</v>
      </c>
      <c r="F2198" t="s">
        <v>12</v>
      </c>
      <c r="G2198" t="s">
        <v>32</v>
      </c>
      <c r="H2198">
        <v>14</v>
      </c>
    </row>
    <row r="2199" spans="1:8" ht="21.75" customHeight="1" x14ac:dyDescent="0.35">
      <c r="A2199" t="s">
        <v>2294</v>
      </c>
      <c r="B2199" s="3">
        <v>45413</v>
      </c>
      <c r="C2199" t="s">
        <v>200</v>
      </c>
      <c r="D2199" t="s">
        <v>70</v>
      </c>
      <c r="E2199" t="s">
        <v>17</v>
      </c>
      <c r="F2199" t="s">
        <v>56</v>
      </c>
      <c r="G2199" t="s">
        <v>36</v>
      </c>
      <c r="H2199">
        <v>10</v>
      </c>
    </row>
    <row r="2200" spans="1:8" ht="21.75" customHeight="1" x14ac:dyDescent="0.35">
      <c r="A2200" t="s">
        <v>2295</v>
      </c>
      <c r="B2200" s="3">
        <v>45483</v>
      </c>
      <c r="C2200" t="s">
        <v>728</v>
      </c>
      <c r="D2200" t="s">
        <v>79</v>
      </c>
      <c r="E2200" t="s">
        <v>11</v>
      </c>
      <c r="F2200" t="s">
        <v>12</v>
      </c>
      <c r="G2200" t="s">
        <v>23</v>
      </c>
      <c r="H2200">
        <v>17</v>
      </c>
    </row>
    <row r="2201" spans="1:8" ht="21.75" customHeight="1" x14ac:dyDescent="0.35">
      <c r="A2201" t="s">
        <v>2296</v>
      </c>
      <c r="B2201" s="3">
        <v>45539</v>
      </c>
      <c r="C2201" t="s">
        <v>358</v>
      </c>
      <c r="D2201" t="s">
        <v>16</v>
      </c>
      <c r="E2201" t="s">
        <v>11</v>
      </c>
      <c r="F2201" t="s">
        <v>42</v>
      </c>
      <c r="G2201" t="s">
        <v>23</v>
      </c>
      <c r="H2201">
        <v>17</v>
      </c>
    </row>
    <row r="2202" spans="1:8" ht="21.75" customHeight="1" x14ac:dyDescent="0.35">
      <c r="A2202" t="s">
        <v>2297</v>
      </c>
      <c r="B2202" s="3">
        <v>45459</v>
      </c>
      <c r="C2202" t="s">
        <v>167</v>
      </c>
      <c r="D2202" t="s">
        <v>119</v>
      </c>
      <c r="E2202" t="s">
        <v>11</v>
      </c>
      <c r="F2202" t="s">
        <v>306</v>
      </c>
      <c r="G2202" t="s">
        <v>28</v>
      </c>
      <c r="H2202">
        <v>7</v>
      </c>
    </row>
    <row r="2203" spans="1:8" ht="21.75" customHeight="1" x14ac:dyDescent="0.35">
      <c r="A2203" t="s">
        <v>2298</v>
      </c>
      <c r="B2203" s="3">
        <v>45527</v>
      </c>
      <c r="C2203" t="s">
        <v>53</v>
      </c>
      <c r="D2203" t="s">
        <v>62</v>
      </c>
      <c r="E2203" t="s">
        <v>22</v>
      </c>
      <c r="F2203" t="s">
        <v>12</v>
      </c>
      <c r="G2203" t="s">
        <v>13</v>
      </c>
      <c r="H2203">
        <v>10</v>
      </c>
    </row>
    <row r="2204" spans="1:8" ht="21.75" customHeight="1" x14ac:dyDescent="0.35">
      <c r="A2204" t="s">
        <v>2299</v>
      </c>
      <c r="B2204" s="3">
        <v>45643</v>
      </c>
      <c r="C2204" t="s">
        <v>327</v>
      </c>
      <c r="D2204" t="s">
        <v>10</v>
      </c>
      <c r="E2204" t="s">
        <v>17</v>
      </c>
      <c r="F2204" t="s">
        <v>27</v>
      </c>
      <c r="G2204" t="s">
        <v>13</v>
      </c>
      <c r="H2204">
        <v>4</v>
      </c>
    </row>
    <row r="2205" spans="1:8" ht="21.75" customHeight="1" x14ac:dyDescent="0.35">
      <c r="A2205" t="s">
        <v>2300</v>
      </c>
      <c r="B2205" s="3">
        <v>45629</v>
      </c>
      <c r="C2205" t="s">
        <v>323</v>
      </c>
      <c r="D2205" t="s">
        <v>74</v>
      </c>
      <c r="E2205" t="s">
        <v>11</v>
      </c>
      <c r="F2205" t="s">
        <v>306</v>
      </c>
      <c r="G2205" t="s">
        <v>32</v>
      </c>
      <c r="H2205">
        <v>7</v>
      </c>
    </row>
    <row r="2206" spans="1:8" ht="21.75" customHeight="1" x14ac:dyDescent="0.35">
      <c r="A2206" t="s">
        <v>2301</v>
      </c>
      <c r="B2206" s="3">
        <v>45390</v>
      </c>
      <c r="C2206" t="s">
        <v>55</v>
      </c>
      <c r="D2206" t="s">
        <v>26</v>
      </c>
      <c r="E2206" t="s">
        <v>22</v>
      </c>
      <c r="F2206" t="s">
        <v>42</v>
      </c>
      <c r="G2206" t="s">
        <v>23</v>
      </c>
      <c r="H2206">
        <v>4</v>
      </c>
    </row>
    <row r="2207" spans="1:8" ht="21.75" customHeight="1" x14ac:dyDescent="0.35">
      <c r="A2207" t="s">
        <v>2302</v>
      </c>
      <c r="B2207" s="3">
        <v>45372</v>
      </c>
      <c r="C2207" t="s">
        <v>89</v>
      </c>
      <c r="D2207" t="s">
        <v>102</v>
      </c>
      <c r="E2207" t="s">
        <v>11</v>
      </c>
      <c r="F2207" t="s">
        <v>306</v>
      </c>
      <c r="G2207" t="s">
        <v>36</v>
      </c>
      <c r="H2207">
        <v>17</v>
      </c>
    </row>
    <row r="2208" spans="1:8" ht="21.75" customHeight="1" x14ac:dyDescent="0.35">
      <c r="A2208" t="s">
        <v>2303</v>
      </c>
      <c r="B2208" s="3">
        <v>45569</v>
      </c>
      <c r="C2208" t="s">
        <v>20</v>
      </c>
      <c r="D2208" t="s">
        <v>174</v>
      </c>
      <c r="E2208" t="s">
        <v>17</v>
      </c>
      <c r="F2208" t="s">
        <v>42</v>
      </c>
      <c r="G2208" t="s">
        <v>28</v>
      </c>
      <c r="H2208">
        <v>10</v>
      </c>
    </row>
    <row r="2209" spans="1:8" ht="21.75" customHeight="1" x14ac:dyDescent="0.35">
      <c r="A2209" t="s">
        <v>2304</v>
      </c>
      <c r="B2209" s="3">
        <v>45379</v>
      </c>
      <c r="C2209" t="s">
        <v>208</v>
      </c>
      <c r="D2209" t="s">
        <v>74</v>
      </c>
      <c r="E2209" t="s">
        <v>22</v>
      </c>
      <c r="F2209" t="s">
        <v>42</v>
      </c>
      <c r="G2209" t="s">
        <v>36</v>
      </c>
      <c r="H2209">
        <v>15</v>
      </c>
    </row>
    <row r="2210" spans="1:8" ht="21.75" customHeight="1" x14ac:dyDescent="0.35">
      <c r="A2210" t="s">
        <v>2305</v>
      </c>
      <c r="B2210" s="3">
        <v>45306</v>
      </c>
      <c r="C2210" t="s">
        <v>553</v>
      </c>
      <c r="D2210" t="s">
        <v>41</v>
      </c>
      <c r="E2210" t="s">
        <v>11</v>
      </c>
      <c r="F2210" t="s">
        <v>12</v>
      </c>
      <c r="G2210" t="s">
        <v>23</v>
      </c>
      <c r="H2210">
        <v>2</v>
      </c>
    </row>
    <row r="2211" spans="1:8" ht="21.75" customHeight="1" x14ac:dyDescent="0.35">
      <c r="A2211" t="s">
        <v>2306</v>
      </c>
      <c r="B2211" s="3">
        <v>45492</v>
      </c>
      <c r="C2211" t="s">
        <v>235</v>
      </c>
      <c r="D2211" t="s">
        <v>62</v>
      </c>
      <c r="E2211" t="s">
        <v>22</v>
      </c>
      <c r="F2211" t="s">
        <v>306</v>
      </c>
      <c r="G2211" t="s">
        <v>23</v>
      </c>
      <c r="H2211">
        <v>20</v>
      </c>
    </row>
    <row r="2212" spans="1:8" ht="21.75" customHeight="1" x14ac:dyDescent="0.35">
      <c r="A2212" t="s">
        <v>2307</v>
      </c>
      <c r="B2212" s="3">
        <v>45462</v>
      </c>
      <c r="C2212" t="s">
        <v>104</v>
      </c>
      <c r="D2212" t="s">
        <v>62</v>
      </c>
      <c r="E2212" t="s">
        <v>22</v>
      </c>
      <c r="F2212" t="s">
        <v>306</v>
      </c>
      <c r="G2212" t="s">
        <v>13</v>
      </c>
      <c r="H2212">
        <v>15</v>
      </c>
    </row>
    <row r="2213" spans="1:8" ht="21.75" customHeight="1" x14ac:dyDescent="0.35">
      <c r="A2213" t="s">
        <v>2308</v>
      </c>
      <c r="B2213" s="3">
        <v>45339</v>
      </c>
      <c r="C2213" t="s">
        <v>424</v>
      </c>
      <c r="D2213" t="s">
        <v>70</v>
      </c>
      <c r="E2213" t="s">
        <v>11</v>
      </c>
      <c r="F2213" t="s">
        <v>27</v>
      </c>
      <c r="G2213" t="s">
        <v>32</v>
      </c>
      <c r="H2213">
        <v>15</v>
      </c>
    </row>
    <row r="2214" spans="1:8" ht="21.75" customHeight="1" x14ac:dyDescent="0.35">
      <c r="A2214" t="s">
        <v>2309</v>
      </c>
      <c r="B2214" s="3">
        <v>45406</v>
      </c>
      <c r="C2214" t="s">
        <v>167</v>
      </c>
      <c r="D2214" t="s">
        <v>109</v>
      </c>
      <c r="E2214" t="s">
        <v>17</v>
      </c>
      <c r="F2214" t="s">
        <v>42</v>
      </c>
      <c r="G2214" t="s">
        <v>23</v>
      </c>
      <c r="H2214">
        <v>6</v>
      </c>
    </row>
    <row r="2215" spans="1:8" ht="21.75" customHeight="1" x14ac:dyDescent="0.35">
      <c r="A2215" t="s">
        <v>2310</v>
      </c>
      <c r="B2215" s="3">
        <v>45632</v>
      </c>
      <c r="C2215" t="s">
        <v>118</v>
      </c>
      <c r="D2215" t="s">
        <v>72</v>
      </c>
      <c r="E2215" t="s">
        <v>17</v>
      </c>
      <c r="F2215" t="s">
        <v>27</v>
      </c>
      <c r="G2215" t="s">
        <v>13</v>
      </c>
      <c r="H2215">
        <v>3</v>
      </c>
    </row>
    <row r="2216" spans="1:8" ht="21.75" customHeight="1" x14ac:dyDescent="0.35">
      <c r="A2216" t="s">
        <v>2311</v>
      </c>
      <c r="B2216" s="3">
        <v>45471</v>
      </c>
      <c r="C2216" t="s">
        <v>517</v>
      </c>
      <c r="D2216" t="s">
        <v>70</v>
      </c>
      <c r="E2216" t="s">
        <v>11</v>
      </c>
      <c r="F2216" t="s">
        <v>42</v>
      </c>
      <c r="G2216" t="s">
        <v>32</v>
      </c>
      <c r="H2216">
        <v>20</v>
      </c>
    </row>
    <row r="2217" spans="1:8" ht="21.75" customHeight="1" x14ac:dyDescent="0.35">
      <c r="A2217" t="s">
        <v>2312</v>
      </c>
      <c r="B2217" s="3">
        <v>45552</v>
      </c>
      <c r="C2217" t="s">
        <v>15</v>
      </c>
      <c r="D2217" t="s">
        <v>31</v>
      </c>
      <c r="E2217" t="s">
        <v>22</v>
      </c>
      <c r="F2217" t="s">
        <v>12</v>
      </c>
      <c r="G2217" t="s">
        <v>32</v>
      </c>
      <c r="H2217">
        <v>18</v>
      </c>
    </row>
    <row r="2218" spans="1:8" ht="21.75" customHeight="1" x14ac:dyDescent="0.35">
      <c r="A2218" t="s">
        <v>2313</v>
      </c>
      <c r="B2218" s="3">
        <v>45446</v>
      </c>
      <c r="C2218" t="s">
        <v>312</v>
      </c>
      <c r="D2218" t="s">
        <v>70</v>
      </c>
      <c r="E2218" t="s">
        <v>17</v>
      </c>
      <c r="F2218" t="s">
        <v>306</v>
      </c>
      <c r="G2218" t="s">
        <v>23</v>
      </c>
      <c r="H2218">
        <v>8</v>
      </c>
    </row>
    <row r="2219" spans="1:8" ht="21.75" customHeight="1" x14ac:dyDescent="0.35">
      <c r="A2219" t="s">
        <v>2314</v>
      </c>
      <c r="B2219" s="3">
        <v>45572</v>
      </c>
      <c r="C2219" t="s">
        <v>111</v>
      </c>
      <c r="D2219" t="s">
        <v>35</v>
      </c>
      <c r="E2219" t="s">
        <v>17</v>
      </c>
      <c r="F2219" t="s">
        <v>12</v>
      </c>
      <c r="G2219" t="s">
        <v>32</v>
      </c>
      <c r="H2219">
        <v>7</v>
      </c>
    </row>
    <row r="2220" spans="1:8" ht="21.75" customHeight="1" x14ac:dyDescent="0.35">
      <c r="A2220" t="s">
        <v>2315</v>
      </c>
      <c r="B2220" s="3">
        <v>45594</v>
      </c>
      <c r="C2220" t="s">
        <v>348</v>
      </c>
      <c r="D2220" t="s">
        <v>87</v>
      </c>
      <c r="E2220" t="s">
        <v>22</v>
      </c>
      <c r="F2220" t="s">
        <v>42</v>
      </c>
      <c r="G2220" t="s">
        <v>36</v>
      </c>
      <c r="H2220">
        <v>8</v>
      </c>
    </row>
    <row r="2221" spans="1:8" ht="21.75" customHeight="1" x14ac:dyDescent="0.35">
      <c r="A2221" t="s">
        <v>2316</v>
      </c>
      <c r="B2221" s="3">
        <v>45634</v>
      </c>
      <c r="C2221" t="s">
        <v>208</v>
      </c>
      <c r="D2221" t="s">
        <v>84</v>
      </c>
      <c r="E2221" t="s">
        <v>22</v>
      </c>
      <c r="F2221" t="s">
        <v>306</v>
      </c>
      <c r="G2221" t="s">
        <v>23</v>
      </c>
      <c r="H2221">
        <v>4</v>
      </c>
    </row>
    <row r="2222" spans="1:8" ht="21.75" customHeight="1" x14ac:dyDescent="0.35">
      <c r="A2222" t="s">
        <v>2317</v>
      </c>
      <c r="B2222" s="3">
        <v>45529</v>
      </c>
      <c r="C2222" t="s">
        <v>187</v>
      </c>
      <c r="D2222" t="s">
        <v>174</v>
      </c>
      <c r="E2222" t="s">
        <v>11</v>
      </c>
      <c r="F2222" t="s">
        <v>27</v>
      </c>
      <c r="G2222" t="s">
        <v>28</v>
      </c>
      <c r="H2222">
        <v>10</v>
      </c>
    </row>
    <row r="2223" spans="1:8" ht="21.75" customHeight="1" x14ac:dyDescent="0.35">
      <c r="A2223" t="s">
        <v>2318</v>
      </c>
      <c r="B2223" s="3">
        <v>45327</v>
      </c>
      <c r="C2223" t="s">
        <v>327</v>
      </c>
      <c r="D2223" t="s">
        <v>102</v>
      </c>
      <c r="E2223" t="s">
        <v>22</v>
      </c>
      <c r="F2223" t="s">
        <v>306</v>
      </c>
      <c r="G2223" t="s">
        <v>23</v>
      </c>
      <c r="H2223">
        <v>11</v>
      </c>
    </row>
    <row r="2224" spans="1:8" ht="21.75" customHeight="1" x14ac:dyDescent="0.35">
      <c r="A2224" t="s">
        <v>2319</v>
      </c>
      <c r="B2224" s="3">
        <v>45630</v>
      </c>
      <c r="C2224" t="s">
        <v>131</v>
      </c>
      <c r="D2224" t="s">
        <v>10</v>
      </c>
      <c r="E2224" t="s">
        <v>11</v>
      </c>
      <c r="F2224" t="s">
        <v>56</v>
      </c>
      <c r="G2224" t="s">
        <v>36</v>
      </c>
      <c r="H2224">
        <v>1</v>
      </c>
    </row>
    <row r="2225" spans="1:8" ht="21.75" customHeight="1" x14ac:dyDescent="0.35">
      <c r="A2225" t="s">
        <v>2320</v>
      </c>
      <c r="B2225" s="3">
        <v>45630</v>
      </c>
      <c r="C2225" t="s">
        <v>125</v>
      </c>
      <c r="D2225" t="s">
        <v>70</v>
      </c>
      <c r="E2225" t="s">
        <v>22</v>
      </c>
      <c r="F2225" t="s">
        <v>42</v>
      </c>
      <c r="G2225" t="s">
        <v>23</v>
      </c>
      <c r="H2225">
        <v>20</v>
      </c>
    </row>
    <row r="2226" spans="1:8" ht="21.75" customHeight="1" x14ac:dyDescent="0.35">
      <c r="A2226" t="s">
        <v>2321</v>
      </c>
      <c r="B2226" s="3">
        <v>45392</v>
      </c>
      <c r="C2226" t="s">
        <v>95</v>
      </c>
      <c r="D2226" t="s">
        <v>41</v>
      </c>
      <c r="E2226" t="s">
        <v>17</v>
      </c>
      <c r="F2226" t="s">
        <v>42</v>
      </c>
      <c r="G2226" t="s">
        <v>36</v>
      </c>
      <c r="H2226">
        <v>10</v>
      </c>
    </row>
    <row r="2227" spans="1:8" ht="21.75" customHeight="1" x14ac:dyDescent="0.35">
      <c r="A2227" t="s">
        <v>2322</v>
      </c>
      <c r="B2227" s="3">
        <v>45514</v>
      </c>
      <c r="C2227" t="s">
        <v>436</v>
      </c>
      <c r="D2227" t="s">
        <v>48</v>
      </c>
      <c r="E2227" t="s">
        <v>11</v>
      </c>
      <c r="F2227" t="s">
        <v>306</v>
      </c>
      <c r="G2227" t="s">
        <v>13</v>
      </c>
      <c r="H2227">
        <v>20</v>
      </c>
    </row>
    <row r="2228" spans="1:8" ht="21.75" customHeight="1" x14ac:dyDescent="0.35">
      <c r="A2228" t="s">
        <v>2323</v>
      </c>
      <c r="B2228" s="3">
        <v>45498</v>
      </c>
      <c r="C2228" t="s">
        <v>34</v>
      </c>
      <c r="D2228" t="s">
        <v>74</v>
      </c>
      <c r="E2228" t="s">
        <v>11</v>
      </c>
      <c r="F2228" t="s">
        <v>42</v>
      </c>
      <c r="G2228" t="s">
        <v>36</v>
      </c>
      <c r="H2228">
        <v>2</v>
      </c>
    </row>
    <row r="2229" spans="1:8" ht="21.75" customHeight="1" x14ac:dyDescent="0.35">
      <c r="A2229" t="s">
        <v>2324</v>
      </c>
      <c r="B2229" s="3">
        <v>45578</v>
      </c>
      <c r="C2229" t="s">
        <v>182</v>
      </c>
      <c r="D2229" t="s">
        <v>102</v>
      </c>
      <c r="E2229" t="s">
        <v>17</v>
      </c>
      <c r="F2229" t="s">
        <v>12</v>
      </c>
      <c r="G2229" t="s">
        <v>28</v>
      </c>
      <c r="H2229">
        <v>14</v>
      </c>
    </row>
    <row r="2230" spans="1:8" ht="21.75" customHeight="1" x14ac:dyDescent="0.35">
      <c r="A2230" t="s">
        <v>2325</v>
      </c>
      <c r="B2230" s="3">
        <v>45493</v>
      </c>
      <c r="C2230" t="s">
        <v>451</v>
      </c>
      <c r="D2230" t="s">
        <v>72</v>
      </c>
      <c r="E2230" t="s">
        <v>22</v>
      </c>
      <c r="F2230" t="s">
        <v>27</v>
      </c>
      <c r="G2230" t="s">
        <v>23</v>
      </c>
      <c r="H2230">
        <v>13</v>
      </c>
    </row>
    <row r="2231" spans="1:8" ht="21.75" customHeight="1" x14ac:dyDescent="0.35">
      <c r="A2231" t="s">
        <v>2326</v>
      </c>
      <c r="B2231" s="3">
        <v>45400</v>
      </c>
      <c r="C2231" t="s">
        <v>371</v>
      </c>
      <c r="D2231" t="s">
        <v>45</v>
      </c>
      <c r="E2231" t="s">
        <v>17</v>
      </c>
      <c r="F2231" t="s">
        <v>56</v>
      </c>
      <c r="G2231" t="s">
        <v>28</v>
      </c>
      <c r="H2231">
        <v>18</v>
      </c>
    </row>
    <row r="2232" spans="1:8" ht="21.75" customHeight="1" x14ac:dyDescent="0.35">
      <c r="A2232" t="s">
        <v>2327</v>
      </c>
      <c r="B2232" s="3">
        <v>45476</v>
      </c>
      <c r="C2232" t="s">
        <v>572</v>
      </c>
      <c r="D2232" t="s">
        <v>16</v>
      </c>
      <c r="E2232" t="s">
        <v>17</v>
      </c>
      <c r="F2232" t="s">
        <v>56</v>
      </c>
      <c r="G2232" t="s">
        <v>28</v>
      </c>
      <c r="H2232">
        <v>1</v>
      </c>
    </row>
    <row r="2233" spans="1:8" ht="21.75" customHeight="1" x14ac:dyDescent="0.35">
      <c r="A2233" t="s">
        <v>2328</v>
      </c>
      <c r="B2233" s="3">
        <v>45300</v>
      </c>
      <c r="C2233" t="s">
        <v>167</v>
      </c>
      <c r="D2233" t="s">
        <v>84</v>
      </c>
      <c r="E2233" t="s">
        <v>17</v>
      </c>
      <c r="F2233" t="s">
        <v>27</v>
      </c>
      <c r="G2233" t="s">
        <v>28</v>
      </c>
      <c r="H2233">
        <v>3</v>
      </c>
    </row>
    <row r="2234" spans="1:8" ht="21.75" customHeight="1" x14ac:dyDescent="0.35">
      <c r="A2234" t="s">
        <v>2329</v>
      </c>
      <c r="B2234" s="3">
        <v>45504</v>
      </c>
      <c r="C2234" t="s">
        <v>366</v>
      </c>
      <c r="D2234" t="s">
        <v>62</v>
      </c>
      <c r="E2234" t="s">
        <v>22</v>
      </c>
      <c r="F2234" t="s">
        <v>27</v>
      </c>
      <c r="G2234" t="s">
        <v>36</v>
      </c>
      <c r="H2234">
        <v>6</v>
      </c>
    </row>
    <row r="2235" spans="1:8" ht="21.75" customHeight="1" x14ac:dyDescent="0.35">
      <c r="A2235" t="s">
        <v>2330</v>
      </c>
      <c r="B2235" s="3">
        <v>45509</v>
      </c>
      <c r="C2235" t="s">
        <v>378</v>
      </c>
      <c r="D2235" t="s">
        <v>70</v>
      </c>
      <c r="E2235" t="s">
        <v>17</v>
      </c>
      <c r="F2235" t="s">
        <v>42</v>
      </c>
      <c r="G2235" t="s">
        <v>28</v>
      </c>
      <c r="H2235">
        <v>6</v>
      </c>
    </row>
    <row r="2236" spans="1:8" ht="21.75" customHeight="1" x14ac:dyDescent="0.35">
      <c r="A2236" t="s">
        <v>2331</v>
      </c>
      <c r="B2236" s="3">
        <v>45295</v>
      </c>
      <c r="C2236" t="s">
        <v>314</v>
      </c>
      <c r="D2236" t="s">
        <v>35</v>
      </c>
      <c r="E2236" t="s">
        <v>22</v>
      </c>
      <c r="F2236" t="s">
        <v>56</v>
      </c>
      <c r="G2236" t="s">
        <v>36</v>
      </c>
      <c r="H2236">
        <v>9</v>
      </c>
    </row>
    <row r="2237" spans="1:8" ht="21.75" customHeight="1" x14ac:dyDescent="0.35">
      <c r="A2237" t="s">
        <v>2332</v>
      </c>
      <c r="B2237" s="3">
        <v>45571</v>
      </c>
      <c r="C2237" t="s">
        <v>314</v>
      </c>
      <c r="D2237" t="s">
        <v>48</v>
      </c>
      <c r="E2237" t="s">
        <v>11</v>
      </c>
      <c r="F2237" t="s">
        <v>12</v>
      </c>
      <c r="G2237" t="s">
        <v>36</v>
      </c>
      <c r="H2237">
        <v>16</v>
      </c>
    </row>
    <row r="2238" spans="1:8" ht="21.75" customHeight="1" x14ac:dyDescent="0.35">
      <c r="A2238" t="s">
        <v>2333</v>
      </c>
      <c r="B2238" s="3">
        <v>45349</v>
      </c>
      <c r="C2238" t="s">
        <v>361</v>
      </c>
      <c r="D2238" t="s">
        <v>35</v>
      </c>
      <c r="E2238" t="s">
        <v>22</v>
      </c>
      <c r="F2238" t="s">
        <v>12</v>
      </c>
      <c r="G2238" t="s">
        <v>28</v>
      </c>
      <c r="H2238">
        <v>17</v>
      </c>
    </row>
    <row r="2239" spans="1:8" ht="21.75" customHeight="1" x14ac:dyDescent="0.35">
      <c r="A2239" t="s">
        <v>2334</v>
      </c>
      <c r="B2239" s="3">
        <v>45435</v>
      </c>
      <c r="C2239" t="s">
        <v>319</v>
      </c>
      <c r="D2239" t="s">
        <v>160</v>
      </c>
      <c r="E2239" t="s">
        <v>11</v>
      </c>
      <c r="F2239" t="s">
        <v>306</v>
      </c>
      <c r="G2239" t="s">
        <v>36</v>
      </c>
      <c r="H2239">
        <v>3</v>
      </c>
    </row>
    <row r="2240" spans="1:8" ht="21.75" customHeight="1" x14ac:dyDescent="0.35">
      <c r="A2240" t="s">
        <v>2335</v>
      </c>
      <c r="B2240" s="3">
        <v>45614</v>
      </c>
      <c r="C2240" t="s">
        <v>304</v>
      </c>
      <c r="D2240" t="s">
        <v>41</v>
      </c>
      <c r="E2240" t="s">
        <v>22</v>
      </c>
      <c r="F2240" t="s">
        <v>12</v>
      </c>
      <c r="G2240" t="s">
        <v>36</v>
      </c>
      <c r="H2240">
        <v>19</v>
      </c>
    </row>
    <row r="2241" spans="1:8" ht="21.75" customHeight="1" x14ac:dyDescent="0.35">
      <c r="A2241" t="s">
        <v>2336</v>
      </c>
      <c r="B2241" s="3">
        <v>45319</v>
      </c>
      <c r="C2241" t="s">
        <v>47</v>
      </c>
      <c r="D2241" t="s">
        <v>174</v>
      </c>
      <c r="E2241" t="s">
        <v>11</v>
      </c>
      <c r="F2241" t="s">
        <v>27</v>
      </c>
      <c r="G2241" t="s">
        <v>23</v>
      </c>
      <c r="H2241">
        <v>17</v>
      </c>
    </row>
    <row r="2242" spans="1:8" ht="21.75" customHeight="1" x14ac:dyDescent="0.35">
      <c r="A2242" t="s">
        <v>2337</v>
      </c>
      <c r="B2242" s="3">
        <v>45585</v>
      </c>
      <c r="C2242" t="s">
        <v>388</v>
      </c>
      <c r="D2242" t="s">
        <v>72</v>
      </c>
      <c r="E2242" t="s">
        <v>17</v>
      </c>
      <c r="F2242" t="s">
        <v>42</v>
      </c>
      <c r="G2242" t="s">
        <v>32</v>
      </c>
      <c r="H2242">
        <v>10</v>
      </c>
    </row>
    <row r="2243" spans="1:8" ht="21.75" customHeight="1" x14ac:dyDescent="0.35">
      <c r="A2243" t="s">
        <v>2338</v>
      </c>
      <c r="B2243" s="3">
        <v>45647</v>
      </c>
      <c r="C2243" t="s">
        <v>327</v>
      </c>
      <c r="D2243" t="s">
        <v>84</v>
      </c>
      <c r="E2243" t="s">
        <v>17</v>
      </c>
      <c r="F2243" t="s">
        <v>306</v>
      </c>
      <c r="G2243" t="s">
        <v>32</v>
      </c>
      <c r="H2243">
        <v>2</v>
      </c>
    </row>
    <row r="2244" spans="1:8" ht="21.75" customHeight="1" x14ac:dyDescent="0.35">
      <c r="A2244" t="s">
        <v>2339</v>
      </c>
      <c r="B2244" s="3">
        <v>45588</v>
      </c>
      <c r="C2244" t="s">
        <v>30</v>
      </c>
      <c r="D2244" t="s">
        <v>59</v>
      </c>
      <c r="E2244" t="s">
        <v>11</v>
      </c>
      <c r="F2244" t="s">
        <v>42</v>
      </c>
      <c r="G2244" t="s">
        <v>36</v>
      </c>
      <c r="H2244">
        <v>1</v>
      </c>
    </row>
    <row r="2245" spans="1:8" ht="21.75" customHeight="1" x14ac:dyDescent="0.35">
      <c r="A2245" t="s">
        <v>2340</v>
      </c>
      <c r="B2245" s="3">
        <v>45334</v>
      </c>
      <c r="C2245" t="s">
        <v>34</v>
      </c>
      <c r="D2245" t="s">
        <v>160</v>
      </c>
      <c r="E2245" t="s">
        <v>11</v>
      </c>
      <c r="F2245" t="s">
        <v>42</v>
      </c>
      <c r="G2245" t="s">
        <v>32</v>
      </c>
      <c r="H2245">
        <v>5</v>
      </c>
    </row>
    <row r="2246" spans="1:8" ht="21.75" customHeight="1" x14ac:dyDescent="0.35">
      <c r="A2246" t="s">
        <v>2341</v>
      </c>
      <c r="B2246" s="3">
        <v>45432</v>
      </c>
      <c r="C2246" t="s">
        <v>230</v>
      </c>
      <c r="D2246" t="s">
        <v>96</v>
      </c>
      <c r="E2246" t="s">
        <v>22</v>
      </c>
      <c r="F2246" t="s">
        <v>12</v>
      </c>
      <c r="G2246" t="s">
        <v>36</v>
      </c>
      <c r="H2246">
        <v>6</v>
      </c>
    </row>
    <row r="2247" spans="1:8" ht="21.75" customHeight="1" x14ac:dyDescent="0.35">
      <c r="A2247" t="s">
        <v>2342</v>
      </c>
      <c r="B2247" s="3">
        <v>45369</v>
      </c>
      <c r="C2247" t="s">
        <v>371</v>
      </c>
      <c r="D2247" t="s">
        <v>70</v>
      </c>
      <c r="E2247" t="s">
        <v>17</v>
      </c>
      <c r="F2247" t="s">
        <v>56</v>
      </c>
      <c r="G2247" t="s">
        <v>32</v>
      </c>
      <c r="H2247">
        <v>8</v>
      </c>
    </row>
    <row r="2248" spans="1:8" ht="21.75" customHeight="1" x14ac:dyDescent="0.35">
      <c r="A2248" t="s">
        <v>2343</v>
      </c>
      <c r="B2248" s="3">
        <v>45562</v>
      </c>
      <c r="C2248" t="s">
        <v>122</v>
      </c>
      <c r="D2248" t="s">
        <v>72</v>
      </c>
      <c r="E2248" t="s">
        <v>11</v>
      </c>
      <c r="F2248" t="s">
        <v>56</v>
      </c>
      <c r="G2248" t="s">
        <v>36</v>
      </c>
      <c r="H2248">
        <v>5</v>
      </c>
    </row>
    <row r="2249" spans="1:8" ht="21.75" customHeight="1" x14ac:dyDescent="0.35">
      <c r="A2249" t="s">
        <v>2344</v>
      </c>
      <c r="B2249" s="3">
        <v>45503</v>
      </c>
      <c r="C2249" t="s">
        <v>337</v>
      </c>
      <c r="D2249" t="s">
        <v>31</v>
      </c>
      <c r="E2249" t="s">
        <v>11</v>
      </c>
      <c r="F2249" t="s">
        <v>27</v>
      </c>
      <c r="G2249" t="s">
        <v>28</v>
      </c>
      <c r="H2249">
        <v>7</v>
      </c>
    </row>
    <row r="2250" spans="1:8" ht="21.75" customHeight="1" x14ac:dyDescent="0.35">
      <c r="A2250" t="s">
        <v>2345</v>
      </c>
      <c r="B2250" s="3">
        <v>45468</v>
      </c>
      <c r="C2250" t="s">
        <v>9</v>
      </c>
      <c r="D2250" t="s">
        <v>21</v>
      </c>
      <c r="E2250" t="s">
        <v>17</v>
      </c>
      <c r="F2250" t="s">
        <v>12</v>
      </c>
      <c r="G2250" t="s">
        <v>13</v>
      </c>
      <c r="H2250">
        <v>6</v>
      </c>
    </row>
    <row r="2251" spans="1:8" ht="21.75" customHeight="1" x14ac:dyDescent="0.35">
      <c r="A2251" t="s">
        <v>2346</v>
      </c>
      <c r="B2251" s="3">
        <v>45535</v>
      </c>
      <c r="C2251" t="s">
        <v>68</v>
      </c>
      <c r="D2251" t="s">
        <v>35</v>
      </c>
      <c r="E2251" t="s">
        <v>22</v>
      </c>
      <c r="F2251" t="s">
        <v>306</v>
      </c>
      <c r="G2251" t="s">
        <v>28</v>
      </c>
      <c r="H2251">
        <v>13</v>
      </c>
    </row>
    <row r="2252" spans="1:8" ht="21.75" customHeight="1" x14ac:dyDescent="0.35">
      <c r="A2252" t="s">
        <v>2347</v>
      </c>
      <c r="B2252" s="3">
        <v>45491</v>
      </c>
      <c r="C2252" t="s">
        <v>553</v>
      </c>
      <c r="D2252" t="s">
        <v>26</v>
      </c>
      <c r="E2252" t="s">
        <v>11</v>
      </c>
      <c r="F2252" t="s">
        <v>306</v>
      </c>
      <c r="G2252" t="s">
        <v>23</v>
      </c>
      <c r="H2252">
        <v>1</v>
      </c>
    </row>
    <row r="2253" spans="1:8" ht="21.75" customHeight="1" x14ac:dyDescent="0.35">
      <c r="A2253" t="s">
        <v>2348</v>
      </c>
      <c r="B2253" s="3">
        <v>45521</v>
      </c>
      <c r="C2253" t="s">
        <v>159</v>
      </c>
      <c r="D2253" t="s">
        <v>41</v>
      </c>
      <c r="E2253" t="s">
        <v>17</v>
      </c>
      <c r="F2253" t="s">
        <v>306</v>
      </c>
      <c r="G2253" t="s">
        <v>13</v>
      </c>
      <c r="H2253">
        <v>4</v>
      </c>
    </row>
    <row r="2254" spans="1:8" ht="21.75" customHeight="1" x14ac:dyDescent="0.35">
      <c r="A2254" t="s">
        <v>2349</v>
      </c>
      <c r="B2254" s="3">
        <v>45618</v>
      </c>
      <c r="C2254" t="s">
        <v>182</v>
      </c>
      <c r="D2254" t="s">
        <v>87</v>
      </c>
      <c r="E2254" t="s">
        <v>22</v>
      </c>
      <c r="F2254" t="s">
        <v>42</v>
      </c>
      <c r="G2254" t="s">
        <v>32</v>
      </c>
      <c r="H2254">
        <v>9</v>
      </c>
    </row>
    <row r="2255" spans="1:8" ht="21.75" customHeight="1" x14ac:dyDescent="0.35">
      <c r="A2255" t="s">
        <v>2350</v>
      </c>
      <c r="B2255" s="3">
        <v>45342</v>
      </c>
      <c r="C2255" t="s">
        <v>230</v>
      </c>
      <c r="D2255" t="s">
        <v>21</v>
      </c>
      <c r="E2255" t="s">
        <v>22</v>
      </c>
      <c r="F2255" t="s">
        <v>27</v>
      </c>
      <c r="G2255" t="s">
        <v>23</v>
      </c>
      <c r="H2255">
        <v>8</v>
      </c>
    </row>
    <row r="2256" spans="1:8" ht="21.75" customHeight="1" x14ac:dyDescent="0.35">
      <c r="A2256" t="s">
        <v>2351</v>
      </c>
      <c r="B2256" s="3">
        <v>45593</v>
      </c>
      <c r="C2256" t="s">
        <v>337</v>
      </c>
      <c r="D2256" t="s">
        <v>65</v>
      </c>
      <c r="E2256" t="s">
        <v>22</v>
      </c>
      <c r="F2256" t="s">
        <v>42</v>
      </c>
      <c r="G2256" t="s">
        <v>28</v>
      </c>
      <c r="H2256">
        <v>11</v>
      </c>
    </row>
    <row r="2257" spans="1:8" ht="21.75" customHeight="1" x14ac:dyDescent="0.35">
      <c r="A2257" t="s">
        <v>2352</v>
      </c>
      <c r="B2257" s="3">
        <v>45636</v>
      </c>
      <c r="C2257" t="s">
        <v>142</v>
      </c>
      <c r="D2257" t="s">
        <v>10</v>
      </c>
      <c r="E2257" t="s">
        <v>11</v>
      </c>
      <c r="F2257" t="s">
        <v>27</v>
      </c>
      <c r="G2257" t="s">
        <v>13</v>
      </c>
      <c r="H2257">
        <v>17</v>
      </c>
    </row>
    <row r="2258" spans="1:8" ht="21.75" customHeight="1" x14ac:dyDescent="0.35">
      <c r="A2258" t="s">
        <v>2353</v>
      </c>
      <c r="B2258" s="3">
        <v>45520</v>
      </c>
      <c r="C2258" t="s">
        <v>20</v>
      </c>
      <c r="D2258" t="s">
        <v>197</v>
      </c>
      <c r="E2258" t="s">
        <v>22</v>
      </c>
      <c r="F2258" t="s">
        <v>42</v>
      </c>
      <c r="G2258" t="s">
        <v>32</v>
      </c>
      <c r="H2258">
        <v>7</v>
      </c>
    </row>
    <row r="2259" spans="1:8" ht="21.75" customHeight="1" x14ac:dyDescent="0.35">
      <c r="A2259" t="s">
        <v>2354</v>
      </c>
      <c r="B2259" s="3">
        <v>45609</v>
      </c>
      <c r="C2259" t="s">
        <v>203</v>
      </c>
      <c r="D2259" t="s">
        <v>79</v>
      </c>
      <c r="E2259" t="s">
        <v>22</v>
      </c>
      <c r="F2259" t="s">
        <v>56</v>
      </c>
      <c r="G2259" t="s">
        <v>36</v>
      </c>
      <c r="H2259">
        <v>4</v>
      </c>
    </row>
    <row r="2260" spans="1:8" ht="21.75" customHeight="1" x14ac:dyDescent="0.35">
      <c r="A2260" t="s">
        <v>2355</v>
      </c>
      <c r="B2260" s="3">
        <v>45353</v>
      </c>
      <c r="C2260" t="s">
        <v>203</v>
      </c>
      <c r="D2260" t="s">
        <v>109</v>
      </c>
      <c r="E2260" t="s">
        <v>11</v>
      </c>
      <c r="F2260" t="s">
        <v>27</v>
      </c>
      <c r="G2260" t="s">
        <v>36</v>
      </c>
      <c r="H2260">
        <v>6</v>
      </c>
    </row>
    <row r="2261" spans="1:8" ht="21.75" customHeight="1" x14ac:dyDescent="0.35">
      <c r="A2261" t="s">
        <v>2356</v>
      </c>
      <c r="B2261" s="3">
        <v>45648</v>
      </c>
      <c r="C2261" t="s">
        <v>44</v>
      </c>
      <c r="D2261" t="s">
        <v>26</v>
      </c>
      <c r="E2261" t="s">
        <v>17</v>
      </c>
      <c r="F2261" t="s">
        <v>27</v>
      </c>
      <c r="G2261" t="s">
        <v>13</v>
      </c>
      <c r="H2261">
        <v>15</v>
      </c>
    </row>
    <row r="2262" spans="1:8" ht="21.75" customHeight="1" x14ac:dyDescent="0.35">
      <c r="A2262" t="s">
        <v>2357</v>
      </c>
      <c r="B2262" s="3">
        <v>45433</v>
      </c>
      <c r="C2262" t="s">
        <v>337</v>
      </c>
      <c r="D2262" t="s">
        <v>87</v>
      </c>
      <c r="E2262" t="s">
        <v>22</v>
      </c>
      <c r="F2262" t="s">
        <v>42</v>
      </c>
      <c r="G2262" t="s">
        <v>32</v>
      </c>
      <c r="H2262">
        <v>6</v>
      </c>
    </row>
    <row r="2263" spans="1:8" ht="21.75" customHeight="1" x14ac:dyDescent="0.35">
      <c r="A2263" t="s">
        <v>2358</v>
      </c>
      <c r="B2263" s="3">
        <v>45433</v>
      </c>
      <c r="C2263" t="s">
        <v>420</v>
      </c>
      <c r="D2263" t="s">
        <v>79</v>
      </c>
      <c r="E2263" t="s">
        <v>17</v>
      </c>
      <c r="F2263" t="s">
        <v>27</v>
      </c>
      <c r="G2263" t="s">
        <v>32</v>
      </c>
      <c r="H2263">
        <v>2</v>
      </c>
    </row>
    <row r="2264" spans="1:8" ht="21.75" customHeight="1" x14ac:dyDescent="0.35">
      <c r="A2264" t="s">
        <v>2359</v>
      </c>
      <c r="B2264" s="3">
        <v>45427</v>
      </c>
      <c r="C2264" t="s">
        <v>235</v>
      </c>
      <c r="D2264" t="s">
        <v>70</v>
      </c>
      <c r="E2264" t="s">
        <v>11</v>
      </c>
      <c r="F2264" t="s">
        <v>27</v>
      </c>
      <c r="G2264" t="s">
        <v>28</v>
      </c>
      <c r="H2264">
        <v>20</v>
      </c>
    </row>
    <row r="2265" spans="1:8" ht="21.75" customHeight="1" x14ac:dyDescent="0.35">
      <c r="A2265" t="s">
        <v>2360</v>
      </c>
      <c r="B2265" s="3">
        <v>45622</v>
      </c>
      <c r="C2265" t="s">
        <v>374</v>
      </c>
      <c r="D2265" t="s">
        <v>102</v>
      </c>
      <c r="E2265" t="s">
        <v>11</v>
      </c>
      <c r="F2265" t="s">
        <v>306</v>
      </c>
      <c r="G2265" t="s">
        <v>23</v>
      </c>
      <c r="H2265">
        <v>7</v>
      </c>
    </row>
    <row r="2266" spans="1:8" ht="21.75" customHeight="1" x14ac:dyDescent="0.35">
      <c r="A2266" t="s">
        <v>2361</v>
      </c>
      <c r="B2266" s="3">
        <v>45346</v>
      </c>
      <c r="C2266" t="s">
        <v>396</v>
      </c>
      <c r="D2266" t="s">
        <v>62</v>
      </c>
      <c r="E2266" t="s">
        <v>17</v>
      </c>
      <c r="F2266" t="s">
        <v>12</v>
      </c>
      <c r="G2266" t="s">
        <v>13</v>
      </c>
      <c r="H2266">
        <v>3</v>
      </c>
    </row>
    <row r="2267" spans="1:8" ht="21.75" customHeight="1" x14ac:dyDescent="0.35">
      <c r="A2267" t="s">
        <v>2362</v>
      </c>
      <c r="B2267" s="3">
        <v>45420</v>
      </c>
      <c r="C2267" t="s">
        <v>420</v>
      </c>
      <c r="D2267" t="s">
        <v>70</v>
      </c>
      <c r="E2267" t="s">
        <v>11</v>
      </c>
      <c r="F2267" t="s">
        <v>27</v>
      </c>
      <c r="G2267" t="s">
        <v>28</v>
      </c>
      <c r="H2267">
        <v>1</v>
      </c>
    </row>
    <row r="2268" spans="1:8" ht="21.75" customHeight="1" x14ac:dyDescent="0.35">
      <c r="A2268" t="s">
        <v>2363</v>
      </c>
      <c r="B2268" s="3">
        <v>45632</v>
      </c>
      <c r="C2268" t="s">
        <v>53</v>
      </c>
      <c r="D2268" t="s">
        <v>26</v>
      </c>
      <c r="E2268" t="s">
        <v>11</v>
      </c>
      <c r="F2268" t="s">
        <v>42</v>
      </c>
      <c r="G2268" t="s">
        <v>23</v>
      </c>
      <c r="H2268">
        <v>19</v>
      </c>
    </row>
    <row r="2269" spans="1:8" ht="21.75" customHeight="1" x14ac:dyDescent="0.35">
      <c r="A2269" t="s">
        <v>2364</v>
      </c>
      <c r="B2269" s="3">
        <v>45654</v>
      </c>
      <c r="C2269" t="s">
        <v>337</v>
      </c>
      <c r="D2269" t="s">
        <v>35</v>
      </c>
      <c r="E2269" t="s">
        <v>17</v>
      </c>
      <c r="F2269" t="s">
        <v>27</v>
      </c>
      <c r="G2269" t="s">
        <v>23</v>
      </c>
      <c r="H2269">
        <v>3</v>
      </c>
    </row>
    <row r="2270" spans="1:8" ht="21.75" customHeight="1" x14ac:dyDescent="0.35">
      <c r="A2270" t="s">
        <v>2365</v>
      </c>
      <c r="B2270" s="3">
        <v>45293</v>
      </c>
      <c r="C2270" t="s">
        <v>53</v>
      </c>
      <c r="D2270" t="s">
        <v>62</v>
      </c>
      <c r="E2270" t="s">
        <v>17</v>
      </c>
      <c r="F2270" t="s">
        <v>12</v>
      </c>
      <c r="G2270" t="s">
        <v>36</v>
      </c>
      <c r="H2270">
        <v>18</v>
      </c>
    </row>
    <row r="2271" spans="1:8" ht="21.75" customHeight="1" x14ac:dyDescent="0.35">
      <c r="A2271" t="s">
        <v>2366</v>
      </c>
      <c r="B2271" s="3">
        <v>45475</v>
      </c>
      <c r="C2271" t="s">
        <v>118</v>
      </c>
      <c r="D2271" t="s">
        <v>41</v>
      </c>
      <c r="E2271" t="s">
        <v>17</v>
      </c>
      <c r="F2271" t="s">
        <v>27</v>
      </c>
      <c r="G2271" t="s">
        <v>13</v>
      </c>
      <c r="H2271">
        <v>3</v>
      </c>
    </row>
    <row r="2272" spans="1:8" ht="21.75" customHeight="1" x14ac:dyDescent="0.35">
      <c r="A2272" t="s">
        <v>2367</v>
      </c>
      <c r="B2272" s="3">
        <v>45466</v>
      </c>
      <c r="C2272" t="s">
        <v>81</v>
      </c>
      <c r="D2272" t="s">
        <v>70</v>
      </c>
      <c r="E2272" t="s">
        <v>17</v>
      </c>
      <c r="F2272" t="s">
        <v>56</v>
      </c>
      <c r="G2272" t="s">
        <v>28</v>
      </c>
      <c r="H2272">
        <v>18</v>
      </c>
    </row>
    <row r="2273" spans="1:8" ht="21.75" customHeight="1" x14ac:dyDescent="0.35">
      <c r="A2273" t="s">
        <v>2368</v>
      </c>
      <c r="B2273" s="3">
        <v>45488</v>
      </c>
      <c r="C2273" t="s">
        <v>371</v>
      </c>
      <c r="D2273" t="s">
        <v>65</v>
      </c>
      <c r="E2273" t="s">
        <v>17</v>
      </c>
      <c r="F2273" t="s">
        <v>27</v>
      </c>
      <c r="G2273" t="s">
        <v>13</v>
      </c>
      <c r="H2273">
        <v>12</v>
      </c>
    </row>
    <row r="2274" spans="1:8" ht="21.75" customHeight="1" x14ac:dyDescent="0.35">
      <c r="A2274" t="s">
        <v>2369</v>
      </c>
      <c r="B2274" s="3">
        <v>45615</v>
      </c>
      <c r="C2274" t="s">
        <v>396</v>
      </c>
      <c r="D2274" t="s">
        <v>84</v>
      </c>
      <c r="E2274" t="s">
        <v>11</v>
      </c>
      <c r="F2274" t="s">
        <v>56</v>
      </c>
      <c r="G2274" t="s">
        <v>13</v>
      </c>
      <c r="H2274">
        <v>7</v>
      </c>
    </row>
    <row r="2275" spans="1:8" ht="21.75" customHeight="1" x14ac:dyDescent="0.35">
      <c r="A2275" t="s">
        <v>2370</v>
      </c>
      <c r="B2275" s="3">
        <v>45595</v>
      </c>
      <c r="C2275" t="s">
        <v>93</v>
      </c>
      <c r="D2275" t="s">
        <v>35</v>
      </c>
      <c r="E2275" t="s">
        <v>17</v>
      </c>
      <c r="F2275" t="s">
        <v>12</v>
      </c>
      <c r="G2275" t="s">
        <v>36</v>
      </c>
      <c r="H2275">
        <v>10</v>
      </c>
    </row>
    <row r="2276" spans="1:8" ht="21.75" customHeight="1" x14ac:dyDescent="0.35">
      <c r="A2276" t="s">
        <v>2371</v>
      </c>
      <c r="B2276" s="3">
        <v>45522</v>
      </c>
      <c r="C2276" t="s">
        <v>138</v>
      </c>
      <c r="D2276" t="s">
        <v>79</v>
      </c>
      <c r="E2276" t="s">
        <v>17</v>
      </c>
      <c r="F2276" t="s">
        <v>12</v>
      </c>
      <c r="G2276" t="s">
        <v>32</v>
      </c>
      <c r="H2276">
        <v>2</v>
      </c>
    </row>
    <row r="2277" spans="1:8" ht="21.75" customHeight="1" x14ac:dyDescent="0.35">
      <c r="A2277" t="s">
        <v>2372</v>
      </c>
      <c r="B2277" s="3">
        <v>45400</v>
      </c>
      <c r="C2277" t="s">
        <v>350</v>
      </c>
      <c r="D2277" t="s">
        <v>41</v>
      </c>
      <c r="E2277" t="s">
        <v>22</v>
      </c>
      <c r="F2277" t="s">
        <v>27</v>
      </c>
      <c r="G2277" t="s">
        <v>36</v>
      </c>
      <c r="H2277">
        <v>5</v>
      </c>
    </row>
    <row r="2278" spans="1:8" ht="21.75" customHeight="1" x14ac:dyDescent="0.35">
      <c r="A2278" t="s">
        <v>2373</v>
      </c>
      <c r="B2278" s="3">
        <v>45411</v>
      </c>
      <c r="C2278" t="s">
        <v>208</v>
      </c>
      <c r="D2278" t="s">
        <v>79</v>
      </c>
      <c r="E2278" t="s">
        <v>22</v>
      </c>
      <c r="F2278" t="s">
        <v>56</v>
      </c>
      <c r="G2278" t="s">
        <v>23</v>
      </c>
      <c r="H2278">
        <v>1</v>
      </c>
    </row>
    <row r="2279" spans="1:8" ht="21.75" customHeight="1" x14ac:dyDescent="0.35">
      <c r="A2279" t="s">
        <v>2374</v>
      </c>
      <c r="B2279" s="3">
        <v>45608</v>
      </c>
      <c r="C2279" t="s">
        <v>116</v>
      </c>
      <c r="D2279" t="s">
        <v>197</v>
      </c>
      <c r="E2279" t="s">
        <v>22</v>
      </c>
      <c r="F2279" t="s">
        <v>56</v>
      </c>
      <c r="G2279" t="s">
        <v>13</v>
      </c>
      <c r="H2279">
        <v>6</v>
      </c>
    </row>
    <row r="2280" spans="1:8" ht="21.75" customHeight="1" x14ac:dyDescent="0.35">
      <c r="A2280" t="s">
        <v>2375</v>
      </c>
      <c r="B2280" s="3">
        <v>45449</v>
      </c>
      <c r="C2280" t="s">
        <v>108</v>
      </c>
      <c r="D2280" t="s">
        <v>70</v>
      </c>
      <c r="E2280" t="s">
        <v>22</v>
      </c>
      <c r="F2280" t="s">
        <v>56</v>
      </c>
      <c r="G2280" t="s">
        <v>36</v>
      </c>
      <c r="H2280">
        <v>3</v>
      </c>
    </row>
    <row r="2281" spans="1:8" ht="21.75" customHeight="1" x14ac:dyDescent="0.35">
      <c r="A2281" t="s">
        <v>2376</v>
      </c>
      <c r="B2281" s="3">
        <v>45346</v>
      </c>
      <c r="C2281" t="s">
        <v>40</v>
      </c>
      <c r="D2281" t="s">
        <v>35</v>
      </c>
      <c r="E2281" t="s">
        <v>22</v>
      </c>
      <c r="F2281" t="s">
        <v>306</v>
      </c>
      <c r="G2281" t="s">
        <v>28</v>
      </c>
      <c r="H2281">
        <v>3</v>
      </c>
    </row>
    <row r="2282" spans="1:8" ht="21.75" customHeight="1" x14ac:dyDescent="0.35">
      <c r="A2282" t="s">
        <v>2377</v>
      </c>
      <c r="B2282" s="3">
        <v>45510</v>
      </c>
      <c r="C2282" t="s">
        <v>47</v>
      </c>
      <c r="D2282" t="s">
        <v>84</v>
      </c>
      <c r="E2282" t="s">
        <v>22</v>
      </c>
      <c r="F2282" t="s">
        <v>27</v>
      </c>
      <c r="G2282" t="s">
        <v>32</v>
      </c>
      <c r="H2282">
        <v>4</v>
      </c>
    </row>
    <row r="2283" spans="1:8" ht="21.75" customHeight="1" x14ac:dyDescent="0.35">
      <c r="A2283" t="s">
        <v>2378</v>
      </c>
      <c r="B2283" s="3">
        <v>45586</v>
      </c>
      <c r="C2283" t="s">
        <v>591</v>
      </c>
      <c r="D2283" t="s">
        <v>16</v>
      </c>
      <c r="E2283" t="s">
        <v>17</v>
      </c>
      <c r="F2283" t="s">
        <v>56</v>
      </c>
      <c r="G2283" t="s">
        <v>13</v>
      </c>
      <c r="H2283">
        <v>19</v>
      </c>
    </row>
    <row r="2284" spans="1:8" ht="21.75" customHeight="1" x14ac:dyDescent="0.35">
      <c r="A2284" t="s">
        <v>2379</v>
      </c>
      <c r="B2284" s="3">
        <v>45324</v>
      </c>
      <c r="C2284" t="s">
        <v>114</v>
      </c>
      <c r="D2284" t="s">
        <v>26</v>
      </c>
      <c r="E2284" t="s">
        <v>11</v>
      </c>
      <c r="F2284" t="s">
        <v>27</v>
      </c>
      <c r="G2284" t="s">
        <v>28</v>
      </c>
      <c r="H2284">
        <v>12</v>
      </c>
    </row>
    <row r="2285" spans="1:8" ht="21.75" customHeight="1" x14ac:dyDescent="0.35">
      <c r="A2285" t="s">
        <v>2380</v>
      </c>
      <c r="B2285" s="3">
        <v>45516</v>
      </c>
      <c r="C2285" t="s">
        <v>78</v>
      </c>
      <c r="D2285" t="s">
        <v>59</v>
      </c>
      <c r="E2285" t="s">
        <v>11</v>
      </c>
      <c r="F2285" t="s">
        <v>56</v>
      </c>
      <c r="G2285" t="s">
        <v>13</v>
      </c>
      <c r="H2285">
        <v>20</v>
      </c>
    </row>
    <row r="2286" spans="1:8" ht="21.75" customHeight="1" x14ac:dyDescent="0.35">
      <c r="A2286" t="s">
        <v>2381</v>
      </c>
      <c r="B2286" s="3">
        <v>45372</v>
      </c>
      <c r="C2286" t="s">
        <v>138</v>
      </c>
      <c r="D2286" t="s">
        <v>35</v>
      </c>
      <c r="E2286" t="s">
        <v>11</v>
      </c>
      <c r="F2286" t="s">
        <v>12</v>
      </c>
      <c r="G2286" t="s">
        <v>13</v>
      </c>
      <c r="H2286">
        <v>6</v>
      </c>
    </row>
    <row r="2287" spans="1:8" ht="21.75" customHeight="1" x14ac:dyDescent="0.35">
      <c r="A2287" t="s">
        <v>2382</v>
      </c>
      <c r="B2287" s="3">
        <v>45653</v>
      </c>
      <c r="C2287" t="s">
        <v>350</v>
      </c>
      <c r="D2287" t="s">
        <v>59</v>
      </c>
      <c r="E2287" t="s">
        <v>17</v>
      </c>
      <c r="F2287" t="s">
        <v>27</v>
      </c>
      <c r="G2287" t="s">
        <v>23</v>
      </c>
      <c r="H2287">
        <v>5</v>
      </c>
    </row>
    <row r="2288" spans="1:8" ht="21.75" customHeight="1" x14ac:dyDescent="0.35">
      <c r="A2288" t="s">
        <v>2383</v>
      </c>
      <c r="B2288" s="3">
        <v>45619</v>
      </c>
      <c r="C2288" t="s">
        <v>101</v>
      </c>
      <c r="D2288" t="s">
        <v>160</v>
      </c>
      <c r="E2288" t="s">
        <v>17</v>
      </c>
      <c r="F2288" t="s">
        <v>27</v>
      </c>
      <c r="G2288" t="s">
        <v>28</v>
      </c>
      <c r="H2288">
        <v>6</v>
      </c>
    </row>
    <row r="2289" spans="1:8" ht="21.75" customHeight="1" x14ac:dyDescent="0.35">
      <c r="A2289" t="s">
        <v>2384</v>
      </c>
      <c r="B2289" s="3">
        <v>45311</v>
      </c>
      <c r="C2289" t="s">
        <v>327</v>
      </c>
      <c r="D2289" t="s">
        <v>45</v>
      </c>
      <c r="E2289" t="s">
        <v>22</v>
      </c>
      <c r="F2289" t="s">
        <v>27</v>
      </c>
      <c r="G2289" t="s">
        <v>36</v>
      </c>
      <c r="H2289">
        <v>3</v>
      </c>
    </row>
    <row r="2290" spans="1:8" ht="21.75" customHeight="1" x14ac:dyDescent="0.35">
      <c r="A2290" t="s">
        <v>2385</v>
      </c>
      <c r="B2290" s="3">
        <v>45446</v>
      </c>
      <c r="C2290" t="s">
        <v>20</v>
      </c>
      <c r="D2290" t="s">
        <v>87</v>
      </c>
      <c r="E2290" t="s">
        <v>11</v>
      </c>
      <c r="F2290" t="s">
        <v>306</v>
      </c>
      <c r="G2290" t="s">
        <v>28</v>
      </c>
      <c r="H2290">
        <v>7</v>
      </c>
    </row>
    <row r="2291" spans="1:8" ht="21.75" customHeight="1" x14ac:dyDescent="0.35">
      <c r="A2291" t="s">
        <v>2386</v>
      </c>
      <c r="B2291" s="3">
        <v>45563</v>
      </c>
      <c r="C2291" t="s">
        <v>108</v>
      </c>
      <c r="D2291" t="s">
        <v>109</v>
      </c>
      <c r="E2291" t="s">
        <v>17</v>
      </c>
      <c r="F2291" t="s">
        <v>306</v>
      </c>
      <c r="G2291" t="s">
        <v>36</v>
      </c>
      <c r="H2291">
        <v>8</v>
      </c>
    </row>
    <row r="2292" spans="1:8" ht="21.75" customHeight="1" x14ac:dyDescent="0.35">
      <c r="A2292" t="s">
        <v>2387</v>
      </c>
      <c r="B2292" s="3">
        <v>45612</v>
      </c>
      <c r="C2292" t="s">
        <v>371</v>
      </c>
      <c r="D2292" t="s">
        <v>65</v>
      </c>
      <c r="E2292" t="s">
        <v>17</v>
      </c>
      <c r="F2292" t="s">
        <v>12</v>
      </c>
      <c r="G2292" t="s">
        <v>28</v>
      </c>
      <c r="H2292">
        <v>4</v>
      </c>
    </row>
    <row r="2293" spans="1:8" ht="21.75" customHeight="1" x14ac:dyDescent="0.35">
      <c r="A2293" t="s">
        <v>2388</v>
      </c>
      <c r="B2293" s="3">
        <v>45642</v>
      </c>
      <c r="C2293" t="s">
        <v>553</v>
      </c>
      <c r="D2293" t="s">
        <v>35</v>
      </c>
      <c r="E2293" t="s">
        <v>11</v>
      </c>
      <c r="F2293" t="s">
        <v>56</v>
      </c>
      <c r="G2293" t="s">
        <v>13</v>
      </c>
      <c r="H2293">
        <v>2</v>
      </c>
    </row>
    <row r="2294" spans="1:8" ht="21.75" customHeight="1" x14ac:dyDescent="0.35">
      <c r="A2294" t="s">
        <v>2389</v>
      </c>
      <c r="B2294" s="3">
        <v>45437</v>
      </c>
      <c r="C2294" t="s">
        <v>95</v>
      </c>
      <c r="D2294" t="s">
        <v>87</v>
      </c>
      <c r="E2294" t="s">
        <v>17</v>
      </c>
      <c r="F2294" t="s">
        <v>42</v>
      </c>
      <c r="G2294" t="s">
        <v>36</v>
      </c>
      <c r="H2294">
        <v>15</v>
      </c>
    </row>
    <row r="2295" spans="1:8" ht="21.75" customHeight="1" x14ac:dyDescent="0.35">
      <c r="A2295" t="s">
        <v>2390</v>
      </c>
      <c r="B2295" s="3">
        <v>45318</v>
      </c>
      <c r="C2295" t="s">
        <v>312</v>
      </c>
      <c r="D2295" t="s">
        <v>45</v>
      </c>
      <c r="E2295" t="s">
        <v>11</v>
      </c>
      <c r="F2295" t="s">
        <v>12</v>
      </c>
      <c r="G2295" t="s">
        <v>23</v>
      </c>
      <c r="H2295">
        <v>17</v>
      </c>
    </row>
    <row r="2296" spans="1:8" ht="21.75" customHeight="1" x14ac:dyDescent="0.35">
      <c r="A2296" t="s">
        <v>2391</v>
      </c>
      <c r="B2296" s="3">
        <v>45412</v>
      </c>
      <c r="C2296" t="s">
        <v>329</v>
      </c>
      <c r="D2296" t="s">
        <v>70</v>
      </c>
      <c r="E2296" t="s">
        <v>22</v>
      </c>
      <c r="F2296" t="s">
        <v>306</v>
      </c>
      <c r="G2296" t="s">
        <v>32</v>
      </c>
      <c r="H2296">
        <v>14</v>
      </c>
    </row>
    <row r="2297" spans="1:8" ht="21.75" customHeight="1" x14ac:dyDescent="0.35">
      <c r="A2297" t="s">
        <v>2392</v>
      </c>
      <c r="B2297" s="3">
        <v>45638</v>
      </c>
      <c r="C2297" t="s">
        <v>187</v>
      </c>
      <c r="D2297" t="s">
        <v>197</v>
      </c>
      <c r="E2297" t="s">
        <v>11</v>
      </c>
      <c r="F2297" t="s">
        <v>42</v>
      </c>
      <c r="G2297" t="s">
        <v>28</v>
      </c>
      <c r="H2297">
        <v>4</v>
      </c>
    </row>
    <row r="2298" spans="1:8" ht="21.75" customHeight="1" x14ac:dyDescent="0.35">
      <c r="A2298" t="s">
        <v>2393</v>
      </c>
      <c r="B2298" s="3">
        <v>45503</v>
      </c>
      <c r="C2298" t="s">
        <v>104</v>
      </c>
      <c r="D2298" t="s">
        <v>31</v>
      </c>
      <c r="E2298" t="s">
        <v>11</v>
      </c>
      <c r="F2298" t="s">
        <v>12</v>
      </c>
      <c r="G2298" t="s">
        <v>23</v>
      </c>
      <c r="H2298">
        <v>19</v>
      </c>
    </row>
    <row r="2299" spans="1:8" ht="21.75" customHeight="1" x14ac:dyDescent="0.35">
      <c r="A2299" t="s">
        <v>2394</v>
      </c>
      <c r="B2299" s="3">
        <v>45515</v>
      </c>
      <c r="C2299" t="s">
        <v>167</v>
      </c>
      <c r="D2299" t="s">
        <v>65</v>
      </c>
      <c r="E2299" t="s">
        <v>22</v>
      </c>
      <c r="F2299" t="s">
        <v>27</v>
      </c>
      <c r="G2299" t="s">
        <v>28</v>
      </c>
      <c r="H2299">
        <v>13</v>
      </c>
    </row>
    <row r="2300" spans="1:8" ht="21.75" customHeight="1" x14ac:dyDescent="0.35">
      <c r="A2300" t="s">
        <v>2395</v>
      </c>
      <c r="B2300" s="3">
        <v>45526</v>
      </c>
      <c r="C2300" t="s">
        <v>329</v>
      </c>
      <c r="D2300" t="s">
        <v>65</v>
      </c>
      <c r="E2300" t="s">
        <v>22</v>
      </c>
      <c r="F2300" t="s">
        <v>42</v>
      </c>
      <c r="G2300" t="s">
        <v>32</v>
      </c>
      <c r="H2300">
        <v>7</v>
      </c>
    </row>
    <row r="2301" spans="1:8" ht="21.75" customHeight="1" x14ac:dyDescent="0.35">
      <c r="A2301" t="s">
        <v>2396</v>
      </c>
      <c r="B2301" s="3">
        <v>45308</v>
      </c>
      <c r="C2301" t="s">
        <v>465</v>
      </c>
      <c r="D2301" t="s">
        <v>59</v>
      </c>
      <c r="E2301" t="s">
        <v>11</v>
      </c>
      <c r="F2301" t="s">
        <v>42</v>
      </c>
      <c r="G2301" t="s">
        <v>28</v>
      </c>
      <c r="H2301">
        <v>4</v>
      </c>
    </row>
    <row r="2302" spans="1:8" ht="21.75" customHeight="1" x14ac:dyDescent="0.35">
      <c r="A2302" t="s">
        <v>2397</v>
      </c>
      <c r="B2302" s="3">
        <v>45526</v>
      </c>
      <c r="C2302" t="s">
        <v>572</v>
      </c>
      <c r="D2302" t="s">
        <v>45</v>
      </c>
      <c r="E2302" t="s">
        <v>17</v>
      </c>
      <c r="F2302" t="s">
        <v>56</v>
      </c>
      <c r="G2302" t="s">
        <v>32</v>
      </c>
      <c r="H2302">
        <v>20</v>
      </c>
    </row>
    <row r="2303" spans="1:8" ht="21.75" customHeight="1" x14ac:dyDescent="0.35">
      <c r="A2303" t="s">
        <v>2398</v>
      </c>
      <c r="B2303" s="3">
        <v>45618</v>
      </c>
      <c r="C2303" t="s">
        <v>594</v>
      </c>
      <c r="D2303" t="s">
        <v>45</v>
      </c>
      <c r="E2303" t="s">
        <v>22</v>
      </c>
      <c r="F2303" t="s">
        <v>306</v>
      </c>
      <c r="G2303" t="s">
        <v>28</v>
      </c>
      <c r="H2303">
        <v>3</v>
      </c>
    </row>
    <row r="2304" spans="1:8" ht="21.75" customHeight="1" x14ac:dyDescent="0.35">
      <c r="A2304" t="s">
        <v>2399</v>
      </c>
      <c r="B2304" s="3">
        <v>45559</v>
      </c>
      <c r="C2304" t="s">
        <v>374</v>
      </c>
      <c r="D2304" t="s">
        <v>65</v>
      </c>
      <c r="E2304" t="s">
        <v>22</v>
      </c>
      <c r="F2304" t="s">
        <v>27</v>
      </c>
      <c r="G2304" t="s">
        <v>23</v>
      </c>
      <c r="H2304">
        <v>9</v>
      </c>
    </row>
    <row r="2305" spans="1:8" ht="21.75" customHeight="1" x14ac:dyDescent="0.35">
      <c r="A2305" t="s">
        <v>2400</v>
      </c>
      <c r="B2305" s="3">
        <v>45511</v>
      </c>
      <c r="C2305" t="s">
        <v>304</v>
      </c>
      <c r="D2305" t="s">
        <v>197</v>
      </c>
      <c r="E2305" t="s">
        <v>11</v>
      </c>
      <c r="F2305" t="s">
        <v>42</v>
      </c>
      <c r="G2305" t="s">
        <v>23</v>
      </c>
      <c r="H2305">
        <v>19</v>
      </c>
    </row>
    <row r="2306" spans="1:8" ht="21.75" customHeight="1" x14ac:dyDescent="0.35">
      <c r="A2306" t="s">
        <v>2401</v>
      </c>
      <c r="B2306" s="3">
        <v>45594</v>
      </c>
      <c r="C2306" t="s">
        <v>125</v>
      </c>
      <c r="D2306" t="s">
        <v>59</v>
      </c>
      <c r="E2306" t="s">
        <v>11</v>
      </c>
      <c r="F2306" t="s">
        <v>27</v>
      </c>
      <c r="G2306" t="s">
        <v>13</v>
      </c>
      <c r="H2306">
        <v>2</v>
      </c>
    </row>
    <row r="2307" spans="1:8" ht="21.75" customHeight="1" x14ac:dyDescent="0.35">
      <c r="A2307" t="s">
        <v>2402</v>
      </c>
      <c r="B2307" s="3">
        <v>45550</v>
      </c>
      <c r="C2307" t="s">
        <v>122</v>
      </c>
      <c r="D2307" t="s">
        <v>87</v>
      </c>
      <c r="E2307" t="s">
        <v>22</v>
      </c>
      <c r="F2307" t="s">
        <v>27</v>
      </c>
      <c r="G2307" t="s">
        <v>23</v>
      </c>
      <c r="H2307">
        <v>4</v>
      </c>
    </row>
    <row r="2308" spans="1:8" ht="21.75" customHeight="1" x14ac:dyDescent="0.35">
      <c r="A2308" t="s">
        <v>2403</v>
      </c>
      <c r="B2308" s="3">
        <v>45415</v>
      </c>
      <c r="C2308" t="s">
        <v>81</v>
      </c>
      <c r="D2308" t="s">
        <v>174</v>
      </c>
      <c r="E2308" t="s">
        <v>11</v>
      </c>
      <c r="F2308" t="s">
        <v>27</v>
      </c>
      <c r="G2308" t="s">
        <v>28</v>
      </c>
      <c r="H2308">
        <v>5</v>
      </c>
    </row>
    <row r="2309" spans="1:8" ht="21.75" customHeight="1" x14ac:dyDescent="0.35">
      <c r="A2309" t="s">
        <v>2404</v>
      </c>
      <c r="B2309" s="3">
        <v>45414</v>
      </c>
      <c r="C2309" t="s">
        <v>736</v>
      </c>
      <c r="D2309" t="s">
        <v>10</v>
      </c>
      <c r="E2309" t="s">
        <v>11</v>
      </c>
      <c r="F2309" t="s">
        <v>27</v>
      </c>
      <c r="G2309" t="s">
        <v>32</v>
      </c>
      <c r="H2309">
        <v>6</v>
      </c>
    </row>
    <row r="2310" spans="1:8" ht="21.75" customHeight="1" x14ac:dyDescent="0.35">
      <c r="A2310" t="s">
        <v>2405</v>
      </c>
      <c r="B2310" s="3">
        <v>45584</v>
      </c>
      <c r="C2310" t="s">
        <v>323</v>
      </c>
      <c r="D2310" t="s">
        <v>59</v>
      </c>
      <c r="E2310" t="s">
        <v>11</v>
      </c>
      <c r="F2310" t="s">
        <v>27</v>
      </c>
      <c r="G2310" t="s">
        <v>23</v>
      </c>
      <c r="H2310">
        <v>5</v>
      </c>
    </row>
    <row r="2311" spans="1:8" ht="21.75" customHeight="1" x14ac:dyDescent="0.35">
      <c r="A2311" t="s">
        <v>2406</v>
      </c>
      <c r="B2311" s="3">
        <v>45499</v>
      </c>
      <c r="C2311" t="s">
        <v>44</v>
      </c>
      <c r="D2311" t="s">
        <v>48</v>
      </c>
      <c r="E2311" t="s">
        <v>22</v>
      </c>
      <c r="F2311" t="s">
        <v>27</v>
      </c>
      <c r="G2311" t="s">
        <v>13</v>
      </c>
      <c r="H2311">
        <v>3</v>
      </c>
    </row>
    <row r="2312" spans="1:8" ht="21.75" customHeight="1" x14ac:dyDescent="0.35">
      <c r="A2312" t="s">
        <v>2407</v>
      </c>
      <c r="B2312" s="3">
        <v>45645</v>
      </c>
      <c r="C2312" t="s">
        <v>118</v>
      </c>
      <c r="D2312" t="s">
        <v>160</v>
      </c>
      <c r="E2312" t="s">
        <v>11</v>
      </c>
      <c r="F2312" t="s">
        <v>42</v>
      </c>
      <c r="G2312" t="s">
        <v>23</v>
      </c>
      <c r="H2312">
        <v>9</v>
      </c>
    </row>
    <row r="2313" spans="1:8" ht="21.75" customHeight="1" x14ac:dyDescent="0.35">
      <c r="A2313" t="s">
        <v>2408</v>
      </c>
      <c r="B2313" s="3">
        <v>45605</v>
      </c>
      <c r="C2313" t="s">
        <v>591</v>
      </c>
      <c r="D2313" t="s">
        <v>59</v>
      </c>
      <c r="E2313" t="s">
        <v>11</v>
      </c>
      <c r="F2313" t="s">
        <v>12</v>
      </c>
      <c r="G2313" t="s">
        <v>36</v>
      </c>
      <c r="H2313">
        <v>11</v>
      </c>
    </row>
    <row r="2314" spans="1:8" ht="21.75" customHeight="1" x14ac:dyDescent="0.35">
      <c r="A2314" t="s">
        <v>2409</v>
      </c>
      <c r="B2314" s="3">
        <v>45320</v>
      </c>
      <c r="C2314" t="s">
        <v>345</v>
      </c>
      <c r="D2314" t="s">
        <v>41</v>
      </c>
      <c r="E2314" t="s">
        <v>17</v>
      </c>
      <c r="F2314" t="s">
        <v>12</v>
      </c>
      <c r="G2314" t="s">
        <v>13</v>
      </c>
      <c r="H2314">
        <v>13</v>
      </c>
    </row>
    <row r="2315" spans="1:8" ht="21.75" customHeight="1" x14ac:dyDescent="0.35">
      <c r="A2315" t="s">
        <v>2410</v>
      </c>
      <c r="B2315" s="3">
        <v>45608</v>
      </c>
      <c r="C2315" t="s">
        <v>116</v>
      </c>
      <c r="D2315" t="s">
        <v>48</v>
      </c>
      <c r="E2315" t="s">
        <v>17</v>
      </c>
      <c r="F2315" t="s">
        <v>56</v>
      </c>
      <c r="G2315" t="s">
        <v>36</v>
      </c>
      <c r="H2315">
        <v>3</v>
      </c>
    </row>
    <row r="2316" spans="1:8" ht="21.75" customHeight="1" x14ac:dyDescent="0.35">
      <c r="A2316" t="s">
        <v>2411</v>
      </c>
      <c r="B2316" s="3">
        <v>45396</v>
      </c>
      <c r="C2316" t="s">
        <v>99</v>
      </c>
      <c r="D2316" t="s">
        <v>72</v>
      </c>
      <c r="E2316" t="s">
        <v>11</v>
      </c>
      <c r="F2316" t="s">
        <v>306</v>
      </c>
      <c r="G2316" t="s">
        <v>13</v>
      </c>
      <c r="H2316">
        <v>16</v>
      </c>
    </row>
    <row r="2317" spans="1:8" ht="21.75" customHeight="1" x14ac:dyDescent="0.35">
      <c r="A2317" t="s">
        <v>2412</v>
      </c>
      <c r="B2317" s="3">
        <v>45589</v>
      </c>
      <c r="C2317" t="s">
        <v>424</v>
      </c>
      <c r="D2317" t="s">
        <v>65</v>
      </c>
      <c r="E2317" t="s">
        <v>22</v>
      </c>
      <c r="F2317" t="s">
        <v>56</v>
      </c>
      <c r="G2317" t="s">
        <v>32</v>
      </c>
      <c r="H2317">
        <v>12</v>
      </c>
    </row>
    <row r="2318" spans="1:8" ht="21.75" customHeight="1" x14ac:dyDescent="0.35">
      <c r="A2318" t="s">
        <v>2413</v>
      </c>
      <c r="B2318" s="3">
        <v>45549</v>
      </c>
      <c r="C2318" t="s">
        <v>455</v>
      </c>
      <c r="D2318" t="s">
        <v>87</v>
      </c>
      <c r="E2318" t="s">
        <v>17</v>
      </c>
      <c r="F2318" t="s">
        <v>12</v>
      </c>
      <c r="G2318" t="s">
        <v>13</v>
      </c>
      <c r="H2318">
        <v>12</v>
      </c>
    </row>
    <row r="2319" spans="1:8" ht="21.75" customHeight="1" x14ac:dyDescent="0.35">
      <c r="A2319" t="s">
        <v>2414</v>
      </c>
      <c r="B2319" s="3">
        <v>45540</v>
      </c>
      <c r="C2319" t="s">
        <v>358</v>
      </c>
      <c r="D2319" t="s">
        <v>160</v>
      </c>
      <c r="E2319" t="s">
        <v>11</v>
      </c>
      <c r="F2319" t="s">
        <v>27</v>
      </c>
      <c r="G2319" t="s">
        <v>36</v>
      </c>
      <c r="H2319">
        <v>18</v>
      </c>
    </row>
    <row r="2320" spans="1:8" ht="21.75" customHeight="1" x14ac:dyDescent="0.35">
      <c r="A2320" t="s">
        <v>2415</v>
      </c>
      <c r="B2320" s="3">
        <v>45523</v>
      </c>
      <c r="C2320" t="s">
        <v>381</v>
      </c>
      <c r="D2320" t="s">
        <v>48</v>
      </c>
      <c r="E2320" t="s">
        <v>22</v>
      </c>
      <c r="F2320" t="s">
        <v>12</v>
      </c>
      <c r="G2320" t="s">
        <v>28</v>
      </c>
      <c r="H2320">
        <v>15</v>
      </c>
    </row>
    <row r="2321" spans="1:8" ht="21.75" customHeight="1" x14ac:dyDescent="0.35">
      <c r="A2321" t="s">
        <v>2416</v>
      </c>
      <c r="B2321" s="3">
        <v>45492</v>
      </c>
      <c r="C2321" t="s">
        <v>235</v>
      </c>
      <c r="D2321" t="s">
        <v>74</v>
      </c>
      <c r="E2321" t="s">
        <v>11</v>
      </c>
      <c r="F2321" t="s">
        <v>12</v>
      </c>
      <c r="G2321" t="s">
        <v>28</v>
      </c>
      <c r="H2321">
        <v>9</v>
      </c>
    </row>
    <row r="2322" spans="1:8" ht="21.75" customHeight="1" x14ac:dyDescent="0.35">
      <c r="A2322" t="s">
        <v>2417</v>
      </c>
      <c r="B2322" s="3">
        <v>45367</v>
      </c>
      <c r="C2322" t="s">
        <v>432</v>
      </c>
      <c r="D2322" t="s">
        <v>16</v>
      </c>
      <c r="E2322" t="s">
        <v>11</v>
      </c>
      <c r="F2322" t="s">
        <v>306</v>
      </c>
      <c r="G2322" t="s">
        <v>13</v>
      </c>
      <c r="H2322">
        <v>10</v>
      </c>
    </row>
    <row r="2323" spans="1:8" ht="21.75" customHeight="1" x14ac:dyDescent="0.35">
      <c r="A2323" t="s">
        <v>2418</v>
      </c>
      <c r="B2323" s="3">
        <v>45641</v>
      </c>
      <c r="C2323" t="s">
        <v>591</v>
      </c>
      <c r="D2323" t="s">
        <v>16</v>
      </c>
      <c r="E2323" t="s">
        <v>17</v>
      </c>
      <c r="F2323" t="s">
        <v>42</v>
      </c>
      <c r="G2323" t="s">
        <v>23</v>
      </c>
      <c r="H2323">
        <v>15</v>
      </c>
    </row>
    <row r="2324" spans="1:8" ht="21.75" customHeight="1" x14ac:dyDescent="0.35">
      <c r="A2324" t="s">
        <v>2419</v>
      </c>
      <c r="B2324" s="3">
        <v>45302</v>
      </c>
      <c r="C2324" t="s">
        <v>61</v>
      </c>
      <c r="D2324" t="s">
        <v>65</v>
      </c>
      <c r="E2324" t="s">
        <v>11</v>
      </c>
      <c r="F2324" t="s">
        <v>12</v>
      </c>
      <c r="G2324" t="s">
        <v>28</v>
      </c>
      <c r="H2324">
        <v>17</v>
      </c>
    </row>
    <row r="2325" spans="1:8" ht="21.75" customHeight="1" x14ac:dyDescent="0.35">
      <c r="A2325" t="s">
        <v>2420</v>
      </c>
      <c r="B2325" s="3">
        <v>45502</v>
      </c>
      <c r="C2325" t="s">
        <v>361</v>
      </c>
      <c r="D2325" t="s">
        <v>72</v>
      </c>
      <c r="E2325" t="s">
        <v>22</v>
      </c>
      <c r="F2325" t="s">
        <v>42</v>
      </c>
      <c r="G2325" t="s">
        <v>23</v>
      </c>
      <c r="H2325">
        <v>19</v>
      </c>
    </row>
    <row r="2326" spans="1:8" ht="21.75" customHeight="1" x14ac:dyDescent="0.35">
      <c r="A2326" t="s">
        <v>2421</v>
      </c>
      <c r="B2326" s="3">
        <v>45563</v>
      </c>
      <c r="C2326" t="s">
        <v>378</v>
      </c>
      <c r="D2326" t="s">
        <v>70</v>
      </c>
      <c r="E2326" t="s">
        <v>17</v>
      </c>
      <c r="F2326" t="s">
        <v>42</v>
      </c>
      <c r="G2326" t="s">
        <v>36</v>
      </c>
      <c r="H2326">
        <v>5</v>
      </c>
    </row>
    <row r="2327" spans="1:8" ht="21.75" customHeight="1" x14ac:dyDescent="0.35">
      <c r="A2327" t="s">
        <v>2422</v>
      </c>
      <c r="B2327" s="3">
        <v>45448</v>
      </c>
      <c r="C2327" t="s">
        <v>30</v>
      </c>
      <c r="D2327" t="s">
        <v>26</v>
      </c>
      <c r="E2327" t="s">
        <v>11</v>
      </c>
      <c r="F2327" t="s">
        <v>27</v>
      </c>
      <c r="G2327" t="s">
        <v>32</v>
      </c>
      <c r="H2327">
        <v>10</v>
      </c>
    </row>
    <row r="2328" spans="1:8" ht="21.75" customHeight="1" x14ac:dyDescent="0.35">
      <c r="A2328" t="s">
        <v>2423</v>
      </c>
      <c r="B2328" s="3">
        <v>45316</v>
      </c>
      <c r="C2328" t="s">
        <v>167</v>
      </c>
      <c r="D2328" t="s">
        <v>48</v>
      </c>
      <c r="E2328" t="s">
        <v>17</v>
      </c>
      <c r="F2328" t="s">
        <v>27</v>
      </c>
      <c r="G2328" t="s">
        <v>28</v>
      </c>
      <c r="H2328">
        <v>20</v>
      </c>
    </row>
    <row r="2329" spans="1:8" ht="21.75" customHeight="1" x14ac:dyDescent="0.35">
      <c r="A2329" t="s">
        <v>2424</v>
      </c>
      <c r="B2329" s="3">
        <v>45656</v>
      </c>
      <c r="C2329" t="s">
        <v>312</v>
      </c>
      <c r="D2329" t="s">
        <v>74</v>
      </c>
      <c r="E2329" t="s">
        <v>11</v>
      </c>
      <c r="F2329" t="s">
        <v>56</v>
      </c>
      <c r="G2329" t="s">
        <v>28</v>
      </c>
      <c r="H2329">
        <v>6</v>
      </c>
    </row>
    <row r="2330" spans="1:8" ht="21.75" customHeight="1" x14ac:dyDescent="0.35">
      <c r="A2330" t="s">
        <v>2425</v>
      </c>
      <c r="B2330" s="3">
        <v>45313</v>
      </c>
      <c r="C2330" t="s">
        <v>38</v>
      </c>
      <c r="D2330" t="s">
        <v>59</v>
      </c>
      <c r="E2330" t="s">
        <v>11</v>
      </c>
      <c r="F2330" t="s">
        <v>27</v>
      </c>
      <c r="G2330" t="s">
        <v>32</v>
      </c>
      <c r="H2330">
        <v>12</v>
      </c>
    </row>
    <row r="2331" spans="1:8" ht="21.75" customHeight="1" x14ac:dyDescent="0.35">
      <c r="A2331" t="s">
        <v>2426</v>
      </c>
      <c r="B2331" s="3">
        <v>45579</v>
      </c>
      <c r="C2331" t="s">
        <v>369</v>
      </c>
      <c r="D2331" t="s">
        <v>79</v>
      </c>
      <c r="E2331" t="s">
        <v>22</v>
      </c>
      <c r="F2331" t="s">
        <v>42</v>
      </c>
      <c r="G2331" t="s">
        <v>32</v>
      </c>
      <c r="H2331">
        <v>5</v>
      </c>
    </row>
    <row r="2332" spans="1:8" ht="21.75" customHeight="1" x14ac:dyDescent="0.35">
      <c r="A2332" t="s">
        <v>2427</v>
      </c>
      <c r="B2332" s="3">
        <v>45568</v>
      </c>
      <c r="C2332" t="s">
        <v>111</v>
      </c>
      <c r="D2332" t="s">
        <v>174</v>
      </c>
      <c r="E2332" t="s">
        <v>17</v>
      </c>
      <c r="F2332" t="s">
        <v>12</v>
      </c>
      <c r="G2332" t="s">
        <v>13</v>
      </c>
      <c r="H2332">
        <v>13</v>
      </c>
    </row>
    <row r="2333" spans="1:8" ht="21.75" customHeight="1" x14ac:dyDescent="0.35">
      <c r="A2333" t="s">
        <v>2428</v>
      </c>
      <c r="B2333" s="3">
        <v>45366</v>
      </c>
      <c r="C2333" t="s">
        <v>366</v>
      </c>
      <c r="D2333" t="s">
        <v>72</v>
      </c>
      <c r="E2333" t="s">
        <v>11</v>
      </c>
      <c r="F2333" t="s">
        <v>12</v>
      </c>
      <c r="G2333" t="s">
        <v>36</v>
      </c>
      <c r="H2333">
        <v>17</v>
      </c>
    </row>
    <row r="2334" spans="1:8" ht="21.75" customHeight="1" x14ac:dyDescent="0.35">
      <c r="A2334" t="s">
        <v>2429</v>
      </c>
      <c r="B2334" s="3">
        <v>45653</v>
      </c>
      <c r="C2334" t="s">
        <v>61</v>
      </c>
      <c r="D2334" t="s">
        <v>35</v>
      </c>
      <c r="E2334" t="s">
        <v>17</v>
      </c>
      <c r="F2334" t="s">
        <v>306</v>
      </c>
      <c r="G2334" t="s">
        <v>28</v>
      </c>
      <c r="H2334">
        <v>19</v>
      </c>
    </row>
    <row r="2335" spans="1:8" ht="21.75" customHeight="1" x14ac:dyDescent="0.35">
      <c r="A2335" t="s">
        <v>2430</v>
      </c>
      <c r="B2335" s="3">
        <v>45518</v>
      </c>
      <c r="C2335" t="s">
        <v>47</v>
      </c>
      <c r="D2335" t="s">
        <v>62</v>
      </c>
      <c r="E2335" t="s">
        <v>11</v>
      </c>
      <c r="F2335" t="s">
        <v>27</v>
      </c>
      <c r="G2335" t="s">
        <v>13</v>
      </c>
      <c r="H2335">
        <v>5</v>
      </c>
    </row>
    <row r="2336" spans="1:8" ht="21.75" customHeight="1" x14ac:dyDescent="0.35">
      <c r="A2336" t="s">
        <v>2431</v>
      </c>
      <c r="B2336" s="3">
        <v>45351</v>
      </c>
      <c r="C2336" t="s">
        <v>147</v>
      </c>
      <c r="D2336" t="s">
        <v>96</v>
      </c>
      <c r="E2336" t="s">
        <v>17</v>
      </c>
      <c r="F2336" t="s">
        <v>306</v>
      </c>
      <c r="G2336" t="s">
        <v>28</v>
      </c>
      <c r="H2336">
        <v>15</v>
      </c>
    </row>
    <row r="2337" spans="1:8" ht="21.75" customHeight="1" x14ac:dyDescent="0.35">
      <c r="A2337" t="s">
        <v>2432</v>
      </c>
      <c r="B2337" s="3">
        <v>45459</v>
      </c>
      <c r="C2337" t="s">
        <v>131</v>
      </c>
      <c r="D2337" t="s">
        <v>109</v>
      </c>
      <c r="E2337" t="s">
        <v>22</v>
      </c>
      <c r="F2337" t="s">
        <v>56</v>
      </c>
      <c r="G2337" t="s">
        <v>36</v>
      </c>
      <c r="H2337">
        <v>17</v>
      </c>
    </row>
    <row r="2338" spans="1:8" ht="21.75" customHeight="1" x14ac:dyDescent="0.35">
      <c r="A2338" t="s">
        <v>2433</v>
      </c>
      <c r="B2338" s="3">
        <v>45434</v>
      </c>
      <c r="C2338" t="s">
        <v>104</v>
      </c>
      <c r="D2338" t="s">
        <v>96</v>
      </c>
      <c r="E2338" t="s">
        <v>11</v>
      </c>
      <c r="F2338" t="s">
        <v>306</v>
      </c>
      <c r="G2338" t="s">
        <v>23</v>
      </c>
      <c r="H2338">
        <v>3</v>
      </c>
    </row>
    <row r="2339" spans="1:8" ht="21.75" customHeight="1" x14ac:dyDescent="0.35">
      <c r="A2339" t="s">
        <v>2434</v>
      </c>
      <c r="B2339" s="3">
        <v>45493</v>
      </c>
      <c r="C2339" t="s">
        <v>150</v>
      </c>
      <c r="D2339" t="s">
        <v>35</v>
      </c>
      <c r="E2339" t="s">
        <v>17</v>
      </c>
      <c r="F2339" t="s">
        <v>306</v>
      </c>
      <c r="G2339" t="s">
        <v>36</v>
      </c>
      <c r="H2339">
        <v>17</v>
      </c>
    </row>
    <row r="2340" spans="1:8" ht="21.75" customHeight="1" x14ac:dyDescent="0.35">
      <c r="A2340" t="s">
        <v>2435</v>
      </c>
      <c r="B2340" s="3">
        <v>45633</v>
      </c>
      <c r="C2340" t="s">
        <v>83</v>
      </c>
      <c r="D2340" t="s">
        <v>31</v>
      </c>
      <c r="E2340" t="s">
        <v>11</v>
      </c>
      <c r="F2340" t="s">
        <v>27</v>
      </c>
      <c r="G2340" t="s">
        <v>32</v>
      </c>
      <c r="H2340">
        <v>13</v>
      </c>
    </row>
    <row r="2341" spans="1:8" ht="21.75" customHeight="1" x14ac:dyDescent="0.35">
      <c r="A2341" t="s">
        <v>2436</v>
      </c>
      <c r="B2341" s="3">
        <v>45437</v>
      </c>
      <c r="C2341" t="s">
        <v>20</v>
      </c>
      <c r="D2341" t="s">
        <v>48</v>
      </c>
      <c r="E2341" t="s">
        <v>17</v>
      </c>
      <c r="F2341" t="s">
        <v>27</v>
      </c>
      <c r="G2341" t="s">
        <v>36</v>
      </c>
      <c r="H2341">
        <v>3</v>
      </c>
    </row>
    <row r="2342" spans="1:8" ht="21.75" customHeight="1" x14ac:dyDescent="0.35">
      <c r="A2342" t="s">
        <v>2437</v>
      </c>
      <c r="B2342" s="3">
        <v>45519</v>
      </c>
      <c r="C2342" t="s">
        <v>304</v>
      </c>
      <c r="D2342" t="s">
        <v>87</v>
      </c>
      <c r="E2342" t="s">
        <v>17</v>
      </c>
      <c r="F2342" t="s">
        <v>42</v>
      </c>
      <c r="G2342" t="s">
        <v>28</v>
      </c>
      <c r="H2342">
        <v>14</v>
      </c>
    </row>
    <row r="2343" spans="1:8" ht="21.75" customHeight="1" x14ac:dyDescent="0.35">
      <c r="A2343" t="s">
        <v>2438</v>
      </c>
      <c r="B2343" s="3">
        <v>45504</v>
      </c>
      <c r="C2343" t="s">
        <v>99</v>
      </c>
      <c r="D2343" t="s">
        <v>59</v>
      </c>
      <c r="E2343" t="s">
        <v>22</v>
      </c>
      <c r="F2343" t="s">
        <v>12</v>
      </c>
      <c r="G2343" t="s">
        <v>28</v>
      </c>
      <c r="H2343">
        <v>7</v>
      </c>
    </row>
    <row r="2344" spans="1:8" ht="21.75" customHeight="1" x14ac:dyDescent="0.35">
      <c r="A2344" t="s">
        <v>2439</v>
      </c>
      <c r="B2344" s="3">
        <v>45560</v>
      </c>
      <c r="C2344" t="s">
        <v>118</v>
      </c>
      <c r="D2344" t="s">
        <v>10</v>
      </c>
      <c r="E2344" t="s">
        <v>22</v>
      </c>
      <c r="F2344" t="s">
        <v>27</v>
      </c>
      <c r="G2344" t="s">
        <v>13</v>
      </c>
      <c r="H2344">
        <v>1</v>
      </c>
    </row>
    <row r="2345" spans="1:8" ht="21.75" customHeight="1" x14ac:dyDescent="0.35">
      <c r="A2345" t="s">
        <v>2440</v>
      </c>
      <c r="B2345" s="3">
        <v>45431</v>
      </c>
      <c r="C2345" t="s">
        <v>572</v>
      </c>
      <c r="D2345" t="s">
        <v>45</v>
      </c>
      <c r="E2345" t="s">
        <v>22</v>
      </c>
      <c r="F2345" t="s">
        <v>27</v>
      </c>
      <c r="G2345" t="s">
        <v>36</v>
      </c>
      <c r="H2345">
        <v>5</v>
      </c>
    </row>
    <row r="2346" spans="1:8" ht="21.75" customHeight="1" x14ac:dyDescent="0.35">
      <c r="A2346" t="s">
        <v>2441</v>
      </c>
      <c r="B2346" s="3">
        <v>45487</v>
      </c>
      <c r="C2346" t="s">
        <v>61</v>
      </c>
      <c r="D2346" t="s">
        <v>174</v>
      </c>
      <c r="E2346" t="s">
        <v>17</v>
      </c>
      <c r="F2346" t="s">
        <v>12</v>
      </c>
      <c r="G2346" t="s">
        <v>32</v>
      </c>
      <c r="H2346">
        <v>19</v>
      </c>
    </row>
    <row r="2347" spans="1:8" ht="21.75" customHeight="1" x14ac:dyDescent="0.35">
      <c r="A2347" t="s">
        <v>2442</v>
      </c>
      <c r="B2347" s="3">
        <v>45578</v>
      </c>
      <c r="C2347" t="s">
        <v>304</v>
      </c>
      <c r="D2347" t="s">
        <v>70</v>
      </c>
      <c r="E2347" t="s">
        <v>11</v>
      </c>
      <c r="F2347" t="s">
        <v>12</v>
      </c>
      <c r="G2347" t="s">
        <v>13</v>
      </c>
      <c r="H2347">
        <v>5</v>
      </c>
    </row>
    <row r="2348" spans="1:8" ht="21.75" customHeight="1" x14ac:dyDescent="0.35">
      <c r="A2348" t="s">
        <v>2443</v>
      </c>
      <c r="B2348" s="3">
        <v>45619</v>
      </c>
      <c r="C2348" t="s">
        <v>541</v>
      </c>
      <c r="D2348" t="s">
        <v>35</v>
      </c>
      <c r="E2348" t="s">
        <v>11</v>
      </c>
      <c r="F2348" t="s">
        <v>42</v>
      </c>
      <c r="G2348" t="s">
        <v>23</v>
      </c>
      <c r="H2348">
        <v>6</v>
      </c>
    </row>
    <row r="2349" spans="1:8" ht="21.75" customHeight="1" x14ac:dyDescent="0.35">
      <c r="A2349" t="s">
        <v>2444</v>
      </c>
      <c r="B2349" s="3">
        <v>45644</v>
      </c>
      <c r="C2349" t="s">
        <v>736</v>
      </c>
      <c r="D2349" t="s">
        <v>197</v>
      </c>
      <c r="E2349" t="s">
        <v>11</v>
      </c>
      <c r="F2349" t="s">
        <v>12</v>
      </c>
      <c r="G2349" t="s">
        <v>32</v>
      </c>
      <c r="H2349">
        <v>16</v>
      </c>
    </row>
    <row r="2350" spans="1:8" ht="21.75" customHeight="1" x14ac:dyDescent="0.35">
      <c r="A2350" t="s">
        <v>2445</v>
      </c>
      <c r="B2350" s="3">
        <v>45326</v>
      </c>
      <c r="C2350" t="s">
        <v>327</v>
      </c>
      <c r="D2350" t="s">
        <v>84</v>
      </c>
      <c r="E2350" t="s">
        <v>17</v>
      </c>
      <c r="F2350" t="s">
        <v>306</v>
      </c>
      <c r="G2350" t="s">
        <v>23</v>
      </c>
      <c r="H2350">
        <v>19</v>
      </c>
    </row>
    <row r="2351" spans="1:8" ht="21.75" customHeight="1" x14ac:dyDescent="0.35">
      <c r="A2351" t="s">
        <v>2446</v>
      </c>
      <c r="B2351" s="3">
        <v>45424</v>
      </c>
      <c r="C2351" t="s">
        <v>451</v>
      </c>
      <c r="D2351" t="s">
        <v>41</v>
      </c>
      <c r="E2351" t="s">
        <v>17</v>
      </c>
      <c r="F2351" t="s">
        <v>12</v>
      </c>
      <c r="G2351" t="s">
        <v>32</v>
      </c>
      <c r="H2351">
        <v>17</v>
      </c>
    </row>
    <row r="2352" spans="1:8" ht="21.75" customHeight="1" x14ac:dyDescent="0.35">
      <c r="A2352" t="s">
        <v>2447</v>
      </c>
      <c r="B2352" s="3">
        <v>45300</v>
      </c>
      <c r="C2352" t="s">
        <v>86</v>
      </c>
      <c r="D2352" t="s">
        <v>45</v>
      </c>
      <c r="E2352" t="s">
        <v>22</v>
      </c>
      <c r="F2352" t="s">
        <v>12</v>
      </c>
      <c r="G2352" t="s">
        <v>28</v>
      </c>
      <c r="H2352">
        <v>11</v>
      </c>
    </row>
    <row r="2353" spans="1:8" ht="21.75" customHeight="1" x14ac:dyDescent="0.35">
      <c r="A2353" t="s">
        <v>2448</v>
      </c>
      <c r="B2353" s="3">
        <v>45646</v>
      </c>
      <c r="C2353" t="s">
        <v>99</v>
      </c>
      <c r="D2353" t="s">
        <v>48</v>
      </c>
      <c r="E2353" t="s">
        <v>11</v>
      </c>
      <c r="F2353" t="s">
        <v>12</v>
      </c>
      <c r="G2353" t="s">
        <v>32</v>
      </c>
      <c r="H2353">
        <v>12</v>
      </c>
    </row>
    <row r="2354" spans="1:8" ht="21.75" customHeight="1" x14ac:dyDescent="0.35">
      <c r="A2354" t="s">
        <v>2449</v>
      </c>
      <c r="B2354" s="3">
        <v>45474</v>
      </c>
      <c r="C2354" t="s">
        <v>9</v>
      </c>
      <c r="D2354" t="s">
        <v>74</v>
      </c>
      <c r="E2354" t="s">
        <v>17</v>
      </c>
      <c r="F2354" t="s">
        <v>306</v>
      </c>
      <c r="G2354" t="s">
        <v>13</v>
      </c>
      <c r="H2354">
        <v>17</v>
      </c>
    </row>
    <row r="2355" spans="1:8" ht="21.75" customHeight="1" x14ac:dyDescent="0.35">
      <c r="A2355" t="s">
        <v>2450</v>
      </c>
      <c r="B2355" s="3">
        <v>45613</v>
      </c>
      <c r="C2355" t="s">
        <v>44</v>
      </c>
      <c r="D2355" t="s">
        <v>119</v>
      </c>
      <c r="E2355" t="s">
        <v>11</v>
      </c>
      <c r="F2355" t="s">
        <v>306</v>
      </c>
      <c r="G2355" t="s">
        <v>28</v>
      </c>
      <c r="H2355">
        <v>18</v>
      </c>
    </row>
    <row r="2356" spans="1:8" ht="21.75" customHeight="1" x14ac:dyDescent="0.35">
      <c r="A2356" t="s">
        <v>2451</v>
      </c>
      <c r="B2356" s="3">
        <v>45453</v>
      </c>
      <c r="C2356" t="s">
        <v>455</v>
      </c>
      <c r="D2356" t="s">
        <v>74</v>
      </c>
      <c r="E2356" t="s">
        <v>17</v>
      </c>
      <c r="F2356" t="s">
        <v>42</v>
      </c>
      <c r="G2356" t="s">
        <v>13</v>
      </c>
      <c r="H2356">
        <v>18</v>
      </c>
    </row>
    <row r="2357" spans="1:8" ht="21.75" customHeight="1" x14ac:dyDescent="0.35">
      <c r="A2357" t="s">
        <v>2452</v>
      </c>
      <c r="B2357" s="3">
        <v>45365</v>
      </c>
      <c r="C2357" t="s">
        <v>142</v>
      </c>
      <c r="D2357" t="s">
        <v>16</v>
      </c>
      <c r="E2357" t="s">
        <v>22</v>
      </c>
      <c r="F2357" t="s">
        <v>42</v>
      </c>
      <c r="G2357" t="s">
        <v>32</v>
      </c>
      <c r="H2357">
        <v>16</v>
      </c>
    </row>
    <row r="2358" spans="1:8" ht="21.75" customHeight="1" x14ac:dyDescent="0.35">
      <c r="A2358" t="s">
        <v>2453</v>
      </c>
      <c r="B2358" s="3">
        <v>45375</v>
      </c>
      <c r="C2358" t="s">
        <v>15</v>
      </c>
      <c r="D2358" t="s">
        <v>65</v>
      </c>
      <c r="E2358" t="s">
        <v>11</v>
      </c>
      <c r="F2358" t="s">
        <v>306</v>
      </c>
      <c r="G2358" t="s">
        <v>28</v>
      </c>
      <c r="H2358">
        <v>7</v>
      </c>
    </row>
    <row r="2359" spans="1:8" ht="21.75" customHeight="1" x14ac:dyDescent="0.35">
      <c r="A2359" t="s">
        <v>2454</v>
      </c>
      <c r="B2359" s="3">
        <v>45578</v>
      </c>
      <c r="C2359" t="s">
        <v>594</v>
      </c>
      <c r="D2359" t="s">
        <v>62</v>
      </c>
      <c r="E2359" t="s">
        <v>22</v>
      </c>
      <c r="F2359" t="s">
        <v>306</v>
      </c>
      <c r="G2359" t="s">
        <v>36</v>
      </c>
      <c r="H2359">
        <v>4</v>
      </c>
    </row>
    <row r="2360" spans="1:8" ht="21.75" customHeight="1" x14ac:dyDescent="0.35">
      <c r="A2360" t="s">
        <v>2455</v>
      </c>
      <c r="B2360" s="3">
        <v>45331</v>
      </c>
      <c r="C2360" t="s">
        <v>40</v>
      </c>
      <c r="D2360" t="s">
        <v>16</v>
      </c>
      <c r="E2360" t="s">
        <v>11</v>
      </c>
      <c r="F2360" t="s">
        <v>27</v>
      </c>
      <c r="G2360" t="s">
        <v>32</v>
      </c>
      <c r="H2360">
        <v>10</v>
      </c>
    </row>
    <row r="2361" spans="1:8" ht="21.75" customHeight="1" x14ac:dyDescent="0.35">
      <c r="A2361" t="s">
        <v>2456</v>
      </c>
      <c r="B2361" s="3">
        <v>45363</v>
      </c>
      <c r="C2361" t="s">
        <v>396</v>
      </c>
      <c r="D2361" t="s">
        <v>109</v>
      </c>
      <c r="E2361" t="s">
        <v>22</v>
      </c>
      <c r="F2361" t="s">
        <v>42</v>
      </c>
      <c r="G2361" t="s">
        <v>28</v>
      </c>
      <c r="H2361">
        <v>10</v>
      </c>
    </row>
    <row r="2362" spans="1:8" ht="21.75" customHeight="1" x14ac:dyDescent="0.35">
      <c r="A2362" t="s">
        <v>2457</v>
      </c>
      <c r="B2362" s="3">
        <v>45352</v>
      </c>
      <c r="C2362" t="s">
        <v>240</v>
      </c>
      <c r="D2362" t="s">
        <v>16</v>
      </c>
      <c r="E2362" t="s">
        <v>22</v>
      </c>
      <c r="F2362" t="s">
        <v>56</v>
      </c>
      <c r="G2362" t="s">
        <v>28</v>
      </c>
      <c r="H2362">
        <v>10</v>
      </c>
    </row>
    <row r="2363" spans="1:8" ht="21.75" customHeight="1" x14ac:dyDescent="0.35">
      <c r="A2363" t="s">
        <v>2458</v>
      </c>
      <c r="B2363" s="3">
        <v>45358</v>
      </c>
      <c r="C2363" t="s">
        <v>81</v>
      </c>
      <c r="D2363" t="s">
        <v>87</v>
      </c>
      <c r="E2363" t="s">
        <v>22</v>
      </c>
      <c r="F2363" t="s">
        <v>12</v>
      </c>
      <c r="G2363" t="s">
        <v>13</v>
      </c>
      <c r="H2363">
        <v>1</v>
      </c>
    </row>
    <row r="2364" spans="1:8" ht="21.75" customHeight="1" x14ac:dyDescent="0.35">
      <c r="A2364" t="s">
        <v>2459</v>
      </c>
      <c r="B2364" s="3">
        <v>45512</v>
      </c>
      <c r="C2364" t="s">
        <v>116</v>
      </c>
      <c r="D2364" t="s">
        <v>65</v>
      </c>
      <c r="E2364" t="s">
        <v>11</v>
      </c>
      <c r="F2364" t="s">
        <v>12</v>
      </c>
      <c r="G2364" t="s">
        <v>36</v>
      </c>
      <c r="H2364">
        <v>19</v>
      </c>
    </row>
    <row r="2365" spans="1:8" ht="21.75" customHeight="1" x14ac:dyDescent="0.35">
      <c r="A2365" t="s">
        <v>2460</v>
      </c>
      <c r="B2365" s="3">
        <v>45352</v>
      </c>
      <c r="C2365" t="s">
        <v>230</v>
      </c>
      <c r="D2365" t="s">
        <v>79</v>
      </c>
      <c r="E2365" t="s">
        <v>11</v>
      </c>
      <c r="F2365" t="s">
        <v>42</v>
      </c>
      <c r="G2365" t="s">
        <v>13</v>
      </c>
      <c r="H2365">
        <v>4</v>
      </c>
    </row>
    <row r="2366" spans="1:8" ht="21.75" customHeight="1" x14ac:dyDescent="0.35">
      <c r="A2366" t="s">
        <v>2461</v>
      </c>
      <c r="B2366" s="3">
        <v>45600</v>
      </c>
      <c r="C2366" t="s">
        <v>95</v>
      </c>
      <c r="D2366" t="s">
        <v>59</v>
      </c>
      <c r="E2366" t="s">
        <v>11</v>
      </c>
      <c r="F2366" t="s">
        <v>56</v>
      </c>
      <c r="G2366" t="s">
        <v>32</v>
      </c>
      <c r="H2366">
        <v>1</v>
      </c>
    </row>
    <row r="2367" spans="1:8" ht="21.75" customHeight="1" x14ac:dyDescent="0.35">
      <c r="A2367" t="s">
        <v>2462</v>
      </c>
      <c r="B2367" s="3">
        <v>45434</v>
      </c>
      <c r="C2367" t="s">
        <v>361</v>
      </c>
      <c r="D2367" t="s">
        <v>48</v>
      </c>
      <c r="E2367" t="s">
        <v>17</v>
      </c>
      <c r="F2367" t="s">
        <v>56</v>
      </c>
      <c r="G2367" t="s">
        <v>36</v>
      </c>
      <c r="H2367">
        <v>20</v>
      </c>
    </row>
    <row r="2368" spans="1:8" ht="21.75" customHeight="1" x14ac:dyDescent="0.35">
      <c r="A2368" t="s">
        <v>2463</v>
      </c>
      <c r="B2368" s="3">
        <v>45583</v>
      </c>
      <c r="C2368" t="s">
        <v>58</v>
      </c>
      <c r="D2368" t="s">
        <v>102</v>
      </c>
      <c r="E2368" t="s">
        <v>22</v>
      </c>
      <c r="F2368" t="s">
        <v>12</v>
      </c>
      <c r="G2368" t="s">
        <v>36</v>
      </c>
      <c r="H2368">
        <v>7</v>
      </c>
    </row>
    <row r="2369" spans="1:8" ht="21.75" customHeight="1" x14ac:dyDescent="0.35">
      <c r="A2369" t="s">
        <v>2464</v>
      </c>
      <c r="B2369" s="3">
        <v>45436</v>
      </c>
      <c r="C2369" t="s">
        <v>30</v>
      </c>
      <c r="D2369" t="s">
        <v>119</v>
      </c>
      <c r="E2369" t="s">
        <v>22</v>
      </c>
      <c r="F2369" t="s">
        <v>12</v>
      </c>
      <c r="G2369" t="s">
        <v>13</v>
      </c>
      <c r="H2369">
        <v>7</v>
      </c>
    </row>
    <row r="2370" spans="1:8" ht="21.75" customHeight="1" x14ac:dyDescent="0.35">
      <c r="A2370" t="s">
        <v>2465</v>
      </c>
      <c r="B2370" s="3">
        <v>45654</v>
      </c>
      <c r="C2370" t="s">
        <v>553</v>
      </c>
      <c r="D2370" t="s">
        <v>48</v>
      </c>
      <c r="E2370" t="s">
        <v>22</v>
      </c>
      <c r="F2370" t="s">
        <v>306</v>
      </c>
      <c r="G2370" t="s">
        <v>28</v>
      </c>
      <c r="H2370">
        <v>15</v>
      </c>
    </row>
    <row r="2371" spans="1:8" ht="21.75" customHeight="1" x14ac:dyDescent="0.35">
      <c r="A2371" t="s">
        <v>2466</v>
      </c>
      <c r="B2371" s="3">
        <v>45346</v>
      </c>
      <c r="C2371" t="s">
        <v>44</v>
      </c>
      <c r="D2371" t="s">
        <v>48</v>
      </c>
      <c r="E2371" t="s">
        <v>17</v>
      </c>
      <c r="F2371" t="s">
        <v>27</v>
      </c>
      <c r="G2371" t="s">
        <v>28</v>
      </c>
      <c r="H2371">
        <v>17</v>
      </c>
    </row>
    <row r="2372" spans="1:8" ht="21.75" customHeight="1" x14ac:dyDescent="0.35">
      <c r="A2372" t="s">
        <v>2467</v>
      </c>
      <c r="B2372" s="3">
        <v>45349</v>
      </c>
      <c r="C2372" t="s">
        <v>332</v>
      </c>
      <c r="D2372" t="s">
        <v>72</v>
      </c>
      <c r="E2372" t="s">
        <v>11</v>
      </c>
      <c r="F2372" t="s">
        <v>27</v>
      </c>
      <c r="G2372" t="s">
        <v>13</v>
      </c>
      <c r="H2372">
        <v>17</v>
      </c>
    </row>
    <row r="2373" spans="1:8" ht="21.75" customHeight="1" x14ac:dyDescent="0.35">
      <c r="A2373" t="s">
        <v>2468</v>
      </c>
      <c r="B2373" s="3">
        <v>45476</v>
      </c>
      <c r="C2373" t="s">
        <v>369</v>
      </c>
      <c r="D2373" t="s">
        <v>74</v>
      </c>
      <c r="E2373" t="s">
        <v>22</v>
      </c>
      <c r="F2373" t="s">
        <v>12</v>
      </c>
      <c r="G2373" t="s">
        <v>13</v>
      </c>
      <c r="H2373">
        <v>11</v>
      </c>
    </row>
    <row r="2374" spans="1:8" ht="21.75" customHeight="1" x14ac:dyDescent="0.35">
      <c r="A2374" t="s">
        <v>2469</v>
      </c>
      <c r="B2374" s="3">
        <v>45489</v>
      </c>
      <c r="C2374" t="s">
        <v>55</v>
      </c>
      <c r="D2374" t="s">
        <v>70</v>
      </c>
      <c r="E2374" t="s">
        <v>22</v>
      </c>
      <c r="F2374" t="s">
        <v>42</v>
      </c>
      <c r="G2374" t="s">
        <v>23</v>
      </c>
      <c r="H2374">
        <v>8</v>
      </c>
    </row>
    <row r="2375" spans="1:8" ht="21.75" customHeight="1" x14ac:dyDescent="0.35">
      <c r="A2375" t="s">
        <v>2470</v>
      </c>
      <c r="B2375" s="3">
        <v>45440</v>
      </c>
      <c r="C2375" t="s">
        <v>309</v>
      </c>
      <c r="D2375" t="s">
        <v>65</v>
      </c>
      <c r="E2375" t="s">
        <v>11</v>
      </c>
      <c r="F2375" t="s">
        <v>27</v>
      </c>
      <c r="G2375" t="s">
        <v>32</v>
      </c>
      <c r="H2375">
        <v>6</v>
      </c>
    </row>
    <row r="2376" spans="1:8" ht="21.75" customHeight="1" x14ac:dyDescent="0.35">
      <c r="A2376" t="s">
        <v>2471</v>
      </c>
      <c r="B2376" s="3">
        <v>45637</v>
      </c>
      <c r="C2376" t="s">
        <v>374</v>
      </c>
      <c r="D2376" t="s">
        <v>41</v>
      </c>
      <c r="E2376" t="s">
        <v>11</v>
      </c>
      <c r="F2376" t="s">
        <v>27</v>
      </c>
      <c r="G2376" t="s">
        <v>23</v>
      </c>
      <c r="H2376">
        <v>17</v>
      </c>
    </row>
    <row r="2377" spans="1:8" ht="21.75" customHeight="1" x14ac:dyDescent="0.35">
      <c r="A2377" t="s">
        <v>2472</v>
      </c>
      <c r="B2377" s="3">
        <v>45335</v>
      </c>
      <c r="C2377" t="s">
        <v>114</v>
      </c>
      <c r="D2377" t="s">
        <v>16</v>
      </c>
      <c r="E2377" t="s">
        <v>17</v>
      </c>
      <c r="F2377" t="s">
        <v>27</v>
      </c>
      <c r="G2377" t="s">
        <v>36</v>
      </c>
      <c r="H2377">
        <v>4</v>
      </c>
    </row>
    <row r="2378" spans="1:8" ht="21.75" customHeight="1" x14ac:dyDescent="0.35">
      <c r="A2378" t="s">
        <v>2473</v>
      </c>
      <c r="B2378" s="3">
        <v>45378</v>
      </c>
      <c r="C2378" t="s">
        <v>58</v>
      </c>
      <c r="D2378" t="s">
        <v>48</v>
      </c>
      <c r="E2378" t="s">
        <v>11</v>
      </c>
      <c r="F2378" t="s">
        <v>42</v>
      </c>
      <c r="G2378" t="s">
        <v>28</v>
      </c>
      <c r="H2378">
        <v>20</v>
      </c>
    </row>
    <row r="2379" spans="1:8" ht="21.75" customHeight="1" x14ac:dyDescent="0.35">
      <c r="A2379" t="s">
        <v>2474</v>
      </c>
      <c r="B2379" s="3">
        <v>45498</v>
      </c>
      <c r="C2379" t="s">
        <v>114</v>
      </c>
      <c r="D2379" t="s">
        <v>197</v>
      </c>
      <c r="E2379" t="s">
        <v>17</v>
      </c>
      <c r="F2379" t="s">
        <v>27</v>
      </c>
      <c r="G2379" t="s">
        <v>32</v>
      </c>
      <c r="H2379">
        <v>19</v>
      </c>
    </row>
    <row r="2380" spans="1:8" ht="21.75" customHeight="1" x14ac:dyDescent="0.35">
      <c r="A2380" t="s">
        <v>2475</v>
      </c>
      <c r="B2380" s="3">
        <v>45621</v>
      </c>
      <c r="C2380" t="s">
        <v>341</v>
      </c>
      <c r="D2380" t="s">
        <v>48</v>
      </c>
      <c r="E2380" t="s">
        <v>17</v>
      </c>
      <c r="F2380" t="s">
        <v>306</v>
      </c>
      <c r="G2380" t="s">
        <v>23</v>
      </c>
      <c r="H2380">
        <v>16</v>
      </c>
    </row>
    <row r="2381" spans="1:8" ht="21.75" customHeight="1" x14ac:dyDescent="0.35">
      <c r="A2381" t="s">
        <v>2476</v>
      </c>
      <c r="B2381" s="3">
        <v>45367</v>
      </c>
      <c r="C2381" t="s">
        <v>337</v>
      </c>
      <c r="D2381" t="s">
        <v>70</v>
      </c>
      <c r="E2381" t="s">
        <v>11</v>
      </c>
      <c r="F2381" t="s">
        <v>12</v>
      </c>
      <c r="G2381" t="s">
        <v>32</v>
      </c>
      <c r="H2381">
        <v>16</v>
      </c>
    </row>
    <row r="2382" spans="1:8" ht="21.75" customHeight="1" x14ac:dyDescent="0.35">
      <c r="A2382" t="s">
        <v>2477</v>
      </c>
      <c r="B2382" s="3">
        <v>45613</v>
      </c>
      <c r="C2382" t="s">
        <v>99</v>
      </c>
      <c r="D2382" t="s">
        <v>96</v>
      </c>
      <c r="E2382" t="s">
        <v>11</v>
      </c>
      <c r="F2382" t="s">
        <v>12</v>
      </c>
      <c r="G2382" t="s">
        <v>13</v>
      </c>
      <c r="H2382">
        <v>16</v>
      </c>
    </row>
    <row r="2383" spans="1:8" ht="21.75" customHeight="1" x14ac:dyDescent="0.35">
      <c r="A2383" t="s">
        <v>2478</v>
      </c>
      <c r="B2383" s="3">
        <v>45383</v>
      </c>
      <c r="C2383" t="s">
        <v>159</v>
      </c>
      <c r="D2383" t="s">
        <v>109</v>
      </c>
      <c r="E2383" t="s">
        <v>22</v>
      </c>
      <c r="F2383" t="s">
        <v>42</v>
      </c>
      <c r="G2383" t="s">
        <v>28</v>
      </c>
      <c r="H2383">
        <v>10</v>
      </c>
    </row>
    <row r="2384" spans="1:8" ht="21.75" customHeight="1" x14ac:dyDescent="0.35">
      <c r="A2384" t="s">
        <v>2479</v>
      </c>
      <c r="B2384" s="3">
        <v>45341</v>
      </c>
      <c r="C2384" t="s">
        <v>332</v>
      </c>
      <c r="D2384" t="s">
        <v>10</v>
      </c>
      <c r="E2384" t="s">
        <v>22</v>
      </c>
      <c r="F2384" t="s">
        <v>306</v>
      </c>
      <c r="G2384" t="s">
        <v>23</v>
      </c>
      <c r="H2384">
        <v>15</v>
      </c>
    </row>
    <row r="2385" spans="1:8" ht="21.75" customHeight="1" x14ac:dyDescent="0.35">
      <c r="A2385" t="s">
        <v>2480</v>
      </c>
      <c r="B2385" s="3">
        <v>45630</v>
      </c>
      <c r="C2385" t="s">
        <v>432</v>
      </c>
      <c r="D2385" t="s">
        <v>35</v>
      </c>
      <c r="E2385" t="s">
        <v>22</v>
      </c>
      <c r="F2385" t="s">
        <v>42</v>
      </c>
      <c r="G2385" t="s">
        <v>36</v>
      </c>
      <c r="H2385">
        <v>11</v>
      </c>
    </row>
    <row r="2386" spans="1:8" ht="21.75" customHeight="1" x14ac:dyDescent="0.35">
      <c r="A2386" t="s">
        <v>2481</v>
      </c>
      <c r="B2386" s="3">
        <v>45568</v>
      </c>
      <c r="C2386" t="s">
        <v>591</v>
      </c>
      <c r="D2386" t="s">
        <v>96</v>
      </c>
      <c r="E2386" t="s">
        <v>11</v>
      </c>
      <c r="F2386" t="s">
        <v>27</v>
      </c>
      <c r="G2386" t="s">
        <v>13</v>
      </c>
      <c r="H2386">
        <v>13</v>
      </c>
    </row>
    <row r="2387" spans="1:8" ht="21.75" customHeight="1" x14ac:dyDescent="0.35">
      <c r="A2387" t="s">
        <v>2482</v>
      </c>
      <c r="B2387" s="3">
        <v>45484</v>
      </c>
      <c r="C2387" t="s">
        <v>396</v>
      </c>
      <c r="D2387" t="s">
        <v>70</v>
      </c>
      <c r="E2387" t="s">
        <v>11</v>
      </c>
      <c r="F2387" t="s">
        <v>12</v>
      </c>
      <c r="G2387" t="s">
        <v>28</v>
      </c>
      <c r="H2387">
        <v>18</v>
      </c>
    </row>
    <row r="2388" spans="1:8" ht="21.75" customHeight="1" x14ac:dyDescent="0.35">
      <c r="A2388" t="s">
        <v>2483</v>
      </c>
      <c r="B2388" s="3">
        <v>45447</v>
      </c>
      <c r="C2388" t="s">
        <v>369</v>
      </c>
      <c r="D2388" t="s">
        <v>45</v>
      </c>
      <c r="E2388" t="s">
        <v>17</v>
      </c>
      <c r="F2388" t="s">
        <v>27</v>
      </c>
      <c r="G2388" t="s">
        <v>28</v>
      </c>
      <c r="H2388">
        <v>10</v>
      </c>
    </row>
    <row r="2389" spans="1:8" ht="21.75" customHeight="1" x14ac:dyDescent="0.35">
      <c r="A2389" t="s">
        <v>2484</v>
      </c>
      <c r="B2389" s="3">
        <v>45541</v>
      </c>
      <c r="C2389" t="s">
        <v>332</v>
      </c>
      <c r="D2389" t="s">
        <v>102</v>
      </c>
      <c r="E2389" t="s">
        <v>22</v>
      </c>
      <c r="F2389" t="s">
        <v>27</v>
      </c>
      <c r="G2389" t="s">
        <v>36</v>
      </c>
      <c r="H2389">
        <v>18</v>
      </c>
    </row>
    <row r="2390" spans="1:8" ht="21.75" customHeight="1" x14ac:dyDescent="0.35">
      <c r="A2390" t="s">
        <v>2485</v>
      </c>
      <c r="B2390" s="3">
        <v>45535</v>
      </c>
      <c r="C2390" t="s">
        <v>642</v>
      </c>
      <c r="D2390" t="s">
        <v>45</v>
      </c>
      <c r="E2390" t="s">
        <v>22</v>
      </c>
      <c r="F2390" t="s">
        <v>12</v>
      </c>
      <c r="G2390" t="s">
        <v>23</v>
      </c>
      <c r="H2390">
        <v>9</v>
      </c>
    </row>
    <row r="2391" spans="1:8" ht="21.75" customHeight="1" x14ac:dyDescent="0.35">
      <c r="A2391" t="s">
        <v>2486</v>
      </c>
      <c r="B2391" s="3">
        <v>45485</v>
      </c>
      <c r="C2391" t="s">
        <v>594</v>
      </c>
      <c r="D2391" t="s">
        <v>41</v>
      </c>
      <c r="E2391" t="s">
        <v>17</v>
      </c>
      <c r="F2391" t="s">
        <v>42</v>
      </c>
      <c r="G2391" t="s">
        <v>32</v>
      </c>
      <c r="H2391">
        <v>2</v>
      </c>
    </row>
    <row r="2392" spans="1:8" ht="21.75" customHeight="1" x14ac:dyDescent="0.35">
      <c r="A2392" t="s">
        <v>2487</v>
      </c>
      <c r="B2392" s="3">
        <v>45315</v>
      </c>
      <c r="C2392" t="s">
        <v>34</v>
      </c>
      <c r="D2392" t="s">
        <v>48</v>
      </c>
      <c r="E2392" t="s">
        <v>17</v>
      </c>
      <c r="F2392" t="s">
        <v>306</v>
      </c>
      <c r="G2392" t="s">
        <v>13</v>
      </c>
      <c r="H2392">
        <v>11</v>
      </c>
    </row>
    <row r="2393" spans="1:8" ht="21.75" customHeight="1" x14ac:dyDescent="0.35">
      <c r="A2393" t="s">
        <v>2488</v>
      </c>
      <c r="B2393" s="3">
        <v>45511</v>
      </c>
      <c r="C2393" t="s">
        <v>20</v>
      </c>
      <c r="D2393" t="s">
        <v>48</v>
      </c>
      <c r="E2393" t="s">
        <v>17</v>
      </c>
      <c r="F2393" t="s">
        <v>42</v>
      </c>
      <c r="G2393" t="s">
        <v>13</v>
      </c>
      <c r="H2393">
        <v>8</v>
      </c>
    </row>
    <row r="2394" spans="1:8" ht="21.75" customHeight="1" x14ac:dyDescent="0.35">
      <c r="A2394" t="s">
        <v>2489</v>
      </c>
      <c r="B2394" s="3">
        <v>45623</v>
      </c>
      <c r="C2394" t="s">
        <v>147</v>
      </c>
      <c r="D2394" t="s">
        <v>59</v>
      </c>
      <c r="E2394" t="s">
        <v>11</v>
      </c>
      <c r="F2394" t="s">
        <v>12</v>
      </c>
      <c r="G2394" t="s">
        <v>32</v>
      </c>
      <c r="H2394">
        <v>4</v>
      </c>
    </row>
    <row r="2395" spans="1:8" ht="21.75" customHeight="1" x14ac:dyDescent="0.35">
      <c r="A2395" t="s">
        <v>2490</v>
      </c>
      <c r="B2395" s="3">
        <v>45302</v>
      </c>
      <c r="C2395" t="s">
        <v>312</v>
      </c>
      <c r="D2395" t="s">
        <v>72</v>
      </c>
      <c r="E2395" t="s">
        <v>11</v>
      </c>
      <c r="F2395" t="s">
        <v>27</v>
      </c>
      <c r="G2395" t="s">
        <v>23</v>
      </c>
      <c r="H2395">
        <v>19</v>
      </c>
    </row>
    <row r="2396" spans="1:8" ht="21.75" customHeight="1" x14ac:dyDescent="0.35">
      <c r="A2396" t="s">
        <v>2491</v>
      </c>
      <c r="B2396" s="3">
        <v>45507</v>
      </c>
      <c r="C2396" t="s">
        <v>101</v>
      </c>
      <c r="D2396" t="s">
        <v>96</v>
      </c>
      <c r="E2396" t="s">
        <v>22</v>
      </c>
      <c r="F2396" t="s">
        <v>27</v>
      </c>
      <c r="G2396" t="s">
        <v>36</v>
      </c>
      <c r="H2396">
        <v>1</v>
      </c>
    </row>
    <row r="2397" spans="1:8" ht="21.75" customHeight="1" x14ac:dyDescent="0.35">
      <c r="A2397" t="s">
        <v>2492</v>
      </c>
      <c r="B2397" s="3">
        <v>45485</v>
      </c>
      <c r="C2397" t="s">
        <v>314</v>
      </c>
      <c r="D2397" t="s">
        <v>31</v>
      </c>
      <c r="E2397" t="s">
        <v>17</v>
      </c>
      <c r="F2397" t="s">
        <v>306</v>
      </c>
      <c r="G2397" t="s">
        <v>13</v>
      </c>
      <c r="H2397">
        <v>16</v>
      </c>
    </row>
    <row r="2398" spans="1:8" ht="21.75" customHeight="1" x14ac:dyDescent="0.35">
      <c r="A2398" t="s">
        <v>2493</v>
      </c>
      <c r="B2398" s="3">
        <v>45637</v>
      </c>
      <c r="C2398" t="s">
        <v>95</v>
      </c>
      <c r="D2398" t="s">
        <v>72</v>
      </c>
      <c r="E2398" t="s">
        <v>17</v>
      </c>
      <c r="F2398" t="s">
        <v>306</v>
      </c>
      <c r="G2398" t="s">
        <v>32</v>
      </c>
      <c r="H2398">
        <v>6</v>
      </c>
    </row>
    <row r="2399" spans="1:8" ht="21.75" customHeight="1" x14ac:dyDescent="0.35">
      <c r="A2399" t="s">
        <v>2494</v>
      </c>
      <c r="B2399" s="3">
        <v>45478</v>
      </c>
      <c r="C2399" t="s">
        <v>348</v>
      </c>
      <c r="D2399" t="s">
        <v>65</v>
      </c>
      <c r="E2399" t="s">
        <v>17</v>
      </c>
      <c r="F2399" t="s">
        <v>12</v>
      </c>
      <c r="G2399" t="s">
        <v>36</v>
      </c>
      <c r="H2399">
        <v>7</v>
      </c>
    </row>
    <row r="2400" spans="1:8" ht="21.75" customHeight="1" x14ac:dyDescent="0.35">
      <c r="A2400" t="s">
        <v>2495</v>
      </c>
      <c r="B2400" s="3">
        <v>45316</v>
      </c>
      <c r="C2400" t="s">
        <v>68</v>
      </c>
      <c r="D2400" t="s">
        <v>59</v>
      </c>
      <c r="E2400" t="s">
        <v>17</v>
      </c>
      <c r="F2400" t="s">
        <v>56</v>
      </c>
      <c r="G2400" t="s">
        <v>36</v>
      </c>
      <c r="H2400">
        <v>3</v>
      </c>
    </row>
    <row r="2401" spans="1:8" ht="21.75" customHeight="1" x14ac:dyDescent="0.35">
      <c r="A2401" t="s">
        <v>2496</v>
      </c>
      <c r="B2401" s="3">
        <v>45588</v>
      </c>
      <c r="C2401" t="s">
        <v>108</v>
      </c>
      <c r="D2401" t="s">
        <v>59</v>
      </c>
      <c r="E2401" t="s">
        <v>17</v>
      </c>
      <c r="F2401" t="s">
        <v>42</v>
      </c>
      <c r="G2401" t="s">
        <v>13</v>
      </c>
      <c r="H2401">
        <v>19</v>
      </c>
    </row>
    <row r="2402" spans="1:8" ht="21.75" customHeight="1" x14ac:dyDescent="0.35">
      <c r="A2402" t="s">
        <v>2497</v>
      </c>
      <c r="B2402" s="3">
        <v>45535</v>
      </c>
      <c r="C2402" t="s">
        <v>309</v>
      </c>
      <c r="D2402" t="s">
        <v>65</v>
      </c>
      <c r="E2402" t="s">
        <v>17</v>
      </c>
      <c r="F2402" t="s">
        <v>12</v>
      </c>
      <c r="G2402" t="s">
        <v>32</v>
      </c>
      <c r="H2402">
        <v>17</v>
      </c>
    </row>
    <row r="2403" spans="1:8" ht="21.75" customHeight="1" x14ac:dyDescent="0.35">
      <c r="A2403" t="s">
        <v>2498</v>
      </c>
      <c r="B2403" s="3">
        <v>45513</v>
      </c>
      <c r="C2403" t="s">
        <v>371</v>
      </c>
      <c r="D2403" t="s">
        <v>174</v>
      </c>
      <c r="E2403" t="s">
        <v>17</v>
      </c>
      <c r="F2403" t="s">
        <v>56</v>
      </c>
      <c r="G2403" t="s">
        <v>23</v>
      </c>
      <c r="H2403">
        <v>13</v>
      </c>
    </row>
    <row r="2404" spans="1:8" ht="21.75" customHeight="1" x14ac:dyDescent="0.35">
      <c r="A2404" t="s">
        <v>2499</v>
      </c>
      <c r="B2404" s="3">
        <v>45555</v>
      </c>
      <c r="C2404" t="s">
        <v>366</v>
      </c>
      <c r="D2404" t="s">
        <v>41</v>
      </c>
      <c r="E2404" t="s">
        <v>22</v>
      </c>
      <c r="F2404" t="s">
        <v>56</v>
      </c>
      <c r="G2404" t="s">
        <v>13</v>
      </c>
      <c r="H2404">
        <v>17</v>
      </c>
    </row>
    <row r="2405" spans="1:8" ht="21.75" customHeight="1" x14ac:dyDescent="0.35">
      <c r="A2405" t="s">
        <v>2500</v>
      </c>
      <c r="B2405" s="3">
        <v>45587</v>
      </c>
      <c r="C2405" t="s">
        <v>432</v>
      </c>
      <c r="D2405" t="s">
        <v>65</v>
      </c>
      <c r="E2405" t="s">
        <v>22</v>
      </c>
      <c r="F2405" t="s">
        <v>27</v>
      </c>
      <c r="G2405" t="s">
        <v>32</v>
      </c>
      <c r="H2405">
        <v>18</v>
      </c>
    </row>
    <row r="2406" spans="1:8" ht="21.75" customHeight="1" x14ac:dyDescent="0.35">
      <c r="A2406" t="s">
        <v>2501</v>
      </c>
      <c r="B2406" s="3">
        <v>45514</v>
      </c>
      <c r="C2406" t="s">
        <v>614</v>
      </c>
      <c r="D2406" t="s">
        <v>84</v>
      </c>
      <c r="E2406" t="s">
        <v>22</v>
      </c>
      <c r="F2406" t="s">
        <v>12</v>
      </c>
      <c r="G2406" t="s">
        <v>36</v>
      </c>
      <c r="H2406">
        <v>7</v>
      </c>
    </row>
    <row r="2407" spans="1:8" ht="21.75" customHeight="1" x14ac:dyDescent="0.35">
      <c r="A2407" t="s">
        <v>2502</v>
      </c>
      <c r="B2407" s="3">
        <v>45367</v>
      </c>
      <c r="C2407" t="s">
        <v>93</v>
      </c>
      <c r="D2407" t="s">
        <v>16</v>
      </c>
      <c r="E2407" t="s">
        <v>22</v>
      </c>
      <c r="F2407" t="s">
        <v>42</v>
      </c>
      <c r="G2407" t="s">
        <v>23</v>
      </c>
      <c r="H2407">
        <v>14</v>
      </c>
    </row>
    <row r="2408" spans="1:8" ht="21.75" customHeight="1" x14ac:dyDescent="0.35">
      <c r="A2408" t="s">
        <v>2503</v>
      </c>
      <c r="B2408" s="3">
        <v>45324</v>
      </c>
      <c r="C2408" t="s">
        <v>541</v>
      </c>
      <c r="D2408" t="s">
        <v>65</v>
      </c>
      <c r="E2408" t="s">
        <v>17</v>
      </c>
      <c r="F2408" t="s">
        <v>42</v>
      </c>
      <c r="G2408" t="s">
        <v>32</v>
      </c>
      <c r="H2408">
        <v>6</v>
      </c>
    </row>
    <row r="2409" spans="1:8" ht="21.75" customHeight="1" x14ac:dyDescent="0.35">
      <c r="A2409" t="s">
        <v>2504</v>
      </c>
      <c r="B2409" s="3">
        <v>45599</v>
      </c>
      <c r="C2409" t="s">
        <v>93</v>
      </c>
      <c r="D2409" t="s">
        <v>31</v>
      </c>
      <c r="E2409" t="s">
        <v>11</v>
      </c>
      <c r="F2409" t="s">
        <v>12</v>
      </c>
      <c r="G2409" t="s">
        <v>28</v>
      </c>
      <c r="H2409">
        <v>7</v>
      </c>
    </row>
    <row r="2410" spans="1:8" ht="21.75" customHeight="1" x14ac:dyDescent="0.35">
      <c r="A2410" t="s">
        <v>2505</v>
      </c>
      <c r="B2410" s="3">
        <v>45450</v>
      </c>
      <c r="C2410" t="s">
        <v>319</v>
      </c>
      <c r="D2410" t="s">
        <v>35</v>
      </c>
      <c r="E2410" t="s">
        <v>22</v>
      </c>
      <c r="F2410" t="s">
        <v>27</v>
      </c>
      <c r="G2410" t="s">
        <v>23</v>
      </c>
      <c r="H2410">
        <v>2</v>
      </c>
    </row>
    <row r="2411" spans="1:8" ht="21.75" customHeight="1" x14ac:dyDescent="0.35">
      <c r="A2411" t="s">
        <v>2506</v>
      </c>
      <c r="B2411" s="3">
        <v>45431</v>
      </c>
      <c r="C2411" t="s">
        <v>99</v>
      </c>
      <c r="D2411" t="s">
        <v>96</v>
      </c>
      <c r="E2411" t="s">
        <v>17</v>
      </c>
      <c r="F2411" t="s">
        <v>42</v>
      </c>
      <c r="G2411" t="s">
        <v>36</v>
      </c>
      <c r="H2411">
        <v>6</v>
      </c>
    </row>
    <row r="2412" spans="1:8" ht="21.75" customHeight="1" x14ac:dyDescent="0.35">
      <c r="A2412" t="s">
        <v>2507</v>
      </c>
      <c r="B2412" s="3">
        <v>45313</v>
      </c>
      <c r="C2412" t="s">
        <v>329</v>
      </c>
      <c r="D2412" t="s">
        <v>35</v>
      </c>
      <c r="E2412" t="s">
        <v>11</v>
      </c>
      <c r="F2412" t="s">
        <v>12</v>
      </c>
      <c r="G2412" t="s">
        <v>13</v>
      </c>
      <c r="H2412">
        <v>11</v>
      </c>
    </row>
    <row r="2413" spans="1:8" ht="21.75" customHeight="1" x14ac:dyDescent="0.35">
      <c r="A2413" t="s">
        <v>2508</v>
      </c>
      <c r="B2413" s="3">
        <v>45324</v>
      </c>
      <c r="C2413" t="s">
        <v>408</v>
      </c>
      <c r="D2413" t="s">
        <v>48</v>
      </c>
      <c r="E2413" t="s">
        <v>22</v>
      </c>
      <c r="F2413" t="s">
        <v>12</v>
      </c>
      <c r="G2413" t="s">
        <v>23</v>
      </c>
      <c r="H2413">
        <v>5</v>
      </c>
    </row>
    <row r="2414" spans="1:8" ht="21.75" customHeight="1" x14ac:dyDescent="0.35">
      <c r="A2414" t="s">
        <v>2509</v>
      </c>
      <c r="B2414" s="3">
        <v>45584</v>
      </c>
      <c r="C2414" t="s">
        <v>304</v>
      </c>
      <c r="D2414" t="s">
        <v>160</v>
      </c>
      <c r="E2414" t="s">
        <v>11</v>
      </c>
      <c r="F2414" t="s">
        <v>306</v>
      </c>
      <c r="G2414" t="s">
        <v>36</v>
      </c>
      <c r="H2414">
        <v>17</v>
      </c>
    </row>
    <row r="2415" spans="1:8" ht="21.75" customHeight="1" x14ac:dyDescent="0.35">
      <c r="A2415" t="s">
        <v>2510</v>
      </c>
      <c r="B2415" s="3">
        <v>45338</v>
      </c>
      <c r="C2415" t="s">
        <v>93</v>
      </c>
      <c r="D2415" t="s">
        <v>109</v>
      </c>
      <c r="E2415" t="s">
        <v>11</v>
      </c>
      <c r="F2415" t="s">
        <v>42</v>
      </c>
      <c r="G2415" t="s">
        <v>32</v>
      </c>
      <c r="H2415">
        <v>19</v>
      </c>
    </row>
    <row r="2416" spans="1:8" ht="21.75" customHeight="1" x14ac:dyDescent="0.35">
      <c r="A2416" t="s">
        <v>2511</v>
      </c>
      <c r="B2416" s="3">
        <v>45412</v>
      </c>
      <c r="C2416" t="s">
        <v>309</v>
      </c>
      <c r="D2416" t="s">
        <v>65</v>
      </c>
      <c r="E2416" t="s">
        <v>11</v>
      </c>
      <c r="F2416" t="s">
        <v>12</v>
      </c>
      <c r="G2416" t="s">
        <v>28</v>
      </c>
      <c r="H2416">
        <v>7</v>
      </c>
    </row>
    <row r="2417" spans="1:8" ht="21.75" customHeight="1" x14ac:dyDescent="0.35">
      <c r="A2417" t="s">
        <v>2512</v>
      </c>
      <c r="B2417" s="3">
        <v>45517</v>
      </c>
      <c r="C2417" t="s">
        <v>408</v>
      </c>
      <c r="D2417" t="s">
        <v>26</v>
      </c>
      <c r="E2417" t="s">
        <v>22</v>
      </c>
      <c r="F2417" t="s">
        <v>12</v>
      </c>
      <c r="G2417" t="s">
        <v>23</v>
      </c>
      <c r="H2417">
        <v>18</v>
      </c>
    </row>
    <row r="2418" spans="1:8" ht="21.75" customHeight="1" x14ac:dyDescent="0.35">
      <c r="A2418" t="s">
        <v>2513</v>
      </c>
      <c r="B2418" s="3">
        <v>45349</v>
      </c>
      <c r="C2418" t="s">
        <v>38</v>
      </c>
      <c r="D2418" t="s">
        <v>174</v>
      </c>
      <c r="E2418" t="s">
        <v>17</v>
      </c>
      <c r="F2418" t="s">
        <v>27</v>
      </c>
      <c r="G2418" t="s">
        <v>28</v>
      </c>
      <c r="H2418">
        <v>9</v>
      </c>
    </row>
    <row r="2419" spans="1:8" ht="21.75" customHeight="1" x14ac:dyDescent="0.35">
      <c r="A2419" t="s">
        <v>2514</v>
      </c>
      <c r="B2419" s="3">
        <v>45366</v>
      </c>
      <c r="C2419" t="s">
        <v>83</v>
      </c>
      <c r="D2419" t="s">
        <v>35</v>
      </c>
      <c r="E2419" t="s">
        <v>22</v>
      </c>
      <c r="F2419" t="s">
        <v>42</v>
      </c>
      <c r="G2419" t="s">
        <v>32</v>
      </c>
      <c r="H2419">
        <v>1</v>
      </c>
    </row>
    <row r="2420" spans="1:8" ht="21.75" customHeight="1" x14ac:dyDescent="0.35">
      <c r="A2420" t="s">
        <v>2515</v>
      </c>
      <c r="B2420" s="3">
        <v>45602</v>
      </c>
      <c r="C2420" t="s">
        <v>122</v>
      </c>
      <c r="D2420" t="s">
        <v>84</v>
      </c>
      <c r="E2420" t="s">
        <v>22</v>
      </c>
      <c r="F2420" t="s">
        <v>12</v>
      </c>
      <c r="G2420" t="s">
        <v>28</v>
      </c>
      <c r="H2420">
        <v>9</v>
      </c>
    </row>
    <row r="2421" spans="1:8" ht="21.75" customHeight="1" x14ac:dyDescent="0.35">
      <c r="A2421" t="s">
        <v>2516</v>
      </c>
      <c r="B2421" s="3">
        <v>45450</v>
      </c>
      <c r="C2421" t="s">
        <v>541</v>
      </c>
      <c r="D2421" t="s">
        <v>62</v>
      </c>
      <c r="E2421" t="s">
        <v>17</v>
      </c>
      <c r="F2421" t="s">
        <v>12</v>
      </c>
      <c r="G2421" t="s">
        <v>36</v>
      </c>
      <c r="H2421">
        <v>8</v>
      </c>
    </row>
    <row r="2422" spans="1:8" ht="21.75" customHeight="1" x14ac:dyDescent="0.35">
      <c r="A2422" t="s">
        <v>2517</v>
      </c>
      <c r="B2422" s="3">
        <v>45490</v>
      </c>
      <c r="C2422" t="s">
        <v>142</v>
      </c>
      <c r="D2422" t="s">
        <v>31</v>
      </c>
      <c r="E2422" t="s">
        <v>17</v>
      </c>
      <c r="F2422" t="s">
        <v>42</v>
      </c>
      <c r="G2422" t="s">
        <v>13</v>
      </c>
      <c r="H2422">
        <v>8</v>
      </c>
    </row>
    <row r="2423" spans="1:8" ht="21.75" customHeight="1" x14ac:dyDescent="0.35">
      <c r="A2423" t="s">
        <v>2518</v>
      </c>
      <c r="B2423" s="3">
        <v>45374</v>
      </c>
      <c r="C2423" t="s">
        <v>396</v>
      </c>
      <c r="D2423" t="s">
        <v>21</v>
      </c>
      <c r="E2423" t="s">
        <v>17</v>
      </c>
      <c r="F2423" t="s">
        <v>27</v>
      </c>
      <c r="G2423" t="s">
        <v>13</v>
      </c>
      <c r="H2423">
        <v>9</v>
      </c>
    </row>
    <row r="2424" spans="1:8" ht="21.75" customHeight="1" x14ac:dyDescent="0.35">
      <c r="A2424" t="s">
        <v>2519</v>
      </c>
      <c r="B2424" s="3">
        <v>45543</v>
      </c>
      <c r="C2424" t="s">
        <v>553</v>
      </c>
      <c r="D2424" t="s">
        <v>84</v>
      </c>
      <c r="E2424" t="s">
        <v>17</v>
      </c>
      <c r="F2424" t="s">
        <v>42</v>
      </c>
      <c r="G2424" t="s">
        <v>23</v>
      </c>
      <c r="H2424">
        <v>4</v>
      </c>
    </row>
    <row r="2425" spans="1:8" ht="21.75" customHeight="1" x14ac:dyDescent="0.35">
      <c r="A2425" t="s">
        <v>2520</v>
      </c>
      <c r="B2425" s="3">
        <v>45649</v>
      </c>
      <c r="C2425" t="s">
        <v>86</v>
      </c>
      <c r="D2425" t="s">
        <v>160</v>
      </c>
      <c r="E2425" t="s">
        <v>11</v>
      </c>
      <c r="F2425" t="s">
        <v>42</v>
      </c>
      <c r="G2425" t="s">
        <v>23</v>
      </c>
      <c r="H2425">
        <v>20</v>
      </c>
    </row>
    <row r="2426" spans="1:8" ht="21.75" customHeight="1" x14ac:dyDescent="0.35">
      <c r="A2426" t="s">
        <v>2521</v>
      </c>
      <c r="B2426" s="3">
        <v>45572</v>
      </c>
      <c r="C2426" t="s">
        <v>304</v>
      </c>
      <c r="D2426" t="s">
        <v>72</v>
      </c>
      <c r="E2426" t="s">
        <v>17</v>
      </c>
      <c r="F2426" t="s">
        <v>12</v>
      </c>
      <c r="G2426" t="s">
        <v>13</v>
      </c>
      <c r="H2426">
        <v>6</v>
      </c>
    </row>
    <row r="2427" spans="1:8" ht="21.75" customHeight="1" x14ac:dyDescent="0.35">
      <c r="A2427" t="s">
        <v>2522</v>
      </c>
      <c r="B2427" s="3">
        <v>45620</v>
      </c>
      <c r="C2427" t="s">
        <v>99</v>
      </c>
      <c r="D2427" t="s">
        <v>96</v>
      </c>
      <c r="E2427" t="s">
        <v>17</v>
      </c>
      <c r="F2427" t="s">
        <v>56</v>
      </c>
      <c r="G2427" t="s">
        <v>32</v>
      </c>
      <c r="H2427">
        <v>11</v>
      </c>
    </row>
    <row r="2428" spans="1:8" ht="21.75" customHeight="1" x14ac:dyDescent="0.35">
      <c r="A2428" t="s">
        <v>2523</v>
      </c>
      <c r="B2428" s="3">
        <v>45348</v>
      </c>
      <c r="C2428" t="s">
        <v>111</v>
      </c>
      <c r="D2428" t="s">
        <v>197</v>
      </c>
      <c r="E2428" t="s">
        <v>22</v>
      </c>
      <c r="F2428" t="s">
        <v>56</v>
      </c>
      <c r="G2428" t="s">
        <v>36</v>
      </c>
      <c r="H2428">
        <v>14</v>
      </c>
    </row>
    <row r="2429" spans="1:8" ht="21.75" customHeight="1" x14ac:dyDescent="0.35">
      <c r="A2429" t="s">
        <v>2524</v>
      </c>
      <c r="B2429" s="3">
        <v>45455</v>
      </c>
      <c r="C2429" t="s">
        <v>430</v>
      </c>
      <c r="D2429" t="s">
        <v>35</v>
      </c>
      <c r="E2429" t="s">
        <v>22</v>
      </c>
      <c r="F2429" t="s">
        <v>56</v>
      </c>
      <c r="G2429" t="s">
        <v>32</v>
      </c>
      <c r="H2429">
        <v>6</v>
      </c>
    </row>
    <row r="2430" spans="1:8" ht="21.75" customHeight="1" x14ac:dyDescent="0.35">
      <c r="A2430" t="s">
        <v>2525</v>
      </c>
      <c r="B2430" s="3">
        <v>45459</v>
      </c>
      <c r="C2430" t="s">
        <v>55</v>
      </c>
      <c r="D2430" t="s">
        <v>65</v>
      </c>
      <c r="E2430" t="s">
        <v>11</v>
      </c>
      <c r="F2430" t="s">
        <v>27</v>
      </c>
      <c r="G2430" t="s">
        <v>32</v>
      </c>
      <c r="H2430">
        <v>6</v>
      </c>
    </row>
    <row r="2431" spans="1:8" ht="21.75" customHeight="1" x14ac:dyDescent="0.35">
      <c r="A2431" t="s">
        <v>2526</v>
      </c>
      <c r="B2431" s="3">
        <v>45485</v>
      </c>
      <c r="C2431" t="s">
        <v>314</v>
      </c>
      <c r="D2431" t="s">
        <v>197</v>
      </c>
      <c r="E2431" t="s">
        <v>11</v>
      </c>
      <c r="F2431" t="s">
        <v>12</v>
      </c>
      <c r="G2431" t="s">
        <v>36</v>
      </c>
      <c r="H2431">
        <v>20</v>
      </c>
    </row>
    <row r="2432" spans="1:8" ht="21.75" customHeight="1" x14ac:dyDescent="0.35">
      <c r="A2432" t="s">
        <v>2527</v>
      </c>
      <c r="B2432" s="3">
        <v>45337</v>
      </c>
      <c r="C2432" t="s">
        <v>319</v>
      </c>
      <c r="D2432" t="s">
        <v>65</v>
      </c>
      <c r="E2432" t="s">
        <v>17</v>
      </c>
      <c r="F2432" t="s">
        <v>56</v>
      </c>
      <c r="G2432" t="s">
        <v>13</v>
      </c>
      <c r="H2432">
        <v>13</v>
      </c>
    </row>
    <row r="2433" spans="1:8" ht="21.75" customHeight="1" x14ac:dyDescent="0.35">
      <c r="A2433" t="s">
        <v>2528</v>
      </c>
      <c r="B2433" s="3">
        <v>45599</v>
      </c>
      <c r="C2433" t="s">
        <v>86</v>
      </c>
      <c r="D2433" t="s">
        <v>16</v>
      </c>
      <c r="E2433" t="s">
        <v>11</v>
      </c>
      <c r="F2433" t="s">
        <v>42</v>
      </c>
      <c r="G2433" t="s">
        <v>28</v>
      </c>
      <c r="H2433">
        <v>19</v>
      </c>
    </row>
    <row r="2434" spans="1:8" ht="21.75" customHeight="1" x14ac:dyDescent="0.35">
      <c r="A2434" t="s">
        <v>2529</v>
      </c>
      <c r="B2434" s="3">
        <v>45561</v>
      </c>
      <c r="C2434" t="s">
        <v>348</v>
      </c>
      <c r="D2434" t="s">
        <v>119</v>
      </c>
      <c r="E2434" t="s">
        <v>17</v>
      </c>
      <c r="F2434" t="s">
        <v>27</v>
      </c>
      <c r="G2434" t="s">
        <v>13</v>
      </c>
      <c r="H2434">
        <v>8</v>
      </c>
    </row>
    <row r="2435" spans="1:8" ht="21.75" customHeight="1" x14ac:dyDescent="0.35">
      <c r="A2435" t="s">
        <v>2530</v>
      </c>
      <c r="B2435" s="3">
        <v>45389</v>
      </c>
      <c r="C2435" t="s">
        <v>728</v>
      </c>
      <c r="D2435" t="s">
        <v>26</v>
      </c>
      <c r="E2435" t="s">
        <v>17</v>
      </c>
      <c r="F2435" t="s">
        <v>27</v>
      </c>
      <c r="G2435" t="s">
        <v>23</v>
      </c>
      <c r="H2435">
        <v>5</v>
      </c>
    </row>
    <row r="2436" spans="1:8" ht="21.75" customHeight="1" x14ac:dyDescent="0.35">
      <c r="A2436" t="s">
        <v>2531</v>
      </c>
      <c r="B2436" s="3">
        <v>45397</v>
      </c>
      <c r="C2436" t="s">
        <v>327</v>
      </c>
      <c r="D2436" t="s">
        <v>65</v>
      </c>
      <c r="E2436" t="s">
        <v>17</v>
      </c>
      <c r="F2436" t="s">
        <v>56</v>
      </c>
      <c r="G2436" t="s">
        <v>23</v>
      </c>
      <c r="H2436">
        <v>6</v>
      </c>
    </row>
    <row r="2437" spans="1:8" ht="21.75" customHeight="1" x14ac:dyDescent="0.35">
      <c r="A2437" t="s">
        <v>2532</v>
      </c>
      <c r="B2437" s="3">
        <v>45366</v>
      </c>
      <c r="C2437" t="s">
        <v>64</v>
      </c>
      <c r="D2437" t="s">
        <v>74</v>
      </c>
      <c r="E2437" t="s">
        <v>17</v>
      </c>
      <c r="F2437" t="s">
        <v>56</v>
      </c>
      <c r="G2437" t="s">
        <v>36</v>
      </c>
      <c r="H2437">
        <v>15</v>
      </c>
    </row>
    <row r="2438" spans="1:8" ht="21.75" customHeight="1" x14ac:dyDescent="0.35">
      <c r="A2438" t="s">
        <v>2533</v>
      </c>
      <c r="B2438" s="3">
        <v>45481</v>
      </c>
      <c r="C2438" t="s">
        <v>361</v>
      </c>
      <c r="D2438" t="s">
        <v>41</v>
      </c>
      <c r="E2438" t="s">
        <v>22</v>
      </c>
      <c r="F2438" t="s">
        <v>27</v>
      </c>
      <c r="G2438" t="s">
        <v>13</v>
      </c>
      <c r="H2438">
        <v>1</v>
      </c>
    </row>
    <row r="2439" spans="1:8" ht="21.75" customHeight="1" x14ac:dyDescent="0.35">
      <c r="A2439" t="s">
        <v>2534</v>
      </c>
      <c r="B2439" s="3">
        <v>45457</v>
      </c>
      <c r="C2439" t="s">
        <v>465</v>
      </c>
      <c r="D2439" t="s">
        <v>31</v>
      </c>
      <c r="E2439" t="s">
        <v>22</v>
      </c>
      <c r="F2439" t="s">
        <v>56</v>
      </c>
      <c r="G2439" t="s">
        <v>23</v>
      </c>
      <c r="H2439">
        <v>14</v>
      </c>
    </row>
    <row r="2440" spans="1:8" ht="21.75" customHeight="1" x14ac:dyDescent="0.35">
      <c r="A2440" t="s">
        <v>2535</v>
      </c>
      <c r="B2440" s="3">
        <v>45423</v>
      </c>
      <c r="C2440" t="s">
        <v>208</v>
      </c>
      <c r="D2440" t="s">
        <v>102</v>
      </c>
      <c r="E2440" t="s">
        <v>22</v>
      </c>
      <c r="F2440" t="s">
        <v>12</v>
      </c>
      <c r="G2440" t="s">
        <v>13</v>
      </c>
      <c r="H2440">
        <v>11</v>
      </c>
    </row>
    <row r="2441" spans="1:8" ht="21.75" customHeight="1" x14ac:dyDescent="0.35">
      <c r="A2441" t="s">
        <v>2536</v>
      </c>
      <c r="B2441" s="3">
        <v>45533</v>
      </c>
      <c r="C2441" t="s">
        <v>182</v>
      </c>
      <c r="D2441" t="s">
        <v>109</v>
      </c>
      <c r="E2441" t="s">
        <v>22</v>
      </c>
      <c r="F2441" t="s">
        <v>306</v>
      </c>
      <c r="G2441" t="s">
        <v>13</v>
      </c>
      <c r="H2441">
        <v>1</v>
      </c>
    </row>
    <row r="2442" spans="1:8" ht="21.75" customHeight="1" x14ac:dyDescent="0.35">
      <c r="A2442" t="s">
        <v>2537</v>
      </c>
      <c r="B2442" s="3">
        <v>45609</v>
      </c>
      <c r="C2442" t="s">
        <v>159</v>
      </c>
      <c r="D2442" t="s">
        <v>74</v>
      </c>
      <c r="E2442" t="s">
        <v>17</v>
      </c>
      <c r="F2442" t="s">
        <v>42</v>
      </c>
      <c r="G2442" t="s">
        <v>28</v>
      </c>
      <c r="H2442">
        <v>18</v>
      </c>
    </row>
    <row r="2443" spans="1:8" ht="21.75" customHeight="1" x14ac:dyDescent="0.35">
      <c r="A2443" t="s">
        <v>2538</v>
      </c>
      <c r="B2443" s="3">
        <v>45383</v>
      </c>
      <c r="C2443" t="s">
        <v>86</v>
      </c>
      <c r="D2443" t="s">
        <v>45</v>
      </c>
      <c r="E2443" t="s">
        <v>22</v>
      </c>
      <c r="F2443" t="s">
        <v>27</v>
      </c>
      <c r="G2443" t="s">
        <v>32</v>
      </c>
      <c r="H2443">
        <v>15</v>
      </c>
    </row>
    <row r="2444" spans="1:8" ht="21.75" customHeight="1" x14ac:dyDescent="0.35">
      <c r="A2444" t="s">
        <v>2539</v>
      </c>
      <c r="B2444" s="3">
        <v>45454</v>
      </c>
      <c r="C2444" t="s">
        <v>369</v>
      </c>
      <c r="D2444" t="s">
        <v>160</v>
      </c>
      <c r="E2444" t="s">
        <v>17</v>
      </c>
      <c r="F2444" t="s">
        <v>56</v>
      </c>
      <c r="G2444" t="s">
        <v>32</v>
      </c>
      <c r="H2444">
        <v>4</v>
      </c>
    </row>
    <row r="2445" spans="1:8" ht="21.75" customHeight="1" x14ac:dyDescent="0.35">
      <c r="A2445" t="s">
        <v>2540</v>
      </c>
      <c r="B2445" s="3">
        <v>45357</v>
      </c>
      <c r="C2445" t="s">
        <v>432</v>
      </c>
      <c r="D2445" t="s">
        <v>26</v>
      </c>
      <c r="E2445" t="s">
        <v>22</v>
      </c>
      <c r="F2445" t="s">
        <v>42</v>
      </c>
      <c r="G2445" t="s">
        <v>23</v>
      </c>
      <c r="H2445">
        <v>10</v>
      </c>
    </row>
    <row r="2446" spans="1:8" ht="21.75" customHeight="1" x14ac:dyDescent="0.35">
      <c r="A2446" t="s">
        <v>2541</v>
      </c>
      <c r="B2446" s="3">
        <v>45426</v>
      </c>
      <c r="C2446" t="s">
        <v>594</v>
      </c>
      <c r="D2446" t="s">
        <v>119</v>
      </c>
      <c r="E2446" t="s">
        <v>17</v>
      </c>
      <c r="F2446" t="s">
        <v>306</v>
      </c>
      <c r="G2446" t="s">
        <v>32</v>
      </c>
      <c r="H2446">
        <v>14</v>
      </c>
    </row>
    <row r="2447" spans="1:8" ht="21.75" customHeight="1" x14ac:dyDescent="0.35">
      <c r="A2447" t="s">
        <v>2542</v>
      </c>
      <c r="B2447" s="3">
        <v>45453</v>
      </c>
      <c r="C2447" t="s">
        <v>304</v>
      </c>
      <c r="D2447" t="s">
        <v>35</v>
      </c>
      <c r="E2447" t="s">
        <v>11</v>
      </c>
      <c r="F2447" t="s">
        <v>306</v>
      </c>
      <c r="G2447" t="s">
        <v>23</v>
      </c>
      <c r="H2447">
        <v>2</v>
      </c>
    </row>
    <row r="2448" spans="1:8" ht="21.75" customHeight="1" x14ac:dyDescent="0.35">
      <c r="A2448" t="s">
        <v>2543</v>
      </c>
      <c r="B2448" s="3">
        <v>45319</v>
      </c>
      <c r="C2448" t="s">
        <v>51</v>
      </c>
      <c r="D2448" t="s">
        <v>45</v>
      </c>
      <c r="E2448" t="s">
        <v>11</v>
      </c>
      <c r="F2448" t="s">
        <v>27</v>
      </c>
      <c r="G2448" t="s">
        <v>32</v>
      </c>
      <c r="H2448">
        <v>6</v>
      </c>
    </row>
    <row r="2449" spans="1:8" ht="21.75" customHeight="1" x14ac:dyDescent="0.35">
      <c r="A2449" t="s">
        <v>2544</v>
      </c>
      <c r="B2449" s="3">
        <v>45515</v>
      </c>
      <c r="C2449" t="s">
        <v>40</v>
      </c>
      <c r="D2449" t="s">
        <v>35</v>
      </c>
      <c r="E2449" t="s">
        <v>11</v>
      </c>
      <c r="F2449" t="s">
        <v>27</v>
      </c>
      <c r="G2449" t="s">
        <v>32</v>
      </c>
      <c r="H2449">
        <v>18</v>
      </c>
    </row>
    <row r="2450" spans="1:8" ht="21.75" customHeight="1" x14ac:dyDescent="0.35">
      <c r="A2450" t="s">
        <v>2545</v>
      </c>
      <c r="B2450" s="3">
        <v>45544</v>
      </c>
      <c r="C2450" t="s">
        <v>40</v>
      </c>
      <c r="D2450" t="s">
        <v>84</v>
      </c>
      <c r="E2450" t="s">
        <v>11</v>
      </c>
      <c r="F2450" t="s">
        <v>12</v>
      </c>
      <c r="G2450" t="s">
        <v>32</v>
      </c>
      <c r="H2450">
        <v>3</v>
      </c>
    </row>
    <row r="2451" spans="1:8" ht="21.75" customHeight="1" x14ac:dyDescent="0.35">
      <c r="A2451" t="s">
        <v>2546</v>
      </c>
      <c r="B2451" s="3">
        <v>45437</v>
      </c>
      <c r="C2451" t="s">
        <v>44</v>
      </c>
      <c r="D2451" t="s">
        <v>45</v>
      </c>
      <c r="E2451" t="s">
        <v>22</v>
      </c>
      <c r="F2451" t="s">
        <v>306</v>
      </c>
      <c r="G2451" t="s">
        <v>32</v>
      </c>
      <c r="H2451">
        <v>19</v>
      </c>
    </row>
    <row r="2452" spans="1:8" ht="21.75" customHeight="1" x14ac:dyDescent="0.35">
      <c r="A2452" t="s">
        <v>2547</v>
      </c>
      <c r="B2452" s="3">
        <v>45591</v>
      </c>
      <c r="C2452" t="s">
        <v>133</v>
      </c>
      <c r="D2452" t="s">
        <v>59</v>
      </c>
      <c r="E2452" t="s">
        <v>11</v>
      </c>
      <c r="F2452" t="s">
        <v>306</v>
      </c>
      <c r="G2452" t="s">
        <v>36</v>
      </c>
      <c r="H2452">
        <v>6</v>
      </c>
    </row>
    <row r="2453" spans="1:8" ht="21.75" customHeight="1" x14ac:dyDescent="0.35">
      <c r="A2453" t="s">
        <v>2548</v>
      </c>
      <c r="B2453" s="3">
        <v>45331</v>
      </c>
      <c r="C2453" t="s">
        <v>78</v>
      </c>
      <c r="D2453" t="s">
        <v>119</v>
      </c>
      <c r="E2453" t="s">
        <v>17</v>
      </c>
      <c r="F2453" t="s">
        <v>12</v>
      </c>
      <c r="G2453" t="s">
        <v>32</v>
      </c>
      <c r="H2453">
        <v>1</v>
      </c>
    </row>
    <row r="2454" spans="1:8" ht="21.75" customHeight="1" x14ac:dyDescent="0.35">
      <c r="A2454" t="s">
        <v>2549</v>
      </c>
      <c r="B2454" s="3">
        <v>45640</v>
      </c>
      <c r="C2454" t="s">
        <v>114</v>
      </c>
      <c r="D2454" t="s">
        <v>31</v>
      </c>
      <c r="E2454" t="s">
        <v>17</v>
      </c>
      <c r="F2454" t="s">
        <v>306</v>
      </c>
      <c r="G2454" t="s">
        <v>13</v>
      </c>
      <c r="H2454">
        <v>11</v>
      </c>
    </row>
    <row r="2455" spans="1:8" ht="21.75" customHeight="1" x14ac:dyDescent="0.35">
      <c r="A2455" t="s">
        <v>2550</v>
      </c>
      <c r="B2455" s="3">
        <v>45333</v>
      </c>
      <c r="C2455" t="s">
        <v>366</v>
      </c>
      <c r="D2455" t="s">
        <v>62</v>
      </c>
      <c r="E2455" t="s">
        <v>22</v>
      </c>
      <c r="F2455" t="s">
        <v>27</v>
      </c>
      <c r="G2455" t="s">
        <v>23</v>
      </c>
      <c r="H2455">
        <v>9</v>
      </c>
    </row>
    <row r="2456" spans="1:8" ht="21.75" customHeight="1" x14ac:dyDescent="0.35">
      <c r="A2456" t="s">
        <v>2551</v>
      </c>
      <c r="B2456" s="3">
        <v>45294</v>
      </c>
      <c r="C2456" t="s">
        <v>118</v>
      </c>
      <c r="D2456" t="s">
        <v>79</v>
      </c>
      <c r="E2456" t="s">
        <v>22</v>
      </c>
      <c r="F2456" t="s">
        <v>306</v>
      </c>
      <c r="G2456" t="s">
        <v>23</v>
      </c>
      <c r="H2456">
        <v>11</v>
      </c>
    </row>
    <row r="2457" spans="1:8" ht="21.75" customHeight="1" x14ac:dyDescent="0.35">
      <c r="A2457" t="s">
        <v>2552</v>
      </c>
      <c r="B2457" s="3">
        <v>45583</v>
      </c>
      <c r="C2457" t="s">
        <v>34</v>
      </c>
      <c r="D2457" t="s">
        <v>65</v>
      </c>
      <c r="E2457" t="s">
        <v>11</v>
      </c>
      <c r="F2457" t="s">
        <v>42</v>
      </c>
      <c r="G2457" t="s">
        <v>32</v>
      </c>
      <c r="H2457">
        <v>2</v>
      </c>
    </row>
    <row r="2458" spans="1:8" ht="21.75" customHeight="1" x14ac:dyDescent="0.35">
      <c r="A2458" t="s">
        <v>2553</v>
      </c>
      <c r="B2458" s="3">
        <v>45572</v>
      </c>
      <c r="C2458" t="s">
        <v>493</v>
      </c>
      <c r="D2458" t="s">
        <v>31</v>
      </c>
      <c r="E2458" t="s">
        <v>11</v>
      </c>
      <c r="F2458" t="s">
        <v>27</v>
      </c>
      <c r="G2458" t="s">
        <v>32</v>
      </c>
      <c r="H2458">
        <v>6</v>
      </c>
    </row>
    <row r="2459" spans="1:8" ht="21.75" customHeight="1" x14ac:dyDescent="0.35">
      <c r="A2459" t="s">
        <v>2554</v>
      </c>
      <c r="B2459" s="3">
        <v>45496</v>
      </c>
      <c r="C2459" t="s">
        <v>203</v>
      </c>
      <c r="D2459" t="s">
        <v>96</v>
      </c>
      <c r="E2459" t="s">
        <v>11</v>
      </c>
      <c r="F2459" t="s">
        <v>56</v>
      </c>
      <c r="G2459" t="s">
        <v>23</v>
      </c>
      <c r="H2459">
        <v>13</v>
      </c>
    </row>
    <row r="2460" spans="1:8" ht="21.75" customHeight="1" x14ac:dyDescent="0.35">
      <c r="A2460" t="s">
        <v>2555</v>
      </c>
      <c r="B2460" s="3">
        <v>45626</v>
      </c>
      <c r="C2460" t="s">
        <v>125</v>
      </c>
      <c r="D2460" t="s">
        <v>102</v>
      </c>
      <c r="E2460" t="s">
        <v>17</v>
      </c>
      <c r="F2460" t="s">
        <v>27</v>
      </c>
      <c r="G2460" t="s">
        <v>23</v>
      </c>
      <c r="H2460">
        <v>10</v>
      </c>
    </row>
    <row r="2461" spans="1:8" ht="21.75" customHeight="1" x14ac:dyDescent="0.35">
      <c r="A2461" t="s">
        <v>2556</v>
      </c>
      <c r="B2461" s="3">
        <v>45600</v>
      </c>
      <c r="C2461" t="s">
        <v>34</v>
      </c>
      <c r="D2461" t="s">
        <v>48</v>
      </c>
      <c r="E2461" t="s">
        <v>22</v>
      </c>
      <c r="F2461" t="s">
        <v>12</v>
      </c>
      <c r="G2461" t="s">
        <v>32</v>
      </c>
      <c r="H2461">
        <v>17</v>
      </c>
    </row>
    <row r="2462" spans="1:8" ht="21.75" customHeight="1" x14ac:dyDescent="0.35">
      <c r="A2462" t="s">
        <v>2557</v>
      </c>
      <c r="B2462" s="3">
        <v>45520</v>
      </c>
      <c r="C2462" t="s">
        <v>53</v>
      </c>
      <c r="D2462" t="s">
        <v>35</v>
      </c>
      <c r="E2462" t="s">
        <v>17</v>
      </c>
      <c r="F2462" t="s">
        <v>306</v>
      </c>
      <c r="G2462" t="s">
        <v>36</v>
      </c>
      <c r="H2462">
        <v>14</v>
      </c>
    </row>
    <row r="2463" spans="1:8" ht="21.75" customHeight="1" x14ac:dyDescent="0.35">
      <c r="A2463" t="s">
        <v>2558</v>
      </c>
      <c r="B2463" s="3">
        <v>45508</v>
      </c>
      <c r="C2463" t="s">
        <v>200</v>
      </c>
      <c r="D2463" t="s">
        <v>109</v>
      </c>
      <c r="E2463" t="s">
        <v>11</v>
      </c>
      <c r="F2463" t="s">
        <v>27</v>
      </c>
      <c r="G2463" t="s">
        <v>23</v>
      </c>
      <c r="H2463">
        <v>3</v>
      </c>
    </row>
    <row r="2464" spans="1:8" ht="21.75" customHeight="1" x14ac:dyDescent="0.35">
      <c r="A2464" t="s">
        <v>2559</v>
      </c>
      <c r="B2464" s="3">
        <v>45466</v>
      </c>
      <c r="C2464" t="s">
        <v>319</v>
      </c>
      <c r="D2464" t="s">
        <v>41</v>
      </c>
      <c r="E2464" t="s">
        <v>11</v>
      </c>
      <c r="F2464" t="s">
        <v>56</v>
      </c>
      <c r="G2464" t="s">
        <v>23</v>
      </c>
      <c r="H2464">
        <v>17</v>
      </c>
    </row>
    <row r="2465" spans="1:8" ht="21.75" customHeight="1" x14ac:dyDescent="0.35">
      <c r="A2465" t="s">
        <v>2560</v>
      </c>
      <c r="B2465" s="3">
        <v>45560</v>
      </c>
      <c r="C2465" t="s">
        <v>81</v>
      </c>
      <c r="D2465" t="s">
        <v>74</v>
      </c>
      <c r="E2465" t="s">
        <v>17</v>
      </c>
      <c r="F2465" t="s">
        <v>27</v>
      </c>
      <c r="G2465" t="s">
        <v>13</v>
      </c>
      <c r="H2465">
        <v>16</v>
      </c>
    </row>
    <row r="2466" spans="1:8" ht="21.75" customHeight="1" x14ac:dyDescent="0.35">
      <c r="A2466" t="s">
        <v>2561</v>
      </c>
      <c r="B2466" s="3">
        <v>45357</v>
      </c>
      <c r="C2466" t="s">
        <v>455</v>
      </c>
      <c r="D2466" t="s">
        <v>74</v>
      </c>
      <c r="E2466" t="s">
        <v>11</v>
      </c>
      <c r="F2466" t="s">
        <v>306</v>
      </c>
      <c r="G2466" t="s">
        <v>23</v>
      </c>
      <c r="H2466">
        <v>10</v>
      </c>
    </row>
    <row r="2467" spans="1:8" ht="21.75" customHeight="1" x14ac:dyDescent="0.35">
      <c r="A2467" t="s">
        <v>2562</v>
      </c>
      <c r="B2467" s="3">
        <v>45574</v>
      </c>
      <c r="C2467" t="s">
        <v>208</v>
      </c>
      <c r="D2467" t="s">
        <v>79</v>
      </c>
      <c r="E2467" t="s">
        <v>22</v>
      </c>
      <c r="F2467" t="s">
        <v>12</v>
      </c>
      <c r="G2467" t="s">
        <v>36</v>
      </c>
      <c r="H2467">
        <v>14</v>
      </c>
    </row>
    <row r="2468" spans="1:8" ht="21.75" customHeight="1" x14ac:dyDescent="0.35">
      <c r="A2468" t="s">
        <v>2563</v>
      </c>
      <c r="B2468" s="3">
        <v>45529</v>
      </c>
      <c r="C2468" t="s">
        <v>371</v>
      </c>
      <c r="D2468" t="s">
        <v>84</v>
      </c>
      <c r="E2468" t="s">
        <v>22</v>
      </c>
      <c r="F2468" t="s">
        <v>42</v>
      </c>
      <c r="G2468" t="s">
        <v>32</v>
      </c>
      <c r="H2468">
        <v>9</v>
      </c>
    </row>
    <row r="2469" spans="1:8" ht="21.75" customHeight="1" x14ac:dyDescent="0.35">
      <c r="A2469" t="s">
        <v>2564</v>
      </c>
      <c r="B2469" s="3">
        <v>45549</v>
      </c>
      <c r="C2469" t="s">
        <v>138</v>
      </c>
      <c r="D2469" t="s">
        <v>102</v>
      </c>
      <c r="E2469" t="s">
        <v>22</v>
      </c>
      <c r="F2469" t="s">
        <v>27</v>
      </c>
      <c r="G2469" t="s">
        <v>28</v>
      </c>
      <c r="H2469">
        <v>6</v>
      </c>
    </row>
    <row r="2470" spans="1:8" ht="21.75" customHeight="1" x14ac:dyDescent="0.35">
      <c r="A2470" t="s">
        <v>2565</v>
      </c>
      <c r="B2470" s="3">
        <v>45315</v>
      </c>
      <c r="C2470" t="s">
        <v>81</v>
      </c>
      <c r="D2470" t="s">
        <v>87</v>
      </c>
      <c r="E2470" t="s">
        <v>22</v>
      </c>
      <c r="F2470" t="s">
        <v>42</v>
      </c>
      <c r="G2470" t="s">
        <v>32</v>
      </c>
      <c r="H2470">
        <v>19</v>
      </c>
    </row>
    <row r="2471" spans="1:8" ht="21.75" customHeight="1" x14ac:dyDescent="0.35">
      <c r="A2471" t="s">
        <v>2566</v>
      </c>
      <c r="B2471" s="3">
        <v>45635</v>
      </c>
      <c r="C2471" t="s">
        <v>430</v>
      </c>
      <c r="D2471" t="s">
        <v>109</v>
      </c>
      <c r="E2471" t="s">
        <v>17</v>
      </c>
      <c r="F2471" t="s">
        <v>42</v>
      </c>
      <c r="G2471" t="s">
        <v>28</v>
      </c>
      <c r="H2471">
        <v>7</v>
      </c>
    </row>
    <row r="2472" spans="1:8" ht="21.75" customHeight="1" x14ac:dyDescent="0.35">
      <c r="A2472" t="s">
        <v>2567</v>
      </c>
      <c r="B2472" s="3">
        <v>45601</v>
      </c>
      <c r="C2472" t="s">
        <v>86</v>
      </c>
      <c r="D2472" t="s">
        <v>41</v>
      </c>
      <c r="E2472" t="s">
        <v>11</v>
      </c>
      <c r="F2472" t="s">
        <v>27</v>
      </c>
      <c r="G2472" t="s">
        <v>36</v>
      </c>
      <c r="H2472">
        <v>1</v>
      </c>
    </row>
    <row r="2473" spans="1:8" ht="21.75" customHeight="1" x14ac:dyDescent="0.35">
      <c r="A2473" t="s">
        <v>2568</v>
      </c>
      <c r="B2473" s="3">
        <v>45351</v>
      </c>
      <c r="C2473" t="s">
        <v>142</v>
      </c>
      <c r="D2473" t="s">
        <v>45</v>
      </c>
      <c r="E2473" t="s">
        <v>22</v>
      </c>
      <c r="F2473" t="s">
        <v>27</v>
      </c>
      <c r="G2473" t="s">
        <v>23</v>
      </c>
      <c r="H2473">
        <v>13</v>
      </c>
    </row>
    <row r="2474" spans="1:8" ht="21.75" customHeight="1" x14ac:dyDescent="0.35">
      <c r="A2474" t="s">
        <v>2569</v>
      </c>
      <c r="B2474" s="3">
        <v>45600</v>
      </c>
      <c r="C2474" t="s">
        <v>329</v>
      </c>
      <c r="D2474" t="s">
        <v>35</v>
      </c>
      <c r="E2474" t="s">
        <v>17</v>
      </c>
      <c r="F2474" t="s">
        <v>306</v>
      </c>
      <c r="G2474" t="s">
        <v>36</v>
      </c>
      <c r="H2474">
        <v>12</v>
      </c>
    </row>
    <row r="2475" spans="1:8" ht="21.75" customHeight="1" x14ac:dyDescent="0.35">
      <c r="A2475" t="s">
        <v>2570</v>
      </c>
      <c r="B2475" s="3">
        <v>45645</v>
      </c>
      <c r="C2475" t="s">
        <v>422</v>
      </c>
      <c r="D2475" t="s">
        <v>31</v>
      </c>
      <c r="E2475" t="s">
        <v>17</v>
      </c>
      <c r="F2475" t="s">
        <v>12</v>
      </c>
      <c r="G2475" t="s">
        <v>28</v>
      </c>
      <c r="H2475">
        <v>5</v>
      </c>
    </row>
    <row r="2476" spans="1:8" ht="21.75" customHeight="1" x14ac:dyDescent="0.35">
      <c r="A2476" t="s">
        <v>2571</v>
      </c>
      <c r="B2476" s="3">
        <v>45349</v>
      </c>
      <c r="C2476" t="s">
        <v>138</v>
      </c>
      <c r="D2476" t="s">
        <v>62</v>
      </c>
      <c r="E2476" t="s">
        <v>11</v>
      </c>
      <c r="F2476" t="s">
        <v>12</v>
      </c>
      <c r="G2476" t="s">
        <v>28</v>
      </c>
      <c r="H2476">
        <v>16</v>
      </c>
    </row>
    <row r="2477" spans="1:8" ht="21.75" customHeight="1" x14ac:dyDescent="0.35">
      <c r="A2477" t="s">
        <v>2572</v>
      </c>
      <c r="B2477" s="3">
        <v>45624</v>
      </c>
      <c r="C2477" t="s">
        <v>93</v>
      </c>
      <c r="D2477" t="s">
        <v>87</v>
      </c>
      <c r="E2477" t="s">
        <v>22</v>
      </c>
      <c r="F2477" t="s">
        <v>306</v>
      </c>
      <c r="G2477" t="s">
        <v>28</v>
      </c>
      <c r="H2477">
        <v>3</v>
      </c>
    </row>
    <row r="2478" spans="1:8" ht="21.75" customHeight="1" x14ac:dyDescent="0.35">
      <c r="A2478" t="s">
        <v>2573</v>
      </c>
      <c r="B2478" s="3">
        <v>45529</v>
      </c>
      <c r="C2478" t="s">
        <v>167</v>
      </c>
      <c r="D2478" t="s">
        <v>35</v>
      </c>
      <c r="E2478" t="s">
        <v>17</v>
      </c>
      <c r="F2478" t="s">
        <v>12</v>
      </c>
      <c r="G2478" t="s">
        <v>13</v>
      </c>
      <c r="H2478">
        <v>6</v>
      </c>
    </row>
    <row r="2479" spans="1:8" ht="21.75" customHeight="1" x14ac:dyDescent="0.35">
      <c r="A2479" t="s">
        <v>2574</v>
      </c>
      <c r="B2479" s="3">
        <v>45651</v>
      </c>
      <c r="C2479" t="s">
        <v>396</v>
      </c>
      <c r="D2479" t="s">
        <v>35</v>
      </c>
      <c r="E2479" t="s">
        <v>17</v>
      </c>
      <c r="F2479" t="s">
        <v>12</v>
      </c>
      <c r="G2479" t="s">
        <v>23</v>
      </c>
      <c r="H2479">
        <v>19</v>
      </c>
    </row>
    <row r="2480" spans="1:8" ht="21.75" customHeight="1" x14ac:dyDescent="0.35">
      <c r="A2480" t="s">
        <v>2575</v>
      </c>
      <c r="B2480" s="3">
        <v>45442</v>
      </c>
      <c r="C2480" t="s">
        <v>614</v>
      </c>
      <c r="D2480" t="s">
        <v>31</v>
      </c>
      <c r="E2480" t="s">
        <v>11</v>
      </c>
      <c r="F2480" t="s">
        <v>42</v>
      </c>
      <c r="G2480" t="s">
        <v>13</v>
      </c>
      <c r="H2480">
        <v>4</v>
      </c>
    </row>
    <row r="2481" spans="1:8" ht="21.75" customHeight="1" x14ac:dyDescent="0.35">
      <c r="A2481" t="s">
        <v>2576</v>
      </c>
      <c r="B2481" s="3">
        <v>45513</v>
      </c>
      <c r="C2481" t="s">
        <v>572</v>
      </c>
      <c r="D2481" t="s">
        <v>35</v>
      </c>
      <c r="E2481" t="s">
        <v>22</v>
      </c>
      <c r="F2481" t="s">
        <v>306</v>
      </c>
      <c r="G2481" t="s">
        <v>36</v>
      </c>
      <c r="H2481">
        <v>18</v>
      </c>
    </row>
    <row r="2482" spans="1:8" ht="21.75" customHeight="1" x14ac:dyDescent="0.35">
      <c r="A2482" t="s">
        <v>2577</v>
      </c>
      <c r="B2482" s="3">
        <v>45310</v>
      </c>
      <c r="C2482" t="s">
        <v>374</v>
      </c>
      <c r="D2482" t="s">
        <v>31</v>
      </c>
      <c r="E2482" t="s">
        <v>17</v>
      </c>
      <c r="F2482" t="s">
        <v>306</v>
      </c>
      <c r="G2482" t="s">
        <v>36</v>
      </c>
      <c r="H2482">
        <v>20</v>
      </c>
    </row>
    <row r="2483" spans="1:8" ht="21.75" customHeight="1" x14ac:dyDescent="0.35">
      <c r="A2483" t="s">
        <v>2578</v>
      </c>
      <c r="B2483" s="3">
        <v>45541</v>
      </c>
      <c r="C2483" t="s">
        <v>51</v>
      </c>
      <c r="D2483" t="s">
        <v>62</v>
      </c>
      <c r="E2483" t="s">
        <v>11</v>
      </c>
      <c r="F2483" t="s">
        <v>306</v>
      </c>
      <c r="G2483" t="s">
        <v>13</v>
      </c>
      <c r="H2483">
        <v>14</v>
      </c>
    </row>
    <row r="2484" spans="1:8" ht="21.75" customHeight="1" x14ac:dyDescent="0.35">
      <c r="A2484" t="s">
        <v>2579</v>
      </c>
      <c r="B2484" s="3">
        <v>45575</v>
      </c>
      <c r="C2484" t="s">
        <v>58</v>
      </c>
      <c r="D2484" t="s">
        <v>26</v>
      </c>
      <c r="E2484" t="s">
        <v>22</v>
      </c>
      <c r="F2484" t="s">
        <v>27</v>
      </c>
      <c r="G2484" t="s">
        <v>23</v>
      </c>
      <c r="H2484">
        <v>4</v>
      </c>
    </row>
    <row r="2485" spans="1:8" ht="21.75" customHeight="1" x14ac:dyDescent="0.35">
      <c r="A2485" t="s">
        <v>2580</v>
      </c>
      <c r="B2485" s="3">
        <v>45622</v>
      </c>
      <c r="C2485" t="s">
        <v>20</v>
      </c>
      <c r="D2485" t="s">
        <v>70</v>
      </c>
      <c r="E2485" t="s">
        <v>22</v>
      </c>
      <c r="F2485" t="s">
        <v>27</v>
      </c>
      <c r="G2485" t="s">
        <v>13</v>
      </c>
      <c r="H2485">
        <v>6</v>
      </c>
    </row>
    <row r="2486" spans="1:8" ht="21.75" customHeight="1" x14ac:dyDescent="0.35">
      <c r="A2486" t="s">
        <v>2581</v>
      </c>
      <c r="B2486" s="3">
        <v>45390</v>
      </c>
      <c r="C2486" t="s">
        <v>553</v>
      </c>
      <c r="D2486" t="s">
        <v>48</v>
      </c>
      <c r="E2486" t="s">
        <v>17</v>
      </c>
      <c r="F2486" t="s">
        <v>56</v>
      </c>
      <c r="G2486" t="s">
        <v>36</v>
      </c>
      <c r="H2486">
        <v>8</v>
      </c>
    </row>
    <row r="2487" spans="1:8" ht="21.75" customHeight="1" x14ac:dyDescent="0.35">
      <c r="A2487" t="s">
        <v>2582</v>
      </c>
      <c r="B2487" s="3">
        <v>45642</v>
      </c>
      <c r="C2487" t="s">
        <v>47</v>
      </c>
      <c r="D2487" t="s">
        <v>109</v>
      </c>
      <c r="E2487" t="s">
        <v>22</v>
      </c>
      <c r="F2487" t="s">
        <v>27</v>
      </c>
      <c r="G2487" t="s">
        <v>28</v>
      </c>
      <c r="H2487">
        <v>10</v>
      </c>
    </row>
    <row r="2488" spans="1:8" ht="21.75" customHeight="1" x14ac:dyDescent="0.35">
      <c r="A2488" t="s">
        <v>2583</v>
      </c>
      <c r="B2488" s="3">
        <v>45491</v>
      </c>
      <c r="C2488" t="s">
        <v>572</v>
      </c>
      <c r="D2488" t="s">
        <v>41</v>
      </c>
      <c r="E2488" t="s">
        <v>22</v>
      </c>
      <c r="F2488" t="s">
        <v>42</v>
      </c>
      <c r="G2488" t="s">
        <v>23</v>
      </c>
      <c r="H2488">
        <v>6</v>
      </c>
    </row>
    <row r="2489" spans="1:8" ht="21.75" customHeight="1" x14ac:dyDescent="0.35">
      <c r="A2489" t="s">
        <v>2584</v>
      </c>
      <c r="B2489" s="3">
        <v>45436</v>
      </c>
      <c r="C2489" t="s">
        <v>465</v>
      </c>
      <c r="D2489" t="s">
        <v>84</v>
      </c>
      <c r="E2489" t="s">
        <v>11</v>
      </c>
      <c r="F2489" t="s">
        <v>27</v>
      </c>
      <c r="G2489" t="s">
        <v>28</v>
      </c>
      <c r="H2489">
        <v>6</v>
      </c>
    </row>
    <row r="2490" spans="1:8" ht="21.75" customHeight="1" x14ac:dyDescent="0.35">
      <c r="A2490" t="s">
        <v>2585</v>
      </c>
      <c r="B2490" s="3">
        <v>45602</v>
      </c>
      <c r="C2490" t="s">
        <v>374</v>
      </c>
      <c r="D2490" t="s">
        <v>102</v>
      </c>
      <c r="E2490" t="s">
        <v>17</v>
      </c>
      <c r="F2490" t="s">
        <v>27</v>
      </c>
      <c r="G2490" t="s">
        <v>32</v>
      </c>
      <c r="H2490">
        <v>8</v>
      </c>
    </row>
    <row r="2491" spans="1:8" ht="21.75" customHeight="1" x14ac:dyDescent="0.35">
      <c r="A2491" t="s">
        <v>2586</v>
      </c>
      <c r="B2491" s="3">
        <v>45316</v>
      </c>
      <c r="C2491" t="s">
        <v>138</v>
      </c>
      <c r="D2491" t="s">
        <v>48</v>
      </c>
      <c r="E2491" t="s">
        <v>17</v>
      </c>
      <c r="F2491" t="s">
        <v>42</v>
      </c>
      <c r="G2491" t="s">
        <v>28</v>
      </c>
      <c r="H2491">
        <v>6</v>
      </c>
    </row>
    <row r="2492" spans="1:8" ht="21.75" customHeight="1" x14ac:dyDescent="0.35">
      <c r="A2492" t="s">
        <v>2587</v>
      </c>
      <c r="B2492" s="3">
        <v>45549</v>
      </c>
      <c r="C2492" t="s">
        <v>122</v>
      </c>
      <c r="D2492" t="s">
        <v>10</v>
      </c>
      <c r="E2492" t="s">
        <v>17</v>
      </c>
      <c r="F2492" t="s">
        <v>27</v>
      </c>
      <c r="G2492" t="s">
        <v>13</v>
      </c>
      <c r="H2492">
        <v>20</v>
      </c>
    </row>
    <row r="2493" spans="1:8" ht="21.75" customHeight="1" x14ac:dyDescent="0.35">
      <c r="A2493" t="s">
        <v>2588</v>
      </c>
      <c r="B2493" s="3">
        <v>45579</v>
      </c>
      <c r="C2493" t="s">
        <v>240</v>
      </c>
      <c r="D2493" t="s">
        <v>35</v>
      </c>
      <c r="E2493" t="s">
        <v>17</v>
      </c>
      <c r="F2493" t="s">
        <v>42</v>
      </c>
      <c r="G2493" t="s">
        <v>32</v>
      </c>
      <c r="H2493">
        <v>2</v>
      </c>
    </row>
    <row r="2494" spans="1:8" ht="21.75" customHeight="1" x14ac:dyDescent="0.35">
      <c r="A2494" t="s">
        <v>2589</v>
      </c>
      <c r="B2494" s="3">
        <v>45577</v>
      </c>
      <c r="C2494" t="s">
        <v>101</v>
      </c>
      <c r="D2494" t="s">
        <v>16</v>
      </c>
      <c r="E2494" t="s">
        <v>22</v>
      </c>
      <c r="F2494" t="s">
        <v>306</v>
      </c>
      <c r="G2494" t="s">
        <v>36</v>
      </c>
      <c r="H2494">
        <v>4</v>
      </c>
    </row>
    <row r="2495" spans="1:8" ht="21.75" customHeight="1" x14ac:dyDescent="0.35">
      <c r="A2495" t="s">
        <v>2590</v>
      </c>
      <c r="B2495" s="3">
        <v>45516</v>
      </c>
      <c r="C2495" t="s">
        <v>366</v>
      </c>
      <c r="D2495" t="s">
        <v>119</v>
      </c>
      <c r="E2495" t="s">
        <v>11</v>
      </c>
      <c r="F2495" t="s">
        <v>12</v>
      </c>
      <c r="G2495" t="s">
        <v>36</v>
      </c>
      <c r="H2495">
        <v>20</v>
      </c>
    </row>
    <row r="2496" spans="1:8" ht="21.75" customHeight="1" x14ac:dyDescent="0.35">
      <c r="A2496" t="s">
        <v>2591</v>
      </c>
      <c r="B2496" s="3">
        <v>45344</v>
      </c>
      <c r="C2496" t="s">
        <v>642</v>
      </c>
      <c r="D2496" t="s">
        <v>79</v>
      </c>
      <c r="E2496" t="s">
        <v>22</v>
      </c>
      <c r="F2496" t="s">
        <v>12</v>
      </c>
      <c r="G2496" t="s">
        <v>28</v>
      </c>
      <c r="H2496">
        <v>4</v>
      </c>
    </row>
    <row r="2497" spans="1:8" ht="21.75" customHeight="1" x14ac:dyDescent="0.35">
      <c r="A2497" t="s">
        <v>2592</v>
      </c>
      <c r="B2497" s="3">
        <v>45477</v>
      </c>
      <c r="C2497" t="s">
        <v>111</v>
      </c>
      <c r="D2497" t="s">
        <v>84</v>
      </c>
      <c r="E2497" t="s">
        <v>17</v>
      </c>
      <c r="F2497" t="s">
        <v>27</v>
      </c>
      <c r="G2497" t="s">
        <v>36</v>
      </c>
      <c r="H2497">
        <v>16</v>
      </c>
    </row>
    <row r="2498" spans="1:8" ht="21.75" customHeight="1" x14ac:dyDescent="0.35">
      <c r="A2498" t="s">
        <v>2593</v>
      </c>
      <c r="B2498" s="3">
        <v>45342</v>
      </c>
      <c r="C2498" t="s">
        <v>125</v>
      </c>
      <c r="D2498" t="s">
        <v>21</v>
      </c>
      <c r="E2498" t="s">
        <v>17</v>
      </c>
      <c r="F2498" t="s">
        <v>42</v>
      </c>
      <c r="G2498" t="s">
        <v>28</v>
      </c>
      <c r="H2498">
        <v>4</v>
      </c>
    </row>
    <row r="2499" spans="1:8" ht="21.75" customHeight="1" x14ac:dyDescent="0.35">
      <c r="A2499" t="s">
        <v>2594</v>
      </c>
      <c r="B2499" s="3">
        <v>45516</v>
      </c>
      <c r="C2499" t="s">
        <v>572</v>
      </c>
      <c r="D2499" t="s">
        <v>119</v>
      </c>
      <c r="E2499" t="s">
        <v>11</v>
      </c>
      <c r="F2499" t="s">
        <v>56</v>
      </c>
      <c r="G2499" t="s">
        <v>23</v>
      </c>
      <c r="H2499">
        <v>11</v>
      </c>
    </row>
    <row r="2500" spans="1:8" ht="21.75" customHeight="1" x14ac:dyDescent="0.35">
      <c r="A2500" t="s">
        <v>2595</v>
      </c>
      <c r="B2500" s="3">
        <v>45379</v>
      </c>
      <c r="C2500" t="s">
        <v>81</v>
      </c>
      <c r="D2500" t="s">
        <v>26</v>
      </c>
      <c r="E2500" t="s">
        <v>17</v>
      </c>
      <c r="F2500" t="s">
        <v>27</v>
      </c>
      <c r="G2500" t="s">
        <v>32</v>
      </c>
      <c r="H2500">
        <v>8</v>
      </c>
    </row>
    <row r="2501" spans="1:8" ht="21.75" customHeight="1" x14ac:dyDescent="0.35">
      <c r="A2501" t="s">
        <v>2596</v>
      </c>
      <c r="B2501" s="3">
        <v>45563</v>
      </c>
      <c r="C2501" t="s">
        <v>572</v>
      </c>
      <c r="D2501" t="s">
        <v>197</v>
      </c>
      <c r="E2501" t="s">
        <v>11</v>
      </c>
      <c r="F2501" t="s">
        <v>27</v>
      </c>
      <c r="G2501" t="s">
        <v>23</v>
      </c>
      <c r="H2501">
        <v>14</v>
      </c>
    </row>
    <row r="2502" spans="1:8" ht="21.75" customHeight="1" x14ac:dyDescent="0.35">
      <c r="A2502" t="s">
        <v>2597</v>
      </c>
      <c r="B2502" s="3">
        <v>45556</v>
      </c>
      <c r="C2502" t="s">
        <v>455</v>
      </c>
      <c r="D2502" t="s">
        <v>48</v>
      </c>
      <c r="E2502" t="s">
        <v>11</v>
      </c>
      <c r="F2502" t="s">
        <v>27</v>
      </c>
      <c r="G2502" t="s">
        <v>28</v>
      </c>
      <c r="H2502">
        <v>1</v>
      </c>
    </row>
    <row r="2503" spans="1:8" ht="21.75" customHeight="1" x14ac:dyDescent="0.35">
      <c r="A2503" t="s">
        <v>2598</v>
      </c>
      <c r="B2503" s="3">
        <v>45556</v>
      </c>
      <c r="C2503" t="s">
        <v>58</v>
      </c>
      <c r="D2503" t="s">
        <v>10</v>
      </c>
      <c r="E2503" t="s">
        <v>17</v>
      </c>
      <c r="F2503" t="s">
        <v>42</v>
      </c>
      <c r="G2503" t="s">
        <v>23</v>
      </c>
      <c r="H2503">
        <v>6</v>
      </c>
    </row>
    <row r="2504" spans="1:8" ht="21.75" customHeight="1" x14ac:dyDescent="0.35">
      <c r="A2504" t="s">
        <v>2599</v>
      </c>
      <c r="B2504" s="3">
        <v>45493</v>
      </c>
      <c r="C2504" t="s">
        <v>332</v>
      </c>
      <c r="D2504" t="s">
        <v>79</v>
      </c>
      <c r="E2504" t="s">
        <v>22</v>
      </c>
      <c r="F2504" t="s">
        <v>56</v>
      </c>
      <c r="G2504" t="s">
        <v>36</v>
      </c>
      <c r="H2504">
        <v>2</v>
      </c>
    </row>
    <row r="2505" spans="1:8" ht="21.75" customHeight="1" x14ac:dyDescent="0.35">
      <c r="A2505" t="s">
        <v>2600</v>
      </c>
      <c r="B2505" s="3">
        <v>45630</v>
      </c>
      <c r="C2505" t="s">
        <v>363</v>
      </c>
      <c r="D2505" t="s">
        <v>74</v>
      </c>
      <c r="E2505" t="s">
        <v>17</v>
      </c>
      <c r="F2505" t="s">
        <v>27</v>
      </c>
      <c r="G2505" t="s">
        <v>36</v>
      </c>
      <c r="H2505">
        <v>10</v>
      </c>
    </row>
    <row r="2506" spans="1:8" ht="21.75" customHeight="1" x14ac:dyDescent="0.35">
      <c r="A2506" t="s">
        <v>2601</v>
      </c>
      <c r="B2506" s="3">
        <v>45452</v>
      </c>
      <c r="C2506" t="s">
        <v>20</v>
      </c>
      <c r="D2506" t="s">
        <v>96</v>
      </c>
      <c r="E2506" t="s">
        <v>17</v>
      </c>
      <c r="F2506" t="s">
        <v>306</v>
      </c>
      <c r="G2506" t="s">
        <v>36</v>
      </c>
      <c r="H2506">
        <v>5</v>
      </c>
    </row>
    <row r="2507" spans="1:8" ht="21.75" customHeight="1" x14ac:dyDescent="0.35">
      <c r="A2507" t="s">
        <v>2602</v>
      </c>
      <c r="B2507" s="3">
        <v>45520</v>
      </c>
      <c r="C2507" t="s">
        <v>736</v>
      </c>
      <c r="D2507" t="s">
        <v>65</v>
      </c>
      <c r="E2507" t="s">
        <v>22</v>
      </c>
      <c r="F2507" t="s">
        <v>306</v>
      </c>
      <c r="G2507" t="s">
        <v>36</v>
      </c>
      <c r="H2507">
        <v>15</v>
      </c>
    </row>
    <row r="2508" spans="1:8" ht="21.75" customHeight="1" x14ac:dyDescent="0.35">
      <c r="A2508" t="s">
        <v>2603</v>
      </c>
      <c r="B2508" s="3">
        <v>45624</v>
      </c>
      <c r="C2508" t="s">
        <v>341</v>
      </c>
      <c r="D2508" t="s">
        <v>119</v>
      </c>
      <c r="E2508" t="s">
        <v>11</v>
      </c>
      <c r="F2508" t="s">
        <v>42</v>
      </c>
      <c r="G2508" t="s">
        <v>13</v>
      </c>
      <c r="H2508">
        <v>2</v>
      </c>
    </row>
    <row r="2509" spans="1:8" ht="21.75" customHeight="1" x14ac:dyDescent="0.35">
      <c r="A2509" t="s">
        <v>2604</v>
      </c>
      <c r="B2509" s="3">
        <v>45491</v>
      </c>
      <c r="C2509" t="s">
        <v>329</v>
      </c>
      <c r="D2509" t="s">
        <v>84</v>
      </c>
      <c r="E2509" t="s">
        <v>22</v>
      </c>
      <c r="F2509" t="s">
        <v>56</v>
      </c>
      <c r="G2509" t="s">
        <v>36</v>
      </c>
      <c r="H2509">
        <v>18</v>
      </c>
    </row>
    <row r="2510" spans="1:8" ht="21.75" customHeight="1" x14ac:dyDescent="0.35">
      <c r="A2510" t="s">
        <v>2605</v>
      </c>
      <c r="B2510" s="3">
        <v>45339</v>
      </c>
      <c r="C2510" t="s">
        <v>345</v>
      </c>
      <c r="D2510" t="s">
        <v>174</v>
      </c>
      <c r="E2510" t="s">
        <v>17</v>
      </c>
      <c r="F2510" t="s">
        <v>306</v>
      </c>
      <c r="G2510" t="s">
        <v>32</v>
      </c>
      <c r="H2510">
        <v>6</v>
      </c>
    </row>
    <row r="2511" spans="1:8" ht="21.75" customHeight="1" x14ac:dyDescent="0.35">
      <c r="A2511" t="s">
        <v>2606</v>
      </c>
      <c r="B2511" s="3">
        <v>45568</v>
      </c>
      <c r="C2511" t="s">
        <v>449</v>
      </c>
      <c r="D2511" t="s">
        <v>26</v>
      </c>
      <c r="E2511" t="s">
        <v>11</v>
      </c>
      <c r="F2511" t="s">
        <v>42</v>
      </c>
      <c r="G2511" t="s">
        <v>23</v>
      </c>
      <c r="H2511">
        <v>17</v>
      </c>
    </row>
    <row r="2512" spans="1:8" ht="21.75" customHeight="1" x14ac:dyDescent="0.35">
      <c r="A2512" t="s">
        <v>2607</v>
      </c>
      <c r="B2512" s="3">
        <v>45322</v>
      </c>
      <c r="C2512" t="s">
        <v>200</v>
      </c>
      <c r="D2512" t="s">
        <v>26</v>
      </c>
      <c r="E2512" t="s">
        <v>22</v>
      </c>
      <c r="F2512" t="s">
        <v>306</v>
      </c>
      <c r="G2512" t="s">
        <v>32</v>
      </c>
      <c r="H2512">
        <v>4</v>
      </c>
    </row>
    <row r="2513" spans="1:8" ht="21.75" customHeight="1" x14ac:dyDescent="0.35">
      <c r="A2513" t="s">
        <v>2608</v>
      </c>
      <c r="B2513" s="3">
        <v>45625</v>
      </c>
      <c r="C2513" t="s">
        <v>114</v>
      </c>
      <c r="D2513" t="s">
        <v>70</v>
      </c>
      <c r="E2513" t="s">
        <v>17</v>
      </c>
      <c r="F2513" t="s">
        <v>306</v>
      </c>
      <c r="G2513" t="s">
        <v>13</v>
      </c>
      <c r="H2513">
        <v>15</v>
      </c>
    </row>
    <row r="2514" spans="1:8" ht="21.75" customHeight="1" x14ac:dyDescent="0.35">
      <c r="A2514" t="s">
        <v>2609</v>
      </c>
      <c r="B2514" s="3">
        <v>45412</v>
      </c>
      <c r="C2514" t="s">
        <v>323</v>
      </c>
      <c r="D2514" t="s">
        <v>59</v>
      </c>
      <c r="E2514" t="s">
        <v>22</v>
      </c>
      <c r="F2514" t="s">
        <v>306</v>
      </c>
      <c r="G2514" t="s">
        <v>36</v>
      </c>
      <c r="H2514">
        <v>8</v>
      </c>
    </row>
    <row r="2515" spans="1:8" ht="21.75" customHeight="1" x14ac:dyDescent="0.35">
      <c r="A2515" t="s">
        <v>2610</v>
      </c>
      <c r="B2515" s="3">
        <v>45437</v>
      </c>
      <c r="C2515" t="s">
        <v>317</v>
      </c>
      <c r="D2515" t="s">
        <v>62</v>
      </c>
      <c r="E2515" t="s">
        <v>22</v>
      </c>
      <c r="F2515" t="s">
        <v>56</v>
      </c>
      <c r="G2515" t="s">
        <v>23</v>
      </c>
      <c r="H2515">
        <v>17</v>
      </c>
    </row>
    <row r="2516" spans="1:8" ht="21.75" customHeight="1" x14ac:dyDescent="0.35">
      <c r="A2516" t="s">
        <v>2611</v>
      </c>
      <c r="B2516" s="3">
        <v>45345</v>
      </c>
      <c r="C2516" t="s">
        <v>187</v>
      </c>
      <c r="D2516" t="s">
        <v>160</v>
      </c>
      <c r="E2516" t="s">
        <v>22</v>
      </c>
      <c r="F2516" t="s">
        <v>56</v>
      </c>
      <c r="G2516" t="s">
        <v>32</v>
      </c>
      <c r="H2516">
        <v>15</v>
      </c>
    </row>
    <row r="2517" spans="1:8" ht="21.75" customHeight="1" x14ac:dyDescent="0.35">
      <c r="A2517" t="s">
        <v>2612</v>
      </c>
      <c r="B2517" s="3">
        <v>45656</v>
      </c>
      <c r="C2517" t="s">
        <v>309</v>
      </c>
      <c r="D2517" t="s">
        <v>87</v>
      </c>
      <c r="E2517" t="s">
        <v>11</v>
      </c>
      <c r="F2517" t="s">
        <v>12</v>
      </c>
      <c r="G2517" t="s">
        <v>13</v>
      </c>
      <c r="H2517">
        <v>14</v>
      </c>
    </row>
    <row r="2518" spans="1:8" ht="21.75" customHeight="1" x14ac:dyDescent="0.35">
      <c r="A2518" t="s">
        <v>2613</v>
      </c>
      <c r="B2518" s="3">
        <v>45535</v>
      </c>
      <c r="C2518" t="s">
        <v>133</v>
      </c>
      <c r="D2518" t="s">
        <v>70</v>
      </c>
      <c r="E2518" t="s">
        <v>11</v>
      </c>
      <c r="F2518" t="s">
        <v>42</v>
      </c>
      <c r="G2518" t="s">
        <v>36</v>
      </c>
      <c r="H2518">
        <v>13</v>
      </c>
    </row>
    <row r="2519" spans="1:8" ht="21.75" customHeight="1" x14ac:dyDescent="0.35">
      <c r="A2519" t="s">
        <v>2614</v>
      </c>
      <c r="B2519" s="3">
        <v>45557</v>
      </c>
      <c r="C2519" t="s">
        <v>420</v>
      </c>
      <c r="D2519" t="s">
        <v>31</v>
      </c>
      <c r="E2519" t="s">
        <v>17</v>
      </c>
      <c r="F2519" t="s">
        <v>306</v>
      </c>
      <c r="G2519" t="s">
        <v>23</v>
      </c>
      <c r="H2519">
        <v>14</v>
      </c>
    </row>
    <row r="2520" spans="1:8" ht="21.75" customHeight="1" x14ac:dyDescent="0.35">
      <c r="A2520" t="s">
        <v>2615</v>
      </c>
      <c r="B2520" s="3">
        <v>45644</v>
      </c>
      <c r="C2520" t="s">
        <v>374</v>
      </c>
      <c r="D2520" t="s">
        <v>84</v>
      </c>
      <c r="E2520" t="s">
        <v>17</v>
      </c>
      <c r="F2520" t="s">
        <v>56</v>
      </c>
      <c r="G2520" t="s">
        <v>28</v>
      </c>
      <c r="H2520">
        <v>17</v>
      </c>
    </row>
    <row r="2521" spans="1:8" ht="21.75" customHeight="1" x14ac:dyDescent="0.35">
      <c r="A2521" t="s">
        <v>2616</v>
      </c>
      <c r="B2521" s="3">
        <v>45656</v>
      </c>
      <c r="C2521" t="s">
        <v>366</v>
      </c>
      <c r="D2521" t="s">
        <v>16</v>
      </c>
      <c r="E2521" t="s">
        <v>22</v>
      </c>
      <c r="F2521" t="s">
        <v>306</v>
      </c>
      <c r="G2521" t="s">
        <v>36</v>
      </c>
      <c r="H2521">
        <v>4</v>
      </c>
    </row>
    <row r="2522" spans="1:8" ht="21.75" customHeight="1" x14ac:dyDescent="0.35">
      <c r="A2522" t="s">
        <v>2617</v>
      </c>
      <c r="B2522" s="3">
        <v>45525</v>
      </c>
      <c r="C2522" t="s">
        <v>553</v>
      </c>
      <c r="D2522" t="s">
        <v>79</v>
      </c>
      <c r="E2522" t="s">
        <v>22</v>
      </c>
      <c r="F2522" t="s">
        <v>56</v>
      </c>
      <c r="G2522" t="s">
        <v>36</v>
      </c>
      <c r="H2522">
        <v>12</v>
      </c>
    </row>
    <row r="2523" spans="1:8" ht="21.75" customHeight="1" x14ac:dyDescent="0.35">
      <c r="A2523" t="s">
        <v>2618</v>
      </c>
      <c r="B2523" s="3">
        <v>45352</v>
      </c>
      <c r="C2523" t="s">
        <v>493</v>
      </c>
      <c r="D2523" t="s">
        <v>87</v>
      </c>
      <c r="E2523" t="s">
        <v>11</v>
      </c>
      <c r="F2523" t="s">
        <v>12</v>
      </c>
      <c r="G2523" t="s">
        <v>32</v>
      </c>
      <c r="H2523">
        <v>19</v>
      </c>
    </row>
    <row r="2524" spans="1:8" ht="21.75" customHeight="1" x14ac:dyDescent="0.35">
      <c r="A2524" t="s">
        <v>2619</v>
      </c>
      <c r="B2524" s="3">
        <v>45559</v>
      </c>
      <c r="C2524" t="s">
        <v>125</v>
      </c>
      <c r="D2524" t="s">
        <v>102</v>
      </c>
      <c r="E2524" t="s">
        <v>17</v>
      </c>
      <c r="F2524" t="s">
        <v>42</v>
      </c>
      <c r="G2524" t="s">
        <v>32</v>
      </c>
      <c r="H2524">
        <v>10</v>
      </c>
    </row>
    <row r="2525" spans="1:8" ht="21.75" customHeight="1" x14ac:dyDescent="0.35">
      <c r="A2525" t="s">
        <v>2620</v>
      </c>
      <c r="B2525" s="3">
        <v>45306</v>
      </c>
      <c r="C2525" t="s">
        <v>167</v>
      </c>
      <c r="D2525" t="s">
        <v>16</v>
      </c>
      <c r="E2525" t="s">
        <v>22</v>
      </c>
      <c r="F2525" t="s">
        <v>27</v>
      </c>
      <c r="G2525" t="s">
        <v>13</v>
      </c>
      <c r="H2525">
        <v>10</v>
      </c>
    </row>
    <row r="2526" spans="1:8" ht="21.75" customHeight="1" x14ac:dyDescent="0.35">
      <c r="A2526" t="s">
        <v>2621</v>
      </c>
      <c r="B2526" s="3">
        <v>45402</v>
      </c>
      <c r="C2526" t="s">
        <v>44</v>
      </c>
      <c r="D2526" t="s">
        <v>84</v>
      </c>
      <c r="E2526" t="s">
        <v>17</v>
      </c>
      <c r="F2526" t="s">
        <v>12</v>
      </c>
      <c r="G2526" t="s">
        <v>13</v>
      </c>
      <c r="H2526">
        <v>18</v>
      </c>
    </row>
    <row r="2527" spans="1:8" ht="21.75" customHeight="1" x14ac:dyDescent="0.35">
      <c r="A2527" t="s">
        <v>2622</v>
      </c>
      <c r="B2527" s="3">
        <v>45314</v>
      </c>
      <c r="C2527" t="s">
        <v>572</v>
      </c>
      <c r="D2527" t="s">
        <v>35</v>
      </c>
      <c r="E2527" t="s">
        <v>22</v>
      </c>
      <c r="F2527" t="s">
        <v>42</v>
      </c>
      <c r="G2527" t="s">
        <v>36</v>
      </c>
      <c r="H2527">
        <v>15</v>
      </c>
    </row>
    <row r="2528" spans="1:8" ht="21.75" customHeight="1" x14ac:dyDescent="0.35">
      <c r="A2528" t="s">
        <v>2623</v>
      </c>
      <c r="B2528" s="3">
        <v>45485</v>
      </c>
      <c r="C2528" t="s">
        <v>553</v>
      </c>
      <c r="D2528" t="s">
        <v>84</v>
      </c>
      <c r="E2528" t="s">
        <v>22</v>
      </c>
      <c r="F2528" t="s">
        <v>56</v>
      </c>
      <c r="G2528" t="s">
        <v>28</v>
      </c>
      <c r="H2528">
        <v>17</v>
      </c>
    </row>
    <row r="2529" spans="1:8" ht="21.75" customHeight="1" x14ac:dyDescent="0.35">
      <c r="A2529" t="s">
        <v>2624</v>
      </c>
      <c r="B2529" s="3">
        <v>45522</v>
      </c>
      <c r="C2529" t="s">
        <v>317</v>
      </c>
      <c r="D2529" t="s">
        <v>70</v>
      </c>
      <c r="E2529" t="s">
        <v>11</v>
      </c>
      <c r="F2529" t="s">
        <v>42</v>
      </c>
      <c r="G2529" t="s">
        <v>13</v>
      </c>
      <c r="H2529">
        <v>20</v>
      </c>
    </row>
    <row r="2530" spans="1:8" ht="21.75" customHeight="1" x14ac:dyDescent="0.35">
      <c r="A2530" t="s">
        <v>2625</v>
      </c>
      <c r="B2530" s="3">
        <v>45501</v>
      </c>
      <c r="C2530" t="s">
        <v>53</v>
      </c>
      <c r="D2530" t="s">
        <v>197</v>
      </c>
      <c r="E2530" t="s">
        <v>17</v>
      </c>
      <c r="F2530" t="s">
        <v>42</v>
      </c>
      <c r="G2530" t="s">
        <v>36</v>
      </c>
      <c r="H2530">
        <v>2</v>
      </c>
    </row>
    <row r="2531" spans="1:8" ht="21.75" customHeight="1" x14ac:dyDescent="0.35">
      <c r="A2531" t="s">
        <v>2626</v>
      </c>
      <c r="B2531" s="3">
        <v>45518</v>
      </c>
      <c r="C2531" t="s">
        <v>304</v>
      </c>
      <c r="D2531" t="s">
        <v>26</v>
      </c>
      <c r="E2531" t="s">
        <v>22</v>
      </c>
      <c r="F2531" t="s">
        <v>12</v>
      </c>
      <c r="G2531" t="s">
        <v>28</v>
      </c>
      <c r="H2531">
        <v>1</v>
      </c>
    </row>
    <row r="2532" spans="1:8" ht="21.75" customHeight="1" x14ac:dyDescent="0.35">
      <c r="A2532" t="s">
        <v>2627</v>
      </c>
      <c r="B2532" s="3">
        <v>45654</v>
      </c>
      <c r="C2532" t="s">
        <v>147</v>
      </c>
      <c r="D2532" t="s">
        <v>174</v>
      </c>
      <c r="E2532" t="s">
        <v>22</v>
      </c>
      <c r="F2532" t="s">
        <v>12</v>
      </c>
      <c r="G2532" t="s">
        <v>36</v>
      </c>
      <c r="H2532">
        <v>3</v>
      </c>
    </row>
    <row r="2533" spans="1:8" ht="21.75" customHeight="1" x14ac:dyDescent="0.35">
      <c r="A2533" t="s">
        <v>2628</v>
      </c>
      <c r="B2533" s="3">
        <v>45608</v>
      </c>
      <c r="C2533" t="s">
        <v>591</v>
      </c>
      <c r="D2533" t="s">
        <v>59</v>
      </c>
      <c r="E2533" t="s">
        <v>11</v>
      </c>
      <c r="F2533" t="s">
        <v>306</v>
      </c>
      <c r="G2533" t="s">
        <v>36</v>
      </c>
      <c r="H2533">
        <v>7</v>
      </c>
    </row>
    <row r="2534" spans="1:8" ht="21.75" customHeight="1" x14ac:dyDescent="0.35">
      <c r="A2534" t="s">
        <v>2629</v>
      </c>
      <c r="B2534" s="3">
        <v>45549</v>
      </c>
      <c r="C2534" t="s">
        <v>138</v>
      </c>
      <c r="D2534" t="s">
        <v>102</v>
      </c>
      <c r="E2534" t="s">
        <v>22</v>
      </c>
      <c r="F2534" t="s">
        <v>306</v>
      </c>
      <c r="G2534" t="s">
        <v>28</v>
      </c>
      <c r="H2534">
        <v>1</v>
      </c>
    </row>
    <row r="2535" spans="1:8" ht="21.75" customHeight="1" x14ac:dyDescent="0.35">
      <c r="A2535" t="s">
        <v>2630</v>
      </c>
      <c r="B2535" s="3">
        <v>45397</v>
      </c>
      <c r="C2535" t="s">
        <v>78</v>
      </c>
      <c r="D2535" t="s">
        <v>62</v>
      </c>
      <c r="E2535" t="s">
        <v>22</v>
      </c>
      <c r="F2535" t="s">
        <v>27</v>
      </c>
      <c r="G2535" t="s">
        <v>13</v>
      </c>
      <c r="H2535">
        <v>18</v>
      </c>
    </row>
    <row r="2536" spans="1:8" ht="21.75" customHeight="1" x14ac:dyDescent="0.35">
      <c r="A2536" t="s">
        <v>2631</v>
      </c>
      <c r="B2536" s="3">
        <v>45497</v>
      </c>
      <c r="C2536" t="s">
        <v>449</v>
      </c>
      <c r="D2536" t="s">
        <v>79</v>
      </c>
      <c r="E2536" t="s">
        <v>17</v>
      </c>
      <c r="F2536" t="s">
        <v>12</v>
      </c>
      <c r="G2536" t="s">
        <v>32</v>
      </c>
      <c r="H2536">
        <v>14</v>
      </c>
    </row>
    <row r="2537" spans="1:8" ht="21.75" customHeight="1" x14ac:dyDescent="0.35">
      <c r="A2537" t="s">
        <v>2632</v>
      </c>
      <c r="B2537" s="3">
        <v>45304</v>
      </c>
      <c r="C2537" t="s">
        <v>339</v>
      </c>
      <c r="D2537" t="s">
        <v>72</v>
      </c>
      <c r="E2537" t="s">
        <v>17</v>
      </c>
      <c r="F2537" t="s">
        <v>42</v>
      </c>
      <c r="G2537" t="s">
        <v>13</v>
      </c>
      <c r="H2537">
        <v>4</v>
      </c>
    </row>
    <row r="2538" spans="1:8" ht="21.75" customHeight="1" x14ac:dyDescent="0.35">
      <c r="A2538" t="s">
        <v>2633</v>
      </c>
      <c r="B2538" s="3">
        <v>45569</v>
      </c>
      <c r="C2538" t="s">
        <v>30</v>
      </c>
      <c r="D2538" t="s">
        <v>74</v>
      </c>
      <c r="E2538" t="s">
        <v>11</v>
      </c>
      <c r="F2538" t="s">
        <v>56</v>
      </c>
      <c r="G2538" t="s">
        <v>32</v>
      </c>
      <c r="H2538">
        <v>3</v>
      </c>
    </row>
    <row r="2539" spans="1:8" ht="21.75" customHeight="1" x14ac:dyDescent="0.35">
      <c r="A2539" t="s">
        <v>2634</v>
      </c>
      <c r="B2539" s="3">
        <v>45500</v>
      </c>
      <c r="C2539" t="s">
        <v>422</v>
      </c>
      <c r="D2539" t="s">
        <v>45</v>
      </c>
      <c r="E2539" t="s">
        <v>11</v>
      </c>
      <c r="F2539" t="s">
        <v>306</v>
      </c>
      <c r="G2539" t="s">
        <v>32</v>
      </c>
      <c r="H2539">
        <v>6</v>
      </c>
    </row>
    <row r="2540" spans="1:8" ht="21.75" customHeight="1" x14ac:dyDescent="0.35">
      <c r="A2540" t="s">
        <v>2635</v>
      </c>
      <c r="B2540" s="3">
        <v>45321</v>
      </c>
      <c r="C2540" t="s">
        <v>68</v>
      </c>
      <c r="D2540" t="s">
        <v>31</v>
      </c>
      <c r="E2540" t="s">
        <v>11</v>
      </c>
      <c r="F2540" t="s">
        <v>42</v>
      </c>
      <c r="G2540" t="s">
        <v>28</v>
      </c>
      <c r="H2540">
        <v>14</v>
      </c>
    </row>
    <row r="2541" spans="1:8" ht="21.75" customHeight="1" x14ac:dyDescent="0.35">
      <c r="A2541" t="s">
        <v>2636</v>
      </c>
      <c r="B2541" s="3">
        <v>45424</v>
      </c>
      <c r="C2541" t="s">
        <v>159</v>
      </c>
      <c r="D2541" t="s">
        <v>102</v>
      </c>
      <c r="E2541" t="s">
        <v>11</v>
      </c>
      <c r="F2541" t="s">
        <v>56</v>
      </c>
      <c r="G2541" t="s">
        <v>28</v>
      </c>
      <c r="H2541">
        <v>20</v>
      </c>
    </row>
    <row r="2542" spans="1:8" ht="21.75" customHeight="1" x14ac:dyDescent="0.35">
      <c r="A2542" t="s">
        <v>2637</v>
      </c>
      <c r="B2542" s="3">
        <v>45544</v>
      </c>
      <c r="C2542" t="s">
        <v>345</v>
      </c>
      <c r="D2542" t="s">
        <v>119</v>
      </c>
      <c r="E2542" t="s">
        <v>22</v>
      </c>
      <c r="F2542" t="s">
        <v>27</v>
      </c>
      <c r="G2542" t="s">
        <v>13</v>
      </c>
      <c r="H2542">
        <v>9</v>
      </c>
    </row>
    <row r="2543" spans="1:8" ht="21.75" customHeight="1" x14ac:dyDescent="0.35">
      <c r="A2543" t="s">
        <v>2638</v>
      </c>
      <c r="B2543" s="3">
        <v>45529</v>
      </c>
      <c r="C2543" t="s">
        <v>378</v>
      </c>
      <c r="D2543" t="s">
        <v>87</v>
      </c>
      <c r="E2543" t="s">
        <v>11</v>
      </c>
      <c r="F2543" t="s">
        <v>27</v>
      </c>
      <c r="G2543" t="s">
        <v>13</v>
      </c>
      <c r="H2543">
        <v>14</v>
      </c>
    </row>
    <row r="2544" spans="1:8" ht="21.75" customHeight="1" x14ac:dyDescent="0.35">
      <c r="A2544" t="s">
        <v>2639</v>
      </c>
      <c r="B2544" s="3">
        <v>45301</v>
      </c>
      <c r="C2544" t="s">
        <v>101</v>
      </c>
      <c r="D2544" t="s">
        <v>174</v>
      </c>
      <c r="E2544" t="s">
        <v>22</v>
      </c>
      <c r="F2544" t="s">
        <v>12</v>
      </c>
      <c r="G2544" t="s">
        <v>28</v>
      </c>
      <c r="H2544">
        <v>18</v>
      </c>
    </row>
    <row r="2545" spans="1:8" ht="21.75" customHeight="1" x14ac:dyDescent="0.35">
      <c r="A2545" t="s">
        <v>2640</v>
      </c>
      <c r="B2545" s="3">
        <v>45356</v>
      </c>
      <c r="C2545" t="s">
        <v>68</v>
      </c>
      <c r="D2545" t="s">
        <v>59</v>
      </c>
      <c r="E2545" t="s">
        <v>17</v>
      </c>
      <c r="F2545" t="s">
        <v>27</v>
      </c>
      <c r="G2545" t="s">
        <v>13</v>
      </c>
      <c r="H2545">
        <v>17</v>
      </c>
    </row>
    <row r="2546" spans="1:8" ht="21.75" customHeight="1" x14ac:dyDescent="0.35">
      <c r="A2546" t="s">
        <v>2641</v>
      </c>
      <c r="B2546" s="3">
        <v>45364</v>
      </c>
      <c r="C2546" t="s">
        <v>200</v>
      </c>
      <c r="D2546" t="s">
        <v>174</v>
      </c>
      <c r="E2546" t="s">
        <v>11</v>
      </c>
      <c r="F2546" t="s">
        <v>56</v>
      </c>
      <c r="G2546" t="s">
        <v>36</v>
      </c>
      <c r="H2546">
        <v>14</v>
      </c>
    </row>
    <row r="2547" spans="1:8" ht="21.75" customHeight="1" x14ac:dyDescent="0.35">
      <c r="A2547" t="s">
        <v>2642</v>
      </c>
      <c r="B2547" s="3">
        <v>45576</v>
      </c>
      <c r="C2547" t="s">
        <v>430</v>
      </c>
      <c r="D2547" t="s">
        <v>79</v>
      </c>
      <c r="E2547" t="s">
        <v>11</v>
      </c>
      <c r="F2547" t="s">
        <v>27</v>
      </c>
      <c r="G2547" t="s">
        <v>36</v>
      </c>
      <c r="H2547">
        <v>10</v>
      </c>
    </row>
    <row r="2548" spans="1:8" ht="21.75" customHeight="1" x14ac:dyDescent="0.35">
      <c r="A2548" t="s">
        <v>2643</v>
      </c>
      <c r="B2548" s="3">
        <v>45377</v>
      </c>
      <c r="C2548" t="s">
        <v>25</v>
      </c>
      <c r="D2548" t="s">
        <v>79</v>
      </c>
      <c r="E2548" t="s">
        <v>17</v>
      </c>
      <c r="F2548" t="s">
        <v>42</v>
      </c>
      <c r="G2548" t="s">
        <v>36</v>
      </c>
      <c r="H2548">
        <v>9</v>
      </c>
    </row>
    <row r="2549" spans="1:8" ht="21.75" customHeight="1" x14ac:dyDescent="0.35">
      <c r="A2549" t="s">
        <v>2644</v>
      </c>
      <c r="B2549" s="3">
        <v>45486</v>
      </c>
      <c r="C2549" t="s">
        <v>20</v>
      </c>
      <c r="D2549" t="s">
        <v>21</v>
      </c>
      <c r="E2549" t="s">
        <v>11</v>
      </c>
      <c r="F2549" t="s">
        <v>306</v>
      </c>
      <c r="G2549" t="s">
        <v>36</v>
      </c>
      <c r="H2549">
        <v>10</v>
      </c>
    </row>
    <row r="2550" spans="1:8" ht="21.75" customHeight="1" x14ac:dyDescent="0.35">
      <c r="A2550" t="s">
        <v>2645</v>
      </c>
      <c r="B2550" s="3">
        <v>45565</v>
      </c>
      <c r="C2550" t="s">
        <v>614</v>
      </c>
      <c r="D2550" t="s">
        <v>10</v>
      </c>
      <c r="E2550" t="s">
        <v>17</v>
      </c>
      <c r="F2550" t="s">
        <v>12</v>
      </c>
      <c r="G2550" t="s">
        <v>23</v>
      </c>
      <c r="H2550">
        <v>4</v>
      </c>
    </row>
    <row r="2551" spans="1:8" ht="21.75" customHeight="1" x14ac:dyDescent="0.35">
      <c r="A2551" t="s">
        <v>2646</v>
      </c>
      <c r="B2551" s="3">
        <v>45576</v>
      </c>
      <c r="C2551" t="s">
        <v>89</v>
      </c>
      <c r="D2551" t="s">
        <v>87</v>
      </c>
      <c r="E2551" t="s">
        <v>11</v>
      </c>
      <c r="F2551" t="s">
        <v>306</v>
      </c>
      <c r="G2551" t="s">
        <v>36</v>
      </c>
      <c r="H2551">
        <v>11</v>
      </c>
    </row>
    <row r="2552" spans="1:8" ht="21.75" customHeight="1" x14ac:dyDescent="0.35">
      <c r="A2552" t="s">
        <v>2647</v>
      </c>
      <c r="B2552" s="3">
        <v>45467</v>
      </c>
      <c r="C2552" t="s">
        <v>541</v>
      </c>
      <c r="D2552" t="s">
        <v>26</v>
      </c>
      <c r="E2552" t="s">
        <v>22</v>
      </c>
      <c r="F2552" t="s">
        <v>27</v>
      </c>
      <c r="G2552" t="s">
        <v>32</v>
      </c>
      <c r="H2552">
        <v>8</v>
      </c>
    </row>
    <row r="2553" spans="1:8" ht="21.75" customHeight="1" x14ac:dyDescent="0.35">
      <c r="A2553" t="s">
        <v>2648</v>
      </c>
      <c r="B2553" s="3">
        <v>45456</v>
      </c>
      <c r="C2553" t="s">
        <v>47</v>
      </c>
      <c r="D2553" t="s">
        <v>65</v>
      </c>
      <c r="E2553" t="s">
        <v>17</v>
      </c>
      <c r="F2553" t="s">
        <v>306</v>
      </c>
      <c r="G2553" t="s">
        <v>32</v>
      </c>
      <c r="H2553">
        <v>1</v>
      </c>
    </row>
    <row r="2554" spans="1:8" ht="21.75" customHeight="1" x14ac:dyDescent="0.35">
      <c r="A2554" t="s">
        <v>2649</v>
      </c>
      <c r="B2554" s="3">
        <v>45360</v>
      </c>
      <c r="C2554" t="s">
        <v>736</v>
      </c>
      <c r="D2554" t="s">
        <v>96</v>
      </c>
      <c r="E2554" t="s">
        <v>22</v>
      </c>
      <c r="F2554" t="s">
        <v>27</v>
      </c>
      <c r="G2554" t="s">
        <v>13</v>
      </c>
      <c r="H2554">
        <v>1</v>
      </c>
    </row>
    <row r="2555" spans="1:8" ht="21.75" customHeight="1" x14ac:dyDescent="0.35">
      <c r="A2555" t="s">
        <v>2650</v>
      </c>
      <c r="B2555" s="3">
        <v>45503</v>
      </c>
      <c r="C2555" t="s">
        <v>642</v>
      </c>
      <c r="D2555" t="s">
        <v>62</v>
      </c>
      <c r="E2555" t="s">
        <v>22</v>
      </c>
      <c r="F2555" t="s">
        <v>27</v>
      </c>
      <c r="G2555" t="s">
        <v>23</v>
      </c>
      <c r="H2555">
        <v>18</v>
      </c>
    </row>
    <row r="2556" spans="1:8" ht="21.75" customHeight="1" x14ac:dyDescent="0.35">
      <c r="A2556" t="s">
        <v>2651</v>
      </c>
      <c r="B2556" s="3">
        <v>45624</v>
      </c>
      <c r="C2556" t="s">
        <v>350</v>
      </c>
      <c r="D2556" t="s">
        <v>10</v>
      </c>
      <c r="E2556" t="s">
        <v>22</v>
      </c>
      <c r="F2556" t="s">
        <v>12</v>
      </c>
      <c r="G2556" t="s">
        <v>23</v>
      </c>
      <c r="H2556">
        <v>4</v>
      </c>
    </row>
    <row r="2557" spans="1:8" ht="21.75" customHeight="1" x14ac:dyDescent="0.35">
      <c r="A2557" t="s">
        <v>2652</v>
      </c>
      <c r="B2557" s="3">
        <v>45484</v>
      </c>
      <c r="C2557" t="s">
        <v>327</v>
      </c>
      <c r="D2557" t="s">
        <v>48</v>
      </c>
      <c r="E2557" t="s">
        <v>17</v>
      </c>
      <c r="F2557" t="s">
        <v>56</v>
      </c>
      <c r="G2557" t="s">
        <v>13</v>
      </c>
      <c r="H2557">
        <v>4</v>
      </c>
    </row>
    <row r="2558" spans="1:8" ht="21.75" customHeight="1" x14ac:dyDescent="0.35">
      <c r="A2558" t="s">
        <v>2653</v>
      </c>
      <c r="B2558" s="3">
        <v>45390</v>
      </c>
      <c r="C2558" t="s">
        <v>396</v>
      </c>
      <c r="D2558" t="s">
        <v>96</v>
      </c>
      <c r="E2558" t="s">
        <v>11</v>
      </c>
      <c r="F2558" t="s">
        <v>12</v>
      </c>
      <c r="G2558" t="s">
        <v>32</v>
      </c>
      <c r="H2558">
        <v>12</v>
      </c>
    </row>
    <row r="2559" spans="1:8" ht="21.75" customHeight="1" x14ac:dyDescent="0.35">
      <c r="A2559" t="s">
        <v>2654</v>
      </c>
      <c r="B2559" s="3">
        <v>45606</v>
      </c>
      <c r="C2559" t="s">
        <v>451</v>
      </c>
      <c r="D2559" t="s">
        <v>74</v>
      </c>
      <c r="E2559" t="s">
        <v>22</v>
      </c>
      <c r="F2559" t="s">
        <v>56</v>
      </c>
      <c r="G2559" t="s">
        <v>28</v>
      </c>
      <c r="H2559">
        <v>16</v>
      </c>
    </row>
    <row r="2560" spans="1:8" ht="21.75" customHeight="1" x14ac:dyDescent="0.35">
      <c r="A2560" t="s">
        <v>2655</v>
      </c>
      <c r="B2560" s="3">
        <v>45310</v>
      </c>
      <c r="C2560" t="s">
        <v>89</v>
      </c>
      <c r="D2560" t="s">
        <v>35</v>
      </c>
      <c r="E2560" t="s">
        <v>22</v>
      </c>
      <c r="F2560" t="s">
        <v>306</v>
      </c>
      <c r="G2560" t="s">
        <v>28</v>
      </c>
      <c r="H2560">
        <v>1</v>
      </c>
    </row>
    <row r="2561" spans="1:8" ht="21.75" customHeight="1" x14ac:dyDescent="0.35">
      <c r="A2561" t="s">
        <v>2656</v>
      </c>
      <c r="B2561" s="3">
        <v>45618</v>
      </c>
      <c r="C2561" t="s">
        <v>106</v>
      </c>
      <c r="D2561" t="s">
        <v>102</v>
      </c>
      <c r="E2561" t="s">
        <v>17</v>
      </c>
      <c r="F2561" t="s">
        <v>306</v>
      </c>
      <c r="G2561" t="s">
        <v>36</v>
      </c>
      <c r="H2561">
        <v>16</v>
      </c>
    </row>
    <row r="2562" spans="1:8" ht="21.75" customHeight="1" x14ac:dyDescent="0.35">
      <c r="A2562" t="s">
        <v>2657</v>
      </c>
      <c r="B2562" s="3">
        <v>45391</v>
      </c>
      <c r="C2562" t="s">
        <v>371</v>
      </c>
      <c r="D2562" t="s">
        <v>84</v>
      </c>
      <c r="E2562" t="s">
        <v>22</v>
      </c>
      <c r="F2562" t="s">
        <v>306</v>
      </c>
      <c r="G2562" t="s">
        <v>36</v>
      </c>
      <c r="H2562">
        <v>6</v>
      </c>
    </row>
    <row r="2563" spans="1:8" ht="21.75" customHeight="1" x14ac:dyDescent="0.35">
      <c r="A2563" t="s">
        <v>2658</v>
      </c>
      <c r="B2563" s="3">
        <v>45357</v>
      </c>
      <c r="C2563" t="s">
        <v>323</v>
      </c>
      <c r="D2563" t="s">
        <v>10</v>
      </c>
      <c r="E2563" t="s">
        <v>11</v>
      </c>
      <c r="F2563" t="s">
        <v>42</v>
      </c>
      <c r="G2563" t="s">
        <v>36</v>
      </c>
      <c r="H2563">
        <v>8</v>
      </c>
    </row>
    <row r="2564" spans="1:8" ht="21.75" customHeight="1" x14ac:dyDescent="0.35">
      <c r="A2564" t="s">
        <v>2659</v>
      </c>
      <c r="B2564" s="3">
        <v>45432</v>
      </c>
      <c r="C2564" t="s">
        <v>150</v>
      </c>
      <c r="D2564" t="s">
        <v>41</v>
      </c>
      <c r="E2564" t="s">
        <v>11</v>
      </c>
      <c r="F2564" t="s">
        <v>306</v>
      </c>
      <c r="G2564" t="s">
        <v>36</v>
      </c>
      <c r="H2564">
        <v>9</v>
      </c>
    </row>
    <row r="2565" spans="1:8" ht="21.75" customHeight="1" x14ac:dyDescent="0.35">
      <c r="A2565" t="s">
        <v>2660</v>
      </c>
      <c r="B2565" s="3">
        <v>45524</v>
      </c>
      <c r="C2565" t="s">
        <v>25</v>
      </c>
      <c r="D2565" t="s">
        <v>87</v>
      </c>
      <c r="E2565" t="s">
        <v>22</v>
      </c>
      <c r="F2565" t="s">
        <v>12</v>
      </c>
      <c r="G2565" t="s">
        <v>32</v>
      </c>
      <c r="H2565">
        <v>14</v>
      </c>
    </row>
    <row r="2566" spans="1:8" ht="21.75" customHeight="1" x14ac:dyDescent="0.35">
      <c r="A2566" t="s">
        <v>2661</v>
      </c>
      <c r="B2566" s="3">
        <v>45500</v>
      </c>
      <c r="C2566" t="s">
        <v>89</v>
      </c>
      <c r="D2566" t="s">
        <v>102</v>
      </c>
      <c r="E2566" t="s">
        <v>22</v>
      </c>
      <c r="F2566" t="s">
        <v>306</v>
      </c>
      <c r="G2566" t="s">
        <v>23</v>
      </c>
      <c r="H2566">
        <v>16</v>
      </c>
    </row>
    <row r="2567" spans="1:8" ht="21.75" customHeight="1" x14ac:dyDescent="0.35">
      <c r="A2567" t="s">
        <v>2662</v>
      </c>
      <c r="B2567" s="3">
        <v>45314</v>
      </c>
      <c r="C2567" t="s">
        <v>329</v>
      </c>
      <c r="D2567" t="s">
        <v>197</v>
      </c>
      <c r="E2567" t="s">
        <v>11</v>
      </c>
      <c r="F2567" t="s">
        <v>42</v>
      </c>
      <c r="G2567" t="s">
        <v>23</v>
      </c>
      <c r="H2567">
        <v>18</v>
      </c>
    </row>
    <row r="2568" spans="1:8" ht="21.75" customHeight="1" x14ac:dyDescent="0.35">
      <c r="A2568" t="s">
        <v>2663</v>
      </c>
      <c r="B2568" s="3">
        <v>45294</v>
      </c>
      <c r="C2568" t="s">
        <v>106</v>
      </c>
      <c r="D2568" t="s">
        <v>65</v>
      </c>
      <c r="E2568" t="s">
        <v>17</v>
      </c>
      <c r="F2568" t="s">
        <v>12</v>
      </c>
      <c r="G2568" t="s">
        <v>36</v>
      </c>
      <c r="H2568">
        <v>1</v>
      </c>
    </row>
    <row r="2569" spans="1:8" ht="21.75" customHeight="1" x14ac:dyDescent="0.35">
      <c r="A2569" t="s">
        <v>2664</v>
      </c>
      <c r="B2569" s="3">
        <v>45407</v>
      </c>
      <c r="C2569" t="s">
        <v>465</v>
      </c>
      <c r="D2569" t="s">
        <v>87</v>
      </c>
      <c r="E2569" t="s">
        <v>11</v>
      </c>
      <c r="F2569" t="s">
        <v>56</v>
      </c>
      <c r="G2569" t="s">
        <v>28</v>
      </c>
      <c r="H2569">
        <v>6</v>
      </c>
    </row>
    <row r="2570" spans="1:8" ht="21.75" customHeight="1" x14ac:dyDescent="0.35">
      <c r="A2570" t="s">
        <v>2665</v>
      </c>
      <c r="B2570" s="3">
        <v>45324</v>
      </c>
      <c r="C2570" t="s">
        <v>451</v>
      </c>
      <c r="D2570" t="s">
        <v>21</v>
      </c>
      <c r="E2570" t="s">
        <v>11</v>
      </c>
      <c r="F2570" t="s">
        <v>12</v>
      </c>
      <c r="G2570" t="s">
        <v>23</v>
      </c>
      <c r="H2570">
        <v>14</v>
      </c>
    </row>
    <row r="2571" spans="1:8" ht="21.75" customHeight="1" x14ac:dyDescent="0.35">
      <c r="A2571" t="s">
        <v>2666</v>
      </c>
      <c r="B2571" s="3">
        <v>45595</v>
      </c>
      <c r="C2571" t="s">
        <v>451</v>
      </c>
      <c r="D2571" t="s">
        <v>72</v>
      </c>
      <c r="E2571" t="s">
        <v>17</v>
      </c>
      <c r="F2571" t="s">
        <v>56</v>
      </c>
      <c r="G2571" t="s">
        <v>13</v>
      </c>
      <c r="H2571">
        <v>16</v>
      </c>
    </row>
    <row r="2572" spans="1:8" ht="21.75" customHeight="1" x14ac:dyDescent="0.35">
      <c r="A2572" t="s">
        <v>2667</v>
      </c>
      <c r="B2572" s="3">
        <v>45466</v>
      </c>
      <c r="C2572" t="s">
        <v>9</v>
      </c>
      <c r="D2572" t="s">
        <v>72</v>
      </c>
      <c r="E2572" t="s">
        <v>22</v>
      </c>
      <c r="F2572" t="s">
        <v>56</v>
      </c>
      <c r="G2572" t="s">
        <v>13</v>
      </c>
      <c r="H2572">
        <v>20</v>
      </c>
    </row>
    <row r="2573" spans="1:8" ht="21.75" customHeight="1" x14ac:dyDescent="0.35">
      <c r="A2573" t="s">
        <v>2668</v>
      </c>
      <c r="B2573" s="3">
        <v>45340</v>
      </c>
      <c r="C2573" t="s">
        <v>451</v>
      </c>
      <c r="D2573" t="s">
        <v>70</v>
      </c>
      <c r="E2573" t="s">
        <v>22</v>
      </c>
      <c r="F2573" t="s">
        <v>12</v>
      </c>
      <c r="G2573" t="s">
        <v>13</v>
      </c>
      <c r="H2573">
        <v>2</v>
      </c>
    </row>
    <row r="2574" spans="1:8" ht="21.75" customHeight="1" x14ac:dyDescent="0.35">
      <c r="A2574" t="s">
        <v>2669</v>
      </c>
      <c r="B2574" s="3">
        <v>45485</v>
      </c>
      <c r="C2574" t="s">
        <v>38</v>
      </c>
      <c r="D2574" t="s">
        <v>62</v>
      </c>
      <c r="E2574" t="s">
        <v>11</v>
      </c>
      <c r="F2574" t="s">
        <v>56</v>
      </c>
      <c r="G2574" t="s">
        <v>13</v>
      </c>
      <c r="H2574">
        <v>15</v>
      </c>
    </row>
    <row r="2575" spans="1:8" ht="21.75" customHeight="1" x14ac:dyDescent="0.35">
      <c r="A2575" t="s">
        <v>2670</v>
      </c>
      <c r="B2575" s="3">
        <v>45604</v>
      </c>
      <c r="C2575" t="s">
        <v>451</v>
      </c>
      <c r="D2575" t="s">
        <v>87</v>
      </c>
      <c r="E2575" t="s">
        <v>11</v>
      </c>
      <c r="F2575" t="s">
        <v>12</v>
      </c>
      <c r="G2575" t="s">
        <v>13</v>
      </c>
      <c r="H2575">
        <v>18</v>
      </c>
    </row>
    <row r="2576" spans="1:8" ht="21.75" customHeight="1" x14ac:dyDescent="0.35">
      <c r="A2576" t="s">
        <v>2671</v>
      </c>
      <c r="B2576" s="3">
        <v>45487</v>
      </c>
      <c r="C2576" t="s">
        <v>341</v>
      </c>
      <c r="D2576" t="s">
        <v>102</v>
      </c>
      <c r="E2576" t="s">
        <v>22</v>
      </c>
      <c r="F2576" t="s">
        <v>27</v>
      </c>
      <c r="G2576" t="s">
        <v>28</v>
      </c>
      <c r="H2576">
        <v>20</v>
      </c>
    </row>
    <row r="2577" spans="1:8" ht="21.75" customHeight="1" x14ac:dyDescent="0.35">
      <c r="A2577" t="s">
        <v>2672</v>
      </c>
      <c r="B2577" s="3">
        <v>45611</v>
      </c>
      <c r="C2577" t="s">
        <v>142</v>
      </c>
      <c r="D2577" t="s">
        <v>70</v>
      </c>
      <c r="E2577" t="s">
        <v>17</v>
      </c>
      <c r="F2577" t="s">
        <v>27</v>
      </c>
      <c r="G2577" t="s">
        <v>23</v>
      </c>
      <c r="H2577">
        <v>20</v>
      </c>
    </row>
    <row r="2578" spans="1:8" ht="21.75" customHeight="1" x14ac:dyDescent="0.35">
      <c r="A2578" t="s">
        <v>2673</v>
      </c>
      <c r="B2578" s="3">
        <v>45465</v>
      </c>
      <c r="C2578" t="s">
        <v>350</v>
      </c>
      <c r="D2578" t="s">
        <v>41</v>
      </c>
      <c r="E2578" t="s">
        <v>11</v>
      </c>
      <c r="F2578" t="s">
        <v>27</v>
      </c>
      <c r="G2578" t="s">
        <v>36</v>
      </c>
      <c r="H2578">
        <v>11</v>
      </c>
    </row>
    <row r="2579" spans="1:8" ht="21.75" customHeight="1" x14ac:dyDescent="0.35">
      <c r="A2579" t="s">
        <v>2674</v>
      </c>
      <c r="B2579" s="3">
        <v>45347</v>
      </c>
      <c r="C2579" t="s">
        <v>15</v>
      </c>
      <c r="D2579" t="s">
        <v>96</v>
      </c>
      <c r="E2579" t="s">
        <v>22</v>
      </c>
      <c r="F2579" t="s">
        <v>12</v>
      </c>
      <c r="G2579" t="s">
        <v>36</v>
      </c>
      <c r="H2579">
        <v>7</v>
      </c>
    </row>
    <row r="2580" spans="1:8" ht="21.75" customHeight="1" x14ac:dyDescent="0.35">
      <c r="A2580" t="s">
        <v>2675</v>
      </c>
      <c r="B2580" s="3">
        <v>45356</v>
      </c>
      <c r="C2580" t="s">
        <v>541</v>
      </c>
      <c r="D2580" t="s">
        <v>160</v>
      </c>
      <c r="E2580" t="s">
        <v>17</v>
      </c>
      <c r="F2580" t="s">
        <v>42</v>
      </c>
      <c r="G2580" t="s">
        <v>23</v>
      </c>
      <c r="H2580">
        <v>16</v>
      </c>
    </row>
    <row r="2581" spans="1:8" ht="21.75" customHeight="1" x14ac:dyDescent="0.35">
      <c r="A2581" t="s">
        <v>2676</v>
      </c>
      <c r="B2581" s="3">
        <v>45519</v>
      </c>
      <c r="C2581" t="s">
        <v>44</v>
      </c>
      <c r="D2581" t="s">
        <v>197</v>
      </c>
      <c r="E2581" t="s">
        <v>11</v>
      </c>
      <c r="F2581" t="s">
        <v>12</v>
      </c>
      <c r="G2581" t="s">
        <v>13</v>
      </c>
      <c r="H2581">
        <v>5</v>
      </c>
    </row>
    <row r="2582" spans="1:8" ht="21.75" customHeight="1" x14ac:dyDescent="0.35">
      <c r="A2582" t="s">
        <v>2677</v>
      </c>
      <c r="B2582" s="3">
        <v>45515</v>
      </c>
      <c r="C2582" t="s">
        <v>345</v>
      </c>
      <c r="D2582" t="s">
        <v>21</v>
      </c>
      <c r="E2582" t="s">
        <v>17</v>
      </c>
      <c r="F2582" t="s">
        <v>42</v>
      </c>
      <c r="G2582" t="s">
        <v>36</v>
      </c>
      <c r="H2582">
        <v>18</v>
      </c>
    </row>
    <row r="2583" spans="1:8" ht="21.75" customHeight="1" x14ac:dyDescent="0.35">
      <c r="A2583" t="s">
        <v>2678</v>
      </c>
      <c r="B2583" s="3">
        <v>45367</v>
      </c>
      <c r="C2583" t="s">
        <v>553</v>
      </c>
      <c r="D2583" t="s">
        <v>74</v>
      </c>
      <c r="E2583" t="s">
        <v>22</v>
      </c>
      <c r="F2583" t="s">
        <v>42</v>
      </c>
      <c r="G2583" t="s">
        <v>32</v>
      </c>
      <c r="H2583">
        <v>12</v>
      </c>
    </row>
    <row r="2584" spans="1:8" ht="21.75" customHeight="1" x14ac:dyDescent="0.35">
      <c r="A2584" t="s">
        <v>2679</v>
      </c>
      <c r="B2584" s="3">
        <v>45557</v>
      </c>
      <c r="C2584" t="s">
        <v>449</v>
      </c>
      <c r="D2584" t="s">
        <v>41</v>
      </c>
      <c r="E2584" t="s">
        <v>22</v>
      </c>
      <c r="F2584" t="s">
        <v>56</v>
      </c>
      <c r="G2584" t="s">
        <v>13</v>
      </c>
      <c r="H2584">
        <v>8</v>
      </c>
    </row>
    <row r="2585" spans="1:8" ht="21.75" customHeight="1" x14ac:dyDescent="0.35">
      <c r="A2585" t="s">
        <v>2680</v>
      </c>
      <c r="B2585" s="3">
        <v>45578</v>
      </c>
      <c r="C2585" t="s">
        <v>9</v>
      </c>
      <c r="D2585" t="s">
        <v>87</v>
      </c>
      <c r="E2585" t="s">
        <v>17</v>
      </c>
      <c r="F2585" t="s">
        <v>56</v>
      </c>
      <c r="G2585" t="s">
        <v>28</v>
      </c>
      <c r="H2585">
        <v>7</v>
      </c>
    </row>
    <row r="2586" spans="1:8" ht="21.75" customHeight="1" x14ac:dyDescent="0.35">
      <c r="A2586" t="s">
        <v>2681</v>
      </c>
      <c r="B2586" s="3">
        <v>45466</v>
      </c>
      <c r="C2586" t="s">
        <v>150</v>
      </c>
      <c r="D2586" t="s">
        <v>41</v>
      </c>
      <c r="E2586" t="s">
        <v>17</v>
      </c>
      <c r="F2586" t="s">
        <v>27</v>
      </c>
      <c r="G2586" t="s">
        <v>36</v>
      </c>
      <c r="H2586">
        <v>11</v>
      </c>
    </row>
    <row r="2587" spans="1:8" ht="21.75" customHeight="1" x14ac:dyDescent="0.35">
      <c r="A2587" t="s">
        <v>2682</v>
      </c>
      <c r="B2587" s="3">
        <v>45581</v>
      </c>
      <c r="C2587" t="s">
        <v>118</v>
      </c>
      <c r="D2587" t="s">
        <v>109</v>
      </c>
      <c r="E2587" t="s">
        <v>17</v>
      </c>
      <c r="F2587" t="s">
        <v>27</v>
      </c>
      <c r="G2587" t="s">
        <v>32</v>
      </c>
      <c r="H2587">
        <v>6</v>
      </c>
    </row>
    <row r="2588" spans="1:8" ht="21.75" customHeight="1" x14ac:dyDescent="0.35">
      <c r="A2588" t="s">
        <v>2683</v>
      </c>
      <c r="B2588" s="3">
        <v>45313</v>
      </c>
      <c r="C2588" t="s">
        <v>432</v>
      </c>
      <c r="D2588" t="s">
        <v>197</v>
      </c>
      <c r="E2588" t="s">
        <v>11</v>
      </c>
      <c r="F2588" t="s">
        <v>56</v>
      </c>
      <c r="G2588" t="s">
        <v>28</v>
      </c>
      <c r="H2588">
        <v>15</v>
      </c>
    </row>
    <row r="2589" spans="1:8" ht="21.75" customHeight="1" x14ac:dyDescent="0.35">
      <c r="A2589" t="s">
        <v>2684</v>
      </c>
      <c r="B2589" s="3">
        <v>45414</v>
      </c>
      <c r="C2589" t="s">
        <v>517</v>
      </c>
      <c r="D2589" t="s">
        <v>84</v>
      </c>
      <c r="E2589" t="s">
        <v>17</v>
      </c>
      <c r="F2589" t="s">
        <v>27</v>
      </c>
      <c r="G2589" t="s">
        <v>28</v>
      </c>
      <c r="H2589">
        <v>13</v>
      </c>
    </row>
    <row r="2590" spans="1:8" ht="21.75" customHeight="1" x14ac:dyDescent="0.35">
      <c r="A2590" t="s">
        <v>2685</v>
      </c>
      <c r="B2590" s="3">
        <v>45295</v>
      </c>
      <c r="C2590" t="s">
        <v>83</v>
      </c>
      <c r="D2590" t="s">
        <v>96</v>
      </c>
      <c r="E2590" t="s">
        <v>11</v>
      </c>
      <c r="F2590" t="s">
        <v>42</v>
      </c>
      <c r="G2590" t="s">
        <v>13</v>
      </c>
      <c r="H2590">
        <v>18</v>
      </c>
    </row>
    <row r="2591" spans="1:8" ht="21.75" customHeight="1" x14ac:dyDescent="0.35">
      <c r="A2591" t="s">
        <v>2686</v>
      </c>
      <c r="B2591" s="3">
        <v>45440</v>
      </c>
      <c r="C2591" t="s">
        <v>396</v>
      </c>
      <c r="D2591" t="s">
        <v>65</v>
      </c>
      <c r="E2591" t="s">
        <v>22</v>
      </c>
      <c r="F2591" t="s">
        <v>306</v>
      </c>
      <c r="G2591" t="s">
        <v>32</v>
      </c>
      <c r="H2591">
        <v>2</v>
      </c>
    </row>
    <row r="2592" spans="1:8" ht="21.75" customHeight="1" x14ac:dyDescent="0.35">
      <c r="A2592" t="s">
        <v>2687</v>
      </c>
      <c r="B2592" s="3">
        <v>45393</v>
      </c>
      <c r="C2592" t="s">
        <v>104</v>
      </c>
      <c r="D2592" t="s">
        <v>74</v>
      </c>
      <c r="E2592" t="s">
        <v>11</v>
      </c>
      <c r="F2592" t="s">
        <v>56</v>
      </c>
      <c r="G2592" t="s">
        <v>32</v>
      </c>
      <c r="H2592">
        <v>6</v>
      </c>
    </row>
    <row r="2593" spans="1:8" ht="21.75" customHeight="1" x14ac:dyDescent="0.35">
      <c r="A2593" t="s">
        <v>2688</v>
      </c>
      <c r="B2593" s="3">
        <v>45575</v>
      </c>
      <c r="C2593" t="s">
        <v>78</v>
      </c>
      <c r="D2593" t="s">
        <v>45</v>
      </c>
      <c r="E2593" t="s">
        <v>11</v>
      </c>
      <c r="F2593" t="s">
        <v>12</v>
      </c>
      <c r="G2593" t="s">
        <v>28</v>
      </c>
      <c r="H2593">
        <v>9</v>
      </c>
    </row>
    <row r="2594" spans="1:8" ht="21.75" customHeight="1" x14ac:dyDescent="0.35">
      <c r="A2594" t="s">
        <v>2689</v>
      </c>
      <c r="B2594" s="3">
        <v>45302</v>
      </c>
      <c r="C2594" t="s">
        <v>422</v>
      </c>
      <c r="D2594" t="s">
        <v>16</v>
      </c>
      <c r="E2594" t="s">
        <v>17</v>
      </c>
      <c r="F2594" t="s">
        <v>12</v>
      </c>
      <c r="G2594" t="s">
        <v>32</v>
      </c>
      <c r="H2594">
        <v>7</v>
      </c>
    </row>
    <row r="2595" spans="1:8" ht="21.75" customHeight="1" x14ac:dyDescent="0.35">
      <c r="A2595" t="s">
        <v>2690</v>
      </c>
      <c r="B2595" s="3">
        <v>45414</v>
      </c>
      <c r="C2595" t="s">
        <v>200</v>
      </c>
      <c r="D2595" t="s">
        <v>48</v>
      </c>
      <c r="E2595" t="s">
        <v>22</v>
      </c>
      <c r="F2595" t="s">
        <v>56</v>
      </c>
      <c r="G2595" t="s">
        <v>36</v>
      </c>
      <c r="H2595">
        <v>20</v>
      </c>
    </row>
    <row r="2596" spans="1:8" ht="21.75" customHeight="1" x14ac:dyDescent="0.35">
      <c r="A2596" t="s">
        <v>2691</v>
      </c>
      <c r="B2596" s="3">
        <v>45656</v>
      </c>
      <c r="C2596" t="s">
        <v>58</v>
      </c>
      <c r="D2596" t="s">
        <v>102</v>
      </c>
      <c r="E2596" t="s">
        <v>11</v>
      </c>
      <c r="F2596" t="s">
        <v>56</v>
      </c>
      <c r="G2596" t="s">
        <v>28</v>
      </c>
      <c r="H2596">
        <v>7</v>
      </c>
    </row>
    <row r="2597" spans="1:8" ht="21.75" customHeight="1" x14ac:dyDescent="0.35">
      <c r="A2597" t="s">
        <v>2692</v>
      </c>
      <c r="B2597" s="3">
        <v>45647</v>
      </c>
      <c r="C2597" t="s">
        <v>200</v>
      </c>
      <c r="D2597" t="s">
        <v>72</v>
      </c>
      <c r="E2597" t="s">
        <v>22</v>
      </c>
      <c r="F2597" t="s">
        <v>27</v>
      </c>
      <c r="G2597" t="s">
        <v>28</v>
      </c>
      <c r="H2597">
        <v>2</v>
      </c>
    </row>
    <row r="2598" spans="1:8" ht="21.75" customHeight="1" x14ac:dyDescent="0.35">
      <c r="A2598" t="s">
        <v>2693</v>
      </c>
      <c r="B2598" s="3">
        <v>45592</v>
      </c>
      <c r="C2598" t="s">
        <v>150</v>
      </c>
      <c r="D2598" t="s">
        <v>174</v>
      </c>
      <c r="E2598" t="s">
        <v>17</v>
      </c>
      <c r="F2598" t="s">
        <v>56</v>
      </c>
      <c r="G2598" t="s">
        <v>32</v>
      </c>
      <c r="H2598">
        <v>8</v>
      </c>
    </row>
    <row r="2599" spans="1:8" ht="21.75" customHeight="1" x14ac:dyDescent="0.35">
      <c r="A2599" t="s">
        <v>2694</v>
      </c>
      <c r="B2599" s="3">
        <v>45435</v>
      </c>
      <c r="C2599" t="s">
        <v>34</v>
      </c>
      <c r="D2599" t="s">
        <v>160</v>
      </c>
      <c r="E2599" t="s">
        <v>22</v>
      </c>
      <c r="F2599" t="s">
        <v>27</v>
      </c>
      <c r="G2599" t="s">
        <v>28</v>
      </c>
      <c r="H2599">
        <v>3</v>
      </c>
    </row>
    <row r="2600" spans="1:8" ht="21.75" customHeight="1" x14ac:dyDescent="0.35">
      <c r="A2600" t="s">
        <v>2695</v>
      </c>
      <c r="B2600" s="3">
        <v>45631</v>
      </c>
      <c r="C2600" t="s">
        <v>594</v>
      </c>
      <c r="D2600" t="s">
        <v>10</v>
      </c>
      <c r="E2600" t="s">
        <v>11</v>
      </c>
      <c r="F2600" t="s">
        <v>306</v>
      </c>
      <c r="G2600" t="s">
        <v>23</v>
      </c>
      <c r="H2600">
        <v>17</v>
      </c>
    </row>
    <row r="2601" spans="1:8" ht="21.75" customHeight="1" x14ac:dyDescent="0.35">
      <c r="A2601" t="s">
        <v>2696</v>
      </c>
      <c r="B2601" s="3">
        <v>45557</v>
      </c>
      <c r="C2601" t="s">
        <v>319</v>
      </c>
      <c r="D2601" t="s">
        <v>45</v>
      </c>
      <c r="E2601" t="s">
        <v>17</v>
      </c>
      <c r="F2601" t="s">
        <v>42</v>
      </c>
      <c r="G2601" t="s">
        <v>36</v>
      </c>
      <c r="H2601">
        <v>16</v>
      </c>
    </row>
    <row r="2602" spans="1:8" ht="21.75" customHeight="1" x14ac:dyDescent="0.35">
      <c r="A2602" t="s">
        <v>2697</v>
      </c>
      <c r="B2602" s="3">
        <v>45545</v>
      </c>
      <c r="C2602" t="s">
        <v>553</v>
      </c>
      <c r="D2602" t="s">
        <v>26</v>
      </c>
      <c r="E2602" t="s">
        <v>22</v>
      </c>
      <c r="F2602" t="s">
        <v>27</v>
      </c>
      <c r="G2602" t="s">
        <v>36</v>
      </c>
      <c r="H2602">
        <v>2</v>
      </c>
    </row>
    <row r="2603" spans="1:8" ht="21.75" customHeight="1" x14ac:dyDescent="0.35">
      <c r="A2603" t="s">
        <v>2698</v>
      </c>
      <c r="B2603" s="3">
        <v>45395</v>
      </c>
      <c r="C2603" t="s">
        <v>430</v>
      </c>
      <c r="D2603" t="s">
        <v>197</v>
      </c>
      <c r="E2603" t="s">
        <v>17</v>
      </c>
      <c r="F2603" t="s">
        <v>56</v>
      </c>
      <c r="G2603" t="s">
        <v>32</v>
      </c>
      <c r="H2603">
        <v>14</v>
      </c>
    </row>
    <row r="2604" spans="1:8" ht="21.75" customHeight="1" x14ac:dyDescent="0.35">
      <c r="A2604" t="s">
        <v>2699</v>
      </c>
      <c r="B2604" s="3">
        <v>45584</v>
      </c>
      <c r="C2604" t="s">
        <v>111</v>
      </c>
      <c r="D2604" t="s">
        <v>48</v>
      </c>
      <c r="E2604" t="s">
        <v>17</v>
      </c>
      <c r="F2604" t="s">
        <v>306</v>
      </c>
      <c r="G2604" t="s">
        <v>13</v>
      </c>
      <c r="H2604">
        <v>5</v>
      </c>
    </row>
    <row r="2605" spans="1:8" ht="21.75" customHeight="1" x14ac:dyDescent="0.35">
      <c r="A2605" t="s">
        <v>2700</v>
      </c>
      <c r="B2605" s="3">
        <v>45443</v>
      </c>
      <c r="C2605" t="s">
        <v>396</v>
      </c>
      <c r="D2605" t="s">
        <v>160</v>
      </c>
      <c r="E2605" t="s">
        <v>17</v>
      </c>
      <c r="F2605" t="s">
        <v>56</v>
      </c>
      <c r="G2605" t="s">
        <v>36</v>
      </c>
      <c r="H2605">
        <v>2</v>
      </c>
    </row>
    <row r="2606" spans="1:8" ht="21.75" customHeight="1" x14ac:dyDescent="0.35">
      <c r="A2606" t="s">
        <v>2701</v>
      </c>
      <c r="B2606" s="3">
        <v>45610</v>
      </c>
      <c r="C2606" t="s">
        <v>47</v>
      </c>
      <c r="D2606" t="s">
        <v>87</v>
      </c>
      <c r="E2606" t="s">
        <v>17</v>
      </c>
      <c r="F2606" t="s">
        <v>27</v>
      </c>
      <c r="G2606" t="s">
        <v>23</v>
      </c>
      <c r="H2606">
        <v>14</v>
      </c>
    </row>
    <row r="2607" spans="1:8" ht="21.75" customHeight="1" x14ac:dyDescent="0.35">
      <c r="A2607" t="s">
        <v>2702</v>
      </c>
      <c r="B2607" s="3">
        <v>45546</v>
      </c>
      <c r="C2607" t="s">
        <v>38</v>
      </c>
      <c r="D2607" t="s">
        <v>26</v>
      </c>
      <c r="E2607" t="s">
        <v>17</v>
      </c>
      <c r="F2607" t="s">
        <v>12</v>
      </c>
      <c r="G2607" t="s">
        <v>28</v>
      </c>
      <c r="H2607">
        <v>15</v>
      </c>
    </row>
    <row r="2608" spans="1:8" ht="21.75" customHeight="1" x14ac:dyDescent="0.35">
      <c r="A2608" t="s">
        <v>2703</v>
      </c>
      <c r="B2608" s="3">
        <v>45622</v>
      </c>
      <c r="C2608" t="s">
        <v>208</v>
      </c>
      <c r="D2608" t="s">
        <v>48</v>
      </c>
      <c r="E2608" t="s">
        <v>11</v>
      </c>
      <c r="F2608" t="s">
        <v>42</v>
      </c>
      <c r="G2608" t="s">
        <v>36</v>
      </c>
      <c r="H2608">
        <v>17</v>
      </c>
    </row>
    <row r="2609" spans="1:8" ht="21.75" customHeight="1" x14ac:dyDescent="0.35">
      <c r="A2609" t="s">
        <v>2704</v>
      </c>
      <c r="B2609" s="3">
        <v>45332</v>
      </c>
      <c r="C2609" t="s">
        <v>728</v>
      </c>
      <c r="D2609" t="s">
        <v>26</v>
      </c>
      <c r="E2609" t="s">
        <v>11</v>
      </c>
      <c r="F2609" t="s">
        <v>12</v>
      </c>
      <c r="G2609" t="s">
        <v>13</v>
      </c>
      <c r="H2609">
        <v>3</v>
      </c>
    </row>
    <row r="2610" spans="1:8" ht="21.75" customHeight="1" x14ac:dyDescent="0.35">
      <c r="A2610" t="s">
        <v>2705</v>
      </c>
      <c r="B2610" s="3">
        <v>45571</v>
      </c>
      <c r="C2610" t="s">
        <v>104</v>
      </c>
      <c r="D2610" t="s">
        <v>72</v>
      </c>
      <c r="E2610" t="s">
        <v>11</v>
      </c>
      <c r="F2610" t="s">
        <v>42</v>
      </c>
      <c r="G2610" t="s">
        <v>32</v>
      </c>
      <c r="H2610">
        <v>10</v>
      </c>
    </row>
    <row r="2611" spans="1:8" ht="21.75" customHeight="1" x14ac:dyDescent="0.35">
      <c r="A2611" t="s">
        <v>2706</v>
      </c>
      <c r="B2611" s="3">
        <v>45641</v>
      </c>
      <c r="C2611" t="s">
        <v>89</v>
      </c>
      <c r="D2611" t="s">
        <v>65</v>
      </c>
      <c r="E2611" t="s">
        <v>22</v>
      </c>
      <c r="F2611" t="s">
        <v>306</v>
      </c>
      <c r="G2611" t="s">
        <v>28</v>
      </c>
      <c r="H2611">
        <v>18</v>
      </c>
    </row>
    <row r="2612" spans="1:8" ht="21.75" customHeight="1" x14ac:dyDescent="0.35">
      <c r="A2612" t="s">
        <v>2707</v>
      </c>
      <c r="B2612" s="3">
        <v>45296</v>
      </c>
      <c r="C2612" t="s">
        <v>337</v>
      </c>
      <c r="D2612" t="s">
        <v>74</v>
      </c>
      <c r="E2612" t="s">
        <v>17</v>
      </c>
      <c r="F2612" t="s">
        <v>42</v>
      </c>
      <c r="G2612" t="s">
        <v>23</v>
      </c>
      <c r="H2612">
        <v>13</v>
      </c>
    </row>
    <row r="2613" spans="1:8" ht="21.75" customHeight="1" x14ac:dyDescent="0.35">
      <c r="A2613" t="s">
        <v>2708</v>
      </c>
      <c r="B2613" s="3">
        <v>45627</v>
      </c>
      <c r="C2613" t="s">
        <v>142</v>
      </c>
      <c r="D2613" t="s">
        <v>35</v>
      </c>
      <c r="E2613" t="s">
        <v>22</v>
      </c>
      <c r="F2613" t="s">
        <v>306</v>
      </c>
      <c r="G2613" t="s">
        <v>28</v>
      </c>
      <c r="H2613">
        <v>13</v>
      </c>
    </row>
    <row r="2614" spans="1:8" ht="21.75" customHeight="1" x14ac:dyDescent="0.35">
      <c r="A2614" t="s">
        <v>2709</v>
      </c>
      <c r="B2614" s="3">
        <v>45399</v>
      </c>
      <c r="C2614" t="s">
        <v>553</v>
      </c>
      <c r="D2614" t="s">
        <v>197</v>
      </c>
      <c r="E2614" t="s">
        <v>22</v>
      </c>
      <c r="F2614" t="s">
        <v>306</v>
      </c>
      <c r="G2614" t="s">
        <v>36</v>
      </c>
      <c r="H2614">
        <v>15</v>
      </c>
    </row>
    <row r="2615" spans="1:8" ht="21.75" customHeight="1" x14ac:dyDescent="0.35">
      <c r="A2615" t="s">
        <v>2710</v>
      </c>
      <c r="B2615" s="3">
        <v>45528</v>
      </c>
      <c r="C2615" t="s">
        <v>47</v>
      </c>
      <c r="D2615" t="s">
        <v>10</v>
      </c>
      <c r="E2615" t="s">
        <v>17</v>
      </c>
      <c r="F2615" t="s">
        <v>56</v>
      </c>
      <c r="G2615" t="s">
        <v>23</v>
      </c>
      <c r="H2615">
        <v>14</v>
      </c>
    </row>
    <row r="2616" spans="1:8" ht="21.75" customHeight="1" x14ac:dyDescent="0.35">
      <c r="A2616" t="s">
        <v>2711</v>
      </c>
      <c r="B2616" s="3">
        <v>45522</v>
      </c>
      <c r="C2616" t="s">
        <v>642</v>
      </c>
      <c r="D2616" t="s">
        <v>96</v>
      </c>
      <c r="E2616" t="s">
        <v>17</v>
      </c>
      <c r="F2616" t="s">
        <v>56</v>
      </c>
      <c r="G2616" t="s">
        <v>36</v>
      </c>
      <c r="H2616">
        <v>5</v>
      </c>
    </row>
    <row r="2617" spans="1:8" ht="21.75" customHeight="1" x14ac:dyDescent="0.35">
      <c r="A2617" t="s">
        <v>2712</v>
      </c>
      <c r="B2617" s="3">
        <v>45296</v>
      </c>
      <c r="C2617" t="s">
        <v>432</v>
      </c>
      <c r="D2617" t="s">
        <v>41</v>
      </c>
      <c r="E2617" t="s">
        <v>17</v>
      </c>
      <c r="F2617" t="s">
        <v>42</v>
      </c>
      <c r="G2617" t="s">
        <v>28</v>
      </c>
      <c r="H2617">
        <v>14</v>
      </c>
    </row>
    <row r="2618" spans="1:8" ht="21.75" customHeight="1" x14ac:dyDescent="0.35">
      <c r="A2618" t="s">
        <v>2713</v>
      </c>
      <c r="B2618" s="3">
        <v>45498</v>
      </c>
      <c r="C2618" t="s">
        <v>332</v>
      </c>
      <c r="D2618" t="s">
        <v>119</v>
      </c>
      <c r="E2618" t="s">
        <v>22</v>
      </c>
      <c r="F2618" t="s">
        <v>306</v>
      </c>
      <c r="G2618" t="s">
        <v>32</v>
      </c>
      <c r="H2618">
        <v>11</v>
      </c>
    </row>
    <row r="2619" spans="1:8" ht="21.75" customHeight="1" x14ac:dyDescent="0.35">
      <c r="A2619" t="s">
        <v>2714</v>
      </c>
      <c r="B2619" s="3">
        <v>45582</v>
      </c>
      <c r="C2619" t="s">
        <v>728</v>
      </c>
      <c r="D2619" t="s">
        <v>79</v>
      </c>
      <c r="E2619" t="s">
        <v>11</v>
      </c>
      <c r="F2619" t="s">
        <v>56</v>
      </c>
      <c r="G2619" t="s">
        <v>32</v>
      </c>
      <c r="H2619">
        <v>19</v>
      </c>
    </row>
    <row r="2620" spans="1:8" ht="21.75" customHeight="1" x14ac:dyDescent="0.35">
      <c r="A2620" t="s">
        <v>2715</v>
      </c>
      <c r="B2620" s="3">
        <v>45600</v>
      </c>
      <c r="C2620" t="s">
        <v>493</v>
      </c>
      <c r="D2620" t="s">
        <v>59</v>
      </c>
      <c r="E2620" t="s">
        <v>17</v>
      </c>
      <c r="F2620" t="s">
        <v>27</v>
      </c>
      <c r="G2620" t="s">
        <v>28</v>
      </c>
      <c r="H2620">
        <v>13</v>
      </c>
    </row>
    <row r="2621" spans="1:8" ht="21.75" customHeight="1" x14ac:dyDescent="0.35">
      <c r="A2621" t="s">
        <v>2716</v>
      </c>
      <c r="B2621" s="3">
        <v>45489</v>
      </c>
      <c r="C2621" t="s">
        <v>150</v>
      </c>
      <c r="D2621" t="s">
        <v>35</v>
      </c>
      <c r="E2621" t="s">
        <v>11</v>
      </c>
      <c r="F2621" t="s">
        <v>42</v>
      </c>
      <c r="G2621" t="s">
        <v>36</v>
      </c>
      <c r="H2621">
        <v>15</v>
      </c>
    </row>
    <row r="2622" spans="1:8" ht="21.75" customHeight="1" x14ac:dyDescent="0.35">
      <c r="A2622" t="s">
        <v>2717</v>
      </c>
      <c r="B2622" s="3">
        <v>45447</v>
      </c>
      <c r="C2622" t="s">
        <v>203</v>
      </c>
      <c r="D2622" t="s">
        <v>45</v>
      </c>
      <c r="E2622" t="s">
        <v>11</v>
      </c>
      <c r="F2622" t="s">
        <v>306</v>
      </c>
      <c r="G2622" t="s">
        <v>28</v>
      </c>
      <c r="H2622">
        <v>2</v>
      </c>
    </row>
    <row r="2623" spans="1:8" ht="21.75" customHeight="1" x14ac:dyDescent="0.35">
      <c r="A2623" t="s">
        <v>2718</v>
      </c>
      <c r="B2623" s="3">
        <v>45600</v>
      </c>
      <c r="C2623" t="s">
        <v>374</v>
      </c>
      <c r="D2623" t="s">
        <v>96</v>
      </c>
      <c r="E2623" t="s">
        <v>11</v>
      </c>
      <c r="F2623" t="s">
        <v>56</v>
      </c>
      <c r="G2623" t="s">
        <v>13</v>
      </c>
      <c r="H2623">
        <v>13</v>
      </c>
    </row>
    <row r="2624" spans="1:8" ht="21.75" customHeight="1" x14ac:dyDescent="0.35">
      <c r="A2624" t="s">
        <v>2719</v>
      </c>
      <c r="B2624" s="3">
        <v>45411</v>
      </c>
      <c r="C2624" t="s">
        <v>61</v>
      </c>
      <c r="D2624" t="s">
        <v>41</v>
      </c>
      <c r="E2624" t="s">
        <v>22</v>
      </c>
      <c r="F2624" t="s">
        <v>12</v>
      </c>
      <c r="G2624" t="s">
        <v>23</v>
      </c>
      <c r="H2624">
        <v>2</v>
      </c>
    </row>
    <row r="2625" spans="1:8" ht="21.75" customHeight="1" x14ac:dyDescent="0.35">
      <c r="A2625" t="s">
        <v>2720</v>
      </c>
      <c r="B2625" s="3">
        <v>45297</v>
      </c>
      <c r="C2625" t="s">
        <v>30</v>
      </c>
      <c r="D2625" t="s">
        <v>72</v>
      </c>
      <c r="E2625" t="s">
        <v>17</v>
      </c>
      <c r="F2625" t="s">
        <v>27</v>
      </c>
      <c r="G2625" t="s">
        <v>28</v>
      </c>
      <c r="H2625">
        <v>4</v>
      </c>
    </row>
    <row r="2626" spans="1:8" ht="21.75" customHeight="1" x14ac:dyDescent="0.35">
      <c r="A2626" t="s">
        <v>2721</v>
      </c>
      <c r="B2626" s="3">
        <v>45506</v>
      </c>
      <c r="C2626" t="s">
        <v>517</v>
      </c>
      <c r="D2626" t="s">
        <v>84</v>
      </c>
      <c r="E2626" t="s">
        <v>11</v>
      </c>
      <c r="F2626" t="s">
        <v>27</v>
      </c>
      <c r="G2626" t="s">
        <v>28</v>
      </c>
      <c r="H2626">
        <v>5</v>
      </c>
    </row>
    <row r="2627" spans="1:8" ht="21.75" customHeight="1" x14ac:dyDescent="0.35">
      <c r="A2627" t="s">
        <v>2722</v>
      </c>
      <c r="B2627" s="3">
        <v>45450</v>
      </c>
      <c r="C2627" t="s">
        <v>348</v>
      </c>
      <c r="D2627" t="s">
        <v>62</v>
      </c>
      <c r="E2627" t="s">
        <v>22</v>
      </c>
      <c r="F2627" t="s">
        <v>27</v>
      </c>
      <c r="G2627" t="s">
        <v>28</v>
      </c>
      <c r="H2627">
        <v>20</v>
      </c>
    </row>
    <row r="2628" spans="1:8" ht="21.75" customHeight="1" x14ac:dyDescent="0.35">
      <c r="A2628" t="s">
        <v>2723</v>
      </c>
      <c r="B2628" s="3">
        <v>45450</v>
      </c>
      <c r="C2628" t="s">
        <v>449</v>
      </c>
      <c r="D2628" t="s">
        <v>65</v>
      </c>
      <c r="E2628" t="s">
        <v>22</v>
      </c>
      <c r="F2628" t="s">
        <v>27</v>
      </c>
      <c r="G2628" t="s">
        <v>32</v>
      </c>
      <c r="H2628">
        <v>7</v>
      </c>
    </row>
    <row r="2629" spans="1:8" ht="21.75" customHeight="1" x14ac:dyDescent="0.35">
      <c r="A2629" t="s">
        <v>2724</v>
      </c>
      <c r="B2629" s="3">
        <v>45365</v>
      </c>
      <c r="C2629" t="s">
        <v>430</v>
      </c>
      <c r="D2629" t="s">
        <v>10</v>
      </c>
      <c r="E2629" t="s">
        <v>17</v>
      </c>
      <c r="F2629" t="s">
        <v>306</v>
      </c>
      <c r="G2629" t="s">
        <v>28</v>
      </c>
      <c r="H2629">
        <v>17</v>
      </c>
    </row>
    <row r="2630" spans="1:8" ht="21.75" customHeight="1" x14ac:dyDescent="0.35">
      <c r="A2630" t="s">
        <v>2725</v>
      </c>
      <c r="B2630" s="3">
        <v>45583</v>
      </c>
      <c r="C2630" t="s">
        <v>374</v>
      </c>
      <c r="D2630" t="s">
        <v>70</v>
      </c>
      <c r="E2630" t="s">
        <v>17</v>
      </c>
      <c r="F2630" t="s">
        <v>306</v>
      </c>
      <c r="G2630" t="s">
        <v>13</v>
      </c>
      <c r="H2630">
        <v>3</v>
      </c>
    </row>
    <row r="2631" spans="1:8" ht="21.75" customHeight="1" x14ac:dyDescent="0.35">
      <c r="A2631" t="s">
        <v>2726</v>
      </c>
      <c r="B2631" s="3">
        <v>45525</v>
      </c>
      <c r="C2631" t="s">
        <v>20</v>
      </c>
      <c r="D2631" t="s">
        <v>62</v>
      </c>
      <c r="E2631" t="s">
        <v>22</v>
      </c>
      <c r="F2631" t="s">
        <v>42</v>
      </c>
      <c r="G2631" t="s">
        <v>23</v>
      </c>
      <c r="H2631">
        <v>20</v>
      </c>
    </row>
    <row r="2632" spans="1:8" ht="21.75" customHeight="1" x14ac:dyDescent="0.35">
      <c r="A2632" t="s">
        <v>2727</v>
      </c>
      <c r="B2632" s="3">
        <v>45381</v>
      </c>
      <c r="C2632" t="s">
        <v>572</v>
      </c>
      <c r="D2632" t="s">
        <v>197</v>
      </c>
      <c r="E2632" t="s">
        <v>11</v>
      </c>
      <c r="F2632" t="s">
        <v>306</v>
      </c>
      <c r="G2632" t="s">
        <v>23</v>
      </c>
      <c r="H2632">
        <v>15</v>
      </c>
    </row>
    <row r="2633" spans="1:8" ht="21.75" customHeight="1" x14ac:dyDescent="0.35">
      <c r="A2633" t="s">
        <v>2728</v>
      </c>
      <c r="B2633" s="3">
        <v>45629</v>
      </c>
      <c r="C2633" t="s">
        <v>44</v>
      </c>
      <c r="D2633" t="s">
        <v>62</v>
      </c>
      <c r="E2633" t="s">
        <v>22</v>
      </c>
      <c r="F2633" t="s">
        <v>12</v>
      </c>
      <c r="G2633" t="s">
        <v>23</v>
      </c>
      <c r="H2633">
        <v>2</v>
      </c>
    </row>
    <row r="2634" spans="1:8" ht="21.75" customHeight="1" x14ac:dyDescent="0.35">
      <c r="A2634" t="s">
        <v>2729</v>
      </c>
      <c r="B2634" s="3">
        <v>45372</v>
      </c>
      <c r="C2634" t="s">
        <v>89</v>
      </c>
      <c r="D2634" t="s">
        <v>21</v>
      </c>
      <c r="E2634" t="s">
        <v>22</v>
      </c>
      <c r="F2634" t="s">
        <v>42</v>
      </c>
      <c r="G2634" t="s">
        <v>13</v>
      </c>
      <c r="H2634">
        <v>7</v>
      </c>
    </row>
    <row r="2635" spans="1:8" ht="21.75" customHeight="1" x14ac:dyDescent="0.35">
      <c r="A2635" t="s">
        <v>2730</v>
      </c>
      <c r="B2635" s="3">
        <v>45502</v>
      </c>
      <c r="C2635" t="s">
        <v>332</v>
      </c>
      <c r="D2635" t="s">
        <v>174</v>
      </c>
      <c r="E2635" t="s">
        <v>11</v>
      </c>
      <c r="F2635" t="s">
        <v>42</v>
      </c>
      <c r="G2635" t="s">
        <v>13</v>
      </c>
      <c r="H2635">
        <v>4</v>
      </c>
    </row>
    <row r="2636" spans="1:8" ht="21.75" customHeight="1" x14ac:dyDescent="0.35">
      <c r="A2636" t="s">
        <v>2731</v>
      </c>
      <c r="B2636" s="3">
        <v>45458</v>
      </c>
      <c r="C2636" t="s">
        <v>408</v>
      </c>
      <c r="D2636" t="s">
        <v>70</v>
      </c>
      <c r="E2636" t="s">
        <v>11</v>
      </c>
      <c r="F2636" t="s">
        <v>42</v>
      </c>
      <c r="G2636" t="s">
        <v>28</v>
      </c>
      <c r="H2636">
        <v>17</v>
      </c>
    </row>
    <row r="2637" spans="1:8" ht="21.75" customHeight="1" x14ac:dyDescent="0.35">
      <c r="A2637" t="s">
        <v>2732</v>
      </c>
      <c r="B2637" s="3">
        <v>45305</v>
      </c>
      <c r="C2637" t="s">
        <v>208</v>
      </c>
      <c r="D2637" t="s">
        <v>21</v>
      </c>
      <c r="E2637" t="s">
        <v>22</v>
      </c>
      <c r="F2637" t="s">
        <v>27</v>
      </c>
      <c r="G2637" t="s">
        <v>23</v>
      </c>
      <c r="H2637">
        <v>11</v>
      </c>
    </row>
    <row r="2638" spans="1:8" ht="21.75" customHeight="1" x14ac:dyDescent="0.35">
      <c r="A2638" t="s">
        <v>2733</v>
      </c>
      <c r="B2638" s="3">
        <v>45391</v>
      </c>
      <c r="C2638" t="s">
        <v>106</v>
      </c>
      <c r="D2638" t="s">
        <v>79</v>
      </c>
      <c r="E2638" t="s">
        <v>11</v>
      </c>
      <c r="F2638" t="s">
        <v>42</v>
      </c>
      <c r="G2638" t="s">
        <v>13</v>
      </c>
      <c r="H2638">
        <v>5</v>
      </c>
    </row>
    <row r="2639" spans="1:8" ht="21.75" customHeight="1" x14ac:dyDescent="0.35">
      <c r="A2639" t="s">
        <v>2734</v>
      </c>
      <c r="B2639" s="3">
        <v>45529</v>
      </c>
      <c r="C2639" t="s">
        <v>374</v>
      </c>
      <c r="D2639" t="s">
        <v>70</v>
      </c>
      <c r="E2639" t="s">
        <v>11</v>
      </c>
      <c r="F2639" t="s">
        <v>12</v>
      </c>
      <c r="G2639" t="s">
        <v>36</v>
      </c>
      <c r="H2639">
        <v>8</v>
      </c>
    </row>
    <row r="2640" spans="1:8" ht="21.75" customHeight="1" x14ac:dyDescent="0.35">
      <c r="A2640" t="s">
        <v>2735</v>
      </c>
      <c r="B2640" s="3">
        <v>45516</v>
      </c>
      <c r="C2640" t="s">
        <v>99</v>
      </c>
      <c r="D2640" t="s">
        <v>35</v>
      </c>
      <c r="E2640" t="s">
        <v>17</v>
      </c>
      <c r="F2640" t="s">
        <v>56</v>
      </c>
      <c r="G2640" t="s">
        <v>28</v>
      </c>
      <c r="H2640">
        <v>1</v>
      </c>
    </row>
    <row r="2641" spans="1:8" ht="21.75" customHeight="1" x14ac:dyDescent="0.35">
      <c r="A2641" t="s">
        <v>2736</v>
      </c>
      <c r="B2641" s="3">
        <v>45382</v>
      </c>
      <c r="C2641" t="s">
        <v>61</v>
      </c>
      <c r="D2641" t="s">
        <v>102</v>
      </c>
      <c r="E2641" t="s">
        <v>22</v>
      </c>
      <c r="F2641" t="s">
        <v>27</v>
      </c>
      <c r="G2641" t="s">
        <v>28</v>
      </c>
      <c r="H2641">
        <v>3</v>
      </c>
    </row>
    <row r="2642" spans="1:8" ht="21.75" customHeight="1" x14ac:dyDescent="0.35">
      <c r="A2642" t="s">
        <v>2737</v>
      </c>
      <c r="B2642" s="3">
        <v>45297</v>
      </c>
      <c r="C2642" t="s">
        <v>422</v>
      </c>
      <c r="D2642" t="s">
        <v>26</v>
      </c>
      <c r="E2642" t="s">
        <v>11</v>
      </c>
      <c r="F2642" t="s">
        <v>27</v>
      </c>
      <c r="G2642" t="s">
        <v>32</v>
      </c>
      <c r="H2642">
        <v>6</v>
      </c>
    </row>
    <row r="2643" spans="1:8" ht="21.75" customHeight="1" x14ac:dyDescent="0.35">
      <c r="A2643" t="s">
        <v>2738</v>
      </c>
      <c r="B2643" s="3">
        <v>45309</v>
      </c>
      <c r="C2643" t="s">
        <v>422</v>
      </c>
      <c r="D2643" t="s">
        <v>174</v>
      </c>
      <c r="E2643" t="s">
        <v>11</v>
      </c>
      <c r="F2643" t="s">
        <v>27</v>
      </c>
      <c r="G2643" t="s">
        <v>13</v>
      </c>
      <c r="H2643">
        <v>17</v>
      </c>
    </row>
    <row r="2644" spans="1:8" ht="21.75" customHeight="1" x14ac:dyDescent="0.35">
      <c r="A2644" t="s">
        <v>2739</v>
      </c>
      <c r="B2644" s="3">
        <v>45629</v>
      </c>
      <c r="C2644" t="s">
        <v>15</v>
      </c>
      <c r="D2644" t="s">
        <v>31</v>
      </c>
      <c r="E2644" t="s">
        <v>22</v>
      </c>
      <c r="F2644" t="s">
        <v>42</v>
      </c>
      <c r="G2644" t="s">
        <v>23</v>
      </c>
      <c r="H2644">
        <v>2</v>
      </c>
    </row>
    <row r="2645" spans="1:8" ht="21.75" customHeight="1" x14ac:dyDescent="0.35">
      <c r="A2645" t="s">
        <v>2740</v>
      </c>
      <c r="B2645" s="3">
        <v>45316</v>
      </c>
      <c r="C2645" t="s">
        <v>337</v>
      </c>
      <c r="D2645" t="s">
        <v>31</v>
      </c>
      <c r="E2645" t="s">
        <v>11</v>
      </c>
      <c r="F2645" t="s">
        <v>56</v>
      </c>
      <c r="G2645" t="s">
        <v>32</v>
      </c>
      <c r="H2645">
        <v>8</v>
      </c>
    </row>
    <row r="2646" spans="1:8" ht="21.75" customHeight="1" x14ac:dyDescent="0.35">
      <c r="A2646" t="s">
        <v>2741</v>
      </c>
      <c r="B2646" s="3">
        <v>45300</v>
      </c>
      <c r="C2646" t="s">
        <v>572</v>
      </c>
      <c r="D2646" t="s">
        <v>96</v>
      </c>
      <c r="E2646" t="s">
        <v>11</v>
      </c>
      <c r="F2646" t="s">
        <v>42</v>
      </c>
      <c r="G2646" t="s">
        <v>28</v>
      </c>
      <c r="H2646">
        <v>3</v>
      </c>
    </row>
    <row r="2647" spans="1:8" ht="21.75" customHeight="1" x14ac:dyDescent="0.35">
      <c r="A2647" t="s">
        <v>2742</v>
      </c>
      <c r="B2647" s="3">
        <v>45341</v>
      </c>
      <c r="C2647" t="s">
        <v>317</v>
      </c>
      <c r="D2647" t="s">
        <v>45</v>
      </c>
      <c r="E2647" t="s">
        <v>22</v>
      </c>
      <c r="F2647" t="s">
        <v>56</v>
      </c>
      <c r="G2647" t="s">
        <v>13</v>
      </c>
      <c r="H2647">
        <v>14</v>
      </c>
    </row>
    <row r="2648" spans="1:8" ht="21.75" customHeight="1" x14ac:dyDescent="0.35">
      <c r="A2648" t="s">
        <v>2743</v>
      </c>
      <c r="B2648" s="3">
        <v>45459</v>
      </c>
      <c r="C2648" t="s">
        <v>187</v>
      </c>
      <c r="D2648" t="s">
        <v>174</v>
      </c>
      <c r="E2648" t="s">
        <v>22</v>
      </c>
      <c r="F2648" t="s">
        <v>56</v>
      </c>
      <c r="G2648" t="s">
        <v>36</v>
      </c>
      <c r="H2648">
        <v>7</v>
      </c>
    </row>
    <row r="2649" spans="1:8" ht="21.75" customHeight="1" x14ac:dyDescent="0.35">
      <c r="A2649" t="s">
        <v>2744</v>
      </c>
      <c r="B2649" s="3">
        <v>45494</v>
      </c>
      <c r="C2649" t="s">
        <v>309</v>
      </c>
      <c r="D2649" t="s">
        <v>102</v>
      </c>
      <c r="E2649" t="s">
        <v>11</v>
      </c>
      <c r="F2649" t="s">
        <v>56</v>
      </c>
      <c r="G2649" t="s">
        <v>13</v>
      </c>
      <c r="H2649">
        <v>12</v>
      </c>
    </row>
    <row r="2650" spans="1:8" ht="21.75" customHeight="1" x14ac:dyDescent="0.35">
      <c r="A2650" t="s">
        <v>2745</v>
      </c>
      <c r="B2650" s="3">
        <v>45299</v>
      </c>
      <c r="C2650" t="s">
        <v>341</v>
      </c>
      <c r="D2650" t="s">
        <v>21</v>
      </c>
      <c r="E2650" t="s">
        <v>17</v>
      </c>
      <c r="F2650" t="s">
        <v>12</v>
      </c>
      <c r="G2650" t="s">
        <v>23</v>
      </c>
      <c r="H2650">
        <v>7</v>
      </c>
    </row>
    <row r="2651" spans="1:8" ht="21.75" customHeight="1" x14ac:dyDescent="0.35">
      <c r="A2651" t="s">
        <v>2746</v>
      </c>
      <c r="B2651" s="3">
        <v>45325</v>
      </c>
      <c r="C2651" t="s">
        <v>371</v>
      </c>
      <c r="D2651" t="s">
        <v>26</v>
      </c>
      <c r="E2651" t="s">
        <v>22</v>
      </c>
      <c r="F2651" t="s">
        <v>306</v>
      </c>
      <c r="G2651" t="s">
        <v>32</v>
      </c>
      <c r="H2651">
        <v>2</v>
      </c>
    </row>
    <row r="2652" spans="1:8" ht="21.75" customHeight="1" x14ac:dyDescent="0.35">
      <c r="A2652" t="s">
        <v>2747</v>
      </c>
      <c r="B2652" s="3">
        <v>45403</v>
      </c>
      <c r="C2652" t="s">
        <v>408</v>
      </c>
      <c r="D2652" t="s">
        <v>74</v>
      </c>
      <c r="E2652" t="s">
        <v>22</v>
      </c>
      <c r="F2652" t="s">
        <v>27</v>
      </c>
      <c r="G2652" t="s">
        <v>13</v>
      </c>
      <c r="H2652">
        <v>18</v>
      </c>
    </row>
    <row r="2653" spans="1:8" ht="21.75" customHeight="1" x14ac:dyDescent="0.35">
      <c r="A2653" t="s">
        <v>2748</v>
      </c>
      <c r="B2653" s="3">
        <v>45583</v>
      </c>
      <c r="C2653" t="s">
        <v>30</v>
      </c>
      <c r="D2653" t="s">
        <v>26</v>
      </c>
      <c r="E2653" t="s">
        <v>11</v>
      </c>
      <c r="F2653" t="s">
        <v>306</v>
      </c>
      <c r="G2653" t="s">
        <v>32</v>
      </c>
      <c r="H2653">
        <v>13</v>
      </c>
    </row>
    <row r="2654" spans="1:8" ht="21.75" customHeight="1" x14ac:dyDescent="0.35">
      <c r="A2654" t="s">
        <v>2749</v>
      </c>
      <c r="B2654" s="3">
        <v>45647</v>
      </c>
      <c r="C2654" t="s">
        <v>99</v>
      </c>
      <c r="D2654" t="s">
        <v>72</v>
      </c>
      <c r="E2654" t="s">
        <v>11</v>
      </c>
      <c r="F2654" t="s">
        <v>42</v>
      </c>
      <c r="G2654" t="s">
        <v>23</v>
      </c>
      <c r="H2654">
        <v>3</v>
      </c>
    </row>
    <row r="2655" spans="1:8" ht="21.75" customHeight="1" x14ac:dyDescent="0.35">
      <c r="A2655" t="s">
        <v>2750</v>
      </c>
      <c r="B2655" s="3">
        <v>45603</v>
      </c>
      <c r="C2655" t="s">
        <v>361</v>
      </c>
      <c r="D2655" t="s">
        <v>70</v>
      </c>
      <c r="E2655" t="s">
        <v>17</v>
      </c>
      <c r="F2655" t="s">
        <v>306</v>
      </c>
      <c r="G2655" t="s">
        <v>28</v>
      </c>
      <c r="H2655">
        <v>17</v>
      </c>
    </row>
    <row r="2656" spans="1:8" ht="21.75" customHeight="1" x14ac:dyDescent="0.35">
      <c r="A2656" t="s">
        <v>2751</v>
      </c>
      <c r="B2656" s="3">
        <v>45298</v>
      </c>
      <c r="C2656" t="s">
        <v>51</v>
      </c>
      <c r="D2656" t="s">
        <v>96</v>
      </c>
      <c r="E2656" t="s">
        <v>22</v>
      </c>
      <c r="F2656" t="s">
        <v>12</v>
      </c>
      <c r="G2656" t="s">
        <v>32</v>
      </c>
      <c r="H2656">
        <v>8</v>
      </c>
    </row>
    <row r="2657" spans="1:8" ht="21.75" customHeight="1" x14ac:dyDescent="0.35">
      <c r="A2657" t="s">
        <v>2752</v>
      </c>
      <c r="B2657" s="3">
        <v>45416</v>
      </c>
      <c r="C2657" t="s">
        <v>381</v>
      </c>
      <c r="D2657" t="s">
        <v>10</v>
      </c>
      <c r="E2657" t="s">
        <v>11</v>
      </c>
      <c r="F2657" t="s">
        <v>56</v>
      </c>
      <c r="G2657" t="s">
        <v>32</v>
      </c>
      <c r="H2657">
        <v>16</v>
      </c>
    </row>
    <row r="2658" spans="1:8" ht="21.75" customHeight="1" x14ac:dyDescent="0.35">
      <c r="A2658" t="s">
        <v>2753</v>
      </c>
      <c r="B2658" s="3">
        <v>45369</v>
      </c>
      <c r="C2658" t="s">
        <v>159</v>
      </c>
      <c r="D2658" t="s">
        <v>65</v>
      </c>
      <c r="E2658" t="s">
        <v>22</v>
      </c>
      <c r="F2658" t="s">
        <v>12</v>
      </c>
      <c r="G2658" t="s">
        <v>28</v>
      </c>
      <c r="H2658">
        <v>20</v>
      </c>
    </row>
    <row r="2659" spans="1:8" ht="21.75" customHeight="1" x14ac:dyDescent="0.35">
      <c r="A2659" t="s">
        <v>2754</v>
      </c>
      <c r="B2659" s="3">
        <v>45519</v>
      </c>
      <c r="C2659" t="s">
        <v>304</v>
      </c>
      <c r="D2659" t="s">
        <v>72</v>
      </c>
      <c r="E2659" t="s">
        <v>11</v>
      </c>
      <c r="F2659" t="s">
        <v>42</v>
      </c>
      <c r="G2659" t="s">
        <v>32</v>
      </c>
      <c r="H2659">
        <v>2</v>
      </c>
    </row>
    <row r="2660" spans="1:8" ht="21.75" customHeight="1" x14ac:dyDescent="0.35">
      <c r="A2660" t="s">
        <v>2755</v>
      </c>
      <c r="B2660" s="3">
        <v>45504</v>
      </c>
      <c r="C2660" t="s">
        <v>736</v>
      </c>
      <c r="D2660" t="s">
        <v>74</v>
      </c>
      <c r="E2660" t="s">
        <v>11</v>
      </c>
      <c r="F2660" t="s">
        <v>56</v>
      </c>
      <c r="G2660" t="s">
        <v>32</v>
      </c>
      <c r="H2660">
        <v>11</v>
      </c>
    </row>
    <row r="2661" spans="1:8" ht="21.75" customHeight="1" x14ac:dyDescent="0.35">
      <c r="A2661" t="s">
        <v>2756</v>
      </c>
      <c r="B2661" s="3">
        <v>45568</v>
      </c>
      <c r="C2661" t="s">
        <v>9</v>
      </c>
      <c r="D2661" t="s">
        <v>41</v>
      </c>
      <c r="E2661" t="s">
        <v>11</v>
      </c>
      <c r="F2661" t="s">
        <v>56</v>
      </c>
      <c r="G2661" t="s">
        <v>36</v>
      </c>
      <c r="H2661">
        <v>13</v>
      </c>
    </row>
    <row r="2662" spans="1:8" ht="21.75" customHeight="1" x14ac:dyDescent="0.35">
      <c r="A2662" t="s">
        <v>2757</v>
      </c>
      <c r="B2662" s="3">
        <v>45385</v>
      </c>
      <c r="C2662" t="s">
        <v>396</v>
      </c>
      <c r="D2662" t="s">
        <v>21</v>
      </c>
      <c r="E2662" t="s">
        <v>11</v>
      </c>
      <c r="F2662" t="s">
        <v>12</v>
      </c>
      <c r="G2662" t="s">
        <v>23</v>
      </c>
      <c r="H2662">
        <v>3</v>
      </c>
    </row>
    <row r="2663" spans="1:8" ht="21.75" customHeight="1" x14ac:dyDescent="0.35">
      <c r="A2663" t="s">
        <v>2758</v>
      </c>
      <c r="B2663" s="3">
        <v>45318</v>
      </c>
      <c r="C2663" t="s">
        <v>541</v>
      </c>
      <c r="D2663" t="s">
        <v>16</v>
      </c>
      <c r="E2663" t="s">
        <v>11</v>
      </c>
      <c r="F2663" t="s">
        <v>56</v>
      </c>
      <c r="G2663" t="s">
        <v>13</v>
      </c>
      <c r="H2663">
        <v>6</v>
      </c>
    </row>
    <row r="2664" spans="1:8" ht="21.75" customHeight="1" x14ac:dyDescent="0.35">
      <c r="A2664" t="s">
        <v>2759</v>
      </c>
      <c r="B2664" s="3">
        <v>45396</v>
      </c>
      <c r="C2664" t="s">
        <v>93</v>
      </c>
      <c r="D2664" t="s">
        <v>160</v>
      </c>
      <c r="E2664" t="s">
        <v>11</v>
      </c>
      <c r="F2664" t="s">
        <v>27</v>
      </c>
      <c r="G2664" t="s">
        <v>23</v>
      </c>
      <c r="H2664">
        <v>10</v>
      </c>
    </row>
    <row r="2665" spans="1:8" ht="21.75" customHeight="1" x14ac:dyDescent="0.35">
      <c r="A2665" t="s">
        <v>2760</v>
      </c>
      <c r="B2665" s="3">
        <v>45393</v>
      </c>
      <c r="C2665" t="s">
        <v>78</v>
      </c>
      <c r="D2665" t="s">
        <v>87</v>
      </c>
      <c r="E2665" t="s">
        <v>11</v>
      </c>
      <c r="F2665" t="s">
        <v>306</v>
      </c>
      <c r="G2665" t="s">
        <v>28</v>
      </c>
      <c r="H2665">
        <v>10</v>
      </c>
    </row>
    <row r="2666" spans="1:8" ht="21.75" customHeight="1" x14ac:dyDescent="0.35">
      <c r="A2666" t="s">
        <v>2761</v>
      </c>
      <c r="B2666" s="3">
        <v>45521</v>
      </c>
      <c r="C2666" t="s">
        <v>541</v>
      </c>
      <c r="D2666" t="s">
        <v>65</v>
      </c>
      <c r="E2666" t="s">
        <v>17</v>
      </c>
      <c r="F2666" t="s">
        <v>27</v>
      </c>
      <c r="G2666" t="s">
        <v>13</v>
      </c>
      <c r="H2666">
        <v>12</v>
      </c>
    </row>
    <row r="2667" spans="1:8" ht="21.75" customHeight="1" x14ac:dyDescent="0.35">
      <c r="A2667" t="s">
        <v>2762</v>
      </c>
      <c r="B2667" s="3">
        <v>45377</v>
      </c>
      <c r="C2667" t="s">
        <v>553</v>
      </c>
      <c r="D2667" t="s">
        <v>70</v>
      </c>
      <c r="E2667" t="s">
        <v>17</v>
      </c>
      <c r="F2667" t="s">
        <v>306</v>
      </c>
      <c r="G2667" t="s">
        <v>36</v>
      </c>
      <c r="H2667">
        <v>14</v>
      </c>
    </row>
    <row r="2668" spans="1:8" ht="21.75" customHeight="1" x14ac:dyDescent="0.35">
      <c r="A2668" t="s">
        <v>2763</v>
      </c>
      <c r="B2668" s="3">
        <v>45538</v>
      </c>
      <c r="C2668" t="s">
        <v>138</v>
      </c>
      <c r="D2668" t="s">
        <v>119</v>
      </c>
      <c r="E2668" t="s">
        <v>17</v>
      </c>
      <c r="F2668" t="s">
        <v>27</v>
      </c>
      <c r="G2668" t="s">
        <v>13</v>
      </c>
      <c r="H2668">
        <v>10</v>
      </c>
    </row>
    <row r="2669" spans="1:8" ht="21.75" customHeight="1" x14ac:dyDescent="0.35">
      <c r="A2669" t="s">
        <v>2764</v>
      </c>
      <c r="B2669" s="3">
        <v>45370</v>
      </c>
      <c r="C2669" t="s">
        <v>378</v>
      </c>
      <c r="D2669" t="s">
        <v>84</v>
      </c>
      <c r="E2669" t="s">
        <v>11</v>
      </c>
      <c r="F2669" t="s">
        <v>42</v>
      </c>
      <c r="G2669" t="s">
        <v>23</v>
      </c>
      <c r="H2669">
        <v>15</v>
      </c>
    </row>
    <row r="2670" spans="1:8" ht="21.75" customHeight="1" x14ac:dyDescent="0.35">
      <c r="A2670" t="s">
        <v>2765</v>
      </c>
      <c r="B2670" s="3">
        <v>45437</v>
      </c>
      <c r="C2670" t="s">
        <v>159</v>
      </c>
      <c r="D2670" t="s">
        <v>174</v>
      </c>
      <c r="E2670" t="s">
        <v>22</v>
      </c>
      <c r="F2670" t="s">
        <v>27</v>
      </c>
      <c r="G2670" t="s">
        <v>13</v>
      </c>
      <c r="H2670">
        <v>11</v>
      </c>
    </row>
    <row r="2671" spans="1:8" ht="21.75" customHeight="1" x14ac:dyDescent="0.35">
      <c r="A2671" t="s">
        <v>2766</v>
      </c>
      <c r="B2671" s="3">
        <v>45532</v>
      </c>
      <c r="C2671" t="s">
        <v>104</v>
      </c>
      <c r="D2671" t="s">
        <v>16</v>
      </c>
      <c r="E2671" t="s">
        <v>11</v>
      </c>
      <c r="F2671" t="s">
        <v>12</v>
      </c>
      <c r="G2671" t="s">
        <v>13</v>
      </c>
      <c r="H2671">
        <v>17</v>
      </c>
    </row>
    <row r="2672" spans="1:8" ht="21.75" customHeight="1" x14ac:dyDescent="0.35">
      <c r="A2672" t="s">
        <v>2767</v>
      </c>
      <c r="B2672" s="3">
        <v>45483</v>
      </c>
      <c r="C2672" t="s">
        <v>374</v>
      </c>
      <c r="D2672" t="s">
        <v>31</v>
      </c>
      <c r="E2672" t="s">
        <v>17</v>
      </c>
      <c r="F2672" t="s">
        <v>27</v>
      </c>
      <c r="G2672" t="s">
        <v>32</v>
      </c>
      <c r="H2672">
        <v>13</v>
      </c>
    </row>
    <row r="2673" spans="1:8" ht="21.75" customHeight="1" x14ac:dyDescent="0.35">
      <c r="A2673" t="s">
        <v>2768</v>
      </c>
      <c r="B2673" s="3">
        <v>45620</v>
      </c>
      <c r="C2673" t="s">
        <v>449</v>
      </c>
      <c r="D2673" t="s">
        <v>10</v>
      </c>
      <c r="E2673" t="s">
        <v>17</v>
      </c>
      <c r="F2673" t="s">
        <v>12</v>
      </c>
      <c r="G2673" t="s">
        <v>13</v>
      </c>
      <c r="H2673">
        <v>13</v>
      </c>
    </row>
    <row r="2674" spans="1:8" ht="21.75" customHeight="1" x14ac:dyDescent="0.35">
      <c r="A2674" t="s">
        <v>2769</v>
      </c>
      <c r="B2674" s="3">
        <v>45375</v>
      </c>
      <c r="C2674" t="s">
        <v>150</v>
      </c>
      <c r="D2674" t="s">
        <v>119</v>
      </c>
      <c r="E2674" t="s">
        <v>17</v>
      </c>
      <c r="F2674" t="s">
        <v>42</v>
      </c>
      <c r="G2674" t="s">
        <v>32</v>
      </c>
      <c r="H2674">
        <v>17</v>
      </c>
    </row>
    <row r="2675" spans="1:8" ht="21.75" customHeight="1" x14ac:dyDescent="0.35">
      <c r="A2675" t="s">
        <v>2770</v>
      </c>
      <c r="B2675" s="3">
        <v>45617</v>
      </c>
      <c r="C2675" t="s">
        <v>465</v>
      </c>
      <c r="D2675" t="s">
        <v>48</v>
      </c>
      <c r="E2675" t="s">
        <v>22</v>
      </c>
      <c r="F2675" t="s">
        <v>12</v>
      </c>
      <c r="G2675" t="s">
        <v>23</v>
      </c>
      <c r="H2675">
        <v>14</v>
      </c>
    </row>
    <row r="2676" spans="1:8" ht="21.75" customHeight="1" x14ac:dyDescent="0.35">
      <c r="A2676" t="s">
        <v>2771</v>
      </c>
      <c r="B2676" s="3">
        <v>45416</v>
      </c>
      <c r="C2676" t="s">
        <v>517</v>
      </c>
      <c r="D2676" t="s">
        <v>79</v>
      </c>
      <c r="E2676" t="s">
        <v>17</v>
      </c>
      <c r="F2676" t="s">
        <v>12</v>
      </c>
      <c r="G2676" t="s">
        <v>28</v>
      </c>
      <c r="H2676">
        <v>9</v>
      </c>
    </row>
    <row r="2677" spans="1:8" ht="21.75" customHeight="1" x14ac:dyDescent="0.35">
      <c r="A2677" t="s">
        <v>2772</v>
      </c>
      <c r="B2677" s="3">
        <v>45640</v>
      </c>
      <c r="C2677" t="s">
        <v>167</v>
      </c>
      <c r="D2677" t="s">
        <v>26</v>
      </c>
      <c r="E2677" t="s">
        <v>11</v>
      </c>
      <c r="F2677" t="s">
        <v>306</v>
      </c>
      <c r="G2677" t="s">
        <v>36</v>
      </c>
      <c r="H2677">
        <v>6</v>
      </c>
    </row>
    <row r="2678" spans="1:8" ht="21.75" customHeight="1" x14ac:dyDescent="0.35">
      <c r="A2678" t="s">
        <v>2773</v>
      </c>
      <c r="B2678" s="3">
        <v>45339</v>
      </c>
      <c r="C2678" t="s">
        <v>736</v>
      </c>
      <c r="D2678" t="s">
        <v>62</v>
      </c>
      <c r="E2678" t="s">
        <v>17</v>
      </c>
      <c r="F2678" t="s">
        <v>27</v>
      </c>
      <c r="G2678" t="s">
        <v>36</v>
      </c>
      <c r="H2678">
        <v>3</v>
      </c>
    </row>
    <row r="2679" spans="1:8" ht="21.75" customHeight="1" x14ac:dyDescent="0.35">
      <c r="A2679" t="s">
        <v>2774</v>
      </c>
      <c r="B2679" s="3">
        <v>45388</v>
      </c>
      <c r="C2679" t="s">
        <v>309</v>
      </c>
      <c r="D2679" t="s">
        <v>45</v>
      </c>
      <c r="E2679" t="s">
        <v>17</v>
      </c>
      <c r="F2679" t="s">
        <v>42</v>
      </c>
      <c r="G2679" t="s">
        <v>32</v>
      </c>
      <c r="H2679">
        <v>17</v>
      </c>
    </row>
    <row r="2680" spans="1:8" ht="21.75" customHeight="1" x14ac:dyDescent="0.35">
      <c r="A2680" t="s">
        <v>2775</v>
      </c>
      <c r="B2680" s="3">
        <v>45629</v>
      </c>
      <c r="C2680" t="s">
        <v>159</v>
      </c>
      <c r="D2680" t="s">
        <v>59</v>
      </c>
      <c r="E2680" t="s">
        <v>17</v>
      </c>
      <c r="F2680" t="s">
        <v>27</v>
      </c>
      <c r="G2680" t="s">
        <v>13</v>
      </c>
      <c r="H2680">
        <v>4</v>
      </c>
    </row>
    <row r="2681" spans="1:8" ht="21.75" customHeight="1" x14ac:dyDescent="0.35">
      <c r="A2681" t="s">
        <v>2776</v>
      </c>
      <c r="B2681" s="3">
        <v>45468</v>
      </c>
      <c r="C2681" t="s">
        <v>167</v>
      </c>
      <c r="D2681" t="s">
        <v>26</v>
      </c>
      <c r="E2681" t="s">
        <v>22</v>
      </c>
      <c r="F2681" t="s">
        <v>56</v>
      </c>
      <c r="G2681" t="s">
        <v>23</v>
      </c>
      <c r="H2681">
        <v>10</v>
      </c>
    </row>
    <row r="2682" spans="1:8" ht="21.75" customHeight="1" x14ac:dyDescent="0.35">
      <c r="A2682" t="s">
        <v>2777</v>
      </c>
      <c r="B2682" s="3">
        <v>45378</v>
      </c>
      <c r="C2682" t="s">
        <v>374</v>
      </c>
      <c r="D2682" t="s">
        <v>96</v>
      </c>
      <c r="E2682" t="s">
        <v>11</v>
      </c>
      <c r="F2682" t="s">
        <v>12</v>
      </c>
      <c r="G2682" t="s">
        <v>23</v>
      </c>
      <c r="H2682">
        <v>17</v>
      </c>
    </row>
    <row r="2683" spans="1:8" ht="21.75" customHeight="1" x14ac:dyDescent="0.35">
      <c r="A2683" t="s">
        <v>2778</v>
      </c>
      <c r="B2683" s="3">
        <v>45439</v>
      </c>
      <c r="C2683" t="s">
        <v>388</v>
      </c>
      <c r="D2683" t="s">
        <v>87</v>
      </c>
      <c r="E2683" t="s">
        <v>11</v>
      </c>
      <c r="F2683" t="s">
        <v>56</v>
      </c>
      <c r="G2683" t="s">
        <v>32</v>
      </c>
      <c r="H2683">
        <v>6</v>
      </c>
    </row>
    <row r="2684" spans="1:8" ht="21.75" customHeight="1" x14ac:dyDescent="0.35">
      <c r="A2684" t="s">
        <v>2779</v>
      </c>
      <c r="B2684" s="3">
        <v>45393</v>
      </c>
      <c r="C2684" t="s">
        <v>374</v>
      </c>
      <c r="D2684" t="s">
        <v>45</v>
      </c>
      <c r="E2684" t="s">
        <v>22</v>
      </c>
      <c r="F2684" t="s">
        <v>12</v>
      </c>
      <c r="G2684" t="s">
        <v>23</v>
      </c>
      <c r="H2684">
        <v>19</v>
      </c>
    </row>
    <row r="2685" spans="1:8" ht="21.75" customHeight="1" x14ac:dyDescent="0.35">
      <c r="A2685" t="s">
        <v>2780</v>
      </c>
      <c r="B2685" s="3">
        <v>45387</v>
      </c>
      <c r="C2685" t="s">
        <v>104</v>
      </c>
      <c r="D2685" t="s">
        <v>79</v>
      </c>
      <c r="E2685" t="s">
        <v>22</v>
      </c>
      <c r="F2685" t="s">
        <v>56</v>
      </c>
      <c r="G2685" t="s">
        <v>28</v>
      </c>
      <c r="H2685">
        <v>9</v>
      </c>
    </row>
    <row r="2686" spans="1:8" ht="21.75" customHeight="1" x14ac:dyDescent="0.35">
      <c r="A2686" t="s">
        <v>2781</v>
      </c>
      <c r="B2686" s="3">
        <v>45501</v>
      </c>
      <c r="C2686" t="s">
        <v>396</v>
      </c>
      <c r="D2686" t="s">
        <v>21</v>
      </c>
      <c r="E2686" t="s">
        <v>22</v>
      </c>
      <c r="F2686" t="s">
        <v>12</v>
      </c>
      <c r="G2686" t="s">
        <v>28</v>
      </c>
      <c r="H2686">
        <v>3</v>
      </c>
    </row>
    <row r="2687" spans="1:8" ht="21.75" customHeight="1" x14ac:dyDescent="0.35">
      <c r="A2687" t="s">
        <v>2782</v>
      </c>
      <c r="B2687" s="3">
        <v>45485</v>
      </c>
      <c r="C2687" t="s">
        <v>114</v>
      </c>
      <c r="D2687" t="s">
        <v>26</v>
      </c>
      <c r="E2687" t="s">
        <v>11</v>
      </c>
      <c r="F2687" t="s">
        <v>42</v>
      </c>
      <c r="G2687" t="s">
        <v>13</v>
      </c>
      <c r="H2687">
        <v>19</v>
      </c>
    </row>
    <row r="2688" spans="1:8" ht="21.75" customHeight="1" x14ac:dyDescent="0.35">
      <c r="A2688" t="s">
        <v>2783</v>
      </c>
      <c r="B2688" s="3">
        <v>45540</v>
      </c>
      <c r="C2688" t="s">
        <v>422</v>
      </c>
      <c r="D2688" t="s">
        <v>119</v>
      </c>
      <c r="E2688" t="s">
        <v>11</v>
      </c>
      <c r="F2688" t="s">
        <v>12</v>
      </c>
      <c r="G2688" t="s">
        <v>13</v>
      </c>
      <c r="H2688">
        <v>9</v>
      </c>
    </row>
    <row r="2689" spans="1:8" ht="21.75" customHeight="1" x14ac:dyDescent="0.35">
      <c r="A2689" t="s">
        <v>2784</v>
      </c>
      <c r="B2689" s="3">
        <v>45295</v>
      </c>
      <c r="C2689" t="s">
        <v>317</v>
      </c>
      <c r="D2689" t="s">
        <v>59</v>
      </c>
      <c r="E2689" t="s">
        <v>11</v>
      </c>
      <c r="F2689" t="s">
        <v>12</v>
      </c>
      <c r="G2689" t="s">
        <v>28</v>
      </c>
      <c r="H2689">
        <v>17</v>
      </c>
    </row>
    <row r="2690" spans="1:8" ht="21.75" customHeight="1" x14ac:dyDescent="0.35">
      <c r="A2690" t="s">
        <v>2785</v>
      </c>
      <c r="B2690" s="3">
        <v>45484</v>
      </c>
      <c r="C2690" t="s">
        <v>493</v>
      </c>
      <c r="D2690" t="s">
        <v>160</v>
      </c>
      <c r="E2690" t="s">
        <v>17</v>
      </c>
      <c r="F2690" t="s">
        <v>27</v>
      </c>
      <c r="G2690" t="s">
        <v>23</v>
      </c>
      <c r="H2690">
        <v>11</v>
      </c>
    </row>
    <row r="2691" spans="1:8" ht="21.75" customHeight="1" x14ac:dyDescent="0.35">
      <c r="A2691" t="s">
        <v>2786</v>
      </c>
      <c r="B2691" s="3">
        <v>45464</v>
      </c>
      <c r="C2691" t="s">
        <v>200</v>
      </c>
      <c r="D2691" t="s">
        <v>41</v>
      </c>
      <c r="E2691" t="s">
        <v>17</v>
      </c>
      <c r="F2691" t="s">
        <v>42</v>
      </c>
      <c r="G2691" t="s">
        <v>28</v>
      </c>
      <c r="H2691">
        <v>12</v>
      </c>
    </row>
    <row r="2692" spans="1:8" ht="21.75" customHeight="1" x14ac:dyDescent="0.35">
      <c r="A2692" t="s">
        <v>2787</v>
      </c>
      <c r="B2692" s="3">
        <v>45485</v>
      </c>
      <c r="C2692" t="s">
        <v>594</v>
      </c>
      <c r="D2692" t="s">
        <v>79</v>
      </c>
      <c r="E2692" t="s">
        <v>17</v>
      </c>
      <c r="F2692" t="s">
        <v>42</v>
      </c>
      <c r="G2692" t="s">
        <v>13</v>
      </c>
      <c r="H2692">
        <v>1</v>
      </c>
    </row>
    <row r="2693" spans="1:8" ht="21.75" customHeight="1" x14ac:dyDescent="0.35">
      <c r="A2693" t="s">
        <v>2788</v>
      </c>
      <c r="B2693" s="3">
        <v>45649</v>
      </c>
      <c r="C2693" t="s">
        <v>341</v>
      </c>
      <c r="D2693" t="s">
        <v>84</v>
      </c>
      <c r="E2693" t="s">
        <v>11</v>
      </c>
      <c r="F2693" t="s">
        <v>12</v>
      </c>
      <c r="G2693" t="s">
        <v>36</v>
      </c>
      <c r="H2693">
        <v>4</v>
      </c>
    </row>
    <row r="2694" spans="1:8" ht="21.75" customHeight="1" x14ac:dyDescent="0.35">
      <c r="A2694" t="s">
        <v>2789</v>
      </c>
      <c r="B2694" s="3">
        <v>45435</v>
      </c>
      <c r="C2694" t="s">
        <v>424</v>
      </c>
      <c r="D2694" t="s">
        <v>119</v>
      </c>
      <c r="E2694" t="s">
        <v>11</v>
      </c>
      <c r="F2694" t="s">
        <v>42</v>
      </c>
      <c r="G2694" t="s">
        <v>23</v>
      </c>
      <c r="H2694">
        <v>20</v>
      </c>
    </row>
    <row r="2695" spans="1:8" ht="21.75" customHeight="1" x14ac:dyDescent="0.35">
      <c r="A2695" t="s">
        <v>2790</v>
      </c>
      <c r="B2695" s="3">
        <v>45535</v>
      </c>
      <c r="C2695" t="s">
        <v>345</v>
      </c>
      <c r="D2695" t="s">
        <v>87</v>
      </c>
      <c r="E2695" t="s">
        <v>22</v>
      </c>
      <c r="F2695" t="s">
        <v>56</v>
      </c>
      <c r="G2695" t="s">
        <v>13</v>
      </c>
      <c r="H2695">
        <v>11</v>
      </c>
    </row>
    <row r="2696" spans="1:8" ht="21.75" customHeight="1" x14ac:dyDescent="0.35">
      <c r="A2696" t="s">
        <v>2791</v>
      </c>
      <c r="B2696" s="3">
        <v>45476</v>
      </c>
      <c r="C2696" t="s">
        <v>116</v>
      </c>
      <c r="D2696" t="s">
        <v>84</v>
      </c>
      <c r="E2696" t="s">
        <v>17</v>
      </c>
      <c r="F2696" t="s">
        <v>27</v>
      </c>
      <c r="G2696" t="s">
        <v>28</v>
      </c>
      <c r="H2696">
        <v>20</v>
      </c>
    </row>
    <row r="2697" spans="1:8" ht="21.75" customHeight="1" x14ac:dyDescent="0.35">
      <c r="A2697" t="s">
        <v>2792</v>
      </c>
      <c r="B2697" s="3">
        <v>45605</v>
      </c>
      <c r="C2697" t="s">
        <v>81</v>
      </c>
      <c r="D2697" t="s">
        <v>48</v>
      </c>
      <c r="E2697" t="s">
        <v>17</v>
      </c>
      <c r="F2697" t="s">
        <v>27</v>
      </c>
      <c r="G2697" t="s">
        <v>13</v>
      </c>
      <c r="H2697">
        <v>13</v>
      </c>
    </row>
    <row r="2698" spans="1:8" ht="21.75" customHeight="1" x14ac:dyDescent="0.35">
      <c r="A2698" t="s">
        <v>2793</v>
      </c>
      <c r="B2698" s="3">
        <v>45391</v>
      </c>
      <c r="C2698" t="s">
        <v>436</v>
      </c>
      <c r="D2698" t="s">
        <v>16</v>
      </c>
      <c r="E2698" t="s">
        <v>22</v>
      </c>
      <c r="F2698" t="s">
        <v>306</v>
      </c>
      <c r="G2698" t="s">
        <v>36</v>
      </c>
      <c r="H2698">
        <v>2</v>
      </c>
    </row>
    <row r="2699" spans="1:8" ht="21.75" customHeight="1" x14ac:dyDescent="0.35">
      <c r="A2699" t="s">
        <v>2794</v>
      </c>
      <c r="B2699" s="3">
        <v>45336</v>
      </c>
      <c r="C2699" t="s">
        <v>68</v>
      </c>
      <c r="D2699" t="s">
        <v>41</v>
      </c>
      <c r="E2699" t="s">
        <v>22</v>
      </c>
      <c r="F2699" t="s">
        <v>27</v>
      </c>
      <c r="G2699" t="s">
        <v>28</v>
      </c>
      <c r="H2699">
        <v>15</v>
      </c>
    </row>
    <row r="2700" spans="1:8" ht="21.75" customHeight="1" x14ac:dyDescent="0.35">
      <c r="A2700" t="s">
        <v>2795</v>
      </c>
      <c r="B2700" s="3">
        <v>45538</v>
      </c>
      <c r="C2700" t="s">
        <v>371</v>
      </c>
      <c r="D2700" t="s">
        <v>174</v>
      </c>
      <c r="E2700" t="s">
        <v>11</v>
      </c>
      <c r="F2700" t="s">
        <v>56</v>
      </c>
      <c r="G2700" t="s">
        <v>28</v>
      </c>
      <c r="H2700">
        <v>6</v>
      </c>
    </row>
    <row r="2701" spans="1:8" ht="21.75" customHeight="1" x14ac:dyDescent="0.35">
      <c r="A2701" t="s">
        <v>2796</v>
      </c>
      <c r="B2701" s="3">
        <v>45629</v>
      </c>
      <c r="C2701" t="s">
        <v>424</v>
      </c>
      <c r="D2701" t="s">
        <v>10</v>
      </c>
      <c r="E2701" t="s">
        <v>11</v>
      </c>
      <c r="F2701" t="s">
        <v>27</v>
      </c>
      <c r="G2701" t="s">
        <v>13</v>
      </c>
      <c r="H2701">
        <v>6</v>
      </c>
    </row>
    <row r="2702" spans="1:8" ht="21.75" customHeight="1" x14ac:dyDescent="0.35">
      <c r="A2702" t="s">
        <v>2797</v>
      </c>
      <c r="B2702" s="3">
        <v>45459</v>
      </c>
      <c r="C2702" t="s">
        <v>53</v>
      </c>
      <c r="D2702" t="s">
        <v>119</v>
      </c>
      <c r="E2702" t="s">
        <v>17</v>
      </c>
      <c r="F2702" t="s">
        <v>56</v>
      </c>
      <c r="G2702" t="s">
        <v>32</v>
      </c>
      <c r="H2702">
        <v>16</v>
      </c>
    </row>
    <row r="2703" spans="1:8" ht="21.75" customHeight="1" x14ac:dyDescent="0.35">
      <c r="A2703" t="s">
        <v>2798</v>
      </c>
      <c r="B2703" s="3">
        <v>45635</v>
      </c>
      <c r="C2703" t="s">
        <v>114</v>
      </c>
      <c r="D2703" t="s">
        <v>41</v>
      </c>
      <c r="E2703" t="s">
        <v>11</v>
      </c>
      <c r="F2703" t="s">
        <v>306</v>
      </c>
      <c r="G2703" t="s">
        <v>23</v>
      </c>
      <c r="H2703">
        <v>3</v>
      </c>
    </row>
    <row r="2704" spans="1:8" ht="21.75" customHeight="1" x14ac:dyDescent="0.35">
      <c r="A2704" t="s">
        <v>2799</v>
      </c>
      <c r="B2704" s="3">
        <v>45462</v>
      </c>
      <c r="C2704" t="s">
        <v>240</v>
      </c>
      <c r="D2704" t="s">
        <v>59</v>
      </c>
      <c r="E2704" t="s">
        <v>22</v>
      </c>
      <c r="F2704" t="s">
        <v>12</v>
      </c>
      <c r="G2704" t="s">
        <v>32</v>
      </c>
      <c r="H2704">
        <v>13</v>
      </c>
    </row>
    <row r="2705" spans="1:8" ht="21.75" customHeight="1" x14ac:dyDescent="0.35">
      <c r="A2705" t="s">
        <v>2800</v>
      </c>
      <c r="B2705" s="3">
        <v>45487</v>
      </c>
      <c r="C2705" t="s">
        <v>350</v>
      </c>
      <c r="D2705" t="s">
        <v>21</v>
      </c>
      <c r="E2705" t="s">
        <v>22</v>
      </c>
      <c r="F2705" t="s">
        <v>27</v>
      </c>
      <c r="G2705" t="s">
        <v>28</v>
      </c>
      <c r="H2705">
        <v>8</v>
      </c>
    </row>
    <row r="2706" spans="1:8" ht="21.75" customHeight="1" x14ac:dyDescent="0.35">
      <c r="A2706" t="s">
        <v>2801</v>
      </c>
      <c r="B2706" s="3">
        <v>45440</v>
      </c>
      <c r="C2706" t="s">
        <v>203</v>
      </c>
      <c r="D2706" t="s">
        <v>102</v>
      </c>
      <c r="E2706" t="s">
        <v>11</v>
      </c>
      <c r="F2706" t="s">
        <v>42</v>
      </c>
      <c r="G2706" t="s">
        <v>36</v>
      </c>
      <c r="H2706">
        <v>7</v>
      </c>
    </row>
    <row r="2707" spans="1:8" ht="21.75" customHeight="1" x14ac:dyDescent="0.35">
      <c r="A2707" t="s">
        <v>2802</v>
      </c>
      <c r="B2707" s="3">
        <v>45351</v>
      </c>
      <c r="C2707" t="s">
        <v>314</v>
      </c>
      <c r="D2707" t="s">
        <v>48</v>
      </c>
      <c r="E2707" t="s">
        <v>11</v>
      </c>
      <c r="F2707" t="s">
        <v>42</v>
      </c>
      <c r="G2707" t="s">
        <v>23</v>
      </c>
      <c r="H2707">
        <v>19</v>
      </c>
    </row>
    <row r="2708" spans="1:8" ht="21.75" customHeight="1" x14ac:dyDescent="0.35">
      <c r="A2708" t="s">
        <v>2803</v>
      </c>
      <c r="B2708" s="3">
        <v>45451</v>
      </c>
      <c r="C2708" t="s">
        <v>131</v>
      </c>
      <c r="D2708" t="s">
        <v>59</v>
      </c>
      <c r="E2708" t="s">
        <v>22</v>
      </c>
      <c r="F2708" t="s">
        <v>56</v>
      </c>
      <c r="G2708" t="s">
        <v>23</v>
      </c>
      <c r="H2708">
        <v>14</v>
      </c>
    </row>
    <row r="2709" spans="1:8" ht="21.75" customHeight="1" x14ac:dyDescent="0.35">
      <c r="A2709" t="s">
        <v>2804</v>
      </c>
      <c r="B2709" s="3">
        <v>45478</v>
      </c>
      <c r="C2709" t="s">
        <v>422</v>
      </c>
      <c r="D2709" t="s">
        <v>16</v>
      </c>
      <c r="E2709" t="s">
        <v>22</v>
      </c>
      <c r="F2709" t="s">
        <v>306</v>
      </c>
      <c r="G2709" t="s">
        <v>36</v>
      </c>
      <c r="H2709">
        <v>8</v>
      </c>
    </row>
    <row r="2710" spans="1:8" ht="21.75" customHeight="1" x14ac:dyDescent="0.35">
      <c r="A2710" t="s">
        <v>2805</v>
      </c>
      <c r="B2710" s="3">
        <v>45296</v>
      </c>
      <c r="C2710" t="s">
        <v>312</v>
      </c>
      <c r="D2710" t="s">
        <v>70</v>
      </c>
      <c r="E2710" t="s">
        <v>17</v>
      </c>
      <c r="F2710" t="s">
        <v>56</v>
      </c>
      <c r="G2710" t="s">
        <v>32</v>
      </c>
      <c r="H2710">
        <v>8</v>
      </c>
    </row>
    <row r="2711" spans="1:8" ht="21.75" customHeight="1" x14ac:dyDescent="0.35">
      <c r="A2711" t="s">
        <v>2806</v>
      </c>
      <c r="B2711" s="3">
        <v>45525</v>
      </c>
      <c r="C2711" t="s">
        <v>167</v>
      </c>
      <c r="D2711" t="s">
        <v>109</v>
      </c>
      <c r="E2711" t="s">
        <v>17</v>
      </c>
      <c r="F2711" t="s">
        <v>56</v>
      </c>
      <c r="G2711" t="s">
        <v>13</v>
      </c>
      <c r="H2711">
        <v>20</v>
      </c>
    </row>
    <row r="2712" spans="1:8" ht="21.75" customHeight="1" x14ac:dyDescent="0.35">
      <c r="A2712" t="s">
        <v>2807</v>
      </c>
      <c r="B2712" s="3">
        <v>45549</v>
      </c>
      <c r="C2712" t="s">
        <v>465</v>
      </c>
      <c r="D2712" t="s">
        <v>102</v>
      </c>
      <c r="E2712" t="s">
        <v>17</v>
      </c>
      <c r="F2712" t="s">
        <v>306</v>
      </c>
      <c r="G2712" t="s">
        <v>23</v>
      </c>
      <c r="H2712">
        <v>7</v>
      </c>
    </row>
    <row r="2713" spans="1:8" ht="21.75" customHeight="1" x14ac:dyDescent="0.35">
      <c r="A2713" t="s">
        <v>2808</v>
      </c>
      <c r="B2713" s="3">
        <v>45652</v>
      </c>
      <c r="C2713" t="s">
        <v>159</v>
      </c>
      <c r="D2713" t="s">
        <v>79</v>
      </c>
      <c r="E2713" t="s">
        <v>17</v>
      </c>
      <c r="F2713" t="s">
        <v>56</v>
      </c>
      <c r="G2713" t="s">
        <v>28</v>
      </c>
      <c r="H2713">
        <v>8</v>
      </c>
    </row>
    <row r="2714" spans="1:8" ht="21.75" customHeight="1" x14ac:dyDescent="0.35">
      <c r="A2714" t="s">
        <v>2809</v>
      </c>
      <c r="B2714" s="3">
        <v>45318</v>
      </c>
      <c r="C2714" t="s">
        <v>420</v>
      </c>
      <c r="D2714" t="s">
        <v>45</v>
      </c>
      <c r="E2714" t="s">
        <v>17</v>
      </c>
      <c r="F2714" t="s">
        <v>27</v>
      </c>
      <c r="G2714" t="s">
        <v>32</v>
      </c>
      <c r="H2714">
        <v>6</v>
      </c>
    </row>
    <row r="2715" spans="1:8" ht="21.75" customHeight="1" x14ac:dyDescent="0.35">
      <c r="A2715" t="s">
        <v>2810</v>
      </c>
      <c r="B2715" s="3">
        <v>45572</v>
      </c>
      <c r="C2715" t="s">
        <v>106</v>
      </c>
      <c r="D2715" t="s">
        <v>72</v>
      </c>
      <c r="E2715" t="s">
        <v>17</v>
      </c>
      <c r="F2715" t="s">
        <v>27</v>
      </c>
      <c r="G2715" t="s">
        <v>32</v>
      </c>
      <c r="H2715">
        <v>13</v>
      </c>
    </row>
    <row r="2716" spans="1:8" ht="21.75" customHeight="1" x14ac:dyDescent="0.35">
      <c r="A2716" t="s">
        <v>2811</v>
      </c>
      <c r="B2716" s="3">
        <v>45562</v>
      </c>
      <c r="C2716" t="s">
        <v>388</v>
      </c>
      <c r="D2716" t="s">
        <v>74</v>
      </c>
      <c r="E2716" t="s">
        <v>17</v>
      </c>
      <c r="F2716" t="s">
        <v>56</v>
      </c>
      <c r="G2716" t="s">
        <v>36</v>
      </c>
      <c r="H2716">
        <v>13</v>
      </c>
    </row>
    <row r="2717" spans="1:8" ht="21.75" customHeight="1" x14ac:dyDescent="0.35">
      <c r="A2717" t="s">
        <v>2812</v>
      </c>
      <c r="B2717" s="3">
        <v>45457</v>
      </c>
      <c r="C2717" t="s">
        <v>664</v>
      </c>
      <c r="D2717" t="s">
        <v>59</v>
      </c>
      <c r="E2717" t="s">
        <v>11</v>
      </c>
      <c r="F2717" t="s">
        <v>42</v>
      </c>
      <c r="G2717" t="s">
        <v>23</v>
      </c>
      <c r="H2717">
        <v>6</v>
      </c>
    </row>
    <row r="2718" spans="1:8" ht="21.75" customHeight="1" x14ac:dyDescent="0.35">
      <c r="A2718" t="s">
        <v>2813</v>
      </c>
      <c r="B2718" s="3">
        <v>45518</v>
      </c>
      <c r="C2718" t="s">
        <v>424</v>
      </c>
      <c r="D2718" t="s">
        <v>35</v>
      </c>
      <c r="E2718" t="s">
        <v>17</v>
      </c>
      <c r="F2718" t="s">
        <v>56</v>
      </c>
      <c r="G2718" t="s">
        <v>28</v>
      </c>
      <c r="H2718">
        <v>7</v>
      </c>
    </row>
    <row r="2719" spans="1:8" ht="21.75" customHeight="1" x14ac:dyDescent="0.35">
      <c r="A2719" t="s">
        <v>2814</v>
      </c>
      <c r="B2719" s="3">
        <v>45392</v>
      </c>
      <c r="C2719" t="s">
        <v>304</v>
      </c>
      <c r="D2719" t="s">
        <v>21</v>
      </c>
      <c r="E2719" t="s">
        <v>11</v>
      </c>
      <c r="F2719" t="s">
        <v>42</v>
      </c>
      <c r="G2719" t="s">
        <v>36</v>
      </c>
      <c r="H2719">
        <v>4</v>
      </c>
    </row>
    <row r="2720" spans="1:8" ht="21.75" customHeight="1" x14ac:dyDescent="0.35">
      <c r="A2720" t="s">
        <v>2815</v>
      </c>
      <c r="B2720" s="3">
        <v>45367</v>
      </c>
      <c r="C2720" t="s">
        <v>159</v>
      </c>
      <c r="D2720" t="s">
        <v>87</v>
      </c>
      <c r="E2720" t="s">
        <v>22</v>
      </c>
      <c r="F2720" t="s">
        <v>56</v>
      </c>
      <c r="G2720" t="s">
        <v>13</v>
      </c>
      <c r="H2720">
        <v>4</v>
      </c>
    </row>
    <row r="2721" spans="1:8" ht="21.75" customHeight="1" x14ac:dyDescent="0.35">
      <c r="A2721" t="s">
        <v>2816</v>
      </c>
      <c r="B2721" s="3">
        <v>45534</v>
      </c>
      <c r="C2721" t="s">
        <v>235</v>
      </c>
      <c r="D2721" t="s">
        <v>79</v>
      </c>
      <c r="E2721" t="s">
        <v>11</v>
      </c>
      <c r="F2721" t="s">
        <v>306</v>
      </c>
      <c r="G2721" t="s">
        <v>32</v>
      </c>
      <c r="H2721">
        <v>19</v>
      </c>
    </row>
    <row r="2722" spans="1:8" ht="21.75" customHeight="1" x14ac:dyDescent="0.35">
      <c r="A2722" t="s">
        <v>2817</v>
      </c>
      <c r="B2722" s="3">
        <v>45368</v>
      </c>
      <c r="C2722" t="s">
        <v>451</v>
      </c>
      <c r="D2722" t="s">
        <v>84</v>
      </c>
      <c r="E2722" t="s">
        <v>17</v>
      </c>
      <c r="F2722" t="s">
        <v>56</v>
      </c>
      <c r="G2722" t="s">
        <v>13</v>
      </c>
      <c r="H2722">
        <v>4</v>
      </c>
    </row>
    <row r="2723" spans="1:8" ht="21.75" customHeight="1" x14ac:dyDescent="0.35">
      <c r="A2723" t="s">
        <v>2818</v>
      </c>
      <c r="B2723" s="3">
        <v>45542</v>
      </c>
      <c r="C2723" t="s">
        <v>68</v>
      </c>
      <c r="D2723" t="s">
        <v>62</v>
      </c>
      <c r="E2723" t="s">
        <v>22</v>
      </c>
      <c r="F2723" t="s">
        <v>56</v>
      </c>
      <c r="G2723" t="s">
        <v>23</v>
      </c>
      <c r="H2723">
        <v>3</v>
      </c>
    </row>
    <row r="2724" spans="1:8" ht="21.75" customHeight="1" x14ac:dyDescent="0.35">
      <c r="A2724" t="s">
        <v>2819</v>
      </c>
      <c r="B2724" s="3">
        <v>45624</v>
      </c>
      <c r="C2724" t="s">
        <v>159</v>
      </c>
      <c r="D2724" t="s">
        <v>26</v>
      </c>
      <c r="E2724" t="s">
        <v>22</v>
      </c>
      <c r="F2724" t="s">
        <v>27</v>
      </c>
      <c r="G2724" t="s">
        <v>32</v>
      </c>
      <c r="H2724">
        <v>1</v>
      </c>
    </row>
    <row r="2725" spans="1:8" ht="21.75" customHeight="1" x14ac:dyDescent="0.35">
      <c r="A2725" t="s">
        <v>2820</v>
      </c>
      <c r="B2725" s="3">
        <v>45334</v>
      </c>
      <c r="C2725" t="s">
        <v>114</v>
      </c>
      <c r="D2725" t="s">
        <v>35</v>
      </c>
      <c r="E2725" t="s">
        <v>22</v>
      </c>
      <c r="F2725" t="s">
        <v>306</v>
      </c>
      <c r="G2725" t="s">
        <v>28</v>
      </c>
      <c r="H2725">
        <v>1</v>
      </c>
    </row>
    <row r="2726" spans="1:8" ht="21.75" customHeight="1" x14ac:dyDescent="0.35">
      <c r="A2726" t="s">
        <v>2821</v>
      </c>
      <c r="B2726" s="3">
        <v>45585</v>
      </c>
      <c r="C2726" t="s">
        <v>517</v>
      </c>
      <c r="D2726" t="s">
        <v>26</v>
      </c>
      <c r="E2726" t="s">
        <v>22</v>
      </c>
      <c r="F2726" t="s">
        <v>12</v>
      </c>
      <c r="G2726" t="s">
        <v>36</v>
      </c>
      <c r="H2726">
        <v>6</v>
      </c>
    </row>
    <row r="2727" spans="1:8" ht="21.75" customHeight="1" x14ac:dyDescent="0.35">
      <c r="A2727" t="s">
        <v>2822</v>
      </c>
      <c r="B2727" s="3">
        <v>45622</v>
      </c>
      <c r="C2727" t="s">
        <v>424</v>
      </c>
      <c r="D2727" t="s">
        <v>87</v>
      </c>
      <c r="E2727" t="s">
        <v>17</v>
      </c>
      <c r="F2727" t="s">
        <v>306</v>
      </c>
      <c r="G2727" t="s">
        <v>28</v>
      </c>
      <c r="H2727">
        <v>4</v>
      </c>
    </row>
    <row r="2728" spans="1:8" ht="21.75" customHeight="1" x14ac:dyDescent="0.35">
      <c r="A2728" t="s">
        <v>2823</v>
      </c>
      <c r="B2728" s="3">
        <v>45567</v>
      </c>
      <c r="C2728" t="s">
        <v>44</v>
      </c>
      <c r="D2728" t="s">
        <v>31</v>
      </c>
      <c r="E2728" t="s">
        <v>22</v>
      </c>
      <c r="F2728" t="s">
        <v>12</v>
      </c>
      <c r="G2728" t="s">
        <v>23</v>
      </c>
      <c r="H2728">
        <v>18</v>
      </c>
    </row>
    <row r="2729" spans="1:8" ht="21.75" customHeight="1" x14ac:dyDescent="0.35">
      <c r="A2729" t="s">
        <v>2824</v>
      </c>
      <c r="B2729" s="3">
        <v>45563</v>
      </c>
      <c r="C2729" t="s">
        <v>374</v>
      </c>
      <c r="D2729" t="s">
        <v>10</v>
      </c>
      <c r="E2729" t="s">
        <v>22</v>
      </c>
      <c r="F2729" t="s">
        <v>306</v>
      </c>
      <c r="G2729" t="s">
        <v>36</v>
      </c>
      <c r="H2729">
        <v>4</v>
      </c>
    </row>
    <row r="2730" spans="1:8" ht="21.75" customHeight="1" x14ac:dyDescent="0.35">
      <c r="A2730" t="s">
        <v>2825</v>
      </c>
      <c r="B2730" s="3">
        <v>45398</v>
      </c>
      <c r="C2730" t="s">
        <v>371</v>
      </c>
      <c r="D2730" t="s">
        <v>102</v>
      </c>
      <c r="E2730" t="s">
        <v>11</v>
      </c>
      <c r="F2730" t="s">
        <v>306</v>
      </c>
      <c r="G2730" t="s">
        <v>28</v>
      </c>
      <c r="H2730">
        <v>1</v>
      </c>
    </row>
    <row r="2731" spans="1:8" ht="21.75" customHeight="1" x14ac:dyDescent="0.35">
      <c r="A2731" t="s">
        <v>2826</v>
      </c>
      <c r="B2731" s="3">
        <v>45452</v>
      </c>
      <c r="C2731" t="s">
        <v>114</v>
      </c>
      <c r="D2731" t="s">
        <v>79</v>
      </c>
      <c r="E2731" t="s">
        <v>11</v>
      </c>
      <c r="F2731" t="s">
        <v>306</v>
      </c>
      <c r="G2731" t="s">
        <v>28</v>
      </c>
      <c r="H2731">
        <v>6</v>
      </c>
    </row>
    <row r="2732" spans="1:8" ht="21.75" customHeight="1" x14ac:dyDescent="0.35">
      <c r="A2732" t="s">
        <v>2827</v>
      </c>
      <c r="B2732" s="3">
        <v>45423</v>
      </c>
      <c r="C2732" t="s">
        <v>664</v>
      </c>
      <c r="D2732" t="s">
        <v>79</v>
      </c>
      <c r="E2732" t="s">
        <v>11</v>
      </c>
      <c r="F2732" t="s">
        <v>12</v>
      </c>
      <c r="G2732" t="s">
        <v>36</v>
      </c>
      <c r="H2732">
        <v>10</v>
      </c>
    </row>
    <row r="2733" spans="1:8" ht="21.75" customHeight="1" x14ac:dyDescent="0.35">
      <c r="A2733" t="s">
        <v>2828</v>
      </c>
      <c r="B2733" s="3">
        <v>45570</v>
      </c>
      <c r="C2733" t="s">
        <v>30</v>
      </c>
      <c r="D2733" t="s">
        <v>87</v>
      </c>
      <c r="E2733" t="s">
        <v>22</v>
      </c>
      <c r="F2733" t="s">
        <v>12</v>
      </c>
      <c r="G2733" t="s">
        <v>28</v>
      </c>
      <c r="H2733">
        <v>10</v>
      </c>
    </row>
    <row r="2734" spans="1:8" ht="21.75" customHeight="1" x14ac:dyDescent="0.35">
      <c r="A2734" t="s">
        <v>2829</v>
      </c>
      <c r="B2734" s="3">
        <v>45557</v>
      </c>
      <c r="C2734" t="s">
        <v>728</v>
      </c>
      <c r="D2734" t="s">
        <v>74</v>
      </c>
      <c r="E2734" t="s">
        <v>22</v>
      </c>
      <c r="F2734" t="s">
        <v>306</v>
      </c>
      <c r="G2734" t="s">
        <v>23</v>
      </c>
      <c r="H2734">
        <v>5</v>
      </c>
    </row>
    <row r="2735" spans="1:8" ht="21.75" customHeight="1" x14ac:dyDescent="0.35">
      <c r="A2735" t="s">
        <v>2830</v>
      </c>
      <c r="B2735" s="3">
        <v>45647</v>
      </c>
      <c r="C2735" t="s">
        <v>38</v>
      </c>
      <c r="D2735" t="s">
        <v>160</v>
      </c>
      <c r="E2735" t="s">
        <v>17</v>
      </c>
      <c r="F2735" t="s">
        <v>306</v>
      </c>
      <c r="G2735" t="s">
        <v>36</v>
      </c>
      <c r="H2735">
        <v>17</v>
      </c>
    </row>
    <row r="2736" spans="1:8" ht="21.75" customHeight="1" x14ac:dyDescent="0.35">
      <c r="A2736" t="s">
        <v>2831</v>
      </c>
      <c r="B2736" s="3">
        <v>45342</v>
      </c>
      <c r="C2736" t="s">
        <v>371</v>
      </c>
      <c r="D2736" t="s">
        <v>79</v>
      </c>
      <c r="E2736" t="s">
        <v>11</v>
      </c>
      <c r="F2736" t="s">
        <v>12</v>
      </c>
      <c r="G2736" t="s">
        <v>28</v>
      </c>
      <c r="H2736">
        <v>5</v>
      </c>
    </row>
    <row r="2737" spans="1:8" ht="21.75" customHeight="1" x14ac:dyDescent="0.35">
      <c r="A2737" t="s">
        <v>2832</v>
      </c>
      <c r="B2737" s="3">
        <v>45402</v>
      </c>
      <c r="C2737" t="s">
        <v>99</v>
      </c>
      <c r="D2737" t="s">
        <v>109</v>
      </c>
      <c r="E2737" t="s">
        <v>22</v>
      </c>
      <c r="F2737" t="s">
        <v>56</v>
      </c>
      <c r="G2737" t="s">
        <v>36</v>
      </c>
      <c r="H2737">
        <v>12</v>
      </c>
    </row>
    <row r="2738" spans="1:8" ht="21.75" customHeight="1" x14ac:dyDescent="0.35">
      <c r="A2738" t="s">
        <v>2833</v>
      </c>
      <c r="B2738" s="3">
        <v>45610</v>
      </c>
      <c r="C2738" t="s">
        <v>309</v>
      </c>
      <c r="D2738" t="s">
        <v>10</v>
      </c>
      <c r="E2738" t="s">
        <v>22</v>
      </c>
      <c r="F2738" t="s">
        <v>42</v>
      </c>
      <c r="G2738" t="s">
        <v>32</v>
      </c>
      <c r="H2738">
        <v>13</v>
      </c>
    </row>
    <row r="2739" spans="1:8" ht="21.75" customHeight="1" x14ac:dyDescent="0.35">
      <c r="A2739" t="s">
        <v>2834</v>
      </c>
      <c r="B2739" s="3">
        <v>45375</v>
      </c>
      <c r="C2739" t="s">
        <v>341</v>
      </c>
      <c r="D2739" t="s">
        <v>70</v>
      </c>
      <c r="E2739" t="s">
        <v>11</v>
      </c>
      <c r="F2739" t="s">
        <v>42</v>
      </c>
      <c r="G2739" t="s">
        <v>23</v>
      </c>
      <c r="H2739">
        <v>5</v>
      </c>
    </row>
    <row r="2740" spans="1:8" ht="21.75" customHeight="1" x14ac:dyDescent="0.35">
      <c r="A2740" t="s">
        <v>2835</v>
      </c>
      <c r="B2740" s="3">
        <v>45328</v>
      </c>
      <c r="C2740" t="s">
        <v>451</v>
      </c>
      <c r="D2740" t="s">
        <v>84</v>
      </c>
      <c r="E2740" t="s">
        <v>17</v>
      </c>
      <c r="F2740" t="s">
        <v>56</v>
      </c>
      <c r="G2740" t="s">
        <v>32</v>
      </c>
      <c r="H2740">
        <v>19</v>
      </c>
    </row>
    <row r="2741" spans="1:8" ht="21.75" customHeight="1" x14ac:dyDescent="0.35">
      <c r="A2741" t="s">
        <v>2836</v>
      </c>
      <c r="B2741" s="3">
        <v>45553</v>
      </c>
      <c r="C2741" t="s">
        <v>493</v>
      </c>
      <c r="D2741" t="s">
        <v>45</v>
      </c>
      <c r="E2741" t="s">
        <v>17</v>
      </c>
      <c r="F2741" t="s">
        <v>56</v>
      </c>
      <c r="G2741" t="s">
        <v>32</v>
      </c>
      <c r="H2741">
        <v>14</v>
      </c>
    </row>
    <row r="2742" spans="1:8" ht="21.75" customHeight="1" x14ac:dyDescent="0.35">
      <c r="A2742" t="s">
        <v>2837</v>
      </c>
      <c r="B2742" s="3">
        <v>45601</v>
      </c>
      <c r="C2742" t="s">
        <v>78</v>
      </c>
      <c r="D2742" t="s">
        <v>10</v>
      </c>
      <c r="E2742" t="s">
        <v>17</v>
      </c>
      <c r="F2742" t="s">
        <v>12</v>
      </c>
      <c r="G2742" t="s">
        <v>36</v>
      </c>
      <c r="H2742">
        <v>4</v>
      </c>
    </row>
    <row r="2743" spans="1:8" ht="21.75" customHeight="1" x14ac:dyDescent="0.35">
      <c r="A2743" t="s">
        <v>2838</v>
      </c>
      <c r="B2743" s="3">
        <v>45500</v>
      </c>
      <c r="C2743" t="s">
        <v>58</v>
      </c>
      <c r="D2743" t="s">
        <v>72</v>
      </c>
      <c r="E2743" t="s">
        <v>22</v>
      </c>
      <c r="F2743" t="s">
        <v>12</v>
      </c>
      <c r="G2743" t="s">
        <v>32</v>
      </c>
      <c r="H2743">
        <v>11</v>
      </c>
    </row>
    <row r="2744" spans="1:8" ht="21.75" customHeight="1" x14ac:dyDescent="0.35">
      <c r="A2744" t="s">
        <v>2839</v>
      </c>
      <c r="B2744" s="3">
        <v>45366</v>
      </c>
      <c r="C2744" t="s">
        <v>240</v>
      </c>
      <c r="D2744" t="s">
        <v>26</v>
      </c>
      <c r="E2744" t="s">
        <v>11</v>
      </c>
      <c r="F2744" t="s">
        <v>12</v>
      </c>
      <c r="G2744" t="s">
        <v>23</v>
      </c>
      <c r="H2744">
        <v>8</v>
      </c>
    </row>
    <row r="2745" spans="1:8" ht="21.75" customHeight="1" x14ac:dyDescent="0.35">
      <c r="A2745" t="s">
        <v>2840</v>
      </c>
      <c r="B2745" s="3">
        <v>45345</v>
      </c>
      <c r="C2745" t="s">
        <v>728</v>
      </c>
      <c r="D2745" t="s">
        <v>102</v>
      </c>
      <c r="E2745" t="s">
        <v>11</v>
      </c>
      <c r="F2745" t="s">
        <v>306</v>
      </c>
      <c r="G2745" t="s">
        <v>32</v>
      </c>
      <c r="H2745">
        <v>19</v>
      </c>
    </row>
    <row r="2746" spans="1:8" ht="21.75" customHeight="1" x14ac:dyDescent="0.35">
      <c r="A2746" t="s">
        <v>2841</v>
      </c>
      <c r="B2746" s="3">
        <v>45542</v>
      </c>
      <c r="C2746" t="s">
        <v>108</v>
      </c>
      <c r="D2746" t="s">
        <v>160</v>
      </c>
      <c r="E2746" t="s">
        <v>17</v>
      </c>
      <c r="F2746" t="s">
        <v>306</v>
      </c>
      <c r="G2746" t="s">
        <v>32</v>
      </c>
      <c r="H2746">
        <v>18</v>
      </c>
    </row>
    <row r="2747" spans="1:8" ht="21.75" customHeight="1" x14ac:dyDescent="0.35">
      <c r="A2747" t="s">
        <v>2842</v>
      </c>
      <c r="B2747" s="3">
        <v>45342</v>
      </c>
      <c r="C2747" t="s">
        <v>9</v>
      </c>
      <c r="D2747" t="s">
        <v>45</v>
      </c>
      <c r="E2747" t="s">
        <v>17</v>
      </c>
      <c r="F2747" t="s">
        <v>27</v>
      </c>
      <c r="G2747" t="s">
        <v>28</v>
      </c>
      <c r="H2747">
        <v>12</v>
      </c>
    </row>
    <row r="2748" spans="1:8" ht="21.75" customHeight="1" x14ac:dyDescent="0.35">
      <c r="A2748" t="s">
        <v>2843</v>
      </c>
      <c r="B2748" s="3">
        <v>45639</v>
      </c>
      <c r="C2748" t="s">
        <v>728</v>
      </c>
      <c r="D2748" t="s">
        <v>174</v>
      </c>
      <c r="E2748" t="s">
        <v>22</v>
      </c>
      <c r="F2748" t="s">
        <v>306</v>
      </c>
      <c r="G2748" t="s">
        <v>23</v>
      </c>
      <c r="H2748">
        <v>16</v>
      </c>
    </row>
    <row r="2749" spans="1:8" ht="21.75" customHeight="1" x14ac:dyDescent="0.35">
      <c r="A2749" t="s">
        <v>2844</v>
      </c>
      <c r="B2749" s="3">
        <v>45424</v>
      </c>
      <c r="C2749" t="s">
        <v>142</v>
      </c>
      <c r="D2749" t="s">
        <v>41</v>
      </c>
      <c r="E2749" t="s">
        <v>22</v>
      </c>
      <c r="F2749" t="s">
        <v>56</v>
      </c>
      <c r="G2749" t="s">
        <v>28</v>
      </c>
      <c r="H2749">
        <v>5</v>
      </c>
    </row>
    <row r="2750" spans="1:8" ht="21.75" customHeight="1" x14ac:dyDescent="0.35">
      <c r="A2750" t="s">
        <v>2845</v>
      </c>
      <c r="B2750" s="3">
        <v>45428</v>
      </c>
      <c r="C2750" t="s">
        <v>9</v>
      </c>
      <c r="D2750" t="s">
        <v>84</v>
      </c>
      <c r="E2750" t="s">
        <v>22</v>
      </c>
      <c r="F2750" t="s">
        <v>42</v>
      </c>
      <c r="G2750" t="s">
        <v>28</v>
      </c>
      <c r="H2750">
        <v>20</v>
      </c>
    </row>
    <row r="2751" spans="1:8" ht="21.75" customHeight="1" x14ac:dyDescent="0.35">
      <c r="A2751" t="s">
        <v>2846</v>
      </c>
      <c r="B2751" s="3">
        <v>45526</v>
      </c>
      <c r="C2751" t="s">
        <v>44</v>
      </c>
      <c r="D2751" t="s">
        <v>70</v>
      </c>
      <c r="E2751" t="s">
        <v>17</v>
      </c>
      <c r="F2751" t="s">
        <v>27</v>
      </c>
      <c r="G2751" t="s">
        <v>36</v>
      </c>
      <c r="H2751">
        <v>10</v>
      </c>
    </row>
    <row r="2752" spans="1:8" ht="21.75" customHeight="1" x14ac:dyDescent="0.35">
      <c r="A2752" t="s">
        <v>2847</v>
      </c>
      <c r="B2752" s="3">
        <v>45511</v>
      </c>
      <c r="C2752" t="s">
        <v>363</v>
      </c>
      <c r="D2752" t="s">
        <v>62</v>
      </c>
      <c r="E2752" t="s">
        <v>11</v>
      </c>
      <c r="F2752" t="s">
        <v>42</v>
      </c>
      <c r="G2752" t="s">
        <v>13</v>
      </c>
      <c r="H2752">
        <v>10</v>
      </c>
    </row>
    <row r="2753" spans="1:8" ht="21.75" customHeight="1" x14ac:dyDescent="0.35">
      <c r="A2753" t="s">
        <v>2848</v>
      </c>
      <c r="B2753" s="3">
        <v>45452</v>
      </c>
      <c r="C2753" t="s">
        <v>203</v>
      </c>
      <c r="D2753" t="s">
        <v>21</v>
      </c>
      <c r="E2753" t="s">
        <v>11</v>
      </c>
      <c r="F2753" t="s">
        <v>12</v>
      </c>
      <c r="G2753" t="s">
        <v>28</v>
      </c>
      <c r="H2753">
        <v>3</v>
      </c>
    </row>
    <row r="2754" spans="1:8" ht="21.75" customHeight="1" x14ac:dyDescent="0.35">
      <c r="A2754" t="s">
        <v>2849</v>
      </c>
      <c r="B2754" s="3">
        <v>45321</v>
      </c>
      <c r="C2754" t="s">
        <v>81</v>
      </c>
      <c r="D2754" t="s">
        <v>84</v>
      </c>
      <c r="E2754" t="s">
        <v>17</v>
      </c>
      <c r="F2754" t="s">
        <v>306</v>
      </c>
      <c r="G2754" t="s">
        <v>23</v>
      </c>
      <c r="H2754">
        <v>1</v>
      </c>
    </row>
    <row r="2755" spans="1:8" ht="21.75" customHeight="1" x14ac:dyDescent="0.35">
      <c r="A2755" t="s">
        <v>2850</v>
      </c>
      <c r="B2755" s="3">
        <v>45509</v>
      </c>
      <c r="C2755" t="s">
        <v>422</v>
      </c>
      <c r="D2755" t="s">
        <v>160</v>
      </c>
      <c r="E2755" t="s">
        <v>22</v>
      </c>
      <c r="F2755" t="s">
        <v>56</v>
      </c>
      <c r="G2755" t="s">
        <v>23</v>
      </c>
      <c r="H2755">
        <v>16</v>
      </c>
    </row>
    <row r="2756" spans="1:8" ht="21.75" customHeight="1" x14ac:dyDescent="0.35">
      <c r="A2756" t="s">
        <v>2851</v>
      </c>
      <c r="B2756" s="3">
        <v>45638</v>
      </c>
      <c r="C2756" t="s">
        <v>312</v>
      </c>
      <c r="D2756" t="s">
        <v>62</v>
      </c>
      <c r="E2756" t="s">
        <v>11</v>
      </c>
      <c r="F2756" t="s">
        <v>27</v>
      </c>
      <c r="G2756" t="s">
        <v>13</v>
      </c>
      <c r="H2756">
        <v>20</v>
      </c>
    </row>
    <row r="2757" spans="1:8" ht="21.75" customHeight="1" x14ac:dyDescent="0.35">
      <c r="A2757" t="s">
        <v>2852</v>
      </c>
      <c r="B2757" s="3">
        <v>45295</v>
      </c>
      <c r="C2757" t="s">
        <v>436</v>
      </c>
      <c r="D2757" t="s">
        <v>87</v>
      </c>
      <c r="E2757" t="s">
        <v>22</v>
      </c>
      <c r="F2757" t="s">
        <v>306</v>
      </c>
      <c r="G2757" t="s">
        <v>32</v>
      </c>
      <c r="H2757">
        <v>8</v>
      </c>
    </row>
    <row r="2758" spans="1:8" ht="21.75" customHeight="1" x14ac:dyDescent="0.35">
      <c r="A2758" t="s">
        <v>2853</v>
      </c>
      <c r="B2758" s="3">
        <v>45630</v>
      </c>
      <c r="C2758" t="s">
        <v>339</v>
      </c>
      <c r="D2758" t="s">
        <v>41</v>
      </c>
      <c r="E2758" t="s">
        <v>22</v>
      </c>
      <c r="F2758" t="s">
        <v>12</v>
      </c>
      <c r="G2758" t="s">
        <v>36</v>
      </c>
      <c r="H2758">
        <v>15</v>
      </c>
    </row>
    <row r="2759" spans="1:8" ht="21.75" customHeight="1" x14ac:dyDescent="0.35">
      <c r="A2759" t="s">
        <v>2854</v>
      </c>
      <c r="B2759" s="3">
        <v>45637</v>
      </c>
      <c r="C2759" t="s">
        <v>332</v>
      </c>
      <c r="D2759" t="s">
        <v>160</v>
      </c>
      <c r="E2759" t="s">
        <v>11</v>
      </c>
      <c r="F2759" t="s">
        <v>56</v>
      </c>
      <c r="G2759" t="s">
        <v>13</v>
      </c>
      <c r="H2759">
        <v>12</v>
      </c>
    </row>
    <row r="2760" spans="1:8" ht="21.75" customHeight="1" x14ac:dyDescent="0.35">
      <c r="A2760" t="s">
        <v>2855</v>
      </c>
      <c r="B2760" s="3">
        <v>45555</v>
      </c>
      <c r="C2760" t="s">
        <v>182</v>
      </c>
      <c r="D2760" t="s">
        <v>79</v>
      </c>
      <c r="E2760" t="s">
        <v>17</v>
      </c>
      <c r="F2760" t="s">
        <v>27</v>
      </c>
      <c r="G2760" t="s">
        <v>23</v>
      </c>
      <c r="H2760">
        <v>6</v>
      </c>
    </row>
    <row r="2761" spans="1:8" ht="21.75" customHeight="1" x14ac:dyDescent="0.35">
      <c r="A2761" t="s">
        <v>2856</v>
      </c>
      <c r="B2761" s="3">
        <v>45349</v>
      </c>
      <c r="C2761" t="s">
        <v>47</v>
      </c>
      <c r="D2761" t="s">
        <v>41</v>
      </c>
      <c r="E2761" t="s">
        <v>11</v>
      </c>
      <c r="F2761" t="s">
        <v>306</v>
      </c>
      <c r="G2761" t="s">
        <v>13</v>
      </c>
      <c r="H2761">
        <v>10</v>
      </c>
    </row>
    <row r="2762" spans="1:8" ht="21.75" customHeight="1" x14ac:dyDescent="0.35">
      <c r="A2762" t="s">
        <v>2857</v>
      </c>
      <c r="B2762" s="3">
        <v>45442</v>
      </c>
      <c r="C2762" t="s">
        <v>86</v>
      </c>
      <c r="D2762" t="s">
        <v>65</v>
      </c>
      <c r="E2762" t="s">
        <v>11</v>
      </c>
      <c r="F2762" t="s">
        <v>306</v>
      </c>
      <c r="G2762" t="s">
        <v>23</v>
      </c>
      <c r="H2762">
        <v>7</v>
      </c>
    </row>
    <row r="2763" spans="1:8" ht="21.75" customHeight="1" x14ac:dyDescent="0.35">
      <c r="A2763" t="s">
        <v>2858</v>
      </c>
      <c r="B2763" s="3">
        <v>45621</v>
      </c>
      <c r="C2763" t="s">
        <v>345</v>
      </c>
      <c r="D2763" t="s">
        <v>79</v>
      </c>
      <c r="E2763" t="s">
        <v>17</v>
      </c>
      <c r="F2763" t="s">
        <v>306</v>
      </c>
      <c r="G2763" t="s">
        <v>23</v>
      </c>
      <c r="H2763">
        <v>2</v>
      </c>
    </row>
    <row r="2764" spans="1:8" ht="21.75" customHeight="1" x14ac:dyDescent="0.35">
      <c r="A2764" t="s">
        <v>2859</v>
      </c>
      <c r="B2764" s="3">
        <v>45607</v>
      </c>
      <c r="C2764" t="s">
        <v>366</v>
      </c>
      <c r="D2764" t="s">
        <v>72</v>
      </c>
      <c r="E2764" t="s">
        <v>17</v>
      </c>
      <c r="F2764" t="s">
        <v>42</v>
      </c>
      <c r="G2764" t="s">
        <v>13</v>
      </c>
      <c r="H2764">
        <v>1</v>
      </c>
    </row>
    <row r="2765" spans="1:8" ht="21.75" customHeight="1" x14ac:dyDescent="0.35">
      <c r="A2765" t="s">
        <v>2860</v>
      </c>
      <c r="B2765" s="3">
        <v>45387</v>
      </c>
      <c r="C2765" t="s">
        <v>341</v>
      </c>
      <c r="D2765" t="s">
        <v>48</v>
      </c>
      <c r="E2765" t="s">
        <v>11</v>
      </c>
      <c r="F2765" t="s">
        <v>12</v>
      </c>
      <c r="G2765" t="s">
        <v>23</v>
      </c>
      <c r="H2765">
        <v>16</v>
      </c>
    </row>
    <row r="2766" spans="1:8" ht="21.75" customHeight="1" x14ac:dyDescent="0.35">
      <c r="A2766" t="s">
        <v>2861</v>
      </c>
      <c r="B2766" s="3">
        <v>45562</v>
      </c>
      <c r="C2766" t="s">
        <v>345</v>
      </c>
      <c r="D2766" t="s">
        <v>16</v>
      </c>
      <c r="E2766" t="s">
        <v>17</v>
      </c>
      <c r="F2766" t="s">
        <v>12</v>
      </c>
      <c r="G2766" t="s">
        <v>23</v>
      </c>
      <c r="H2766">
        <v>1</v>
      </c>
    </row>
    <row r="2767" spans="1:8" ht="21.75" customHeight="1" x14ac:dyDescent="0.35">
      <c r="A2767" t="s">
        <v>2862</v>
      </c>
      <c r="B2767" s="3">
        <v>45628</v>
      </c>
      <c r="C2767" t="s">
        <v>230</v>
      </c>
      <c r="D2767" t="s">
        <v>197</v>
      </c>
      <c r="E2767" t="s">
        <v>17</v>
      </c>
      <c r="F2767" t="s">
        <v>27</v>
      </c>
      <c r="G2767" t="s">
        <v>32</v>
      </c>
      <c r="H2767">
        <v>10</v>
      </c>
    </row>
    <row r="2768" spans="1:8" ht="21.75" customHeight="1" x14ac:dyDescent="0.35">
      <c r="A2768" t="s">
        <v>2863</v>
      </c>
      <c r="B2768" s="3">
        <v>45385</v>
      </c>
      <c r="C2768" t="s">
        <v>312</v>
      </c>
      <c r="D2768" t="s">
        <v>26</v>
      </c>
      <c r="E2768" t="s">
        <v>11</v>
      </c>
      <c r="F2768" t="s">
        <v>27</v>
      </c>
      <c r="G2768" t="s">
        <v>23</v>
      </c>
      <c r="H2768">
        <v>6</v>
      </c>
    </row>
    <row r="2769" spans="1:8" ht="21.75" customHeight="1" x14ac:dyDescent="0.35">
      <c r="A2769" t="s">
        <v>2864</v>
      </c>
      <c r="B2769" s="3">
        <v>45514</v>
      </c>
      <c r="C2769" t="s">
        <v>25</v>
      </c>
      <c r="D2769" t="s">
        <v>48</v>
      </c>
      <c r="E2769" t="s">
        <v>22</v>
      </c>
      <c r="F2769" t="s">
        <v>56</v>
      </c>
      <c r="G2769" t="s">
        <v>13</v>
      </c>
      <c r="H2769">
        <v>7</v>
      </c>
    </row>
    <row r="2770" spans="1:8" ht="21.75" customHeight="1" x14ac:dyDescent="0.35">
      <c r="A2770" t="s">
        <v>2865</v>
      </c>
      <c r="B2770" s="3">
        <v>45360</v>
      </c>
      <c r="C2770" t="s">
        <v>106</v>
      </c>
      <c r="D2770" t="s">
        <v>87</v>
      </c>
      <c r="E2770" t="s">
        <v>22</v>
      </c>
      <c r="F2770" t="s">
        <v>42</v>
      </c>
      <c r="G2770" t="s">
        <v>13</v>
      </c>
      <c r="H2770">
        <v>6</v>
      </c>
    </row>
    <row r="2771" spans="1:8" ht="21.75" customHeight="1" x14ac:dyDescent="0.35">
      <c r="A2771" t="s">
        <v>2866</v>
      </c>
      <c r="B2771" s="3">
        <v>45537</v>
      </c>
      <c r="C2771" t="s">
        <v>317</v>
      </c>
      <c r="D2771" t="s">
        <v>26</v>
      </c>
      <c r="E2771" t="s">
        <v>11</v>
      </c>
      <c r="F2771" t="s">
        <v>27</v>
      </c>
      <c r="G2771" t="s">
        <v>23</v>
      </c>
      <c r="H2771">
        <v>18</v>
      </c>
    </row>
    <row r="2772" spans="1:8" ht="21.75" customHeight="1" x14ac:dyDescent="0.35">
      <c r="A2772" t="s">
        <v>2867</v>
      </c>
      <c r="B2772" s="3">
        <v>45641</v>
      </c>
      <c r="C2772" t="s">
        <v>436</v>
      </c>
      <c r="D2772" t="s">
        <v>16</v>
      </c>
      <c r="E2772" t="s">
        <v>17</v>
      </c>
      <c r="F2772" t="s">
        <v>27</v>
      </c>
      <c r="G2772" t="s">
        <v>36</v>
      </c>
      <c r="H2772">
        <v>13</v>
      </c>
    </row>
    <row r="2773" spans="1:8" ht="21.75" customHeight="1" x14ac:dyDescent="0.35">
      <c r="A2773" t="s">
        <v>2868</v>
      </c>
      <c r="B2773" s="3">
        <v>45347</v>
      </c>
      <c r="C2773" t="s">
        <v>138</v>
      </c>
      <c r="D2773" t="s">
        <v>16</v>
      </c>
      <c r="E2773" t="s">
        <v>11</v>
      </c>
      <c r="F2773" t="s">
        <v>42</v>
      </c>
      <c r="G2773" t="s">
        <v>36</v>
      </c>
      <c r="H2773">
        <v>1</v>
      </c>
    </row>
    <row r="2774" spans="1:8" ht="21.75" customHeight="1" x14ac:dyDescent="0.35">
      <c r="A2774" t="s">
        <v>2869</v>
      </c>
      <c r="B2774" s="3">
        <v>45413</v>
      </c>
      <c r="C2774" t="s">
        <v>9</v>
      </c>
      <c r="D2774" t="s">
        <v>41</v>
      </c>
      <c r="E2774" t="s">
        <v>17</v>
      </c>
      <c r="F2774" t="s">
        <v>27</v>
      </c>
      <c r="G2774" t="s">
        <v>36</v>
      </c>
      <c r="H2774">
        <v>1</v>
      </c>
    </row>
    <row r="2775" spans="1:8" ht="21.75" customHeight="1" x14ac:dyDescent="0.35">
      <c r="A2775" t="s">
        <v>2870</v>
      </c>
      <c r="B2775" s="3">
        <v>45440</v>
      </c>
      <c r="C2775" t="s">
        <v>55</v>
      </c>
      <c r="D2775" t="s">
        <v>35</v>
      </c>
      <c r="E2775" t="s">
        <v>11</v>
      </c>
      <c r="F2775" t="s">
        <v>27</v>
      </c>
      <c r="G2775" t="s">
        <v>28</v>
      </c>
      <c r="H2775">
        <v>20</v>
      </c>
    </row>
    <row r="2776" spans="1:8" ht="21.75" customHeight="1" x14ac:dyDescent="0.35">
      <c r="A2776" t="s">
        <v>2871</v>
      </c>
      <c r="B2776" s="3">
        <v>45553</v>
      </c>
      <c r="C2776" t="s">
        <v>44</v>
      </c>
      <c r="D2776" t="s">
        <v>197</v>
      </c>
      <c r="E2776" t="s">
        <v>17</v>
      </c>
      <c r="F2776" t="s">
        <v>12</v>
      </c>
      <c r="G2776" t="s">
        <v>32</v>
      </c>
      <c r="H2776">
        <v>8</v>
      </c>
    </row>
    <row r="2777" spans="1:8" ht="21.75" customHeight="1" x14ac:dyDescent="0.35">
      <c r="A2777" t="s">
        <v>2872</v>
      </c>
      <c r="B2777" s="3">
        <v>45511</v>
      </c>
      <c r="C2777" t="s">
        <v>104</v>
      </c>
      <c r="D2777" t="s">
        <v>35</v>
      </c>
      <c r="E2777" t="s">
        <v>22</v>
      </c>
      <c r="F2777" t="s">
        <v>12</v>
      </c>
      <c r="G2777" t="s">
        <v>36</v>
      </c>
      <c r="H2777">
        <v>20</v>
      </c>
    </row>
    <row r="2778" spans="1:8" ht="21.75" customHeight="1" x14ac:dyDescent="0.35">
      <c r="A2778" t="s">
        <v>2873</v>
      </c>
      <c r="B2778" s="3">
        <v>45594</v>
      </c>
      <c r="C2778" t="s">
        <v>451</v>
      </c>
      <c r="D2778" t="s">
        <v>21</v>
      </c>
      <c r="E2778" t="s">
        <v>11</v>
      </c>
      <c r="F2778" t="s">
        <v>56</v>
      </c>
      <c r="G2778" t="s">
        <v>13</v>
      </c>
      <c r="H2778">
        <v>5</v>
      </c>
    </row>
    <row r="2779" spans="1:8" ht="21.75" customHeight="1" x14ac:dyDescent="0.35">
      <c r="A2779" t="s">
        <v>2874</v>
      </c>
      <c r="B2779" s="3">
        <v>45432</v>
      </c>
      <c r="C2779" t="s">
        <v>150</v>
      </c>
      <c r="D2779" t="s">
        <v>16</v>
      </c>
      <c r="E2779" t="s">
        <v>17</v>
      </c>
      <c r="F2779" t="s">
        <v>12</v>
      </c>
      <c r="G2779" t="s">
        <v>36</v>
      </c>
      <c r="H2779">
        <v>7</v>
      </c>
    </row>
    <row r="2780" spans="1:8" ht="21.75" customHeight="1" x14ac:dyDescent="0.35">
      <c r="A2780" t="s">
        <v>2875</v>
      </c>
      <c r="B2780" s="3">
        <v>45318</v>
      </c>
      <c r="C2780" t="s">
        <v>159</v>
      </c>
      <c r="D2780" t="s">
        <v>87</v>
      </c>
      <c r="E2780" t="s">
        <v>22</v>
      </c>
      <c r="F2780" t="s">
        <v>42</v>
      </c>
      <c r="G2780" t="s">
        <v>28</v>
      </c>
      <c r="H2780">
        <v>8</v>
      </c>
    </row>
    <row r="2781" spans="1:8" ht="21.75" customHeight="1" x14ac:dyDescent="0.35">
      <c r="A2781" t="s">
        <v>2876</v>
      </c>
      <c r="B2781" s="3">
        <v>45537</v>
      </c>
      <c r="C2781" t="s">
        <v>131</v>
      </c>
      <c r="D2781" t="s">
        <v>160</v>
      </c>
      <c r="E2781" t="s">
        <v>17</v>
      </c>
      <c r="F2781" t="s">
        <v>12</v>
      </c>
      <c r="G2781" t="s">
        <v>32</v>
      </c>
      <c r="H2781">
        <v>4</v>
      </c>
    </row>
    <row r="2782" spans="1:8" ht="21.75" customHeight="1" x14ac:dyDescent="0.35">
      <c r="A2782" t="s">
        <v>2877</v>
      </c>
      <c r="B2782" s="3">
        <v>45435</v>
      </c>
      <c r="C2782" t="s">
        <v>20</v>
      </c>
      <c r="D2782" t="s">
        <v>62</v>
      </c>
      <c r="E2782" t="s">
        <v>17</v>
      </c>
      <c r="F2782" t="s">
        <v>56</v>
      </c>
      <c r="G2782" t="s">
        <v>32</v>
      </c>
      <c r="H2782">
        <v>2</v>
      </c>
    </row>
    <row r="2783" spans="1:8" ht="21.75" customHeight="1" x14ac:dyDescent="0.35">
      <c r="A2783" t="s">
        <v>2878</v>
      </c>
      <c r="B2783" s="3">
        <v>45292</v>
      </c>
      <c r="C2783" t="s">
        <v>9</v>
      </c>
      <c r="D2783" t="s">
        <v>41</v>
      </c>
      <c r="E2783" t="s">
        <v>22</v>
      </c>
      <c r="F2783" t="s">
        <v>42</v>
      </c>
      <c r="G2783" t="s">
        <v>28</v>
      </c>
      <c r="H2783">
        <v>10</v>
      </c>
    </row>
    <row r="2784" spans="1:8" ht="21.75" customHeight="1" x14ac:dyDescent="0.35">
      <c r="A2784" t="s">
        <v>2879</v>
      </c>
      <c r="B2784" s="3">
        <v>45602</v>
      </c>
      <c r="C2784" t="s">
        <v>108</v>
      </c>
      <c r="D2784" t="s">
        <v>87</v>
      </c>
      <c r="E2784" t="s">
        <v>11</v>
      </c>
      <c r="F2784" t="s">
        <v>42</v>
      </c>
      <c r="G2784" t="s">
        <v>23</v>
      </c>
      <c r="H2784">
        <v>12</v>
      </c>
    </row>
    <row r="2785" spans="1:8" ht="21.75" customHeight="1" x14ac:dyDescent="0.35">
      <c r="A2785" t="s">
        <v>2880</v>
      </c>
      <c r="B2785" s="3">
        <v>45349</v>
      </c>
      <c r="C2785" t="s">
        <v>108</v>
      </c>
      <c r="D2785" t="s">
        <v>41</v>
      </c>
      <c r="E2785" t="s">
        <v>11</v>
      </c>
      <c r="F2785" t="s">
        <v>306</v>
      </c>
      <c r="G2785" t="s">
        <v>28</v>
      </c>
      <c r="H2785">
        <v>11</v>
      </c>
    </row>
    <row r="2786" spans="1:8" ht="21.75" customHeight="1" x14ac:dyDescent="0.35">
      <c r="A2786" t="s">
        <v>2881</v>
      </c>
      <c r="B2786" s="3">
        <v>45477</v>
      </c>
      <c r="C2786" t="s">
        <v>323</v>
      </c>
      <c r="D2786" t="s">
        <v>119</v>
      </c>
      <c r="E2786" t="s">
        <v>22</v>
      </c>
      <c r="F2786" t="s">
        <v>306</v>
      </c>
      <c r="G2786" t="s">
        <v>36</v>
      </c>
      <c r="H2786">
        <v>12</v>
      </c>
    </row>
    <row r="2787" spans="1:8" ht="21.75" customHeight="1" x14ac:dyDescent="0.35">
      <c r="A2787" t="s">
        <v>2882</v>
      </c>
      <c r="B2787" s="3">
        <v>45433</v>
      </c>
      <c r="C2787" t="s">
        <v>95</v>
      </c>
      <c r="D2787" t="s">
        <v>59</v>
      </c>
      <c r="E2787" t="s">
        <v>17</v>
      </c>
      <c r="F2787" t="s">
        <v>12</v>
      </c>
      <c r="G2787" t="s">
        <v>13</v>
      </c>
      <c r="H2787">
        <v>5</v>
      </c>
    </row>
    <row r="2788" spans="1:8" ht="21.75" customHeight="1" x14ac:dyDescent="0.35">
      <c r="A2788" t="s">
        <v>2883</v>
      </c>
      <c r="B2788" s="3">
        <v>45600</v>
      </c>
      <c r="C2788" t="s">
        <v>114</v>
      </c>
      <c r="D2788" t="s">
        <v>79</v>
      </c>
      <c r="E2788" t="s">
        <v>22</v>
      </c>
      <c r="F2788" t="s">
        <v>56</v>
      </c>
      <c r="G2788" t="s">
        <v>28</v>
      </c>
      <c r="H2788">
        <v>15</v>
      </c>
    </row>
    <row r="2789" spans="1:8" ht="21.75" customHeight="1" x14ac:dyDescent="0.35">
      <c r="A2789" t="s">
        <v>2884</v>
      </c>
      <c r="B2789" s="3">
        <v>45330</v>
      </c>
      <c r="C2789" t="s">
        <v>591</v>
      </c>
      <c r="D2789" t="s">
        <v>109</v>
      </c>
      <c r="E2789" t="s">
        <v>17</v>
      </c>
      <c r="F2789" t="s">
        <v>42</v>
      </c>
      <c r="G2789" t="s">
        <v>23</v>
      </c>
      <c r="H2789">
        <v>7</v>
      </c>
    </row>
    <row r="2790" spans="1:8" ht="21.75" customHeight="1" x14ac:dyDescent="0.35">
      <c r="A2790" t="s">
        <v>2885</v>
      </c>
      <c r="B2790" s="3">
        <v>45370</v>
      </c>
      <c r="C2790" t="s">
        <v>116</v>
      </c>
      <c r="D2790" t="s">
        <v>16</v>
      </c>
      <c r="E2790" t="s">
        <v>11</v>
      </c>
      <c r="F2790" t="s">
        <v>27</v>
      </c>
      <c r="G2790" t="s">
        <v>36</v>
      </c>
      <c r="H2790">
        <v>9</v>
      </c>
    </row>
    <row r="2791" spans="1:8" ht="21.75" customHeight="1" x14ac:dyDescent="0.35">
      <c r="A2791" t="s">
        <v>2886</v>
      </c>
      <c r="B2791" s="3">
        <v>45578</v>
      </c>
      <c r="C2791" t="s">
        <v>20</v>
      </c>
      <c r="D2791" t="s">
        <v>48</v>
      </c>
      <c r="E2791" t="s">
        <v>17</v>
      </c>
      <c r="F2791" t="s">
        <v>12</v>
      </c>
      <c r="G2791" t="s">
        <v>23</v>
      </c>
      <c r="H2791">
        <v>3</v>
      </c>
    </row>
    <row r="2792" spans="1:8" ht="21.75" customHeight="1" x14ac:dyDescent="0.35">
      <c r="A2792" t="s">
        <v>2887</v>
      </c>
      <c r="B2792" s="3">
        <v>45560</v>
      </c>
      <c r="C2792" t="s">
        <v>358</v>
      </c>
      <c r="D2792" t="s">
        <v>96</v>
      </c>
      <c r="E2792" t="s">
        <v>11</v>
      </c>
      <c r="F2792" t="s">
        <v>306</v>
      </c>
      <c r="G2792" t="s">
        <v>32</v>
      </c>
      <c r="H2792">
        <v>5</v>
      </c>
    </row>
    <row r="2793" spans="1:8" ht="21.75" customHeight="1" x14ac:dyDescent="0.35">
      <c r="A2793" t="s">
        <v>2888</v>
      </c>
      <c r="B2793" s="3">
        <v>45581</v>
      </c>
      <c r="C2793" t="s">
        <v>131</v>
      </c>
      <c r="D2793" t="s">
        <v>62</v>
      </c>
      <c r="E2793" t="s">
        <v>11</v>
      </c>
      <c r="F2793" t="s">
        <v>27</v>
      </c>
      <c r="G2793" t="s">
        <v>23</v>
      </c>
      <c r="H2793">
        <v>18</v>
      </c>
    </row>
    <row r="2794" spans="1:8" ht="21.75" customHeight="1" x14ac:dyDescent="0.35">
      <c r="A2794" t="s">
        <v>2889</v>
      </c>
      <c r="B2794" s="3">
        <v>45330</v>
      </c>
      <c r="C2794" t="s">
        <v>30</v>
      </c>
      <c r="D2794" t="s">
        <v>70</v>
      </c>
      <c r="E2794" t="s">
        <v>22</v>
      </c>
      <c r="F2794" t="s">
        <v>27</v>
      </c>
      <c r="G2794" t="s">
        <v>36</v>
      </c>
      <c r="H2794">
        <v>13</v>
      </c>
    </row>
    <row r="2795" spans="1:8" ht="21.75" customHeight="1" x14ac:dyDescent="0.35">
      <c r="A2795" t="s">
        <v>2890</v>
      </c>
      <c r="B2795" s="3">
        <v>45431</v>
      </c>
      <c r="C2795" t="s">
        <v>95</v>
      </c>
      <c r="D2795" t="s">
        <v>45</v>
      </c>
      <c r="E2795" t="s">
        <v>11</v>
      </c>
      <c r="F2795" t="s">
        <v>56</v>
      </c>
      <c r="G2795" t="s">
        <v>36</v>
      </c>
      <c r="H2795">
        <v>7</v>
      </c>
    </row>
    <row r="2796" spans="1:8" ht="21.75" customHeight="1" x14ac:dyDescent="0.35">
      <c r="A2796" t="s">
        <v>2891</v>
      </c>
      <c r="B2796" s="3">
        <v>45296</v>
      </c>
      <c r="C2796" t="s">
        <v>345</v>
      </c>
      <c r="D2796" t="s">
        <v>70</v>
      </c>
      <c r="E2796" t="s">
        <v>22</v>
      </c>
      <c r="F2796" t="s">
        <v>306</v>
      </c>
      <c r="G2796" t="s">
        <v>32</v>
      </c>
      <c r="H2796">
        <v>10</v>
      </c>
    </row>
    <row r="2797" spans="1:8" ht="21.75" customHeight="1" x14ac:dyDescent="0.35">
      <c r="A2797" t="s">
        <v>2892</v>
      </c>
      <c r="B2797" s="3">
        <v>45443</v>
      </c>
      <c r="C2797" t="s">
        <v>369</v>
      </c>
      <c r="D2797" t="s">
        <v>26</v>
      </c>
      <c r="E2797" t="s">
        <v>22</v>
      </c>
      <c r="F2797" t="s">
        <v>12</v>
      </c>
      <c r="G2797" t="s">
        <v>28</v>
      </c>
      <c r="H2797">
        <v>8</v>
      </c>
    </row>
    <row r="2798" spans="1:8" ht="21.75" customHeight="1" x14ac:dyDescent="0.35">
      <c r="A2798" t="s">
        <v>2893</v>
      </c>
      <c r="B2798" s="3">
        <v>45413</v>
      </c>
      <c r="C2798" t="s">
        <v>61</v>
      </c>
      <c r="D2798" t="s">
        <v>79</v>
      </c>
      <c r="E2798" t="s">
        <v>22</v>
      </c>
      <c r="F2798" t="s">
        <v>56</v>
      </c>
      <c r="G2798" t="s">
        <v>32</v>
      </c>
      <c r="H2798">
        <v>5</v>
      </c>
    </row>
    <row r="2799" spans="1:8" ht="21.75" customHeight="1" x14ac:dyDescent="0.35">
      <c r="A2799" t="s">
        <v>2894</v>
      </c>
      <c r="B2799" s="3">
        <v>45318</v>
      </c>
      <c r="C2799" t="s">
        <v>736</v>
      </c>
      <c r="D2799" t="s">
        <v>197</v>
      </c>
      <c r="E2799" t="s">
        <v>11</v>
      </c>
      <c r="F2799" t="s">
        <v>306</v>
      </c>
      <c r="G2799" t="s">
        <v>13</v>
      </c>
      <c r="H2799">
        <v>1</v>
      </c>
    </row>
    <row r="2800" spans="1:8" ht="21.75" customHeight="1" x14ac:dyDescent="0.35">
      <c r="A2800" t="s">
        <v>2895</v>
      </c>
      <c r="B2800" s="3">
        <v>45615</v>
      </c>
      <c r="C2800" t="s">
        <v>493</v>
      </c>
      <c r="D2800" t="s">
        <v>48</v>
      </c>
      <c r="E2800" t="s">
        <v>17</v>
      </c>
      <c r="F2800" t="s">
        <v>12</v>
      </c>
      <c r="G2800" t="s">
        <v>36</v>
      </c>
      <c r="H2800">
        <v>9</v>
      </c>
    </row>
    <row r="2801" spans="1:8" ht="21.75" customHeight="1" x14ac:dyDescent="0.35">
      <c r="A2801" t="s">
        <v>2896</v>
      </c>
      <c r="B2801" s="3">
        <v>45501</v>
      </c>
      <c r="C2801" t="s">
        <v>594</v>
      </c>
      <c r="D2801" t="s">
        <v>74</v>
      </c>
      <c r="E2801" t="s">
        <v>17</v>
      </c>
      <c r="F2801" t="s">
        <v>12</v>
      </c>
      <c r="G2801" t="s">
        <v>13</v>
      </c>
      <c r="H2801">
        <v>12</v>
      </c>
    </row>
    <row r="2802" spans="1:8" ht="21.75" customHeight="1" x14ac:dyDescent="0.35">
      <c r="A2802" t="s">
        <v>2897</v>
      </c>
      <c r="B2802" s="3">
        <v>45435</v>
      </c>
      <c r="C2802" t="s">
        <v>235</v>
      </c>
      <c r="D2802" t="s">
        <v>26</v>
      </c>
      <c r="E2802" t="s">
        <v>11</v>
      </c>
      <c r="F2802" t="s">
        <v>306</v>
      </c>
      <c r="G2802" t="s">
        <v>36</v>
      </c>
      <c r="H2802">
        <v>4</v>
      </c>
    </row>
    <row r="2803" spans="1:8" ht="21.75" customHeight="1" x14ac:dyDescent="0.35">
      <c r="A2803" t="s">
        <v>2898</v>
      </c>
      <c r="B2803" s="3">
        <v>45644</v>
      </c>
      <c r="C2803" t="s">
        <v>159</v>
      </c>
      <c r="D2803" t="s">
        <v>21</v>
      </c>
      <c r="E2803" t="s">
        <v>17</v>
      </c>
      <c r="F2803" t="s">
        <v>306</v>
      </c>
      <c r="G2803" t="s">
        <v>36</v>
      </c>
      <c r="H2803">
        <v>7</v>
      </c>
    </row>
    <row r="2804" spans="1:8" ht="21.75" customHeight="1" x14ac:dyDescent="0.35">
      <c r="A2804" t="s">
        <v>2899</v>
      </c>
      <c r="B2804" s="3">
        <v>45404</v>
      </c>
      <c r="C2804" t="s">
        <v>187</v>
      </c>
      <c r="D2804" t="s">
        <v>26</v>
      </c>
      <c r="E2804" t="s">
        <v>11</v>
      </c>
      <c r="F2804" t="s">
        <v>306</v>
      </c>
      <c r="G2804" t="s">
        <v>23</v>
      </c>
      <c r="H2804">
        <v>5</v>
      </c>
    </row>
    <row r="2805" spans="1:8" ht="21.75" customHeight="1" x14ac:dyDescent="0.35">
      <c r="A2805" t="s">
        <v>2900</v>
      </c>
      <c r="B2805" s="3">
        <v>45514</v>
      </c>
      <c r="C2805" t="s">
        <v>200</v>
      </c>
      <c r="D2805" t="s">
        <v>16</v>
      </c>
      <c r="E2805" t="s">
        <v>17</v>
      </c>
      <c r="F2805" t="s">
        <v>12</v>
      </c>
      <c r="G2805" t="s">
        <v>23</v>
      </c>
      <c r="H2805">
        <v>6</v>
      </c>
    </row>
    <row r="2806" spans="1:8" ht="21.75" customHeight="1" x14ac:dyDescent="0.35">
      <c r="A2806" t="s">
        <v>2901</v>
      </c>
      <c r="B2806" s="3">
        <v>45382</v>
      </c>
      <c r="C2806" t="s">
        <v>150</v>
      </c>
      <c r="D2806" t="s">
        <v>59</v>
      </c>
      <c r="E2806" t="s">
        <v>17</v>
      </c>
      <c r="F2806" t="s">
        <v>56</v>
      </c>
      <c r="G2806" t="s">
        <v>32</v>
      </c>
      <c r="H2806">
        <v>1</v>
      </c>
    </row>
    <row r="2807" spans="1:8" ht="21.75" customHeight="1" x14ac:dyDescent="0.35">
      <c r="A2807" t="s">
        <v>2902</v>
      </c>
      <c r="B2807" s="3">
        <v>45382</v>
      </c>
      <c r="C2807" t="s">
        <v>106</v>
      </c>
      <c r="D2807" t="s">
        <v>41</v>
      </c>
      <c r="E2807" t="s">
        <v>22</v>
      </c>
      <c r="F2807" t="s">
        <v>56</v>
      </c>
      <c r="G2807" t="s">
        <v>13</v>
      </c>
      <c r="H2807">
        <v>5</v>
      </c>
    </row>
    <row r="2808" spans="1:8" ht="21.75" customHeight="1" x14ac:dyDescent="0.35">
      <c r="A2808" t="s">
        <v>2903</v>
      </c>
      <c r="B2808" s="3">
        <v>45417</v>
      </c>
      <c r="C2808" t="s">
        <v>366</v>
      </c>
      <c r="D2808" t="s">
        <v>21</v>
      </c>
      <c r="E2808" t="s">
        <v>17</v>
      </c>
      <c r="F2808" t="s">
        <v>12</v>
      </c>
      <c r="G2808" t="s">
        <v>36</v>
      </c>
      <c r="H2808">
        <v>5</v>
      </c>
    </row>
    <row r="2809" spans="1:8" ht="21.75" customHeight="1" x14ac:dyDescent="0.35">
      <c r="A2809" t="s">
        <v>2904</v>
      </c>
      <c r="B2809" s="3">
        <v>45298</v>
      </c>
      <c r="C2809" t="s">
        <v>493</v>
      </c>
      <c r="D2809" t="s">
        <v>102</v>
      </c>
      <c r="E2809" t="s">
        <v>17</v>
      </c>
      <c r="F2809" t="s">
        <v>27</v>
      </c>
      <c r="G2809" t="s">
        <v>13</v>
      </c>
      <c r="H2809">
        <v>4</v>
      </c>
    </row>
    <row r="2810" spans="1:8" ht="21.75" customHeight="1" x14ac:dyDescent="0.35">
      <c r="A2810" t="s">
        <v>2905</v>
      </c>
      <c r="B2810" s="3">
        <v>45621</v>
      </c>
      <c r="C2810" t="s">
        <v>116</v>
      </c>
      <c r="D2810" t="s">
        <v>16</v>
      </c>
      <c r="E2810" t="s">
        <v>11</v>
      </c>
      <c r="F2810" t="s">
        <v>12</v>
      </c>
      <c r="G2810" t="s">
        <v>32</v>
      </c>
      <c r="H2810">
        <v>5</v>
      </c>
    </row>
    <row r="2811" spans="1:8" ht="21.75" customHeight="1" x14ac:dyDescent="0.35">
      <c r="A2811" t="s">
        <v>2906</v>
      </c>
      <c r="B2811" s="3">
        <v>45599</v>
      </c>
      <c r="C2811" t="s">
        <v>142</v>
      </c>
      <c r="D2811" t="s">
        <v>96</v>
      </c>
      <c r="E2811" t="s">
        <v>11</v>
      </c>
      <c r="F2811" t="s">
        <v>306</v>
      </c>
      <c r="G2811" t="s">
        <v>32</v>
      </c>
      <c r="H2811">
        <v>3</v>
      </c>
    </row>
    <row r="2812" spans="1:8" ht="21.75" customHeight="1" x14ac:dyDescent="0.35">
      <c r="A2812" t="s">
        <v>2907</v>
      </c>
      <c r="B2812" s="3">
        <v>45537</v>
      </c>
      <c r="C2812" t="s">
        <v>332</v>
      </c>
      <c r="D2812" t="s">
        <v>59</v>
      </c>
      <c r="E2812" t="s">
        <v>17</v>
      </c>
      <c r="F2812" t="s">
        <v>56</v>
      </c>
      <c r="G2812" t="s">
        <v>32</v>
      </c>
      <c r="H2812">
        <v>11</v>
      </c>
    </row>
    <row r="2813" spans="1:8" ht="21.75" customHeight="1" x14ac:dyDescent="0.35">
      <c r="A2813" t="s">
        <v>2908</v>
      </c>
      <c r="B2813" s="3">
        <v>45416</v>
      </c>
      <c r="C2813" t="s">
        <v>131</v>
      </c>
      <c r="D2813" t="s">
        <v>174</v>
      </c>
      <c r="E2813" t="s">
        <v>22</v>
      </c>
      <c r="F2813" t="s">
        <v>42</v>
      </c>
      <c r="G2813" t="s">
        <v>36</v>
      </c>
      <c r="H2813">
        <v>4</v>
      </c>
    </row>
    <row r="2814" spans="1:8" ht="21.75" customHeight="1" x14ac:dyDescent="0.35">
      <c r="A2814" t="s">
        <v>2909</v>
      </c>
      <c r="B2814" s="3">
        <v>45314</v>
      </c>
      <c r="C2814" t="s">
        <v>15</v>
      </c>
      <c r="D2814" t="s">
        <v>174</v>
      </c>
      <c r="E2814" t="s">
        <v>17</v>
      </c>
      <c r="F2814" t="s">
        <v>12</v>
      </c>
      <c r="G2814" t="s">
        <v>36</v>
      </c>
      <c r="H2814">
        <v>14</v>
      </c>
    </row>
    <row r="2815" spans="1:8" ht="21.75" customHeight="1" x14ac:dyDescent="0.35">
      <c r="A2815" t="s">
        <v>2910</v>
      </c>
      <c r="B2815" s="3">
        <v>45406</v>
      </c>
      <c r="C2815" t="s">
        <v>64</v>
      </c>
      <c r="D2815" t="s">
        <v>197</v>
      </c>
      <c r="E2815" t="s">
        <v>17</v>
      </c>
      <c r="F2815" t="s">
        <v>27</v>
      </c>
      <c r="G2815" t="s">
        <v>28</v>
      </c>
      <c r="H2815">
        <v>12</v>
      </c>
    </row>
    <row r="2816" spans="1:8" ht="21.75" customHeight="1" x14ac:dyDescent="0.35">
      <c r="A2816" t="s">
        <v>2911</v>
      </c>
      <c r="B2816" s="3">
        <v>45407</v>
      </c>
      <c r="C2816" t="s">
        <v>455</v>
      </c>
      <c r="D2816" t="s">
        <v>31</v>
      </c>
      <c r="E2816" t="s">
        <v>22</v>
      </c>
      <c r="F2816" t="s">
        <v>12</v>
      </c>
      <c r="G2816" t="s">
        <v>23</v>
      </c>
      <c r="H2816">
        <v>6</v>
      </c>
    </row>
    <row r="2817" spans="1:8" ht="21.75" customHeight="1" x14ac:dyDescent="0.35">
      <c r="A2817" t="s">
        <v>2912</v>
      </c>
      <c r="B2817" s="3">
        <v>45406</v>
      </c>
      <c r="C2817" t="s">
        <v>15</v>
      </c>
      <c r="D2817" t="s">
        <v>74</v>
      </c>
      <c r="E2817" t="s">
        <v>17</v>
      </c>
      <c r="F2817" t="s">
        <v>12</v>
      </c>
      <c r="G2817" t="s">
        <v>36</v>
      </c>
      <c r="H2817">
        <v>11</v>
      </c>
    </row>
    <row r="2818" spans="1:8" ht="21.75" customHeight="1" x14ac:dyDescent="0.35">
      <c r="A2818" t="s">
        <v>2913</v>
      </c>
      <c r="B2818" s="3">
        <v>45335</v>
      </c>
      <c r="C2818" t="s">
        <v>116</v>
      </c>
      <c r="D2818" t="s">
        <v>109</v>
      </c>
      <c r="E2818" t="s">
        <v>11</v>
      </c>
      <c r="F2818" t="s">
        <v>56</v>
      </c>
      <c r="G2818" t="s">
        <v>23</v>
      </c>
      <c r="H2818">
        <v>17</v>
      </c>
    </row>
    <row r="2819" spans="1:8" ht="21.75" customHeight="1" x14ac:dyDescent="0.35">
      <c r="A2819" t="s">
        <v>2914</v>
      </c>
      <c r="B2819" s="3">
        <v>45384</v>
      </c>
      <c r="C2819" t="s">
        <v>422</v>
      </c>
      <c r="D2819" t="s">
        <v>87</v>
      </c>
      <c r="E2819" t="s">
        <v>11</v>
      </c>
      <c r="F2819" t="s">
        <v>42</v>
      </c>
      <c r="G2819" t="s">
        <v>36</v>
      </c>
      <c r="H2819">
        <v>10</v>
      </c>
    </row>
    <row r="2820" spans="1:8" ht="21.75" customHeight="1" x14ac:dyDescent="0.35">
      <c r="A2820" t="s">
        <v>2915</v>
      </c>
      <c r="B2820" s="3">
        <v>45345</v>
      </c>
      <c r="C2820" t="s">
        <v>101</v>
      </c>
      <c r="D2820" t="s">
        <v>35</v>
      </c>
      <c r="E2820" t="s">
        <v>22</v>
      </c>
      <c r="F2820" t="s">
        <v>42</v>
      </c>
      <c r="G2820" t="s">
        <v>32</v>
      </c>
      <c r="H2820">
        <v>3</v>
      </c>
    </row>
    <row r="2821" spans="1:8" ht="21.75" customHeight="1" x14ac:dyDescent="0.35">
      <c r="A2821" t="s">
        <v>2916</v>
      </c>
      <c r="B2821" s="3">
        <v>45368</v>
      </c>
      <c r="C2821" t="s">
        <v>420</v>
      </c>
      <c r="D2821" t="s">
        <v>21</v>
      </c>
      <c r="E2821" t="s">
        <v>11</v>
      </c>
      <c r="F2821" t="s">
        <v>42</v>
      </c>
      <c r="G2821" t="s">
        <v>28</v>
      </c>
      <c r="H2821">
        <v>13</v>
      </c>
    </row>
    <row r="2822" spans="1:8" ht="21.75" customHeight="1" x14ac:dyDescent="0.35">
      <c r="A2822" t="s">
        <v>2917</v>
      </c>
      <c r="B2822" s="3">
        <v>45536</v>
      </c>
      <c r="C2822" t="s">
        <v>58</v>
      </c>
      <c r="D2822" t="s">
        <v>102</v>
      </c>
      <c r="E2822" t="s">
        <v>22</v>
      </c>
      <c r="F2822" t="s">
        <v>27</v>
      </c>
      <c r="G2822" t="s">
        <v>32</v>
      </c>
      <c r="H2822">
        <v>5</v>
      </c>
    </row>
    <row r="2823" spans="1:8" ht="21.75" customHeight="1" x14ac:dyDescent="0.35">
      <c r="A2823" t="s">
        <v>2918</v>
      </c>
      <c r="B2823" s="3">
        <v>45357</v>
      </c>
      <c r="C2823" t="s">
        <v>44</v>
      </c>
      <c r="D2823" t="s">
        <v>119</v>
      </c>
      <c r="E2823" t="s">
        <v>17</v>
      </c>
      <c r="F2823" t="s">
        <v>42</v>
      </c>
      <c r="G2823" t="s">
        <v>32</v>
      </c>
      <c r="H2823">
        <v>16</v>
      </c>
    </row>
    <row r="2824" spans="1:8" ht="21.75" customHeight="1" x14ac:dyDescent="0.35">
      <c r="A2824" t="s">
        <v>2919</v>
      </c>
      <c r="B2824" s="3">
        <v>45647</v>
      </c>
      <c r="C2824" t="s">
        <v>408</v>
      </c>
      <c r="D2824" t="s">
        <v>109</v>
      </c>
      <c r="E2824" t="s">
        <v>22</v>
      </c>
      <c r="F2824" t="s">
        <v>42</v>
      </c>
      <c r="G2824" t="s">
        <v>28</v>
      </c>
      <c r="H2824">
        <v>8</v>
      </c>
    </row>
    <row r="2825" spans="1:8" ht="21.75" customHeight="1" x14ac:dyDescent="0.35">
      <c r="A2825" t="s">
        <v>2920</v>
      </c>
      <c r="B2825" s="3">
        <v>45573</v>
      </c>
      <c r="C2825" t="s">
        <v>432</v>
      </c>
      <c r="D2825" t="s">
        <v>174</v>
      </c>
      <c r="E2825" t="s">
        <v>22</v>
      </c>
      <c r="F2825" t="s">
        <v>27</v>
      </c>
      <c r="G2825" t="s">
        <v>36</v>
      </c>
      <c r="H2825">
        <v>18</v>
      </c>
    </row>
    <row r="2826" spans="1:8" ht="21.75" customHeight="1" x14ac:dyDescent="0.35">
      <c r="A2826" t="s">
        <v>2921</v>
      </c>
      <c r="B2826" s="3">
        <v>45488</v>
      </c>
      <c r="C2826" t="s">
        <v>81</v>
      </c>
      <c r="D2826" t="s">
        <v>59</v>
      </c>
      <c r="E2826" t="s">
        <v>22</v>
      </c>
      <c r="F2826" t="s">
        <v>27</v>
      </c>
      <c r="G2826" t="s">
        <v>36</v>
      </c>
      <c r="H2826">
        <v>19</v>
      </c>
    </row>
    <row r="2827" spans="1:8" ht="21.75" customHeight="1" x14ac:dyDescent="0.35">
      <c r="A2827" t="s">
        <v>2922</v>
      </c>
      <c r="B2827" s="3">
        <v>45404</v>
      </c>
      <c r="C2827" t="s">
        <v>424</v>
      </c>
      <c r="D2827" t="s">
        <v>10</v>
      </c>
      <c r="E2827" t="s">
        <v>11</v>
      </c>
      <c r="F2827" t="s">
        <v>42</v>
      </c>
      <c r="G2827" t="s">
        <v>13</v>
      </c>
      <c r="H2827">
        <v>7</v>
      </c>
    </row>
    <row r="2828" spans="1:8" ht="21.75" customHeight="1" x14ac:dyDescent="0.35">
      <c r="A2828" t="s">
        <v>2923</v>
      </c>
      <c r="B2828" s="3">
        <v>45300</v>
      </c>
      <c r="C2828" t="s">
        <v>83</v>
      </c>
      <c r="D2828" t="s">
        <v>174</v>
      </c>
      <c r="E2828" t="s">
        <v>17</v>
      </c>
      <c r="F2828" t="s">
        <v>56</v>
      </c>
      <c r="G2828" t="s">
        <v>13</v>
      </c>
      <c r="H2828">
        <v>2</v>
      </c>
    </row>
    <row r="2829" spans="1:8" ht="21.75" customHeight="1" x14ac:dyDescent="0.35">
      <c r="A2829" t="s">
        <v>2924</v>
      </c>
      <c r="B2829" s="3">
        <v>45476</v>
      </c>
      <c r="C2829" t="s">
        <v>420</v>
      </c>
      <c r="D2829" t="s">
        <v>16</v>
      </c>
      <c r="E2829" t="s">
        <v>17</v>
      </c>
      <c r="F2829" t="s">
        <v>27</v>
      </c>
      <c r="G2829" t="s">
        <v>28</v>
      </c>
      <c r="H2829">
        <v>18</v>
      </c>
    </row>
    <row r="2830" spans="1:8" ht="21.75" customHeight="1" x14ac:dyDescent="0.35">
      <c r="A2830" t="s">
        <v>2925</v>
      </c>
      <c r="B2830" s="3">
        <v>45507</v>
      </c>
      <c r="C2830" t="s">
        <v>78</v>
      </c>
      <c r="D2830" t="s">
        <v>65</v>
      </c>
      <c r="E2830" t="s">
        <v>11</v>
      </c>
      <c r="F2830" t="s">
        <v>12</v>
      </c>
      <c r="G2830" t="s">
        <v>28</v>
      </c>
      <c r="H2830">
        <v>4</v>
      </c>
    </row>
    <row r="2831" spans="1:8" ht="21.75" customHeight="1" x14ac:dyDescent="0.35">
      <c r="A2831" t="s">
        <v>2926</v>
      </c>
      <c r="B2831" s="3">
        <v>45652</v>
      </c>
      <c r="C2831" t="s">
        <v>167</v>
      </c>
      <c r="D2831" t="s">
        <v>31</v>
      </c>
      <c r="E2831" t="s">
        <v>22</v>
      </c>
      <c r="F2831" t="s">
        <v>12</v>
      </c>
      <c r="G2831" t="s">
        <v>23</v>
      </c>
      <c r="H2831">
        <v>12</v>
      </c>
    </row>
    <row r="2832" spans="1:8" ht="21.75" customHeight="1" x14ac:dyDescent="0.35">
      <c r="A2832" t="s">
        <v>2927</v>
      </c>
      <c r="B2832" s="3">
        <v>45346</v>
      </c>
      <c r="C2832" t="s">
        <v>371</v>
      </c>
      <c r="D2832" t="s">
        <v>59</v>
      </c>
      <c r="E2832" t="s">
        <v>11</v>
      </c>
      <c r="F2832" t="s">
        <v>27</v>
      </c>
      <c r="G2832" t="s">
        <v>36</v>
      </c>
      <c r="H2832">
        <v>6</v>
      </c>
    </row>
    <row r="2833" spans="1:8" ht="21.75" customHeight="1" x14ac:dyDescent="0.35">
      <c r="A2833" t="s">
        <v>2928</v>
      </c>
      <c r="B2833" s="3">
        <v>45479</v>
      </c>
      <c r="C2833" t="s">
        <v>167</v>
      </c>
      <c r="D2833" t="s">
        <v>10</v>
      </c>
      <c r="E2833" t="s">
        <v>11</v>
      </c>
      <c r="F2833" t="s">
        <v>12</v>
      </c>
      <c r="G2833" t="s">
        <v>13</v>
      </c>
      <c r="H2833">
        <v>19</v>
      </c>
    </row>
    <row r="2834" spans="1:8" ht="21.75" customHeight="1" x14ac:dyDescent="0.35">
      <c r="A2834" t="s">
        <v>2929</v>
      </c>
      <c r="B2834" s="3">
        <v>45505</v>
      </c>
      <c r="C2834" t="s">
        <v>125</v>
      </c>
      <c r="D2834" t="s">
        <v>119</v>
      </c>
      <c r="E2834" t="s">
        <v>11</v>
      </c>
      <c r="F2834" t="s">
        <v>27</v>
      </c>
      <c r="G2834" t="s">
        <v>28</v>
      </c>
      <c r="H2834">
        <v>17</v>
      </c>
    </row>
    <row r="2835" spans="1:8" ht="21.75" customHeight="1" x14ac:dyDescent="0.35">
      <c r="A2835" t="s">
        <v>2930</v>
      </c>
      <c r="B2835" s="3">
        <v>45445</v>
      </c>
      <c r="C2835" t="s">
        <v>553</v>
      </c>
      <c r="D2835" t="s">
        <v>87</v>
      </c>
      <c r="E2835" t="s">
        <v>22</v>
      </c>
      <c r="F2835" t="s">
        <v>42</v>
      </c>
      <c r="G2835" t="s">
        <v>23</v>
      </c>
      <c r="H2835">
        <v>1</v>
      </c>
    </row>
    <row r="2836" spans="1:8" ht="21.75" customHeight="1" x14ac:dyDescent="0.35">
      <c r="A2836" t="s">
        <v>2931</v>
      </c>
      <c r="B2836" s="3">
        <v>45371</v>
      </c>
      <c r="C2836" t="s">
        <v>131</v>
      </c>
      <c r="D2836" t="s">
        <v>21</v>
      </c>
      <c r="E2836" t="s">
        <v>11</v>
      </c>
      <c r="F2836" t="s">
        <v>306</v>
      </c>
      <c r="G2836" t="s">
        <v>28</v>
      </c>
      <c r="H2836">
        <v>17</v>
      </c>
    </row>
    <row r="2837" spans="1:8" ht="21.75" customHeight="1" x14ac:dyDescent="0.35">
      <c r="A2837" t="s">
        <v>2932</v>
      </c>
      <c r="B2837" s="3">
        <v>45494</v>
      </c>
      <c r="C2837" t="s">
        <v>309</v>
      </c>
      <c r="D2837" t="s">
        <v>41</v>
      </c>
      <c r="E2837" t="s">
        <v>17</v>
      </c>
      <c r="F2837" t="s">
        <v>306</v>
      </c>
      <c r="G2837" t="s">
        <v>32</v>
      </c>
      <c r="H2837">
        <v>19</v>
      </c>
    </row>
    <row r="2838" spans="1:8" ht="21.75" customHeight="1" x14ac:dyDescent="0.35">
      <c r="A2838" t="s">
        <v>2933</v>
      </c>
      <c r="B2838" s="3">
        <v>45655</v>
      </c>
      <c r="C2838" t="s">
        <v>51</v>
      </c>
      <c r="D2838" t="s">
        <v>87</v>
      </c>
      <c r="E2838" t="s">
        <v>11</v>
      </c>
      <c r="F2838" t="s">
        <v>42</v>
      </c>
      <c r="G2838" t="s">
        <v>13</v>
      </c>
      <c r="H2838">
        <v>17</v>
      </c>
    </row>
    <row r="2839" spans="1:8" ht="21.75" customHeight="1" x14ac:dyDescent="0.35">
      <c r="A2839" t="s">
        <v>2934</v>
      </c>
      <c r="B2839" s="3">
        <v>45356</v>
      </c>
      <c r="C2839" t="s">
        <v>323</v>
      </c>
      <c r="D2839" t="s">
        <v>65</v>
      </c>
      <c r="E2839" t="s">
        <v>17</v>
      </c>
      <c r="F2839" t="s">
        <v>306</v>
      </c>
      <c r="G2839" t="s">
        <v>13</v>
      </c>
      <c r="H2839">
        <v>8</v>
      </c>
    </row>
    <row r="2840" spans="1:8" ht="21.75" customHeight="1" x14ac:dyDescent="0.35">
      <c r="A2840" t="s">
        <v>2935</v>
      </c>
      <c r="B2840" s="3">
        <v>45578</v>
      </c>
      <c r="C2840" t="s">
        <v>493</v>
      </c>
      <c r="D2840" t="s">
        <v>10</v>
      </c>
      <c r="E2840" t="s">
        <v>22</v>
      </c>
      <c r="F2840" t="s">
        <v>27</v>
      </c>
      <c r="G2840" t="s">
        <v>23</v>
      </c>
      <c r="H2840">
        <v>11</v>
      </c>
    </row>
    <row r="2841" spans="1:8" ht="21.75" customHeight="1" x14ac:dyDescent="0.35">
      <c r="A2841" t="s">
        <v>2936</v>
      </c>
      <c r="B2841" s="3">
        <v>45499</v>
      </c>
      <c r="C2841" t="s">
        <v>159</v>
      </c>
      <c r="D2841" t="s">
        <v>45</v>
      </c>
      <c r="E2841" t="s">
        <v>11</v>
      </c>
      <c r="F2841" t="s">
        <v>42</v>
      </c>
      <c r="G2841" t="s">
        <v>23</v>
      </c>
      <c r="H2841">
        <v>7</v>
      </c>
    </row>
    <row r="2842" spans="1:8" ht="21.75" customHeight="1" x14ac:dyDescent="0.35">
      <c r="A2842" t="s">
        <v>2937</v>
      </c>
      <c r="B2842" s="3">
        <v>45345</v>
      </c>
      <c r="C2842" t="s">
        <v>208</v>
      </c>
      <c r="D2842" t="s">
        <v>48</v>
      </c>
      <c r="E2842" t="s">
        <v>22</v>
      </c>
      <c r="F2842" t="s">
        <v>42</v>
      </c>
      <c r="G2842" t="s">
        <v>13</v>
      </c>
      <c r="H2842">
        <v>8</v>
      </c>
    </row>
    <row r="2843" spans="1:8" ht="21.75" customHeight="1" x14ac:dyDescent="0.35">
      <c r="A2843" t="s">
        <v>2938</v>
      </c>
      <c r="B2843" s="3">
        <v>45569</v>
      </c>
      <c r="C2843" t="s">
        <v>15</v>
      </c>
      <c r="D2843" t="s">
        <v>10</v>
      </c>
      <c r="E2843" t="s">
        <v>11</v>
      </c>
      <c r="F2843" t="s">
        <v>306</v>
      </c>
      <c r="G2843" t="s">
        <v>13</v>
      </c>
      <c r="H2843">
        <v>10</v>
      </c>
    </row>
    <row r="2844" spans="1:8" ht="21.75" customHeight="1" x14ac:dyDescent="0.35">
      <c r="A2844" t="s">
        <v>2939</v>
      </c>
      <c r="B2844" s="3">
        <v>45395</v>
      </c>
      <c r="C2844" t="s">
        <v>541</v>
      </c>
      <c r="D2844" t="s">
        <v>79</v>
      </c>
      <c r="E2844" t="s">
        <v>11</v>
      </c>
      <c r="F2844" t="s">
        <v>42</v>
      </c>
      <c r="G2844" t="s">
        <v>13</v>
      </c>
      <c r="H2844">
        <v>19</v>
      </c>
    </row>
    <row r="2845" spans="1:8" ht="21.75" customHeight="1" x14ac:dyDescent="0.35">
      <c r="A2845" t="s">
        <v>2940</v>
      </c>
      <c r="B2845" s="3">
        <v>45580</v>
      </c>
      <c r="C2845" t="s">
        <v>517</v>
      </c>
      <c r="D2845" t="s">
        <v>79</v>
      </c>
      <c r="E2845" t="s">
        <v>11</v>
      </c>
      <c r="F2845" t="s">
        <v>42</v>
      </c>
      <c r="G2845" t="s">
        <v>13</v>
      </c>
      <c r="H2845">
        <v>10</v>
      </c>
    </row>
    <row r="2846" spans="1:8" ht="21.75" customHeight="1" x14ac:dyDescent="0.35">
      <c r="A2846" t="s">
        <v>2941</v>
      </c>
      <c r="B2846" s="3">
        <v>45474</v>
      </c>
      <c r="C2846" t="s">
        <v>664</v>
      </c>
      <c r="D2846" t="s">
        <v>74</v>
      </c>
      <c r="E2846" t="s">
        <v>17</v>
      </c>
      <c r="F2846" t="s">
        <v>306</v>
      </c>
      <c r="G2846" t="s">
        <v>28</v>
      </c>
      <c r="H2846">
        <v>11</v>
      </c>
    </row>
    <row r="2847" spans="1:8" ht="21.75" customHeight="1" x14ac:dyDescent="0.35">
      <c r="A2847" t="s">
        <v>2942</v>
      </c>
      <c r="B2847" s="3">
        <v>45474</v>
      </c>
      <c r="C2847" t="s">
        <v>34</v>
      </c>
      <c r="D2847" t="s">
        <v>62</v>
      </c>
      <c r="E2847" t="s">
        <v>22</v>
      </c>
      <c r="F2847" t="s">
        <v>12</v>
      </c>
      <c r="G2847" t="s">
        <v>32</v>
      </c>
      <c r="H2847">
        <v>14</v>
      </c>
    </row>
    <row r="2848" spans="1:8" ht="21.75" customHeight="1" x14ac:dyDescent="0.35">
      <c r="A2848" t="s">
        <v>2943</v>
      </c>
      <c r="B2848" s="3">
        <v>45549</v>
      </c>
      <c r="C2848" t="s">
        <v>108</v>
      </c>
      <c r="D2848" t="s">
        <v>160</v>
      </c>
      <c r="E2848" t="s">
        <v>11</v>
      </c>
      <c r="F2848" t="s">
        <v>12</v>
      </c>
      <c r="G2848" t="s">
        <v>36</v>
      </c>
      <c r="H2848">
        <v>13</v>
      </c>
    </row>
    <row r="2849" spans="1:8" ht="21.75" customHeight="1" x14ac:dyDescent="0.35">
      <c r="A2849" t="s">
        <v>2944</v>
      </c>
      <c r="B2849" s="3">
        <v>45311</v>
      </c>
      <c r="C2849" t="s">
        <v>61</v>
      </c>
      <c r="D2849" t="s">
        <v>45</v>
      </c>
      <c r="E2849" t="s">
        <v>11</v>
      </c>
      <c r="F2849" t="s">
        <v>27</v>
      </c>
      <c r="G2849" t="s">
        <v>13</v>
      </c>
      <c r="H2849">
        <v>3</v>
      </c>
    </row>
    <row r="2850" spans="1:8" ht="21.75" customHeight="1" x14ac:dyDescent="0.35">
      <c r="A2850" t="s">
        <v>2945</v>
      </c>
      <c r="B2850" s="3">
        <v>45410</v>
      </c>
      <c r="C2850" t="s">
        <v>133</v>
      </c>
      <c r="D2850" t="s">
        <v>41</v>
      </c>
      <c r="E2850" t="s">
        <v>22</v>
      </c>
      <c r="F2850" t="s">
        <v>56</v>
      </c>
      <c r="G2850" t="s">
        <v>28</v>
      </c>
      <c r="H2850">
        <v>17</v>
      </c>
    </row>
    <row r="2851" spans="1:8" ht="21.75" customHeight="1" x14ac:dyDescent="0.35">
      <c r="A2851" t="s">
        <v>2946</v>
      </c>
      <c r="B2851" s="3">
        <v>45603</v>
      </c>
      <c r="C2851" t="s">
        <v>350</v>
      </c>
      <c r="D2851" t="s">
        <v>160</v>
      </c>
      <c r="E2851" t="s">
        <v>17</v>
      </c>
      <c r="F2851" t="s">
        <v>27</v>
      </c>
      <c r="G2851" t="s">
        <v>28</v>
      </c>
      <c r="H2851">
        <v>11</v>
      </c>
    </row>
    <row r="2852" spans="1:8" ht="21.75" customHeight="1" x14ac:dyDescent="0.35">
      <c r="A2852" t="s">
        <v>2947</v>
      </c>
      <c r="B2852" s="3">
        <v>45611</v>
      </c>
      <c r="C2852" t="s">
        <v>348</v>
      </c>
      <c r="D2852" t="s">
        <v>79</v>
      </c>
      <c r="E2852" t="s">
        <v>22</v>
      </c>
      <c r="F2852" t="s">
        <v>27</v>
      </c>
      <c r="G2852" t="s">
        <v>28</v>
      </c>
      <c r="H2852">
        <v>7</v>
      </c>
    </row>
    <row r="2853" spans="1:8" ht="21.75" customHeight="1" x14ac:dyDescent="0.35">
      <c r="A2853" t="s">
        <v>2948</v>
      </c>
      <c r="B2853" s="3">
        <v>45602</v>
      </c>
      <c r="C2853" t="s">
        <v>208</v>
      </c>
      <c r="D2853" t="s">
        <v>16</v>
      </c>
      <c r="E2853" t="s">
        <v>22</v>
      </c>
      <c r="F2853" t="s">
        <v>27</v>
      </c>
      <c r="G2853" t="s">
        <v>13</v>
      </c>
      <c r="H2853">
        <v>1</v>
      </c>
    </row>
    <row r="2854" spans="1:8" ht="21.75" customHeight="1" x14ac:dyDescent="0.35">
      <c r="A2854" t="s">
        <v>2949</v>
      </c>
      <c r="B2854" s="3">
        <v>45450</v>
      </c>
      <c r="C2854" t="s">
        <v>378</v>
      </c>
      <c r="D2854" t="s">
        <v>10</v>
      </c>
      <c r="E2854" t="s">
        <v>17</v>
      </c>
      <c r="F2854" t="s">
        <v>12</v>
      </c>
      <c r="G2854" t="s">
        <v>23</v>
      </c>
      <c r="H2854">
        <v>11</v>
      </c>
    </row>
    <row r="2855" spans="1:8" ht="21.75" customHeight="1" x14ac:dyDescent="0.35">
      <c r="A2855" t="s">
        <v>2950</v>
      </c>
      <c r="B2855" s="3">
        <v>45443</v>
      </c>
      <c r="C2855" t="s">
        <v>111</v>
      </c>
      <c r="D2855" t="s">
        <v>10</v>
      </c>
      <c r="E2855" t="s">
        <v>17</v>
      </c>
      <c r="F2855" t="s">
        <v>306</v>
      </c>
      <c r="G2855" t="s">
        <v>32</v>
      </c>
      <c r="H2855">
        <v>12</v>
      </c>
    </row>
    <row r="2856" spans="1:8" ht="21.75" customHeight="1" x14ac:dyDescent="0.35">
      <c r="A2856" t="s">
        <v>2951</v>
      </c>
      <c r="B2856" s="3">
        <v>45383</v>
      </c>
      <c r="C2856" t="s">
        <v>369</v>
      </c>
      <c r="D2856" t="s">
        <v>119</v>
      </c>
      <c r="E2856" t="s">
        <v>17</v>
      </c>
      <c r="F2856" t="s">
        <v>42</v>
      </c>
      <c r="G2856" t="s">
        <v>23</v>
      </c>
      <c r="H2856">
        <v>9</v>
      </c>
    </row>
    <row r="2857" spans="1:8" ht="21.75" customHeight="1" x14ac:dyDescent="0.35">
      <c r="A2857" t="s">
        <v>2952</v>
      </c>
      <c r="B2857" s="3">
        <v>45518</v>
      </c>
      <c r="C2857" t="s">
        <v>350</v>
      </c>
      <c r="D2857" t="s">
        <v>16</v>
      </c>
      <c r="E2857" t="s">
        <v>11</v>
      </c>
      <c r="F2857" t="s">
        <v>306</v>
      </c>
      <c r="G2857" t="s">
        <v>23</v>
      </c>
      <c r="H2857">
        <v>2</v>
      </c>
    </row>
    <row r="2858" spans="1:8" ht="21.75" customHeight="1" x14ac:dyDescent="0.35">
      <c r="A2858" t="s">
        <v>2953</v>
      </c>
      <c r="B2858" s="3">
        <v>45438</v>
      </c>
      <c r="C2858" t="s">
        <v>341</v>
      </c>
      <c r="D2858" t="s">
        <v>87</v>
      </c>
      <c r="E2858" t="s">
        <v>22</v>
      </c>
      <c r="F2858" t="s">
        <v>56</v>
      </c>
      <c r="G2858" t="s">
        <v>23</v>
      </c>
      <c r="H2858">
        <v>12</v>
      </c>
    </row>
    <row r="2859" spans="1:8" ht="21.75" customHeight="1" x14ac:dyDescent="0.35">
      <c r="A2859" t="s">
        <v>2954</v>
      </c>
      <c r="B2859" s="3">
        <v>45611</v>
      </c>
      <c r="C2859" t="s">
        <v>38</v>
      </c>
      <c r="D2859" t="s">
        <v>48</v>
      </c>
      <c r="E2859" t="s">
        <v>11</v>
      </c>
      <c r="F2859" t="s">
        <v>27</v>
      </c>
      <c r="G2859" t="s">
        <v>36</v>
      </c>
      <c r="H2859">
        <v>15</v>
      </c>
    </row>
    <row r="2860" spans="1:8" ht="21.75" customHeight="1" x14ac:dyDescent="0.35">
      <c r="A2860" t="s">
        <v>2955</v>
      </c>
      <c r="B2860" s="3">
        <v>45641</v>
      </c>
      <c r="C2860" t="s">
        <v>116</v>
      </c>
      <c r="D2860" t="s">
        <v>109</v>
      </c>
      <c r="E2860" t="s">
        <v>22</v>
      </c>
      <c r="F2860" t="s">
        <v>12</v>
      </c>
      <c r="G2860" t="s">
        <v>28</v>
      </c>
      <c r="H2860">
        <v>18</v>
      </c>
    </row>
    <row r="2861" spans="1:8" ht="21.75" customHeight="1" x14ac:dyDescent="0.35">
      <c r="A2861" t="s">
        <v>2956</v>
      </c>
      <c r="B2861" s="3">
        <v>45345</v>
      </c>
      <c r="C2861" t="s">
        <v>61</v>
      </c>
      <c r="D2861" t="s">
        <v>31</v>
      </c>
      <c r="E2861" t="s">
        <v>11</v>
      </c>
      <c r="F2861" t="s">
        <v>306</v>
      </c>
      <c r="G2861" t="s">
        <v>23</v>
      </c>
      <c r="H2861">
        <v>3</v>
      </c>
    </row>
    <row r="2862" spans="1:8" ht="21.75" customHeight="1" x14ac:dyDescent="0.35">
      <c r="A2862" t="s">
        <v>2957</v>
      </c>
      <c r="B2862" s="3">
        <v>45528</v>
      </c>
      <c r="C2862" t="s">
        <v>317</v>
      </c>
      <c r="D2862" t="s">
        <v>10</v>
      </c>
      <c r="E2862" t="s">
        <v>17</v>
      </c>
      <c r="F2862" t="s">
        <v>27</v>
      </c>
      <c r="G2862" t="s">
        <v>23</v>
      </c>
      <c r="H2862">
        <v>18</v>
      </c>
    </row>
    <row r="2863" spans="1:8" ht="21.75" customHeight="1" x14ac:dyDescent="0.35">
      <c r="A2863" t="s">
        <v>2958</v>
      </c>
      <c r="B2863" s="3">
        <v>45530</v>
      </c>
      <c r="C2863" t="s">
        <v>15</v>
      </c>
      <c r="D2863" t="s">
        <v>10</v>
      </c>
      <c r="E2863" t="s">
        <v>11</v>
      </c>
      <c r="F2863" t="s">
        <v>12</v>
      </c>
      <c r="G2863" t="s">
        <v>23</v>
      </c>
      <c r="H2863">
        <v>14</v>
      </c>
    </row>
    <row r="2864" spans="1:8" ht="21.75" customHeight="1" x14ac:dyDescent="0.35">
      <c r="A2864" t="s">
        <v>2959</v>
      </c>
      <c r="B2864" s="3">
        <v>45460</v>
      </c>
      <c r="C2864" t="s">
        <v>58</v>
      </c>
      <c r="D2864" t="s">
        <v>72</v>
      </c>
      <c r="E2864" t="s">
        <v>17</v>
      </c>
      <c r="F2864" t="s">
        <v>306</v>
      </c>
      <c r="G2864" t="s">
        <v>23</v>
      </c>
      <c r="H2864">
        <v>7</v>
      </c>
    </row>
    <row r="2865" spans="1:8" ht="21.75" customHeight="1" x14ac:dyDescent="0.35">
      <c r="A2865" t="s">
        <v>2960</v>
      </c>
      <c r="B2865" s="3">
        <v>45535</v>
      </c>
      <c r="C2865" t="s">
        <v>40</v>
      </c>
      <c r="D2865" t="s">
        <v>26</v>
      </c>
      <c r="E2865" t="s">
        <v>17</v>
      </c>
      <c r="F2865" t="s">
        <v>12</v>
      </c>
      <c r="G2865" t="s">
        <v>36</v>
      </c>
      <c r="H2865">
        <v>5</v>
      </c>
    </row>
    <row r="2866" spans="1:8" ht="21.75" customHeight="1" x14ac:dyDescent="0.35">
      <c r="A2866" t="s">
        <v>2961</v>
      </c>
      <c r="B2866" s="3">
        <v>45366</v>
      </c>
      <c r="C2866" t="s">
        <v>541</v>
      </c>
      <c r="D2866" t="s">
        <v>65</v>
      </c>
      <c r="E2866" t="s">
        <v>17</v>
      </c>
      <c r="F2866" t="s">
        <v>306</v>
      </c>
      <c r="G2866" t="s">
        <v>13</v>
      </c>
      <c r="H2866">
        <v>20</v>
      </c>
    </row>
    <row r="2867" spans="1:8" ht="21.75" customHeight="1" x14ac:dyDescent="0.35">
      <c r="A2867" t="s">
        <v>2962</v>
      </c>
      <c r="B2867" s="3">
        <v>45323</v>
      </c>
      <c r="C2867" t="s">
        <v>83</v>
      </c>
      <c r="D2867" t="s">
        <v>87</v>
      </c>
      <c r="E2867" t="s">
        <v>17</v>
      </c>
      <c r="F2867" t="s">
        <v>56</v>
      </c>
      <c r="G2867" t="s">
        <v>13</v>
      </c>
      <c r="H2867">
        <v>7</v>
      </c>
    </row>
    <row r="2868" spans="1:8" ht="21.75" customHeight="1" x14ac:dyDescent="0.35">
      <c r="A2868" t="s">
        <v>2963</v>
      </c>
      <c r="B2868" s="3">
        <v>45642</v>
      </c>
      <c r="C2868" t="s">
        <v>309</v>
      </c>
      <c r="D2868" t="s">
        <v>26</v>
      </c>
      <c r="E2868" t="s">
        <v>17</v>
      </c>
      <c r="F2868" t="s">
        <v>56</v>
      </c>
      <c r="G2868" t="s">
        <v>13</v>
      </c>
      <c r="H2868">
        <v>5</v>
      </c>
    </row>
    <row r="2869" spans="1:8" ht="21.75" customHeight="1" x14ac:dyDescent="0.35">
      <c r="A2869" t="s">
        <v>2964</v>
      </c>
      <c r="B2869" s="3">
        <v>45499</v>
      </c>
      <c r="C2869" t="s">
        <v>81</v>
      </c>
      <c r="D2869" t="s">
        <v>74</v>
      </c>
      <c r="E2869" t="s">
        <v>22</v>
      </c>
      <c r="F2869" t="s">
        <v>27</v>
      </c>
      <c r="G2869" t="s">
        <v>23</v>
      </c>
      <c r="H2869">
        <v>17</v>
      </c>
    </row>
    <row r="2870" spans="1:8" ht="21.75" customHeight="1" x14ac:dyDescent="0.35">
      <c r="A2870" t="s">
        <v>2965</v>
      </c>
      <c r="B2870" s="3">
        <v>45424</v>
      </c>
      <c r="C2870" t="s">
        <v>44</v>
      </c>
      <c r="D2870" t="s">
        <v>79</v>
      </c>
      <c r="E2870" t="s">
        <v>11</v>
      </c>
      <c r="F2870" t="s">
        <v>27</v>
      </c>
      <c r="G2870" t="s">
        <v>32</v>
      </c>
      <c r="H2870">
        <v>10</v>
      </c>
    </row>
    <row r="2871" spans="1:8" ht="21.75" customHeight="1" x14ac:dyDescent="0.35">
      <c r="A2871" t="s">
        <v>2966</v>
      </c>
      <c r="B2871" s="3">
        <v>45470</v>
      </c>
      <c r="C2871" t="s">
        <v>572</v>
      </c>
      <c r="D2871" t="s">
        <v>35</v>
      </c>
      <c r="E2871" t="s">
        <v>17</v>
      </c>
      <c r="F2871" t="s">
        <v>306</v>
      </c>
      <c r="G2871" t="s">
        <v>28</v>
      </c>
      <c r="H2871">
        <v>14</v>
      </c>
    </row>
    <row r="2872" spans="1:8" ht="21.75" customHeight="1" x14ac:dyDescent="0.35">
      <c r="A2872" t="s">
        <v>2967</v>
      </c>
      <c r="B2872" s="3">
        <v>45646</v>
      </c>
      <c r="C2872" t="s">
        <v>314</v>
      </c>
      <c r="D2872" t="s">
        <v>31</v>
      </c>
      <c r="E2872" t="s">
        <v>11</v>
      </c>
      <c r="F2872" t="s">
        <v>306</v>
      </c>
      <c r="G2872" t="s">
        <v>36</v>
      </c>
      <c r="H2872">
        <v>7</v>
      </c>
    </row>
    <row r="2873" spans="1:8" ht="21.75" customHeight="1" x14ac:dyDescent="0.35">
      <c r="A2873" t="s">
        <v>2968</v>
      </c>
      <c r="B2873" s="3">
        <v>45633</v>
      </c>
      <c r="C2873" t="s">
        <v>361</v>
      </c>
      <c r="D2873" t="s">
        <v>109</v>
      </c>
      <c r="E2873" t="s">
        <v>11</v>
      </c>
      <c r="F2873" t="s">
        <v>42</v>
      </c>
      <c r="G2873" t="s">
        <v>32</v>
      </c>
      <c r="H2873">
        <v>1</v>
      </c>
    </row>
    <row r="2874" spans="1:8" ht="21.75" customHeight="1" x14ac:dyDescent="0.35">
      <c r="A2874" t="s">
        <v>2969</v>
      </c>
      <c r="B2874" s="3">
        <v>45526</v>
      </c>
      <c r="C2874" t="s">
        <v>167</v>
      </c>
      <c r="D2874" t="s">
        <v>35</v>
      </c>
      <c r="E2874" t="s">
        <v>17</v>
      </c>
      <c r="F2874" t="s">
        <v>12</v>
      </c>
      <c r="G2874" t="s">
        <v>23</v>
      </c>
      <c r="H2874">
        <v>9</v>
      </c>
    </row>
    <row r="2875" spans="1:8" ht="21.75" customHeight="1" x14ac:dyDescent="0.35">
      <c r="A2875" t="s">
        <v>2970</v>
      </c>
      <c r="B2875" s="3">
        <v>45293</v>
      </c>
      <c r="C2875" t="s">
        <v>430</v>
      </c>
      <c r="D2875" t="s">
        <v>16</v>
      </c>
      <c r="E2875" t="s">
        <v>22</v>
      </c>
      <c r="F2875" t="s">
        <v>27</v>
      </c>
      <c r="G2875" t="s">
        <v>36</v>
      </c>
      <c r="H2875">
        <v>4</v>
      </c>
    </row>
    <row r="2876" spans="1:8" ht="21.75" customHeight="1" x14ac:dyDescent="0.35">
      <c r="A2876" t="s">
        <v>2971</v>
      </c>
      <c r="B2876" s="3">
        <v>45388</v>
      </c>
      <c r="C2876" t="s">
        <v>572</v>
      </c>
      <c r="D2876" t="s">
        <v>62</v>
      </c>
      <c r="E2876" t="s">
        <v>22</v>
      </c>
      <c r="F2876" t="s">
        <v>56</v>
      </c>
      <c r="G2876" t="s">
        <v>36</v>
      </c>
      <c r="H2876">
        <v>13</v>
      </c>
    </row>
    <row r="2877" spans="1:8" ht="21.75" customHeight="1" x14ac:dyDescent="0.35">
      <c r="A2877" t="s">
        <v>2972</v>
      </c>
      <c r="B2877" s="3">
        <v>45399</v>
      </c>
      <c r="C2877" t="s">
        <v>150</v>
      </c>
      <c r="D2877" t="s">
        <v>41</v>
      </c>
      <c r="E2877" t="s">
        <v>22</v>
      </c>
      <c r="F2877" t="s">
        <v>12</v>
      </c>
      <c r="G2877" t="s">
        <v>32</v>
      </c>
      <c r="H2877">
        <v>12</v>
      </c>
    </row>
    <row r="2878" spans="1:8" ht="21.75" customHeight="1" x14ac:dyDescent="0.35">
      <c r="A2878" t="s">
        <v>2973</v>
      </c>
      <c r="B2878" s="3">
        <v>45449</v>
      </c>
      <c r="C2878" t="s">
        <v>358</v>
      </c>
      <c r="D2878" t="s">
        <v>102</v>
      </c>
      <c r="E2878" t="s">
        <v>22</v>
      </c>
      <c r="F2878" t="s">
        <v>27</v>
      </c>
      <c r="G2878" t="s">
        <v>23</v>
      </c>
      <c r="H2878">
        <v>14</v>
      </c>
    </row>
    <row r="2879" spans="1:8" ht="21.75" customHeight="1" x14ac:dyDescent="0.35">
      <c r="A2879" t="s">
        <v>2974</v>
      </c>
      <c r="B2879" s="3">
        <v>45472</v>
      </c>
      <c r="C2879" t="s">
        <v>591</v>
      </c>
      <c r="D2879" t="s">
        <v>87</v>
      </c>
      <c r="E2879" t="s">
        <v>22</v>
      </c>
      <c r="F2879" t="s">
        <v>42</v>
      </c>
      <c r="G2879" t="s">
        <v>13</v>
      </c>
      <c r="H2879">
        <v>6</v>
      </c>
    </row>
    <row r="2880" spans="1:8" ht="21.75" customHeight="1" x14ac:dyDescent="0.35">
      <c r="A2880" t="s">
        <v>2975</v>
      </c>
      <c r="B2880" s="3">
        <v>45483</v>
      </c>
      <c r="C2880" t="s">
        <v>235</v>
      </c>
      <c r="D2880" t="s">
        <v>174</v>
      </c>
      <c r="E2880" t="s">
        <v>22</v>
      </c>
      <c r="F2880" t="s">
        <v>56</v>
      </c>
      <c r="G2880" t="s">
        <v>36</v>
      </c>
      <c r="H2880">
        <v>14</v>
      </c>
    </row>
    <row r="2881" spans="1:8" ht="21.75" customHeight="1" x14ac:dyDescent="0.35">
      <c r="A2881" t="s">
        <v>2976</v>
      </c>
      <c r="B2881" s="3">
        <v>45629</v>
      </c>
      <c r="C2881" t="s">
        <v>465</v>
      </c>
      <c r="D2881" t="s">
        <v>41</v>
      </c>
      <c r="E2881" t="s">
        <v>17</v>
      </c>
      <c r="F2881" t="s">
        <v>42</v>
      </c>
      <c r="G2881" t="s">
        <v>36</v>
      </c>
      <c r="H2881">
        <v>4</v>
      </c>
    </row>
    <row r="2882" spans="1:8" ht="21.75" customHeight="1" x14ac:dyDescent="0.35">
      <c r="A2882" t="s">
        <v>2977</v>
      </c>
      <c r="B2882" s="3">
        <v>45345</v>
      </c>
      <c r="C2882" t="s">
        <v>203</v>
      </c>
      <c r="D2882" t="s">
        <v>21</v>
      </c>
      <c r="E2882" t="s">
        <v>11</v>
      </c>
      <c r="F2882" t="s">
        <v>306</v>
      </c>
      <c r="G2882" t="s">
        <v>23</v>
      </c>
      <c r="H2882">
        <v>4</v>
      </c>
    </row>
    <row r="2883" spans="1:8" ht="21.75" customHeight="1" x14ac:dyDescent="0.35">
      <c r="A2883" t="s">
        <v>2978</v>
      </c>
      <c r="B2883" s="3">
        <v>45611</v>
      </c>
      <c r="C2883" t="s">
        <v>591</v>
      </c>
      <c r="D2883" t="s">
        <v>102</v>
      </c>
      <c r="E2883" t="s">
        <v>22</v>
      </c>
      <c r="F2883" t="s">
        <v>27</v>
      </c>
      <c r="G2883" t="s">
        <v>36</v>
      </c>
      <c r="H2883">
        <v>19</v>
      </c>
    </row>
    <row r="2884" spans="1:8" ht="21.75" customHeight="1" x14ac:dyDescent="0.35">
      <c r="A2884" t="s">
        <v>2979</v>
      </c>
      <c r="B2884" s="3">
        <v>45633</v>
      </c>
      <c r="C2884" t="s">
        <v>61</v>
      </c>
      <c r="D2884" t="s">
        <v>87</v>
      </c>
      <c r="E2884" t="s">
        <v>11</v>
      </c>
      <c r="F2884" t="s">
        <v>56</v>
      </c>
      <c r="G2884" t="s">
        <v>23</v>
      </c>
      <c r="H2884">
        <v>18</v>
      </c>
    </row>
    <row r="2885" spans="1:8" ht="21.75" customHeight="1" x14ac:dyDescent="0.35">
      <c r="A2885" t="s">
        <v>2980</v>
      </c>
      <c r="B2885" s="3">
        <v>45392</v>
      </c>
      <c r="C2885" t="s">
        <v>553</v>
      </c>
      <c r="D2885" t="s">
        <v>102</v>
      </c>
      <c r="E2885" t="s">
        <v>17</v>
      </c>
      <c r="F2885" t="s">
        <v>27</v>
      </c>
      <c r="G2885" t="s">
        <v>23</v>
      </c>
      <c r="H2885">
        <v>13</v>
      </c>
    </row>
    <row r="2886" spans="1:8" ht="21.75" customHeight="1" x14ac:dyDescent="0.35">
      <c r="A2886" t="s">
        <v>2981</v>
      </c>
      <c r="B2886" s="3">
        <v>45483</v>
      </c>
      <c r="C2886" t="s">
        <v>728</v>
      </c>
      <c r="D2886" t="s">
        <v>197</v>
      </c>
      <c r="E2886" t="s">
        <v>22</v>
      </c>
      <c r="F2886" t="s">
        <v>42</v>
      </c>
      <c r="G2886" t="s">
        <v>32</v>
      </c>
      <c r="H2886">
        <v>9</v>
      </c>
    </row>
    <row r="2887" spans="1:8" ht="21.75" customHeight="1" x14ac:dyDescent="0.35">
      <c r="A2887" t="s">
        <v>2982</v>
      </c>
      <c r="B2887" s="3">
        <v>45504</v>
      </c>
      <c r="C2887" t="s">
        <v>422</v>
      </c>
      <c r="D2887" t="s">
        <v>197</v>
      </c>
      <c r="E2887" t="s">
        <v>11</v>
      </c>
      <c r="F2887" t="s">
        <v>27</v>
      </c>
      <c r="G2887" t="s">
        <v>13</v>
      </c>
      <c r="H2887">
        <v>1</v>
      </c>
    </row>
    <row r="2888" spans="1:8" ht="21.75" customHeight="1" x14ac:dyDescent="0.35">
      <c r="A2888" t="s">
        <v>2983</v>
      </c>
      <c r="B2888" s="3">
        <v>45483</v>
      </c>
      <c r="C2888" t="s">
        <v>363</v>
      </c>
      <c r="D2888" t="s">
        <v>84</v>
      </c>
      <c r="E2888" t="s">
        <v>22</v>
      </c>
      <c r="F2888" t="s">
        <v>42</v>
      </c>
      <c r="G2888" t="s">
        <v>32</v>
      </c>
      <c r="H2888">
        <v>6</v>
      </c>
    </row>
    <row r="2889" spans="1:8" ht="21.75" customHeight="1" x14ac:dyDescent="0.35">
      <c r="A2889" t="s">
        <v>2984</v>
      </c>
      <c r="B2889" s="3">
        <v>45512</v>
      </c>
      <c r="C2889" t="s">
        <v>93</v>
      </c>
      <c r="D2889" t="s">
        <v>174</v>
      </c>
      <c r="E2889" t="s">
        <v>17</v>
      </c>
      <c r="F2889" t="s">
        <v>56</v>
      </c>
      <c r="G2889" t="s">
        <v>36</v>
      </c>
      <c r="H2889">
        <v>13</v>
      </c>
    </row>
    <row r="2890" spans="1:8" ht="21.75" customHeight="1" x14ac:dyDescent="0.35">
      <c r="A2890" t="s">
        <v>2985</v>
      </c>
      <c r="B2890" s="3">
        <v>45587</v>
      </c>
      <c r="C2890" t="s">
        <v>309</v>
      </c>
      <c r="D2890" t="s">
        <v>16</v>
      </c>
      <c r="E2890" t="s">
        <v>22</v>
      </c>
      <c r="F2890" t="s">
        <v>27</v>
      </c>
      <c r="G2890" t="s">
        <v>28</v>
      </c>
      <c r="H2890">
        <v>13</v>
      </c>
    </row>
    <row r="2891" spans="1:8" ht="21.75" customHeight="1" x14ac:dyDescent="0.35">
      <c r="A2891" t="s">
        <v>2986</v>
      </c>
      <c r="B2891" s="3">
        <v>45556</v>
      </c>
      <c r="C2891" t="s">
        <v>111</v>
      </c>
      <c r="D2891" t="s">
        <v>87</v>
      </c>
      <c r="E2891" t="s">
        <v>11</v>
      </c>
      <c r="F2891" t="s">
        <v>12</v>
      </c>
      <c r="G2891" t="s">
        <v>28</v>
      </c>
      <c r="H2891">
        <v>17</v>
      </c>
    </row>
    <row r="2892" spans="1:8" ht="21.75" customHeight="1" x14ac:dyDescent="0.35">
      <c r="A2892" t="s">
        <v>2987</v>
      </c>
      <c r="B2892" s="3">
        <v>45587</v>
      </c>
      <c r="C2892" t="s">
        <v>728</v>
      </c>
      <c r="D2892" t="s">
        <v>31</v>
      </c>
      <c r="E2892" t="s">
        <v>22</v>
      </c>
      <c r="F2892" t="s">
        <v>42</v>
      </c>
      <c r="G2892" t="s">
        <v>36</v>
      </c>
      <c r="H2892">
        <v>6</v>
      </c>
    </row>
    <row r="2893" spans="1:8" ht="21.75" customHeight="1" x14ac:dyDescent="0.35">
      <c r="A2893" t="s">
        <v>2988</v>
      </c>
      <c r="B2893" s="3">
        <v>45396</v>
      </c>
      <c r="C2893" t="s">
        <v>203</v>
      </c>
      <c r="D2893" t="s">
        <v>10</v>
      </c>
      <c r="E2893" t="s">
        <v>11</v>
      </c>
      <c r="F2893" t="s">
        <v>27</v>
      </c>
      <c r="G2893" t="s">
        <v>13</v>
      </c>
      <c r="H2893">
        <v>19</v>
      </c>
    </row>
    <row r="2894" spans="1:8" ht="21.75" customHeight="1" x14ac:dyDescent="0.35">
      <c r="A2894" t="s">
        <v>2989</v>
      </c>
      <c r="B2894" s="3">
        <v>45608</v>
      </c>
      <c r="C2894" t="s">
        <v>369</v>
      </c>
      <c r="D2894" t="s">
        <v>174</v>
      </c>
      <c r="E2894" t="s">
        <v>11</v>
      </c>
      <c r="F2894" t="s">
        <v>306</v>
      </c>
      <c r="G2894" t="s">
        <v>23</v>
      </c>
      <c r="H2894">
        <v>1</v>
      </c>
    </row>
    <row r="2895" spans="1:8" ht="21.75" customHeight="1" x14ac:dyDescent="0.35">
      <c r="A2895" t="s">
        <v>2990</v>
      </c>
      <c r="B2895" s="3">
        <v>45358</v>
      </c>
      <c r="C2895" t="s">
        <v>366</v>
      </c>
      <c r="D2895" t="s">
        <v>21</v>
      </c>
      <c r="E2895" t="s">
        <v>22</v>
      </c>
      <c r="F2895" t="s">
        <v>42</v>
      </c>
      <c r="G2895" t="s">
        <v>28</v>
      </c>
      <c r="H2895">
        <v>8</v>
      </c>
    </row>
    <row r="2896" spans="1:8" ht="21.75" customHeight="1" x14ac:dyDescent="0.35">
      <c r="A2896" t="s">
        <v>2991</v>
      </c>
      <c r="B2896" s="3">
        <v>45405</v>
      </c>
      <c r="C2896" t="s">
        <v>68</v>
      </c>
      <c r="D2896" t="s">
        <v>65</v>
      </c>
      <c r="E2896" t="s">
        <v>22</v>
      </c>
      <c r="F2896" t="s">
        <v>56</v>
      </c>
      <c r="G2896" t="s">
        <v>23</v>
      </c>
      <c r="H2896">
        <v>9</v>
      </c>
    </row>
    <row r="2897" spans="1:8" ht="21.75" customHeight="1" x14ac:dyDescent="0.35">
      <c r="A2897" t="s">
        <v>2992</v>
      </c>
      <c r="B2897" s="3">
        <v>45432</v>
      </c>
      <c r="C2897" t="s">
        <v>81</v>
      </c>
      <c r="D2897" t="s">
        <v>16</v>
      </c>
      <c r="E2897" t="s">
        <v>22</v>
      </c>
      <c r="F2897" t="s">
        <v>12</v>
      </c>
      <c r="G2897" t="s">
        <v>36</v>
      </c>
      <c r="H2897">
        <v>4</v>
      </c>
    </row>
    <row r="2898" spans="1:8" ht="21.75" customHeight="1" x14ac:dyDescent="0.35">
      <c r="A2898" t="s">
        <v>2993</v>
      </c>
      <c r="B2898" s="3">
        <v>45597</v>
      </c>
      <c r="C2898" t="s">
        <v>114</v>
      </c>
      <c r="D2898" t="s">
        <v>102</v>
      </c>
      <c r="E2898" t="s">
        <v>11</v>
      </c>
      <c r="F2898" t="s">
        <v>42</v>
      </c>
      <c r="G2898" t="s">
        <v>32</v>
      </c>
      <c r="H2898">
        <v>6</v>
      </c>
    </row>
    <row r="2899" spans="1:8" ht="21.75" customHeight="1" x14ac:dyDescent="0.35">
      <c r="A2899" t="s">
        <v>2994</v>
      </c>
      <c r="B2899" s="3">
        <v>45545</v>
      </c>
      <c r="C2899" t="s">
        <v>83</v>
      </c>
      <c r="D2899" t="s">
        <v>65</v>
      </c>
      <c r="E2899" t="s">
        <v>17</v>
      </c>
      <c r="F2899" t="s">
        <v>12</v>
      </c>
      <c r="G2899" t="s">
        <v>23</v>
      </c>
      <c r="H2899">
        <v>1</v>
      </c>
    </row>
    <row r="2900" spans="1:8" ht="21.75" customHeight="1" x14ac:dyDescent="0.35">
      <c r="A2900" t="s">
        <v>2995</v>
      </c>
      <c r="B2900" s="3">
        <v>45541</v>
      </c>
      <c r="C2900" t="s">
        <v>451</v>
      </c>
      <c r="D2900" t="s">
        <v>10</v>
      </c>
      <c r="E2900" t="s">
        <v>11</v>
      </c>
      <c r="F2900" t="s">
        <v>27</v>
      </c>
      <c r="G2900" t="s">
        <v>23</v>
      </c>
      <c r="H2900">
        <v>11</v>
      </c>
    </row>
    <row r="2901" spans="1:8" ht="21.75" customHeight="1" x14ac:dyDescent="0.35">
      <c r="A2901" t="s">
        <v>2996</v>
      </c>
      <c r="B2901" s="3">
        <v>45522</v>
      </c>
      <c r="C2901" t="s">
        <v>111</v>
      </c>
      <c r="D2901" t="s">
        <v>45</v>
      </c>
      <c r="E2901" t="s">
        <v>17</v>
      </c>
      <c r="F2901" t="s">
        <v>12</v>
      </c>
      <c r="G2901" t="s">
        <v>28</v>
      </c>
      <c r="H2901">
        <v>19</v>
      </c>
    </row>
    <row r="2902" spans="1:8" ht="21.75" customHeight="1" x14ac:dyDescent="0.35">
      <c r="A2902" t="s">
        <v>2997</v>
      </c>
      <c r="B2902" s="3">
        <v>45308</v>
      </c>
      <c r="C2902" t="s">
        <v>114</v>
      </c>
      <c r="D2902" t="s">
        <v>72</v>
      </c>
      <c r="E2902" t="s">
        <v>17</v>
      </c>
      <c r="F2902" t="s">
        <v>27</v>
      </c>
      <c r="G2902" t="s">
        <v>36</v>
      </c>
      <c r="H2902">
        <v>20</v>
      </c>
    </row>
    <row r="2903" spans="1:8" ht="21.75" customHeight="1" x14ac:dyDescent="0.35">
      <c r="A2903" t="s">
        <v>2998</v>
      </c>
      <c r="B2903" s="3">
        <v>45373</v>
      </c>
      <c r="C2903" t="s">
        <v>363</v>
      </c>
      <c r="D2903" t="s">
        <v>84</v>
      </c>
      <c r="E2903" t="s">
        <v>17</v>
      </c>
      <c r="F2903" t="s">
        <v>12</v>
      </c>
      <c r="G2903" t="s">
        <v>28</v>
      </c>
      <c r="H2903">
        <v>20</v>
      </c>
    </row>
    <row r="2904" spans="1:8" ht="21.75" customHeight="1" x14ac:dyDescent="0.35">
      <c r="A2904" t="s">
        <v>2999</v>
      </c>
      <c r="B2904" s="3">
        <v>45303</v>
      </c>
      <c r="C2904" t="s">
        <v>363</v>
      </c>
      <c r="D2904" t="s">
        <v>160</v>
      </c>
      <c r="E2904" t="s">
        <v>11</v>
      </c>
      <c r="F2904" t="s">
        <v>56</v>
      </c>
      <c r="G2904" t="s">
        <v>32</v>
      </c>
      <c r="H2904">
        <v>4</v>
      </c>
    </row>
    <row r="2905" spans="1:8" ht="21.75" customHeight="1" x14ac:dyDescent="0.35">
      <c r="A2905" t="s">
        <v>3000</v>
      </c>
      <c r="B2905" s="3">
        <v>45307</v>
      </c>
      <c r="C2905" t="s">
        <v>187</v>
      </c>
      <c r="D2905" t="s">
        <v>16</v>
      </c>
      <c r="E2905" t="s">
        <v>11</v>
      </c>
      <c r="F2905" t="s">
        <v>12</v>
      </c>
      <c r="G2905" t="s">
        <v>28</v>
      </c>
      <c r="H2905">
        <v>9</v>
      </c>
    </row>
    <row r="2906" spans="1:8" ht="21.75" customHeight="1" x14ac:dyDescent="0.35">
      <c r="A2906" t="s">
        <v>3001</v>
      </c>
      <c r="B2906" s="3">
        <v>45394</v>
      </c>
      <c r="C2906" t="s">
        <v>203</v>
      </c>
      <c r="D2906" t="s">
        <v>48</v>
      </c>
      <c r="E2906" t="s">
        <v>22</v>
      </c>
      <c r="F2906" t="s">
        <v>306</v>
      </c>
      <c r="G2906" t="s">
        <v>32</v>
      </c>
      <c r="H2906">
        <v>15</v>
      </c>
    </row>
    <row r="2907" spans="1:8" ht="21.75" customHeight="1" x14ac:dyDescent="0.35">
      <c r="A2907" t="s">
        <v>3002</v>
      </c>
      <c r="B2907" s="3">
        <v>45545</v>
      </c>
      <c r="C2907" t="s">
        <v>348</v>
      </c>
      <c r="D2907" t="s">
        <v>160</v>
      </c>
      <c r="E2907" t="s">
        <v>17</v>
      </c>
      <c r="F2907" t="s">
        <v>56</v>
      </c>
      <c r="G2907" t="s">
        <v>32</v>
      </c>
      <c r="H2907">
        <v>6</v>
      </c>
    </row>
    <row r="2908" spans="1:8" ht="21.75" customHeight="1" x14ac:dyDescent="0.35">
      <c r="A2908" t="s">
        <v>3003</v>
      </c>
      <c r="B2908" s="3">
        <v>45435</v>
      </c>
      <c r="C2908" t="s">
        <v>106</v>
      </c>
      <c r="D2908" t="s">
        <v>102</v>
      </c>
      <c r="E2908" t="s">
        <v>22</v>
      </c>
      <c r="F2908" t="s">
        <v>306</v>
      </c>
      <c r="G2908" t="s">
        <v>32</v>
      </c>
      <c r="H2908">
        <v>6</v>
      </c>
    </row>
    <row r="2909" spans="1:8" ht="21.75" customHeight="1" x14ac:dyDescent="0.35">
      <c r="A2909" t="s">
        <v>3004</v>
      </c>
      <c r="B2909" s="3">
        <v>45541</v>
      </c>
      <c r="C2909" t="s">
        <v>348</v>
      </c>
      <c r="D2909" t="s">
        <v>70</v>
      </c>
      <c r="E2909" t="s">
        <v>17</v>
      </c>
      <c r="F2909" t="s">
        <v>306</v>
      </c>
      <c r="G2909" t="s">
        <v>32</v>
      </c>
      <c r="H2909">
        <v>11</v>
      </c>
    </row>
    <row r="2910" spans="1:8" ht="21.75" customHeight="1" x14ac:dyDescent="0.35">
      <c r="A2910" t="s">
        <v>3005</v>
      </c>
      <c r="B2910" s="3">
        <v>45602</v>
      </c>
      <c r="C2910" t="s">
        <v>53</v>
      </c>
      <c r="D2910" t="s">
        <v>87</v>
      </c>
      <c r="E2910" t="s">
        <v>11</v>
      </c>
      <c r="F2910" t="s">
        <v>306</v>
      </c>
      <c r="G2910" t="s">
        <v>32</v>
      </c>
      <c r="H2910">
        <v>12</v>
      </c>
    </row>
    <row r="2911" spans="1:8" ht="21.75" customHeight="1" x14ac:dyDescent="0.35">
      <c r="A2911" t="s">
        <v>3006</v>
      </c>
      <c r="B2911" s="3">
        <v>45324</v>
      </c>
      <c r="C2911" t="s">
        <v>430</v>
      </c>
      <c r="D2911" t="s">
        <v>45</v>
      </c>
      <c r="E2911" t="s">
        <v>11</v>
      </c>
      <c r="F2911" t="s">
        <v>306</v>
      </c>
      <c r="G2911" t="s">
        <v>32</v>
      </c>
      <c r="H2911">
        <v>19</v>
      </c>
    </row>
    <row r="2912" spans="1:8" ht="21.75" customHeight="1" x14ac:dyDescent="0.35">
      <c r="A2912" t="s">
        <v>3007</v>
      </c>
      <c r="B2912" s="3">
        <v>45601</v>
      </c>
      <c r="C2912" t="s">
        <v>736</v>
      </c>
      <c r="D2912" t="s">
        <v>160</v>
      </c>
      <c r="E2912" t="s">
        <v>17</v>
      </c>
      <c r="F2912" t="s">
        <v>27</v>
      </c>
      <c r="G2912" t="s">
        <v>13</v>
      </c>
      <c r="H2912">
        <v>4</v>
      </c>
    </row>
    <row r="2913" spans="1:8" ht="21.75" customHeight="1" x14ac:dyDescent="0.35">
      <c r="A2913" t="s">
        <v>3008</v>
      </c>
      <c r="B2913" s="3">
        <v>45457</v>
      </c>
      <c r="C2913" t="s">
        <v>309</v>
      </c>
      <c r="D2913" t="s">
        <v>45</v>
      </c>
      <c r="E2913" t="s">
        <v>17</v>
      </c>
      <c r="F2913" t="s">
        <v>56</v>
      </c>
      <c r="G2913" t="s">
        <v>13</v>
      </c>
      <c r="H2913">
        <v>7</v>
      </c>
    </row>
    <row r="2914" spans="1:8" ht="21.75" customHeight="1" x14ac:dyDescent="0.35">
      <c r="A2914" t="s">
        <v>3009</v>
      </c>
      <c r="B2914" s="3">
        <v>45482</v>
      </c>
      <c r="C2914" t="s">
        <v>167</v>
      </c>
      <c r="D2914" t="s">
        <v>119</v>
      </c>
      <c r="E2914" t="s">
        <v>17</v>
      </c>
      <c r="F2914" t="s">
        <v>12</v>
      </c>
      <c r="G2914" t="s">
        <v>13</v>
      </c>
      <c r="H2914">
        <v>11</v>
      </c>
    </row>
    <row r="2915" spans="1:8" ht="21.75" customHeight="1" x14ac:dyDescent="0.35">
      <c r="A2915" t="s">
        <v>3010</v>
      </c>
      <c r="B2915" s="3">
        <v>45460</v>
      </c>
      <c r="C2915" t="s">
        <v>133</v>
      </c>
      <c r="D2915" t="s">
        <v>70</v>
      </c>
      <c r="E2915" t="s">
        <v>22</v>
      </c>
      <c r="F2915" t="s">
        <v>42</v>
      </c>
      <c r="G2915" t="s">
        <v>28</v>
      </c>
      <c r="H2915">
        <v>18</v>
      </c>
    </row>
    <row r="2916" spans="1:8" ht="21.75" customHeight="1" x14ac:dyDescent="0.35">
      <c r="A2916" t="s">
        <v>3011</v>
      </c>
      <c r="B2916" s="3">
        <v>45437</v>
      </c>
      <c r="C2916" t="s">
        <v>493</v>
      </c>
      <c r="D2916" t="s">
        <v>65</v>
      </c>
      <c r="E2916" t="s">
        <v>22</v>
      </c>
      <c r="F2916" t="s">
        <v>56</v>
      </c>
      <c r="G2916" t="s">
        <v>13</v>
      </c>
      <c r="H2916">
        <v>18</v>
      </c>
    </row>
    <row r="2917" spans="1:8" ht="21.75" customHeight="1" x14ac:dyDescent="0.35">
      <c r="A2917" t="s">
        <v>3012</v>
      </c>
      <c r="B2917" s="3">
        <v>45603</v>
      </c>
      <c r="C2917" t="s">
        <v>317</v>
      </c>
      <c r="D2917" t="s">
        <v>10</v>
      </c>
      <c r="E2917" t="s">
        <v>22</v>
      </c>
      <c r="F2917" t="s">
        <v>27</v>
      </c>
      <c r="G2917" t="s">
        <v>23</v>
      </c>
      <c r="H2917">
        <v>11</v>
      </c>
    </row>
    <row r="2918" spans="1:8" ht="21.75" customHeight="1" x14ac:dyDescent="0.35">
      <c r="A2918" t="s">
        <v>3013</v>
      </c>
      <c r="B2918" s="3">
        <v>45393</v>
      </c>
      <c r="C2918" t="s">
        <v>104</v>
      </c>
      <c r="D2918" t="s">
        <v>79</v>
      </c>
      <c r="E2918" t="s">
        <v>17</v>
      </c>
      <c r="F2918" t="s">
        <v>27</v>
      </c>
      <c r="G2918" t="s">
        <v>13</v>
      </c>
      <c r="H2918">
        <v>9</v>
      </c>
    </row>
    <row r="2919" spans="1:8" ht="21.75" customHeight="1" x14ac:dyDescent="0.35">
      <c r="A2919" t="s">
        <v>3014</v>
      </c>
      <c r="B2919" s="3">
        <v>45355</v>
      </c>
      <c r="C2919" t="s">
        <v>430</v>
      </c>
      <c r="D2919" t="s">
        <v>45</v>
      </c>
      <c r="E2919" t="s">
        <v>22</v>
      </c>
      <c r="F2919" t="s">
        <v>42</v>
      </c>
      <c r="G2919" t="s">
        <v>36</v>
      </c>
      <c r="H2919">
        <v>13</v>
      </c>
    </row>
    <row r="2920" spans="1:8" ht="21.75" customHeight="1" x14ac:dyDescent="0.35">
      <c r="A2920" t="s">
        <v>3015</v>
      </c>
      <c r="B2920" s="3">
        <v>45302</v>
      </c>
      <c r="C2920" t="s">
        <v>55</v>
      </c>
      <c r="D2920" t="s">
        <v>96</v>
      </c>
      <c r="E2920" t="s">
        <v>22</v>
      </c>
      <c r="F2920" t="s">
        <v>306</v>
      </c>
      <c r="G2920" t="s">
        <v>13</v>
      </c>
      <c r="H2920">
        <v>15</v>
      </c>
    </row>
    <row r="2921" spans="1:8" ht="21.75" customHeight="1" x14ac:dyDescent="0.35">
      <c r="A2921" t="s">
        <v>3016</v>
      </c>
      <c r="B2921" s="3">
        <v>45498</v>
      </c>
      <c r="C2921" t="s">
        <v>122</v>
      </c>
      <c r="D2921" t="s">
        <v>174</v>
      </c>
      <c r="E2921" t="s">
        <v>22</v>
      </c>
      <c r="F2921" t="s">
        <v>12</v>
      </c>
      <c r="G2921" t="s">
        <v>32</v>
      </c>
      <c r="H2921">
        <v>1</v>
      </c>
    </row>
    <row r="2922" spans="1:8" ht="21.75" customHeight="1" x14ac:dyDescent="0.35">
      <c r="A2922" t="s">
        <v>3017</v>
      </c>
      <c r="B2922" s="3">
        <v>45340</v>
      </c>
      <c r="C2922" t="s">
        <v>572</v>
      </c>
      <c r="D2922" t="s">
        <v>84</v>
      </c>
      <c r="E2922" t="s">
        <v>17</v>
      </c>
      <c r="F2922" t="s">
        <v>42</v>
      </c>
      <c r="G2922" t="s">
        <v>32</v>
      </c>
      <c r="H2922">
        <v>12</v>
      </c>
    </row>
    <row r="2923" spans="1:8" ht="21.75" customHeight="1" x14ac:dyDescent="0.35">
      <c r="A2923" t="s">
        <v>3018</v>
      </c>
      <c r="B2923" s="3">
        <v>45576</v>
      </c>
      <c r="C2923" t="s">
        <v>420</v>
      </c>
      <c r="D2923" t="s">
        <v>72</v>
      </c>
      <c r="E2923" t="s">
        <v>17</v>
      </c>
      <c r="F2923" t="s">
        <v>306</v>
      </c>
      <c r="G2923" t="s">
        <v>13</v>
      </c>
      <c r="H2923">
        <v>13</v>
      </c>
    </row>
    <row r="2924" spans="1:8" ht="21.75" customHeight="1" x14ac:dyDescent="0.35">
      <c r="A2924" t="s">
        <v>3019</v>
      </c>
      <c r="B2924" s="3">
        <v>45524</v>
      </c>
      <c r="C2924" t="s">
        <v>432</v>
      </c>
      <c r="D2924" t="s">
        <v>21</v>
      </c>
      <c r="E2924" t="s">
        <v>11</v>
      </c>
      <c r="F2924" t="s">
        <v>42</v>
      </c>
      <c r="G2924" t="s">
        <v>36</v>
      </c>
      <c r="H2924">
        <v>4</v>
      </c>
    </row>
    <row r="2925" spans="1:8" ht="21.75" customHeight="1" x14ac:dyDescent="0.35">
      <c r="A2925" t="s">
        <v>3020</v>
      </c>
      <c r="B2925" s="3">
        <v>45316</v>
      </c>
      <c r="C2925" t="s">
        <v>142</v>
      </c>
      <c r="D2925" t="s">
        <v>16</v>
      </c>
      <c r="E2925" t="s">
        <v>11</v>
      </c>
      <c r="F2925" t="s">
        <v>42</v>
      </c>
      <c r="G2925" t="s">
        <v>23</v>
      </c>
      <c r="H2925">
        <v>8</v>
      </c>
    </row>
    <row r="2926" spans="1:8" ht="21.75" customHeight="1" x14ac:dyDescent="0.35">
      <c r="A2926" t="s">
        <v>3021</v>
      </c>
      <c r="B2926" s="3">
        <v>45389</v>
      </c>
      <c r="C2926" t="s">
        <v>329</v>
      </c>
      <c r="D2926" t="s">
        <v>48</v>
      </c>
      <c r="E2926" t="s">
        <v>22</v>
      </c>
      <c r="F2926" t="s">
        <v>12</v>
      </c>
      <c r="G2926" t="s">
        <v>13</v>
      </c>
      <c r="H2926">
        <v>9</v>
      </c>
    </row>
    <row r="2927" spans="1:8" ht="21.75" customHeight="1" x14ac:dyDescent="0.35">
      <c r="A2927" t="s">
        <v>3022</v>
      </c>
      <c r="B2927" s="3">
        <v>45314</v>
      </c>
      <c r="C2927" t="s">
        <v>40</v>
      </c>
      <c r="D2927" t="s">
        <v>79</v>
      </c>
      <c r="E2927" t="s">
        <v>17</v>
      </c>
      <c r="F2927" t="s">
        <v>12</v>
      </c>
      <c r="G2927" t="s">
        <v>32</v>
      </c>
      <c r="H2927">
        <v>11</v>
      </c>
    </row>
    <row r="2928" spans="1:8" ht="21.75" customHeight="1" x14ac:dyDescent="0.35">
      <c r="A2928" t="s">
        <v>3023</v>
      </c>
      <c r="B2928" s="3">
        <v>45486</v>
      </c>
      <c r="C2928" t="s">
        <v>101</v>
      </c>
      <c r="D2928" t="s">
        <v>62</v>
      </c>
      <c r="E2928" t="s">
        <v>11</v>
      </c>
      <c r="F2928" t="s">
        <v>56</v>
      </c>
      <c r="G2928" t="s">
        <v>36</v>
      </c>
      <c r="H2928">
        <v>15</v>
      </c>
    </row>
    <row r="2929" spans="1:8" ht="21.75" customHeight="1" x14ac:dyDescent="0.35">
      <c r="A2929" t="s">
        <v>3024</v>
      </c>
      <c r="B2929" s="3">
        <v>45455</v>
      </c>
      <c r="C2929" t="s">
        <v>167</v>
      </c>
      <c r="D2929" t="s">
        <v>119</v>
      </c>
      <c r="E2929" t="s">
        <v>22</v>
      </c>
      <c r="F2929" t="s">
        <v>27</v>
      </c>
      <c r="G2929" t="s">
        <v>23</v>
      </c>
      <c r="H2929">
        <v>4</v>
      </c>
    </row>
    <row r="2930" spans="1:8" ht="21.75" customHeight="1" x14ac:dyDescent="0.35">
      <c r="A2930" t="s">
        <v>3025</v>
      </c>
      <c r="B2930" s="3">
        <v>45415</v>
      </c>
      <c r="C2930" t="s">
        <v>314</v>
      </c>
      <c r="D2930" t="s">
        <v>35</v>
      </c>
      <c r="E2930" t="s">
        <v>22</v>
      </c>
      <c r="F2930" t="s">
        <v>27</v>
      </c>
      <c r="G2930" t="s">
        <v>32</v>
      </c>
      <c r="H2930">
        <v>11</v>
      </c>
    </row>
    <row r="2931" spans="1:8" ht="21.75" customHeight="1" x14ac:dyDescent="0.35">
      <c r="A2931" t="s">
        <v>3026</v>
      </c>
      <c r="B2931" s="3">
        <v>45539</v>
      </c>
      <c r="C2931" t="s">
        <v>240</v>
      </c>
      <c r="D2931" t="s">
        <v>10</v>
      </c>
      <c r="E2931" t="s">
        <v>17</v>
      </c>
      <c r="F2931" t="s">
        <v>42</v>
      </c>
      <c r="G2931" t="s">
        <v>13</v>
      </c>
      <c r="H2931">
        <v>12</v>
      </c>
    </row>
    <row r="2932" spans="1:8" ht="21.75" customHeight="1" x14ac:dyDescent="0.35">
      <c r="A2932" t="s">
        <v>3027</v>
      </c>
      <c r="B2932" s="3">
        <v>45416</v>
      </c>
      <c r="C2932" t="s">
        <v>371</v>
      </c>
      <c r="D2932" t="s">
        <v>21</v>
      </c>
      <c r="E2932" t="s">
        <v>22</v>
      </c>
      <c r="F2932" t="s">
        <v>56</v>
      </c>
      <c r="G2932" t="s">
        <v>13</v>
      </c>
      <c r="H2932">
        <v>3</v>
      </c>
    </row>
    <row r="2933" spans="1:8" ht="21.75" customHeight="1" x14ac:dyDescent="0.35">
      <c r="A2933" t="s">
        <v>3028</v>
      </c>
      <c r="B2933" s="3">
        <v>45322</v>
      </c>
      <c r="C2933" t="s">
        <v>133</v>
      </c>
      <c r="D2933" t="s">
        <v>96</v>
      </c>
      <c r="E2933" t="s">
        <v>22</v>
      </c>
      <c r="F2933" t="s">
        <v>56</v>
      </c>
      <c r="G2933" t="s">
        <v>23</v>
      </c>
      <c r="H2933">
        <v>13</v>
      </c>
    </row>
    <row r="2934" spans="1:8" ht="21.75" customHeight="1" x14ac:dyDescent="0.35">
      <c r="A2934" t="s">
        <v>3029</v>
      </c>
      <c r="B2934" s="3">
        <v>45345</v>
      </c>
      <c r="C2934" t="s">
        <v>47</v>
      </c>
      <c r="D2934" t="s">
        <v>65</v>
      </c>
      <c r="E2934" t="s">
        <v>22</v>
      </c>
      <c r="F2934" t="s">
        <v>306</v>
      </c>
      <c r="G2934" t="s">
        <v>36</v>
      </c>
      <c r="H2934">
        <v>11</v>
      </c>
    </row>
    <row r="2935" spans="1:8" ht="21.75" customHeight="1" x14ac:dyDescent="0.35">
      <c r="A2935" t="s">
        <v>3030</v>
      </c>
      <c r="B2935" s="3">
        <v>45451</v>
      </c>
      <c r="C2935" t="s">
        <v>369</v>
      </c>
      <c r="D2935" t="s">
        <v>70</v>
      </c>
      <c r="E2935" t="s">
        <v>22</v>
      </c>
      <c r="F2935" t="s">
        <v>56</v>
      </c>
      <c r="G2935" t="s">
        <v>36</v>
      </c>
      <c r="H2935">
        <v>4</v>
      </c>
    </row>
    <row r="2936" spans="1:8" ht="21.75" customHeight="1" x14ac:dyDescent="0.35">
      <c r="A2936" t="s">
        <v>3031</v>
      </c>
      <c r="B2936" s="3">
        <v>45404</v>
      </c>
      <c r="C2936" t="s">
        <v>83</v>
      </c>
      <c r="D2936" t="s">
        <v>31</v>
      </c>
      <c r="E2936" t="s">
        <v>17</v>
      </c>
      <c r="F2936" t="s">
        <v>306</v>
      </c>
      <c r="G2936" t="s">
        <v>36</v>
      </c>
      <c r="H2936">
        <v>7</v>
      </c>
    </row>
    <row r="2937" spans="1:8" ht="21.75" customHeight="1" x14ac:dyDescent="0.35">
      <c r="A2937" t="s">
        <v>3032</v>
      </c>
      <c r="B2937" s="3">
        <v>45388</v>
      </c>
      <c r="C2937" t="s">
        <v>58</v>
      </c>
      <c r="D2937" t="s">
        <v>26</v>
      </c>
      <c r="E2937" t="s">
        <v>17</v>
      </c>
      <c r="F2937" t="s">
        <v>56</v>
      </c>
      <c r="G2937" t="s">
        <v>32</v>
      </c>
      <c r="H2937">
        <v>19</v>
      </c>
    </row>
    <row r="2938" spans="1:8" ht="21.75" customHeight="1" x14ac:dyDescent="0.35">
      <c r="A2938" t="s">
        <v>3033</v>
      </c>
      <c r="B2938" s="3">
        <v>45367</v>
      </c>
      <c r="C2938" t="s">
        <v>319</v>
      </c>
      <c r="D2938" t="s">
        <v>102</v>
      </c>
      <c r="E2938" t="s">
        <v>22</v>
      </c>
      <c r="F2938" t="s">
        <v>12</v>
      </c>
      <c r="G2938" t="s">
        <v>28</v>
      </c>
      <c r="H2938">
        <v>1</v>
      </c>
    </row>
    <row r="2939" spans="1:8" ht="21.75" customHeight="1" x14ac:dyDescent="0.35">
      <c r="A2939" t="s">
        <v>3034</v>
      </c>
      <c r="B2939" s="3">
        <v>45387</v>
      </c>
      <c r="C2939" t="s">
        <v>101</v>
      </c>
      <c r="D2939" t="s">
        <v>96</v>
      </c>
      <c r="E2939" t="s">
        <v>17</v>
      </c>
      <c r="F2939" t="s">
        <v>306</v>
      </c>
      <c r="G2939" t="s">
        <v>23</v>
      </c>
      <c r="H2939">
        <v>12</v>
      </c>
    </row>
    <row r="2940" spans="1:8" ht="21.75" customHeight="1" x14ac:dyDescent="0.35">
      <c r="A2940" t="s">
        <v>3035</v>
      </c>
      <c r="B2940" s="3">
        <v>45573</v>
      </c>
      <c r="C2940" t="s">
        <v>81</v>
      </c>
      <c r="D2940" t="s">
        <v>48</v>
      </c>
      <c r="E2940" t="s">
        <v>17</v>
      </c>
      <c r="F2940" t="s">
        <v>56</v>
      </c>
      <c r="G2940" t="s">
        <v>28</v>
      </c>
      <c r="H2940">
        <v>13</v>
      </c>
    </row>
    <row r="2941" spans="1:8" ht="21.75" customHeight="1" x14ac:dyDescent="0.35">
      <c r="A2941" t="s">
        <v>3036</v>
      </c>
      <c r="B2941" s="3">
        <v>45552</v>
      </c>
      <c r="C2941" t="s">
        <v>118</v>
      </c>
      <c r="D2941" t="s">
        <v>79</v>
      </c>
      <c r="E2941" t="s">
        <v>17</v>
      </c>
      <c r="F2941" t="s">
        <v>42</v>
      </c>
      <c r="G2941" t="s">
        <v>32</v>
      </c>
      <c r="H2941">
        <v>4</v>
      </c>
    </row>
    <row r="2942" spans="1:8" ht="21.75" customHeight="1" x14ac:dyDescent="0.35">
      <c r="A2942" t="s">
        <v>3037</v>
      </c>
      <c r="B2942" s="3">
        <v>45487</v>
      </c>
      <c r="C2942" t="s">
        <v>388</v>
      </c>
      <c r="D2942" t="s">
        <v>87</v>
      </c>
      <c r="E2942" t="s">
        <v>11</v>
      </c>
      <c r="F2942" t="s">
        <v>42</v>
      </c>
      <c r="G2942" t="s">
        <v>28</v>
      </c>
      <c r="H2942">
        <v>13</v>
      </c>
    </row>
    <row r="2943" spans="1:8" ht="21.75" customHeight="1" x14ac:dyDescent="0.35">
      <c r="A2943" t="s">
        <v>3038</v>
      </c>
      <c r="B2943" s="3">
        <v>45433</v>
      </c>
      <c r="C2943" t="s">
        <v>339</v>
      </c>
      <c r="D2943" t="s">
        <v>109</v>
      </c>
      <c r="E2943" t="s">
        <v>17</v>
      </c>
      <c r="F2943" t="s">
        <v>306</v>
      </c>
      <c r="G2943" t="s">
        <v>23</v>
      </c>
      <c r="H2943">
        <v>4</v>
      </c>
    </row>
    <row r="2944" spans="1:8" ht="21.75" customHeight="1" x14ac:dyDescent="0.35">
      <c r="A2944" t="s">
        <v>3039</v>
      </c>
      <c r="B2944" s="3">
        <v>45622</v>
      </c>
      <c r="C2944" t="s">
        <v>78</v>
      </c>
      <c r="D2944" t="s">
        <v>102</v>
      </c>
      <c r="E2944" t="s">
        <v>11</v>
      </c>
      <c r="F2944" t="s">
        <v>12</v>
      </c>
      <c r="G2944" t="s">
        <v>13</v>
      </c>
      <c r="H2944">
        <v>2</v>
      </c>
    </row>
    <row r="2945" spans="1:8" ht="21.75" customHeight="1" x14ac:dyDescent="0.35">
      <c r="A2945" t="s">
        <v>3040</v>
      </c>
      <c r="B2945" s="3">
        <v>45414</v>
      </c>
      <c r="C2945" t="s">
        <v>58</v>
      </c>
      <c r="D2945" t="s">
        <v>174</v>
      </c>
      <c r="E2945" t="s">
        <v>11</v>
      </c>
      <c r="F2945" t="s">
        <v>42</v>
      </c>
      <c r="G2945" t="s">
        <v>28</v>
      </c>
      <c r="H2945">
        <v>20</v>
      </c>
    </row>
    <row r="2946" spans="1:8" ht="21.75" customHeight="1" x14ac:dyDescent="0.35">
      <c r="A2946" t="s">
        <v>3041</v>
      </c>
      <c r="B2946" s="3">
        <v>45499</v>
      </c>
      <c r="C2946" t="s">
        <v>106</v>
      </c>
      <c r="D2946" t="s">
        <v>31</v>
      </c>
      <c r="E2946" t="s">
        <v>11</v>
      </c>
      <c r="F2946" t="s">
        <v>56</v>
      </c>
      <c r="G2946" t="s">
        <v>32</v>
      </c>
      <c r="H2946">
        <v>16</v>
      </c>
    </row>
    <row r="2947" spans="1:8" ht="21.75" customHeight="1" x14ac:dyDescent="0.35">
      <c r="A2947" t="s">
        <v>3042</v>
      </c>
      <c r="B2947" s="3">
        <v>45396</v>
      </c>
      <c r="C2947" t="s">
        <v>20</v>
      </c>
      <c r="D2947" t="s">
        <v>21</v>
      </c>
      <c r="E2947" t="s">
        <v>17</v>
      </c>
      <c r="F2947" t="s">
        <v>306</v>
      </c>
      <c r="G2947" t="s">
        <v>32</v>
      </c>
      <c r="H2947">
        <v>1</v>
      </c>
    </row>
    <row r="2948" spans="1:8" ht="21.75" customHeight="1" x14ac:dyDescent="0.35">
      <c r="A2948" t="s">
        <v>3043</v>
      </c>
      <c r="B2948" s="3">
        <v>45549</v>
      </c>
      <c r="C2948" t="s">
        <v>424</v>
      </c>
      <c r="D2948" t="s">
        <v>109</v>
      </c>
      <c r="E2948" t="s">
        <v>17</v>
      </c>
      <c r="F2948" t="s">
        <v>42</v>
      </c>
      <c r="G2948" t="s">
        <v>28</v>
      </c>
      <c r="H2948">
        <v>6</v>
      </c>
    </row>
    <row r="2949" spans="1:8" ht="21.75" customHeight="1" x14ac:dyDescent="0.35">
      <c r="A2949" t="s">
        <v>3044</v>
      </c>
      <c r="B2949" s="3">
        <v>45327</v>
      </c>
      <c r="C2949" t="s">
        <v>30</v>
      </c>
      <c r="D2949" t="s">
        <v>45</v>
      </c>
      <c r="E2949" t="s">
        <v>17</v>
      </c>
      <c r="F2949" t="s">
        <v>27</v>
      </c>
      <c r="G2949" t="s">
        <v>28</v>
      </c>
      <c r="H2949">
        <v>1</v>
      </c>
    </row>
    <row r="2950" spans="1:8" ht="21.75" customHeight="1" x14ac:dyDescent="0.35">
      <c r="A2950" t="s">
        <v>3045</v>
      </c>
      <c r="B2950" s="3">
        <v>45511</v>
      </c>
      <c r="C2950" t="s">
        <v>118</v>
      </c>
      <c r="D2950" t="s">
        <v>96</v>
      </c>
      <c r="E2950" t="s">
        <v>11</v>
      </c>
      <c r="F2950" t="s">
        <v>42</v>
      </c>
      <c r="G2950" t="s">
        <v>13</v>
      </c>
      <c r="H2950">
        <v>6</v>
      </c>
    </row>
    <row r="2951" spans="1:8" ht="21.75" customHeight="1" x14ac:dyDescent="0.35">
      <c r="A2951" t="s">
        <v>3046</v>
      </c>
      <c r="B2951" s="3">
        <v>45296</v>
      </c>
      <c r="C2951" t="s">
        <v>327</v>
      </c>
      <c r="D2951" t="s">
        <v>48</v>
      </c>
      <c r="E2951" t="s">
        <v>17</v>
      </c>
      <c r="F2951" t="s">
        <v>306</v>
      </c>
      <c r="G2951" t="s">
        <v>13</v>
      </c>
      <c r="H2951">
        <v>16</v>
      </c>
    </row>
    <row r="2952" spans="1:8" ht="21.75" customHeight="1" x14ac:dyDescent="0.35">
      <c r="A2952" t="s">
        <v>3047</v>
      </c>
      <c r="B2952" s="3">
        <v>45533</v>
      </c>
      <c r="C2952" t="s">
        <v>40</v>
      </c>
      <c r="D2952" t="s">
        <v>79</v>
      </c>
      <c r="E2952" t="s">
        <v>11</v>
      </c>
      <c r="F2952" t="s">
        <v>306</v>
      </c>
      <c r="G2952" t="s">
        <v>32</v>
      </c>
      <c r="H2952">
        <v>8</v>
      </c>
    </row>
    <row r="2953" spans="1:8" ht="21.75" customHeight="1" x14ac:dyDescent="0.35">
      <c r="A2953" t="s">
        <v>3048</v>
      </c>
      <c r="B2953" s="3">
        <v>45377</v>
      </c>
      <c r="C2953" t="s">
        <v>664</v>
      </c>
      <c r="D2953" t="s">
        <v>16</v>
      </c>
      <c r="E2953" t="s">
        <v>11</v>
      </c>
      <c r="F2953" t="s">
        <v>12</v>
      </c>
      <c r="G2953" t="s">
        <v>32</v>
      </c>
      <c r="H2953">
        <v>11</v>
      </c>
    </row>
    <row r="2954" spans="1:8" ht="21.75" customHeight="1" x14ac:dyDescent="0.35">
      <c r="A2954" t="s">
        <v>3049</v>
      </c>
      <c r="B2954" s="3">
        <v>45471</v>
      </c>
      <c r="C2954" t="s">
        <v>591</v>
      </c>
      <c r="D2954" t="s">
        <v>26</v>
      </c>
      <c r="E2954" t="s">
        <v>22</v>
      </c>
      <c r="F2954" t="s">
        <v>27</v>
      </c>
      <c r="G2954" t="s">
        <v>32</v>
      </c>
      <c r="H2954">
        <v>12</v>
      </c>
    </row>
    <row r="2955" spans="1:8" ht="21.75" customHeight="1" x14ac:dyDescent="0.35">
      <c r="A2955" t="s">
        <v>3050</v>
      </c>
      <c r="B2955" s="3">
        <v>45472</v>
      </c>
      <c r="C2955" t="s">
        <v>68</v>
      </c>
      <c r="D2955" t="s">
        <v>62</v>
      </c>
      <c r="E2955" t="s">
        <v>17</v>
      </c>
      <c r="F2955" t="s">
        <v>306</v>
      </c>
      <c r="G2955" t="s">
        <v>36</v>
      </c>
      <c r="H2955">
        <v>16</v>
      </c>
    </row>
    <row r="2956" spans="1:8" ht="21.75" customHeight="1" x14ac:dyDescent="0.35">
      <c r="A2956" t="s">
        <v>3051</v>
      </c>
      <c r="B2956" s="3">
        <v>45643</v>
      </c>
      <c r="C2956" t="s">
        <v>363</v>
      </c>
      <c r="D2956" t="s">
        <v>84</v>
      </c>
      <c r="E2956" t="s">
        <v>22</v>
      </c>
      <c r="F2956" t="s">
        <v>12</v>
      </c>
      <c r="G2956" t="s">
        <v>28</v>
      </c>
      <c r="H2956">
        <v>14</v>
      </c>
    </row>
    <row r="2957" spans="1:8" ht="21.75" customHeight="1" x14ac:dyDescent="0.35">
      <c r="A2957" t="s">
        <v>3052</v>
      </c>
      <c r="B2957" s="3">
        <v>45629</v>
      </c>
      <c r="C2957" t="s">
        <v>167</v>
      </c>
      <c r="D2957" t="s">
        <v>48</v>
      </c>
      <c r="E2957" t="s">
        <v>17</v>
      </c>
      <c r="F2957" t="s">
        <v>12</v>
      </c>
      <c r="G2957" t="s">
        <v>28</v>
      </c>
      <c r="H2957">
        <v>19</v>
      </c>
    </row>
    <row r="2958" spans="1:8" ht="21.75" customHeight="1" x14ac:dyDescent="0.35">
      <c r="A2958" t="s">
        <v>3053</v>
      </c>
      <c r="B2958" s="3">
        <v>45512</v>
      </c>
      <c r="C2958" t="s">
        <v>83</v>
      </c>
      <c r="D2958" t="s">
        <v>65</v>
      </c>
      <c r="E2958" t="s">
        <v>22</v>
      </c>
      <c r="F2958" t="s">
        <v>12</v>
      </c>
      <c r="G2958" t="s">
        <v>28</v>
      </c>
      <c r="H2958">
        <v>13</v>
      </c>
    </row>
    <row r="2959" spans="1:8" ht="21.75" customHeight="1" x14ac:dyDescent="0.35">
      <c r="A2959" t="s">
        <v>3054</v>
      </c>
      <c r="B2959" s="3">
        <v>45432</v>
      </c>
      <c r="C2959" t="s">
        <v>451</v>
      </c>
      <c r="D2959" t="s">
        <v>41</v>
      </c>
      <c r="E2959" t="s">
        <v>22</v>
      </c>
      <c r="F2959" t="s">
        <v>27</v>
      </c>
      <c r="G2959" t="s">
        <v>36</v>
      </c>
      <c r="H2959">
        <v>6</v>
      </c>
    </row>
    <row r="2960" spans="1:8" ht="21.75" customHeight="1" x14ac:dyDescent="0.35">
      <c r="A2960" t="s">
        <v>3055</v>
      </c>
      <c r="B2960" s="3">
        <v>45639</v>
      </c>
      <c r="C2960" t="s">
        <v>20</v>
      </c>
      <c r="D2960" t="s">
        <v>72</v>
      </c>
      <c r="E2960" t="s">
        <v>17</v>
      </c>
      <c r="F2960" t="s">
        <v>306</v>
      </c>
      <c r="G2960" t="s">
        <v>23</v>
      </c>
      <c r="H2960">
        <v>9</v>
      </c>
    </row>
    <row r="2961" spans="1:8" ht="21.75" customHeight="1" x14ac:dyDescent="0.35">
      <c r="A2961" t="s">
        <v>3056</v>
      </c>
      <c r="B2961" s="3">
        <v>45313</v>
      </c>
      <c r="C2961" t="s">
        <v>361</v>
      </c>
      <c r="D2961" t="s">
        <v>160</v>
      </c>
      <c r="E2961" t="s">
        <v>22</v>
      </c>
      <c r="F2961" t="s">
        <v>42</v>
      </c>
      <c r="G2961" t="s">
        <v>36</v>
      </c>
      <c r="H2961">
        <v>4</v>
      </c>
    </row>
    <row r="2962" spans="1:8" ht="21.75" customHeight="1" x14ac:dyDescent="0.35">
      <c r="A2962" t="s">
        <v>3057</v>
      </c>
      <c r="B2962" s="3">
        <v>45524</v>
      </c>
      <c r="C2962" t="s">
        <v>614</v>
      </c>
      <c r="D2962" t="s">
        <v>48</v>
      </c>
      <c r="E2962" t="s">
        <v>17</v>
      </c>
      <c r="F2962" t="s">
        <v>12</v>
      </c>
      <c r="G2962" t="s">
        <v>13</v>
      </c>
      <c r="H2962">
        <v>16</v>
      </c>
    </row>
    <row r="2963" spans="1:8" ht="21.75" customHeight="1" x14ac:dyDescent="0.35">
      <c r="A2963" t="s">
        <v>3058</v>
      </c>
      <c r="B2963" s="3">
        <v>45367</v>
      </c>
      <c r="C2963" t="s">
        <v>319</v>
      </c>
      <c r="D2963" t="s">
        <v>41</v>
      </c>
      <c r="E2963" t="s">
        <v>11</v>
      </c>
      <c r="F2963" t="s">
        <v>306</v>
      </c>
      <c r="G2963" t="s">
        <v>32</v>
      </c>
      <c r="H2963">
        <v>20</v>
      </c>
    </row>
    <row r="2964" spans="1:8" ht="21.75" customHeight="1" x14ac:dyDescent="0.35">
      <c r="A2964" t="s">
        <v>3059</v>
      </c>
      <c r="B2964" s="3">
        <v>45375</v>
      </c>
      <c r="C2964" t="s">
        <v>68</v>
      </c>
      <c r="D2964" t="s">
        <v>35</v>
      </c>
      <c r="E2964" t="s">
        <v>17</v>
      </c>
      <c r="F2964" t="s">
        <v>12</v>
      </c>
      <c r="G2964" t="s">
        <v>32</v>
      </c>
      <c r="H2964">
        <v>1</v>
      </c>
    </row>
    <row r="2965" spans="1:8" ht="21.75" customHeight="1" x14ac:dyDescent="0.35">
      <c r="A2965" t="s">
        <v>3060</v>
      </c>
      <c r="B2965" s="3">
        <v>45403</v>
      </c>
      <c r="C2965" t="s">
        <v>55</v>
      </c>
      <c r="D2965" t="s">
        <v>59</v>
      </c>
      <c r="E2965" t="s">
        <v>11</v>
      </c>
      <c r="F2965" t="s">
        <v>12</v>
      </c>
      <c r="G2965" t="s">
        <v>23</v>
      </c>
      <c r="H2965">
        <v>10</v>
      </c>
    </row>
    <row r="2966" spans="1:8" ht="21.75" customHeight="1" x14ac:dyDescent="0.35">
      <c r="A2966" t="s">
        <v>3061</v>
      </c>
      <c r="B2966" s="3">
        <v>45472</v>
      </c>
      <c r="C2966" t="s">
        <v>371</v>
      </c>
      <c r="D2966" t="s">
        <v>96</v>
      </c>
      <c r="E2966" t="s">
        <v>11</v>
      </c>
      <c r="F2966" t="s">
        <v>42</v>
      </c>
      <c r="G2966" t="s">
        <v>28</v>
      </c>
      <c r="H2966">
        <v>12</v>
      </c>
    </row>
    <row r="2967" spans="1:8" ht="21.75" customHeight="1" x14ac:dyDescent="0.35">
      <c r="A2967" t="s">
        <v>3062</v>
      </c>
      <c r="B2967" s="3">
        <v>45549</v>
      </c>
      <c r="C2967" t="s">
        <v>317</v>
      </c>
      <c r="D2967" t="s">
        <v>119</v>
      </c>
      <c r="E2967" t="s">
        <v>22</v>
      </c>
      <c r="F2967" t="s">
        <v>56</v>
      </c>
      <c r="G2967" t="s">
        <v>13</v>
      </c>
      <c r="H2967">
        <v>9</v>
      </c>
    </row>
    <row r="2968" spans="1:8" ht="21.75" customHeight="1" x14ac:dyDescent="0.35">
      <c r="A2968" t="s">
        <v>3063</v>
      </c>
      <c r="B2968" s="3">
        <v>45392</v>
      </c>
      <c r="C2968" t="s">
        <v>348</v>
      </c>
      <c r="D2968" t="s">
        <v>59</v>
      </c>
      <c r="E2968" t="s">
        <v>11</v>
      </c>
      <c r="F2968" t="s">
        <v>42</v>
      </c>
      <c r="G2968" t="s">
        <v>28</v>
      </c>
      <c r="H2968">
        <v>2</v>
      </c>
    </row>
    <row r="2969" spans="1:8" ht="21.75" customHeight="1" x14ac:dyDescent="0.35">
      <c r="A2969" t="s">
        <v>3064</v>
      </c>
      <c r="B2969" s="3">
        <v>45473</v>
      </c>
      <c r="C2969" t="s">
        <v>78</v>
      </c>
      <c r="D2969" t="s">
        <v>41</v>
      </c>
      <c r="E2969" t="s">
        <v>22</v>
      </c>
      <c r="F2969" t="s">
        <v>27</v>
      </c>
      <c r="G2969" t="s">
        <v>23</v>
      </c>
      <c r="H2969">
        <v>13</v>
      </c>
    </row>
    <row r="2970" spans="1:8" ht="21.75" customHeight="1" x14ac:dyDescent="0.35">
      <c r="A2970" t="s">
        <v>3065</v>
      </c>
      <c r="B2970" s="3">
        <v>45342</v>
      </c>
      <c r="C2970" t="s">
        <v>86</v>
      </c>
      <c r="D2970" t="s">
        <v>74</v>
      </c>
      <c r="E2970" t="s">
        <v>22</v>
      </c>
      <c r="F2970" t="s">
        <v>42</v>
      </c>
      <c r="G2970" t="s">
        <v>28</v>
      </c>
      <c r="H2970">
        <v>19</v>
      </c>
    </row>
    <row r="2971" spans="1:8" ht="21.75" customHeight="1" x14ac:dyDescent="0.35">
      <c r="A2971" t="s">
        <v>3066</v>
      </c>
      <c r="B2971" s="3">
        <v>45457</v>
      </c>
      <c r="C2971" t="s">
        <v>361</v>
      </c>
      <c r="D2971" t="s">
        <v>16</v>
      </c>
      <c r="E2971" t="s">
        <v>22</v>
      </c>
      <c r="F2971" t="s">
        <v>56</v>
      </c>
      <c r="G2971" t="s">
        <v>32</v>
      </c>
      <c r="H2971">
        <v>5</v>
      </c>
    </row>
    <row r="2972" spans="1:8" ht="21.75" customHeight="1" x14ac:dyDescent="0.35">
      <c r="A2972" t="s">
        <v>3067</v>
      </c>
      <c r="B2972" s="3">
        <v>45394</v>
      </c>
      <c r="C2972" t="s">
        <v>68</v>
      </c>
      <c r="D2972" t="s">
        <v>74</v>
      </c>
      <c r="E2972" t="s">
        <v>11</v>
      </c>
      <c r="F2972" t="s">
        <v>42</v>
      </c>
      <c r="G2972" t="s">
        <v>36</v>
      </c>
      <c r="H2972">
        <v>15</v>
      </c>
    </row>
    <row r="2973" spans="1:8" ht="21.75" customHeight="1" x14ac:dyDescent="0.35">
      <c r="A2973" t="s">
        <v>3068</v>
      </c>
      <c r="B2973" s="3">
        <v>45484</v>
      </c>
      <c r="C2973" t="s">
        <v>728</v>
      </c>
      <c r="D2973" t="s">
        <v>87</v>
      </c>
      <c r="E2973" t="s">
        <v>11</v>
      </c>
      <c r="F2973" t="s">
        <v>56</v>
      </c>
      <c r="G2973" t="s">
        <v>36</v>
      </c>
      <c r="H2973">
        <v>15</v>
      </c>
    </row>
    <row r="2974" spans="1:8" ht="21.75" customHeight="1" x14ac:dyDescent="0.35">
      <c r="A2974" t="s">
        <v>3069</v>
      </c>
      <c r="B2974" s="3">
        <v>45549</v>
      </c>
      <c r="C2974" t="s">
        <v>455</v>
      </c>
      <c r="D2974" t="s">
        <v>62</v>
      </c>
      <c r="E2974" t="s">
        <v>17</v>
      </c>
      <c r="F2974" t="s">
        <v>27</v>
      </c>
      <c r="G2974" t="s">
        <v>32</v>
      </c>
      <c r="H2974">
        <v>14</v>
      </c>
    </row>
    <row r="2975" spans="1:8" ht="21.75" customHeight="1" x14ac:dyDescent="0.35">
      <c r="A2975" t="s">
        <v>3070</v>
      </c>
      <c r="B2975" s="3">
        <v>45502</v>
      </c>
      <c r="C2975" t="s">
        <v>319</v>
      </c>
      <c r="D2975" t="s">
        <v>96</v>
      </c>
      <c r="E2975" t="s">
        <v>22</v>
      </c>
      <c r="F2975" t="s">
        <v>12</v>
      </c>
      <c r="G2975" t="s">
        <v>23</v>
      </c>
      <c r="H2975">
        <v>3</v>
      </c>
    </row>
    <row r="2976" spans="1:8" ht="21.75" customHeight="1" x14ac:dyDescent="0.35">
      <c r="A2976" t="s">
        <v>3071</v>
      </c>
      <c r="B2976" s="3">
        <v>45606</v>
      </c>
      <c r="C2976" t="s">
        <v>68</v>
      </c>
      <c r="D2976" t="s">
        <v>197</v>
      </c>
      <c r="E2976" t="s">
        <v>22</v>
      </c>
      <c r="F2976" t="s">
        <v>306</v>
      </c>
      <c r="G2976" t="s">
        <v>32</v>
      </c>
      <c r="H2976">
        <v>5</v>
      </c>
    </row>
    <row r="2977" spans="1:8" ht="21.75" customHeight="1" x14ac:dyDescent="0.35">
      <c r="A2977" t="s">
        <v>3072</v>
      </c>
      <c r="B2977" s="3">
        <v>45581</v>
      </c>
      <c r="C2977" t="s">
        <v>61</v>
      </c>
      <c r="D2977" t="s">
        <v>79</v>
      </c>
      <c r="E2977" t="s">
        <v>17</v>
      </c>
      <c r="F2977" t="s">
        <v>56</v>
      </c>
      <c r="G2977" t="s">
        <v>23</v>
      </c>
      <c r="H2977">
        <v>1</v>
      </c>
    </row>
    <row r="2978" spans="1:8" ht="21.75" customHeight="1" x14ac:dyDescent="0.35">
      <c r="A2978" t="s">
        <v>3073</v>
      </c>
      <c r="B2978" s="3">
        <v>45557</v>
      </c>
      <c r="C2978" t="s">
        <v>366</v>
      </c>
      <c r="D2978" t="s">
        <v>79</v>
      </c>
      <c r="E2978" t="s">
        <v>11</v>
      </c>
      <c r="F2978" t="s">
        <v>12</v>
      </c>
      <c r="G2978" t="s">
        <v>32</v>
      </c>
      <c r="H2978">
        <v>4</v>
      </c>
    </row>
    <row r="2979" spans="1:8" ht="21.75" customHeight="1" x14ac:dyDescent="0.35">
      <c r="A2979" t="s">
        <v>3074</v>
      </c>
      <c r="B2979" s="3">
        <v>45341</v>
      </c>
      <c r="C2979" t="s">
        <v>61</v>
      </c>
      <c r="D2979" t="s">
        <v>59</v>
      </c>
      <c r="E2979" t="s">
        <v>17</v>
      </c>
      <c r="F2979" t="s">
        <v>42</v>
      </c>
      <c r="G2979" t="s">
        <v>13</v>
      </c>
      <c r="H2979">
        <v>4</v>
      </c>
    </row>
    <row r="2980" spans="1:8" ht="21.75" customHeight="1" x14ac:dyDescent="0.35">
      <c r="A2980" t="s">
        <v>3075</v>
      </c>
      <c r="B2980" s="3">
        <v>45637</v>
      </c>
      <c r="C2980" t="s">
        <v>345</v>
      </c>
      <c r="D2980" t="s">
        <v>84</v>
      </c>
      <c r="E2980" t="s">
        <v>22</v>
      </c>
      <c r="F2980" t="s">
        <v>12</v>
      </c>
      <c r="G2980" t="s">
        <v>28</v>
      </c>
      <c r="H2980">
        <v>17</v>
      </c>
    </row>
    <row r="2981" spans="1:8" ht="21.75" customHeight="1" x14ac:dyDescent="0.35">
      <c r="A2981" t="s">
        <v>3076</v>
      </c>
      <c r="B2981" s="3">
        <v>45545</v>
      </c>
      <c r="C2981" t="s">
        <v>99</v>
      </c>
      <c r="D2981" t="s">
        <v>197</v>
      </c>
      <c r="E2981" t="s">
        <v>22</v>
      </c>
      <c r="F2981" t="s">
        <v>56</v>
      </c>
      <c r="G2981" t="s">
        <v>32</v>
      </c>
      <c r="H2981">
        <v>10</v>
      </c>
    </row>
    <row r="2982" spans="1:8" ht="21.75" customHeight="1" x14ac:dyDescent="0.35">
      <c r="A2982" t="s">
        <v>3077</v>
      </c>
      <c r="B2982" s="3">
        <v>45295</v>
      </c>
      <c r="C2982" t="s">
        <v>374</v>
      </c>
      <c r="D2982" t="s">
        <v>109</v>
      </c>
      <c r="E2982" t="s">
        <v>22</v>
      </c>
      <c r="F2982" t="s">
        <v>56</v>
      </c>
      <c r="G2982" t="s">
        <v>13</v>
      </c>
      <c r="H2982">
        <v>3</v>
      </c>
    </row>
    <row r="2983" spans="1:8" ht="21.75" customHeight="1" x14ac:dyDescent="0.35">
      <c r="A2983" t="s">
        <v>3078</v>
      </c>
      <c r="B2983" s="3">
        <v>45601</v>
      </c>
      <c r="C2983" t="s">
        <v>114</v>
      </c>
      <c r="D2983" t="s">
        <v>160</v>
      </c>
      <c r="E2983" t="s">
        <v>11</v>
      </c>
      <c r="F2983" t="s">
        <v>56</v>
      </c>
      <c r="G2983" t="s">
        <v>28</v>
      </c>
      <c r="H2983">
        <v>4</v>
      </c>
    </row>
    <row r="2984" spans="1:8" ht="21.75" customHeight="1" x14ac:dyDescent="0.35">
      <c r="A2984" t="s">
        <v>3079</v>
      </c>
      <c r="B2984" s="3">
        <v>45550</v>
      </c>
      <c r="C2984" t="s">
        <v>396</v>
      </c>
      <c r="D2984" t="s">
        <v>31</v>
      </c>
      <c r="E2984" t="s">
        <v>11</v>
      </c>
      <c r="F2984" t="s">
        <v>12</v>
      </c>
      <c r="G2984" t="s">
        <v>32</v>
      </c>
      <c r="H2984">
        <v>13</v>
      </c>
    </row>
    <row r="2985" spans="1:8" ht="21.75" customHeight="1" x14ac:dyDescent="0.35">
      <c r="A2985" t="s">
        <v>3080</v>
      </c>
      <c r="B2985" s="3">
        <v>45386</v>
      </c>
      <c r="C2985" t="s">
        <v>93</v>
      </c>
      <c r="D2985" t="s">
        <v>174</v>
      </c>
      <c r="E2985" t="s">
        <v>17</v>
      </c>
      <c r="F2985" t="s">
        <v>306</v>
      </c>
      <c r="G2985" t="s">
        <v>23</v>
      </c>
      <c r="H2985">
        <v>20</v>
      </c>
    </row>
    <row r="2986" spans="1:8" ht="21.75" customHeight="1" x14ac:dyDescent="0.35">
      <c r="A2986" t="s">
        <v>3081</v>
      </c>
      <c r="B2986" s="3">
        <v>45366</v>
      </c>
      <c r="C2986" t="s">
        <v>541</v>
      </c>
      <c r="D2986" t="s">
        <v>96</v>
      </c>
      <c r="E2986" t="s">
        <v>11</v>
      </c>
      <c r="F2986" t="s">
        <v>56</v>
      </c>
      <c r="G2986" t="s">
        <v>28</v>
      </c>
      <c r="H2986">
        <v>6</v>
      </c>
    </row>
    <row r="2987" spans="1:8" ht="21.75" customHeight="1" x14ac:dyDescent="0.35">
      <c r="A2987" t="s">
        <v>3082</v>
      </c>
      <c r="B2987" s="3">
        <v>45650</v>
      </c>
      <c r="C2987" t="s">
        <v>591</v>
      </c>
      <c r="D2987" t="s">
        <v>65</v>
      </c>
      <c r="E2987" t="s">
        <v>17</v>
      </c>
      <c r="F2987" t="s">
        <v>27</v>
      </c>
      <c r="G2987" t="s">
        <v>32</v>
      </c>
      <c r="H2987">
        <v>10</v>
      </c>
    </row>
    <row r="2988" spans="1:8" ht="21.75" customHeight="1" x14ac:dyDescent="0.35">
      <c r="A2988" t="s">
        <v>3083</v>
      </c>
      <c r="B2988" s="3">
        <v>45593</v>
      </c>
      <c r="C2988" t="s">
        <v>432</v>
      </c>
      <c r="D2988" t="s">
        <v>48</v>
      </c>
      <c r="E2988" t="s">
        <v>22</v>
      </c>
      <c r="F2988" t="s">
        <v>42</v>
      </c>
      <c r="G2988" t="s">
        <v>23</v>
      </c>
      <c r="H2988">
        <v>13</v>
      </c>
    </row>
    <row r="2989" spans="1:8" ht="21.75" customHeight="1" x14ac:dyDescent="0.35">
      <c r="A2989" t="s">
        <v>3084</v>
      </c>
      <c r="B2989" s="3">
        <v>45346</v>
      </c>
      <c r="C2989" t="s">
        <v>319</v>
      </c>
      <c r="D2989" t="s">
        <v>87</v>
      </c>
      <c r="E2989" t="s">
        <v>17</v>
      </c>
      <c r="F2989" t="s">
        <v>56</v>
      </c>
      <c r="G2989" t="s">
        <v>13</v>
      </c>
      <c r="H2989">
        <v>10</v>
      </c>
    </row>
    <row r="2990" spans="1:8" ht="21.75" customHeight="1" x14ac:dyDescent="0.35">
      <c r="A2990" t="s">
        <v>3085</v>
      </c>
      <c r="B2990" s="3">
        <v>45580</v>
      </c>
      <c r="C2990" t="s">
        <v>53</v>
      </c>
      <c r="D2990" t="s">
        <v>96</v>
      </c>
      <c r="E2990" t="s">
        <v>22</v>
      </c>
      <c r="F2990" t="s">
        <v>42</v>
      </c>
      <c r="G2990" t="s">
        <v>13</v>
      </c>
      <c r="H2990">
        <v>20</v>
      </c>
    </row>
    <row r="2991" spans="1:8" ht="21.75" customHeight="1" x14ac:dyDescent="0.35">
      <c r="A2991" t="s">
        <v>3086</v>
      </c>
      <c r="B2991" s="3">
        <v>45473</v>
      </c>
      <c r="C2991" t="s">
        <v>99</v>
      </c>
      <c r="D2991" t="s">
        <v>70</v>
      </c>
      <c r="E2991" t="s">
        <v>22</v>
      </c>
      <c r="F2991" t="s">
        <v>27</v>
      </c>
      <c r="G2991" t="s">
        <v>32</v>
      </c>
      <c r="H2991">
        <v>1</v>
      </c>
    </row>
    <row r="2992" spans="1:8" ht="21.75" customHeight="1" x14ac:dyDescent="0.35">
      <c r="A2992" t="s">
        <v>3087</v>
      </c>
      <c r="B2992" s="3">
        <v>45475</v>
      </c>
      <c r="C2992" t="s">
        <v>358</v>
      </c>
      <c r="D2992" t="s">
        <v>160</v>
      </c>
      <c r="E2992" t="s">
        <v>11</v>
      </c>
      <c r="F2992" t="s">
        <v>42</v>
      </c>
      <c r="G2992" t="s">
        <v>36</v>
      </c>
      <c r="H2992">
        <v>13</v>
      </c>
    </row>
    <row r="2993" spans="1:8" ht="21.75" customHeight="1" x14ac:dyDescent="0.35">
      <c r="A2993" t="s">
        <v>3088</v>
      </c>
      <c r="B2993" s="3">
        <v>45381</v>
      </c>
      <c r="C2993" t="s">
        <v>350</v>
      </c>
      <c r="D2993" t="s">
        <v>16</v>
      </c>
      <c r="E2993" t="s">
        <v>17</v>
      </c>
      <c r="F2993" t="s">
        <v>306</v>
      </c>
      <c r="G2993" t="s">
        <v>32</v>
      </c>
      <c r="H2993">
        <v>15</v>
      </c>
    </row>
    <row r="2994" spans="1:8" ht="21.75" customHeight="1" x14ac:dyDescent="0.35">
      <c r="A2994" t="s">
        <v>3089</v>
      </c>
      <c r="B2994" s="3">
        <v>45363</v>
      </c>
      <c r="C2994" t="s">
        <v>89</v>
      </c>
      <c r="D2994" t="s">
        <v>119</v>
      </c>
      <c r="E2994" t="s">
        <v>22</v>
      </c>
      <c r="F2994" t="s">
        <v>42</v>
      </c>
      <c r="G2994" t="s">
        <v>23</v>
      </c>
      <c r="H2994">
        <v>3</v>
      </c>
    </row>
    <row r="2995" spans="1:8" ht="21.75" customHeight="1" x14ac:dyDescent="0.35">
      <c r="A2995" t="s">
        <v>3090</v>
      </c>
      <c r="B2995" s="3">
        <v>45622</v>
      </c>
      <c r="C2995" t="s">
        <v>517</v>
      </c>
      <c r="D2995" t="s">
        <v>31</v>
      </c>
      <c r="E2995" t="s">
        <v>17</v>
      </c>
      <c r="F2995" t="s">
        <v>306</v>
      </c>
      <c r="G2995" t="s">
        <v>28</v>
      </c>
      <c r="H2995">
        <v>19</v>
      </c>
    </row>
    <row r="2996" spans="1:8" ht="21.75" customHeight="1" x14ac:dyDescent="0.35">
      <c r="A2996" t="s">
        <v>3091</v>
      </c>
      <c r="B2996" s="3">
        <v>45551</v>
      </c>
      <c r="C2996" t="s">
        <v>420</v>
      </c>
      <c r="D2996" t="s">
        <v>41</v>
      </c>
      <c r="E2996" t="s">
        <v>22</v>
      </c>
      <c r="F2996" t="s">
        <v>42</v>
      </c>
      <c r="G2996" t="s">
        <v>28</v>
      </c>
      <c r="H2996">
        <v>11</v>
      </c>
    </row>
    <row r="2997" spans="1:8" ht="21.75" customHeight="1" x14ac:dyDescent="0.35">
      <c r="A2997" t="s">
        <v>3092</v>
      </c>
      <c r="B2997" s="3">
        <v>45589</v>
      </c>
      <c r="C2997" t="s">
        <v>20</v>
      </c>
      <c r="D2997" t="s">
        <v>59</v>
      </c>
      <c r="E2997" t="s">
        <v>22</v>
      </c>
      <c r="F2997" t="s">
        <v>27</v>
      </c>
      <c r="G2997" t="s">
        <v>13</v>
      </c>
      <c r="H2997">
        <v>2</v>
      </c>
    </row>
    <row r="2998" spans="1:8" ht="21.75" customHeight="1" x14ac:dyDescent="0.35">
      <c r="A2998" t="s">
        <v>3093</v>
      </c>
      <c r="B2998" s="3">
        <v>45373</v>
      </c>
      <c r="C2998" t="s">
        <v>51</v>
      </c>
      <c r="D2998" t="s">
        <v>102</v>
      </c>
      <c r="E2998" t="s">
        <v>22</v>
      </c>
      <c r="F2998" t="s">
        <v>12</v>
      </c>
      <c r="G2998" t="s">
        <v>23</v>
      </c>
      <c r="H2998">
        <v>16</v>
      </c>
    </row>
    <row r="2999" spans="1:8" ht="21.75" customHeight="1" x14ac:dyDescent="0.35">
      <c r="A2999" t="s">
        <v>3094</v>
      </c>
      <c r="B2999" s="3">
        <v>45410</v>
      </c>
      <c r="C2999" t="s">
        <v>337</v>
      </c>
      <c r="D2999" t="s">
        <v>84</v>
      </c>
      <c r="E2999" t="s">
        <v>11</v>
      </c>
      <c r="F2999" t="s">
        <v>12</v>
      </c>
      <c r="G2999" t="s">
        <v>28</v>
      </c>
      <c r="H2999">
        <v>13</v>
      </c>
    </row>
    <row r="3000" spans="1:8" ht="21.75" customHeight="1" x14ac:dyDescent="0.35">
      <c r="A3000" t="s">
        <v>3095</v>
      </c>
      <c r="B3000" s="3">
        <v>45507</v>
      </c>
      <c r="C3000" t="s">
        <v>58</v>
      </c>
      <c r="D3000" t="s">
        <v>79</v>
      </c>
      <c r="E3000" t="s">
        <v>22</v>
      </c>
      <c r="F3000" t="s">
        <v>42</v>
      </c>
      <c r="G3000" t="s">
        <v>13</v>
      </c>
      <c r="H3000">
        <v>2</v>
      </c>
    </row>
    <row r="3001" spans="1:8" ht="21.75" customHeight="1" x14ac:dyDescent="0.35">
      <c r="A3001" t="s">
        <v>3096</v>
      </c>
      <c r="B3001" s="3">
        <v>45329</v>
      </c>
      <c r="C3001" t="s">
        <v>396</v>
      </c>
      <c r="D3001" t="s">
        <v>119</v>
      </c>
      <c r="E3001" t="s">
        <v>17</v>
      </c>
      <c r="F3001" t="s">
        <v>306</v>
      </c>
      <c r="G3001" t="s">
        <v>13</v>
      </c>
      <c r="H3001">
        <v>6</v>
      </c>
    </row>
    <row r="3002" spans="1:8" ht="21.75" customHeight="1" x14ac:dyDescent="0.35">
      <c r="A3002" t="s">
        <v>3097</v>
      </c>
      <c r="B3002" s="3">
        <v>45649</v>
      </c>
      <c r="C3002" t="s">
        <v>430</v>
      </c>
      <c r="D3002" t="s">
        <v>31</v>
      </c>
      <c r="E3002" t="s">
        <v>11</v>
      </c>
      <c r="F3002" t="s">
        <v>306</v>
      </c>
      <c r="G3002" t="s">
        <v>36</v>
      </c>
      <c r="H3002">
        <v>7</v>
      </c>
    </row>
    <row r="3003" spans="1:8" ht="21.75" customHeight="1" x14ac:dyDescent="0.35">
      <c r="A3003" t="s">
        <v>3098</v>
      </c>
      <c r="B3003" s="3">
        <v>45543</v>
      </c>
      <c r="C3003" t="s">
        <v>396</v>
      </c>
      <c r="D3003" t="s">
        <v>41</v>
      </c>
      <c r="E3003" t="s">
        <v>17</v>
      </c>
      <c r="F3003" t="s">
        <v>56</v>
      </c>
      <c r="G3003" t="s">
        <v>28</v>
      </c>
      <c r="H3003">
        <v>6</v>
      </c>
    </row>
    <row r="3004" spans="1:8" ht="21.75" customHeight="1" x14ac:dyDescent="0.35">
      <c r="A3004" t="s">
        <v>3099</v>
      </c>
      <c r="B3004" s="3">
        <v>45562</v>
      </c>
      <c r="C3004" t="s">
        <v>150</v>
      </c>
      <c r="D3004" t="s">
        <v>10</v>
      </c>
      <c r="E3004" t="s">
        <v>22</v>
      </c>
      <c r="F3004" t="s">
        <v>12</v>
      </c>
      <c r="G3004" t="s">
        <v>13</v>
      </c>
      <c r="H3004">
        <v>7</v>
      </c>
    </row>
    <row r="3005" spans="1:8" ht="21.75" customHeight="1" x14ac:dyDescent="0.35">
      <c r="A3005" t="s">
        <v>3100</v>
      </c>
      <c r="B3005" s="3">
        <v>45363</v>
      </c>
      <c r="C3005" t="s">
        <v>25</v>
      </c>
      <c r="D3005" t="s">
        <v>48</v>
      </c>
      <c r="E3005" t="s">
        <v>17</v>
      </c>
      <c r="F3005" t="s">
        <v>306</v>
      </c>
      <c r="G3005" t="s">
        <v>36</v>
      </c>
      <c r="H3005">
        <v>3</v>
      </c>
    </row>
    <row r="3006" spans="1:8" ht="21.75" customHeight="1" x14ac:dyDescent="0.35">
      <c r="A3006" t="s">
        <v>3101</v>
      </c>
      <c r="B3006" s="3">
        <v>45641</v>
      </c>
      <c r="C3006" t="s">
        <v>388</v>
      </c>
      <c r="D3006" t="s">
        <v>84</v>
      </c>
      <c r="E3006" t="s">
        <v>22</v>
      </c>
      <c r="F3006" t="s">
        <v>306</v>
      </c>
      <c r="G3006" t="s">
        <v>23</v>
      </c>
      <c r="H3006">
        <v>7</v>
      </c>
    </row>
    <row r="3007" spans="1:8" ht="21.75" customHeight="1" x14ac:dyDescent="0.35">
      <c r="A3007" t="s">
        <v>3102</v>
      </c>
      <c r="B3007" s="3">
        <v>45584</v>
      </c>
      <c r="C3007" t="s">
        <v>553</v>
      </c>
      <c r="D3007" t="s">
        <v>160</v>
      </c>
      <c r="E3007" t="s">
        <v>17</v>
      </c>
      <c r="F3007" t="s">
        <v>42</v>
      </c>
      <c r="G3007" t="s">
        <v>36</v>
      </c>
      <c r="H3007">
        <v>18</v>
      </c>
    </row>
    <row r="3008" spans="1:8" ht="21.75" customHeight="1" x14ac:dyDescent="0.35">
      <c r="A3008" t="s">
        <v>3103</v>
      </c>
      <c r="B3008" s="3">
        <v>45326</v>
      </c>
      <c r="C3008" t="s">
        <v>396</v>
      </c>
      <c r="D3008" t="s">
        <v>87</v>
      </c>
      <c r="E3008" t="s">
        <v>22</v>
      </c>
      <c r="F3008" t="s">
        <v>27</v>
      </c>
      <c r="G3008" t="s">
        <v>13</v>
      </c>
      <c r="H3008">
        <v>19</v>
      </c>
    </row>
    <row r="3009" spans="1:8" ht="21.75" customHeight="1" x14ac:dyDescent="0.35">
      <c r="A3009" t="s">
        <v>3104</v>
      </c>
      <c r="B3009" s="3">
        <v>45556</v>
      </c>
      <c r="C3009" t="s">
        <v>68</v>
      </c>
      <c r="D3009" t="s">
        <v>102</v>
      </c>
      <c r="E3009" t="s">
        <v>11</v>
      </c>
      <c r="F3009" t="s">
        <v>27</v>
      </c>
      <c r="G3009" t="s">
        <v>28</v>
      </c>
      <c r="H3009">
        <v>2</v>
      </c>
    </row>
    <row r="3010" spans="1:8" ht="21.75" customHeight="1" x14ac:dyDescent="0.35">
      <c r="A3010" t="s">
        <v>3105</v>
      </c>
      <c r="B3010" s="3">
        <v>45461</v>
      </c>
      <c r="C3010" t="s">
        <v>138</v>
      </c>
      <c r="D3010" t="s">
        <v>197</v>
      </c>
      <c r="E3010" t="s">
        <v>17</v>
      </c>
      <c r="F3010" t="s">
        <v>42</v>
      </c>
      <c r="G3010" t="s">
        <v>23</v>
      </c>
      <c r="H3010">
        <v>12</v>
      </c>
    </row>
    <row r="3011" spans="1:8" ht="21.75" customHeight="1" x14ac:dyDescent="0.35">
      <c r="A3011" t="s">
        <v>3106</v>
      </c>
      <c r="B3011" s="3">
        <v>45372</v>
      </c>
      <c r="C3011" t="s">
        <v>55</v>
      </c>
      <c r="D3011" t="s">
        <v>10</v>
      </c>
      <c r="E3011" t="s">
        <v>22</v>
      </c>
      <c r="F3011" t="s">
        <v>306</v>
      </c>
      <c r="G3011" t="s">
        <v>28</v>
      </c>
      <c r="H3011">
        <v>17</v>
      </c>
    </row>
    <row r="3012" spans="1:8" ht="21.75" customHeight="1" x14ac:dyDescent="0.35">
      <c r="A3012" t="s">
        <v>3107</v>
      </c>
      <c r="B3012" s="3">
        <v>45548</v>
      </c>
      <c r="C3012" t="s">
        <v>147</v>
      </c>
      <c r="D3012" t="s">
        <v>31</v>
      </c>
      <c r="E3012" t="s">
        <v>22</v>
      </c>
      <c r="F3012" t="s">
        <v>12</v>
      </c>
      <c r="G3012" t="s">
        <v>36</v>
      </c>
      <c r="H3012">
        <v>4</v>
      </c>
    </row>
    <row r="3013" spans="1:8" ht="21.75" customHeight="1" x14ac:dyDescent="0.35">
      <c r="A3013" t="s">
        <v>3108</v>
      </c>
      <c r="B3013" s="3">
        <v>45426</v>
      </c>
      <c r="C3013" t="s">
        <v>350</v>
      </c>
      <c r="D3013" t="s">
        <v>96</v>
      </c>
      <c r="E3013" t="s">
        <v>11</v>
      </c>
      <c r="F3013" t="s">
        <v>42</v>
      </c>
      <c r="G3013" t="s">
        <v>23</v>
      </c>
      <c r="H3013">
        <v>9</v>
      </c>
    </row>
    <row r="3014" spans="1:8" ht="21.75" customHeight="1" x14ac:dyDescent="0.35">
      <c r="A3014" t="s">
        <v>3109</v>
      </c>
      <c r="B3014" s="3">
        <v>45322</v>
      </c>
      <c r="C3014" t="s">
        <v>99</v>
      </c>
      <c r="D3014" t="s">
        <v>65</v>
      </c>
      <c r="E3014" t="s">
        <v>22</v>
      </c>
      <c r="F3014" t="s">
        <v>42</v>
      </c>
      <c r="G3014" t="s">
        <v>13</v>
      </c>
      <c r="H3014">
        <v>8</v>
      </c>
    </row>
    <row r="3015" spans="1:8" ht="21.75" customHeight="1" x14ac:dyDescent="0.35">
      <c r="A3015" t="s">
        <v>3110</v>
      </c>
      <c r="B3015" s="3">
        <v>45580</v>
      </c>
      <c r="C3015" t="s">
        <v>594</v>
      </c>
      <c r="D3015" t="s">
        <v>62</v>
      </c>
      <c r="E3015" t="s">
        <v>11</v>
      </c>
      <c r="F3015" t="s">
        <v>42</v>
      </c>
      <c r="G3015" t="s">
        <v>13</v>
      </c>
      <c r="H3015">
        <v>14</v>
      </c>
    </row>
    <row r="3016" spans="1:8" ht="21.75" customHeight="1" x14ac:dyDescent="0.35">
      <c r="A3016" t="s">
        <v>3111</v>
      </c>
      <c r="B3016" s="3">
        <v>45605</v>
      </c>
      <c r="C3016" t="s">
        <v>81</v>
      </c>
      <c r="D3016" t="s">
        <v>174</v>
      </c>
      <c r="E3016" t="s">
        <v>17</v>
      </c>
      <c r="F3016" t="s">
        <v>56</v>
      </c>
      <c r="G3016" t="s">
        <v>32</v>
      </c>
      <c r="H3016">
        <v>2</v>
      </c>
    </row>
    <row r="3017" spans="1:8" ht="21.75" customHeight="1" x14ac:dyDescent="0.35">
      <c r="A3017" t="s">
        <v>3112</v>
      </c>
      <c r="B3017" s="3">
        <v>45546</v>
      </c>
      <c r="C3017" t="s">
        <v>358</v>
      </c>
      <c r="D3017" t="s">
        <v>197</v>
      </c>
      <c r="E3017" t="s">
        <v>22</v>
      </c>
      <c r="F3017" t="s">
        <v>42</v>
      </c>
      <c r="G3017" t="s">
        <v>23</v>
      </c>
      <c r="H3017">
        <v>16</v>
      </c>
    </row>
    <row r="3018" spans="1:8" ht="21.75" customHeight="1" x14ac:dyDescent="0.35">
      <c r="A3018" t="s">
        <v>3113</v>
      </c>
      <c r="B3018" s="3">
        <v>45408</v>
      </c>
      <c r="C3018" t="s">
        <v>138</v>
      </c>
      <c r="D3018" t="s">
        <v>79</v>
      </c>
      <c r="E3018" t="s">
        <v>11</v>
      </c>
      <c r="F3018" t="s">
        <v>56</v>
      </c>
      <c r="G3018" t="s">
        <v>36</v>
      </c>
      <c r="H3018">
        <v>20</v>
      </c>
    </row>
    <row r="3019" spans="1:8" ht="21.75" customHeight="1" x14ac:dyDescent="0.35">
      <c r="A3019" t="s">
        <v>3114</v>
      </c>
      <c r="B3019" s="3">
        <v>45641</v>
      </c>
      <c r="C3019" t="s">
        <v>455</v>
      </c>
      <c r="D3019" t="s">
        <v>84</v>
      </c>
      <c r="E3019" t="s">
        <v>11</v>
      </c>
      <c r="F3019" t="s">
        <v>306</v>
      </c>
      <c r="G3019" t="s">
        <v>23</v>
      </c>
      <c r="H3019">
        <v>2</v>
      </c>
    </row>
    <row r="3020" spans="1:8" ht="21.75" customHeight="1" x14ac:dyDescent="0.35">
      <c r="A3020" t="s">
        <v>3115</v>
      </c>
      <c r="B3020" s="3">
        <v>45485</v>
      </c>
      <c r="C3020" t="s">
        <v>424</v>
      </c>
      <c r="D3020" t="s">
        <v>16</v>
      </c>
      <c r="E3020" t="s">
        <v>17</v>
      </c>
      <c r="F3020" t="s">
        <v>27</v>
      </c>
      <c r="G3020" t="s">
        <v>36</v>
      </c>
      <c r="H3020">
        <v>5</v>
      </c>
    </row>
    <row r="3021" spans="1:8" ht="21.75" customHeight="1" x14ac:dyDescent="0.35">
      <c r="A3021" t="s">
        <v>3116</v>
      </c>
      <c r="B3021" s="3">
        <v>45352</v>
      </c>
      <c r="C3021" t="s">
        <v>594</v>
      </c>
      <c r="D3021" t="s">
        <v>48</v>
      </c>
      <c r="E3021" t="s">
        <v>17</v>
      </c>
      <c r="F3021" t="s">
        <v>56</v>
      </c>
      <c r="G3021" t="s">
        <v>32</v>
      </c>
      <c r="H3021">
        <v>14</v>
      </c>
    </row>
    <row r="3022" spans="1:8" ht="21.75" customHeight="1" x14ac:dyDescent="0.35">
      <c r="A3022" t="s">
        <v>3117</v>
      </c>
      <c r="B3022" s="3">
        <v>45413</v>
      </c>
      <c r="C3022" t="s">
        <v>51</v>
      </c>
      <c r="D3022" t="s">
        <v>10</v>
      </c>
      <c r="E3022" t="s">
        <v>22</v>
      </c>
      <c r="F3022" t="s">
        <v>12</v>
      </c>
      <c r="G3022" t="s">
        <v>28</v>
      </c>
      <c r="H3022">
        <v>14</v>
      </c>
    </row>
    <row r="3023" spans="1:8" ht="21.75" customHeight="1" x14ac:dyDescent="0.35">
      <c r="A3023" t="s">
        <v>3118</v>
      </c>
      <c r="B3023" s="3">
        <v>45566</v>
      </c>
      <c r="C3023" t="s">
        <v>614</v>
      </c>
      <c r="D3023" t="s">
        <v>79</v>
      </c>
      <c r="E3023" t="s">
        <v>11</v>
      </c>
      <c r="F3023" t="s">
        <v>56</v>
      </c>
      <c r="G3023" t="s">
        <v>13</v>
      </c>
      <c r="H3023">
        <v>3</v>
      </c>
    </row>
    <row r="3024" spans="1:8" ht="21.75" customHeight="1" x14ac:dyDescent="0.35">
      <c r="A3024" t="s">
        <v>3119</v>
      </c>
      <c r="B3024" s="3">
        <v>45516</v>
      </c>
      <c r="C3024" t="s">
        <v>44</v>
      </c>
      <c r="D3024" t="s">
        <v>74</v>
      </c>
      <c r="E3024" t="s">
        <v>11</v>
      </c>
      <c r="F3024" t="s">
        <v>42</v>
      </c>
      <c r="G3024" t="s">
        <v>32</v>
      </c>
      <c r="H3024">
        <v>20</v>
      </c>
    </row>
    <row r="3025" spans="1:8" ht="21.75" customHeight="1" x14ac:dyDescent="0.35">
      <c r="A3025" t="s">
        <v>3120</v>
      </c>
      <c r="B3025" s="3">
        <v>45417</v>
      </c>
      <c r="C3025" t="s">
        <v>61</v>
      </c>
      <c r="D3025" t="s">
        <v>16</v>
      </c>
      <c r="E3025" t="s">
        <v>22</v>
      </c>
      <c r="F3025" t="s">
        <v>27</v>
      </c>
      <c r="G3025" t="s">
        <v>23</v>
      </c>
      <c r="H3025">
        <v>4</v>
      </c>
    </row>
    <row r="3026" spans="1:8" ht="21.75" customHeight="1" x14ac:dyDescent="0.35">
      <c r="A3026" t="s">
        <v>3121</v>
      </c>
      <c r="B3026" s="3">
        <v>45331</v>
      </c>
      <c r="C3026" t="s">
        <v>230</v>
      </c>
      <c r="D3026" t="s">
        <v>174</v>
      </c>
      <c r="E3026" t="s">
        <v>11</v>
      </c>
      <c r="F3026" t="s">
        <v>27</v>
      </c>
      <c r="G3026" t="s">
        <v>32</v>
      </c>
      <c r="H3026">
        <v>8</v>
      </c>
    </row>
    <row r="3027" spans="1:8" ht="21.75" customHeight="1" x14ac:dyDescent="0.35">
      <c r="A3027" t="s">
        <v>3122</v>
      </c>
      <c r="B3027" s="3">
        <v>45446</v>
      </c>
      <c r="C3027" t="s">
        <v>83</v>
      </c>
      <c r="D3027" t="s">
        <v>119</v>
      </c>
      <c r="E3027" t="s">
        <v>22</v>
      </c>
      <c r="F3027" t="s">
        <v>42</v>
      </c>
      <c r="G3027" t="s">
        <v>28</v>
      </c>
      <c r="H3027">
        <v>17</v>
      </c>
    </row>
    <row r="3028" spans="1:8" ht="21.75" customHeight="1" x14ac:dyDescent="0.35">
      <c r="A3028" t="s">
        <v>3123</v>
      </c>
      <c r="B3028" s="3">
        <v>45455</v>
      </c>
      <c r="C3028" t="s">
        <v>424</v>
      </c>
      <c r="D3028" t="s">
        <v>174</v>
      </c>
      <c r="E3028" t="s">
        <v>22</v>
      </c>
      <c r="F3028" t="s">
        <v>12</v>
      </c>
      <c r="G3028" t="s">
        <v>13</v>
      </c>
      <c r="H3028">
        <v>12</v>
      </c>
    </row>
    <row r="3029" spans="1:8" ht="21.75" customHeight="1" x14ac:dyDescent="0.35">
      <c r="A3029" t="s">
        <v>3124</v>
      </c>
      <c r="B3029" s="3">
        <v>45653</v>
      </c>
      <c r="C3029" t="s">
        <v>381</v>
      </c>
      <c r="D3029" t="s">
        <v>35</v>
      </c>
      <c r="E3029" t="s">
        <v>17</v>
      </c>
      <c r="F3029" t="s">
        <v>12</v>
      </c>
      <c r="G3029" t="s">
        <v>28</v>
      </c>
      <c r="H3029">
        <v>5</v>
      </c>
    </row>
    <row r="3030" spans="1:8" ht="21.75" customHeight="1" x14ac:dyDescent="0.35">
      <c r="A3030" t="s">
        <v>3125</v>
      </c>
      <c r="B3030" s="3">
        <v>45558</v>
      </c>
      <c r="C3030" t="s">
        <v>51</v>
      </c>
      <c r="D3030" t="s">
        <v>74</v>
      </c>
      <c r="E3030" t="s">
        <v>22</v>
      </c>
      <c r="F3030" t="s">
        <v>306</v>
      </c>
      <c r="G3030" t="s">
        <v>28</v>
      </c>
      <c r="H3030">
        <v>4</v>
      </c>
    </row>
    <row r="3031" spans="1:8" ht="21.75" customHeight="1" x14ac:dyDescent="0.35">
      <c r="A3031" t="s">
        <v>3126</v>
      </c>
      <c r="B3031" s="3">
        <v>45364</v>
      </c>
      <c r="C3031" t="s">
        <v>122</v>
      </c>
      <c r="D3031" t="s">
        <v>197</v>
      </c>
      <c r="E3031" t="s">
        <v>22</v>
      </c>
      <c r="F3031" t="s">
        <v>27</v>
      </c>
      <c r="G3031" t="s">
        <v>23</v>
      </c>
      <c r="H3031">
        <v>4</v>
      </c>
    </row>
    <row r="3032" spans="1:8" ht="21.75" customHeight="1" x14ac:dyDescent="0.35">
      <c r="A3032" t="s">
        <v>3127</v>
      </c>
      <c r="B3032" s="3">
        <v>45309</v>
      </c>
      <c r="C3032" t="s">
        <v>101</v>
      </c>
      <c r="D3032" t="s">
        <v>26</v>
      </c>
      <c r="E3032" t="s">
        <v>22</v>
      </c>
      <c r="F3032" t="s">
        <v>27</v>
      </c>
      <c r="G3032" t="s">
        <v>32</v>
      </c>
      <c r="H3032">
        <v>3</v>
      </c>
    </row>
    <row r="3033" spans="1:8" ht="21.75" customHeight="1" x14ac:dyDescent="0.35">
      <c r="A3033" t="s">
        <v>3128</v>
      </c>
      <c r="B3033" s="3">
        <v>45604</v>
      </c>
      <c r="C3033" t="s">
        <v>53</v>
      </c>
      <c r="D3033" t="s">
        <v>35</v>
      </c>
      <c r="E3033" t="s">
        <v>11</v>
      </c>
      <c r="F3033" t="s">
        <v>27</v>
      </c>
      <c r="G3033" t="s">
        <v>23</v>
      </c>
      <c r="H3033">
        <v>15</v>
      </c>
    </row>
    <row r="3034" spans="1:8" ht="21.75" customHeight="1" x14ac:dyDescent="0.35">
      <c r="A3034" t="s">
        <v>3129</v>
      </c>
      <c r="B3034" s="3">
        <v>45397</v>
      </c>
      <c r="C3034" t="s">
        <v>159</v>
      </c>
      <c r="D3034" t="s">
        <v>45</v>
      </c>
      <c r="E3034" t="s">
        <v>22</v>
      </c>
      <c r="F3034" t="s">
        <v>27</v>
      </c>
      <c r="G3034" t="s">
        <v>36</v>
      </c>
      <c r="H3034">
        <v>2</v>
      </c>
    </row>
    <row r="3035" spans="1:8" ht="21.75" customHeight="1" x14ac:dyDescent="0.35">
      <c r="A3035" t="s">
        <v>3130</v>
      </c>
      <c r="B3035" s="3">
        <v>45308</v>
      </c>
      <c r="C3035" t="s">
        <v>591</v>
      </c>
      <c r="D3035" t="s">
        <v>119</v>
      </c>
      <c r="E3035" t="s">
        <v>17</v>
      </c>
      <c r="F3035" t="s">
        <v>12</v>
      </c>
      <c r="G3035" t="s">
        <v>36</v>
      </c>
      <c r="H3035">
        <v>11</v>
      </c>
    </row>
    <row r="3036" spans="1:8" ht="21.75" customHeight="1" x14ac:dyDescent="0.35">
      <c r="A3036" t="s">
        <v>3131</v>
      </c>
      <c r="B3036" s="3">
        <v>45426</v>
      </c>
      <c r="C3036" t="s">
        <v>664</v>
      </c>
      <c r="D3036" t="s">
        <v>59</v>
      </c>
      <c r="E3036" t="s">
        <v>11</v>
      </c>
      <c r="F3036" t="s">
        <v>12</v>
      </c>
      <c r="G3036" t="s">
        <v>32</v>
      </c>
      <c r="H3036">
        <v>20</v>
      </c>
    </row>
    <row r="3037" spans="1:8" ht="21.75" customHeight="1" x14ac:dyDescent="0.35">
      <c r="A3037" t="s">
        <v>3132</v>
      </c>
      <c r="B3037" s="3">
        <v>45510</v>
      </c>
      <c r="C3037" t="s">
        <v>728</v>
      </c>
      <c r="D3037" t="s">
        <v>84</v>
      </c>
      <c r="E3037" t="s">
        <v>22</v>
      </c>
      <c r="F3037" t="s">
        <v>12</v>
      </c>
      <c r="G3037" t="s">
        <v>13</v>
      </c>
      <c r="H3037">
        <v>18</v>
      </c>
    </row>
    <row r="3038" spans="1:8" ht="21.75" customHeight="1" x14ac:dyDescent="0.35">
      <c r="A3038" t="s">
        <v>3133</v>
      </c>
      <c r="B3038" s="3">
        <v>45639</v>
      </c>
      <c r="C3038" t="s">
        <v>55</v>
      </c>
      <c r="D3038" t="s">
        <v>174</v>
      </c>
      <c r="E3038" t="s">
        <v>17</v>
      </c>
      <c r="F3038" t="s">
        <v>27</v>
      </c>
      <c r="G3038" t="s">
        <v>36</v>
      </c>
      <c r="H3038">
        <v>19</v>
      </c>
    </row>
    <row r="3039" spans="1:8" ht="21.75" customHeight="1" x14ac:dyDescent="0.35">
      <c r="A3039" t="s">
        <v>3134</v>
      </c>
      <c r="B3039" s="3">
        <v>45425</v>
      </c>
      <c r="C3039" t="s">
        <v>111</v>
      </c>
      <c r="D3039" t="s">
        <v>31</v>
      </c>
      <c r="E3039" t="s">
        <v>17</v>
      </c>
      <c r="F3039" t="s">
        <v>56</v>
      </c>
      <c r="G3039" t="s">
        <v>28</v>
      </c>
      <c r="H3039">
        <v>1</v>
      </c>
    </row>
    <row r="3040" spans="1:8" ht="21.75" customHeight="1" x14ac:dyDescent="0.35">
      <c r="A3040" t="s">
        <v>3135</v>
      </c>
      <c r="B3040" s="3">
        <v>45641</v>
      </c>
      <c r="C3040" t="s">
        <v>89</v>
      </c>
      <c r="D3040" t="s">
        <v>10</v>
      </c>
      <c r="E3040" t="s">
        <v>11</v>
      </c>
      <c r="F3040" t="s">
        <v>306</v>
      </c>
      <c r="G3040" t="s">
        <v>32</v>
      </c>
      <c r="H3040">
        <v>11</v>
      </c>
    </row>
    <row r="3041" spans="1:8" ht="21.75" customHeight="1" x14ac:dyDescent="0.35">
      <c r="A3041" t="s">
        <v>3136</v>
      </c>
      <c r="B3041" s="3">
        <v>45311</v>
      </c>
      <c r="C3041" t="s">
        <v>594</v>
      </c>
      <c r="D3041" t="s">
        <v>26</v>
      </c>
      <c r="E3041" t="s">
        <v>17</v>
      </c>
      <c r="F3041" t="s">
        <v>42</v>
      </c>
      <c r="G3041" t="s">
        <v>32</v>
      </c>
      <c r="H3041">
        <v>20</v>
      </c>
    </row>
    <row r="3042" spans="1:8" ht="21.75" customHeight="1" x14ac:dyDescent="0.35">
      <c r="A3042" t="s">
        <v>3137</v>
      </c>
      <c r="B3042" s="3">
        <v>45449</v>
      </c>
      <c r="C3042" t="s">
        <v>614</v>
      </c>
      <c r="D3042" t="s">
        <v>41</v>
      </c>
      <c r="E3042" t="s">
        <v>17</v>
      </c>
      <c r="F3042" t="s">
        <v>42</v>
      </c>
      <c r="G3042" t="s">
        <v>28</v>
      </c>
      <c r="H3042">
        <v>15</v>
      </c>
    </row>
    <row r="3043" spans="1:8" ht="21.75" customHeight="1" x14ac:dyDescent="0.35">
      <c r="A3043" t="s">
        <v>3138</v>
      </c>
      <c r="B3043" s="3">
        <v>45517</v>
      </c>
      <c r="C3043" t="s">
        <v>142</v>
      </c>
      <c r="D3043" t="s">
        <v>70</v>
      </c>
      <c r="E3043" t="s">
        <v>11</v>
      </c>
      <c r="F3043" t="s">
        <v>42</v>
      </c>
      <c r="G3043" t="s">
        <v>23</v>
      </c>
      <c r="H3043">
        <v>18</v>
      </c>
    </row>
    <row r="3044" spans="1:8" ht="21.75" customHeight="1" x14ac:dyDescent="0.35">
      <c r="A3044" t="s">
        <v>3139</v>
      </c>
      <c r="B3044" s="3">
        <v>45321</v>
      </c>
      <c r="C3044" t="s">
        <v>361</v>
      </c>
      <c r="D3044" t="s">
        <v>10</v>
      </c>
      <c r="E3044" t="s">
        <v>17</v>
      </c>
      <c r="F3044" t="s">
        <v>306</v>
      </c>
      <c r="G3044" t="s">
        <v>36</v>
      </c>
      <c r="H3044">
        <v>11</v>
      </c>
    </row>
    <row r="3045" spans="1:8" ht="21.75" customHeight="1" x14ac:dyDescent="0.35">
      <c r="A3045" t="s">
        <v>3140</v>
      </c>
      <c r="B3045" s="3">
        <v>45517</v>
      </c>
      <c r="C3045" t="s">
        <v>44</v>
      </c>
      <c r="D3045" t="s">
        <v>26</v>
      </c>
      <c r="E3045" t="s">
        <v>17</v>
      </c>
      <c r="F3045" t="s">
        <v>42</v>
      </c>
      <c r="G3045" t="s">
        <v>23</v>
      </c>
      <c r="H3045">
        <v>5</v>
      </c>
    </row>
    <row r="3046" spans="1:8" ht="21.75" customHeight="1" x14ac:dyDescent="0.35">
      <c r="A3046" t="s">
        <v>3141</v>
      </c>
      <c r="B3046" s="3">
        <v>45381</v>
      </c>
      <c r="C3046" t="s">
        <v>167</v>
      </c>
      <c r="D3046" t="s">
        <v>109</v>
      </c>
      <c r="E3046" t="s">
        <v>22</v>
      </c>
      <c r="F3046" t="s">
        <v>12</v>
      </c>
      <c r="G3046" t="s">
        <v>28</v>
      </c>
      <c r="H3046">
        <v>4</v>
      </c>
    </row>
    <row r="3047" spans="1:8" ht="21.75" customHeight="1" x14ac:dyDescent="0.35">
      <c r="A3047" t="s">
        <v>3142</v>
      </c>
      <c r="B3047" s="3">
        <v>45386</v>
      </c>
      <c r="C3047" t="s">
        <v>455</v>
      </c>
      <c r="D3047" t="s">
        <v>160</v>
      </c>
      <c r="E3047" t="s">
        <v>17</v>
      </c>
      <c r="F3047" t="s">
        <v>306</v>
      </c>
      <c r="G3047" t="s">
        <v>32</v>
      </c>
      <c r="H3047">
        <v>2</v>
      </c>
    </row>
    <row r="3048" spans="1:8" ht="21.75" customHeight="1" x14ac:dyDescent="0.35">
      <c r="A3048" t="s">
        <v>3143</v>
      </c>
      <c r="B3048" s="3">
        <v>45408</v>
      </c>
      <c r="C3048" t="s">
        <v>131</v>
      </c>
      <c r="D3048" t="s">
        <v>62</v>
      </c>
      <c r="E3048" t="s">
        <v>17</v>
      </c>
      <c r="F3048" t="s">
        <v>42</v>
      </c>
      <c r="G3048" t="s">
        <v>13</v>
      </c>
      <c r="H3048">
        <v>12</v>
      </c>
    </row>
    <row r="3049" spans="1:8" ht="21.75" customHeight="1" x14ac:dyDescent="0.35">
      <c r="A3049" t="s">
        <v>3144</v>
      </c>
      <c r="B3049" s="3">
        <v>45314</v>
      </c>
      <c r="C3049" t="s">
        <v>327</v>
      </c>
      <c r="D3049" t="s">
        <v>197</v>
      </c>
      <c r="E3049" t="s">
        <v>17</v>
      </c>
      <c r="F3049" t="s">
        <v>12</v>
      </c>
      <c r="G3049" t="s">
        <v>13</v>
      </c>
      <c r="H3049">
        <v>17</v>
      </c>
    </row>
    <row r="3050" spans="1:8" ht="21.75" customHeight="1" x14ac:dyDescent="0.35">
      <c r="A3050" t="s">
        <v>3145</v>
      </c>
      <c r="B3050" s="3">
        <v>45553</v>
      </c>
      <c r="C3050" t="s">
        <v>208</v>
      </c>
      <c r="D3050" t="s">
        <v>197</v>
      </c>
      <c r="E3050" t="s">
        <v>11</v>
      </c>
      <c r="F3050" t="s">
        <v>42</v>
      </c>
      <c r="G3050" t="s">
        <v>36</v>
      </c>
      <c r="H3050">
        <v>12</v>
      </c>
    </row>
    <row r="3051" spans="1:8" ht="21.75" customHeight="1" x14ac:dyDescent="0.35">
      <c r="A3051" t="s">
        <v>3146</v>
      </c>
      <c r="B3051" s="3">
        <v>45640</v>
      </c>
      <c r="C3051" t="s">
        <v>572</v>
      </c>
      <c r="D3051" t="s">
        <v>10</v>
      </c>
      <c r="E3051" t="s">
        <v>22</v>
      </c>
      <c r="F3051" t="s">
        <v>27</v>
      </c>
      <c r="G3051" t="s">
        <v>32</v>
      </c>
      <c r="H3051">
        <v>5</v>
      </c>
    </row>
    <row r="3052" spans="1:8" ht="21.75" customHeight="1" x14ac:dyDescent="0.35">
      <c r="A3052" t="s">
        <v>3147</v>
      </c>
      <c r="B3052" s="3">
        <v>45602</v>
      </c>
      <c r="C3052" t="s">
        <v>728</v>
      </c>
      <c r="D3052" t="s">
        <v>48</v>
      </c>
      <c r="E3052" t="s">
        <v>17</v>
      </c>
      <c r="F3052" t="s">
        <v>27</v>
      </c>
      <c r="G3052" t="s">
        <v>32</v>
      </c>
      <c r="H3052">
        <v>16</v>
      </c>
    </row>
    <row r="3053" spans="1:8" ht="21.75" customHeight="1" x14ac:dyDescent="0.35">
      <c r="A3053" t="s">
        <v>3148</v>
      </c>
      <c r="B3053" s="3">
        <v>45442</v>
      </c>
      <c r="C3053" t="s">
        <v>381</v>
      </c>
      <c r="D3053" t="s">
        <v>96</v>
      </c>
      <c r="E3053" t="s">
        <v>11</v>
      </c>
      <c r="F3053" t="s">
        <v>42</v>
      </c>
      <c r="G3053" t="s">
        <v>13</v>
      </c>
      <c r="H3053">
        <v>10</v>
      </c>
    </row>
    <row r="3054" spans="1:8" ht="21.75" customHeight="1" x14ac:dyDescent="0.35">
      <c r="A3054" t="s">
        <v>3149</v>
      </c>
      <c r="B3054" s="3">
        <v>45594</v>
      </c>
      <c r="C3054" t="s">
        <v>64</v>
      </c>
      <c r="D3054" t="s">
        <v>102</v>
      </c>
      <c r="E3054" t="s">
        <v>22</v>
      </c>
      <c r="F3054" t="s">
        <v>56</v>
      </c>
      <c r="G3054" t="s">
        <v>32</v>
      </c>
      <c r="H3054">
        <v>17</v>
      </c>
    </row>
    <row r="3055" spans="1:8" ht="21.75" customHeight="1" x14ac:dyDescent="0.35">
      <c r="A3055" t="s">
        <v>3150</v>
      </c>
      <c r="B3055" s="3">
        <v>45552</v>
      </c>
      <c r="C3055" t="s">
        <v>728</v>
      </c>
      <c r="D3055" t="s">
        <v>59</v>
      </c>
      <c r="E3055" t="s">
        <v>22</v>
      </c>
      <c r="F3055" t="s">
        <v>42</v>
      </c>
      <c r="G3055" t="s">
        <v>28</v>
      </c>
      <c r="H3055">
        <v>13</v>
      </c>
    </row>
    <row r="3056" spans="1:8" ht="21.75" customHeight="1" x14ac:dyDescent="0.35">
      <c r="A3056" t="s">
        <v>3151</v>
      </c>
      <c r="B3056" s="3">
        <v>45308</v>
      </c>
      <c r="C3056" t="s">
        <v>371</v>
      </c>
      <c r="D3056" t="s">
        <v>84</v>
      </c>
      <c r="E3056" t="s">
        <v>11</v>
      </c>
      <c r="F3056" t="s">
        <v>27</v>
      </c>
      <c r="G3056" t="s">
        <v>13</v>
      </c>
      <c r="H3056">
        <v>3</v>
      </c>
    </row>
    <row r="3057" spans="1:8" ht="21.75" customHeight="1" x14ac:dyDescent="0.35">
      <c r="A3057" t="s">
        <v>3152</v>
      </c>
      <c r="B3057" s="3">
        <v>45406</v>
      </c>
      <c r="C3057" t="s">
        <v>614</v>
      </c>
      <c r="D3057" t="s">
        <v>160</v>
      </c>
      <c r="E3057" t="s">
        <v>22</v>
      </c>
      <c r="F3057" t="s">
        <v>306</v>
      </c>
      <c r="G3057" t="s">
        <v>23</v>
      </c>
      <c r="H3057">
        <v>18</v>
      </c>
    </row>
    <row r="3058" spans="1:8" ht="21.75" customHeight="1" x14ac:dyDescent="0.35">
      <c r="A3058" t="s">
        <v>3153</v>
      </c>
      <c r="B3058" s="3">
        <v>45562</v>
      </c>
      <c r="C3058" t="s">
        <v>9</v>
      </c>
      <c r="D3058" t="s">
        <v>109</v>
      </c>
      <c r="E3058" t="s">
        <v>17</v>
      </c>
      <c r="F3058" t="s">
        <v>306</v>
      </c>
      <c r="G3058" t="s">
        <v>36</v>
      </c>
      <c r="H3058">
        <v>15</v>
      </c>
    </row>
    <row r="3059" spans="1:8" ht="21.75" customHeight="1" x14ac:dyDescent="0.35">
      <c r="A3059" t="s">
        <v>3154</v>
      </c>
      <c r="B3059" s="3">
        <v>45391</v>
      </c>
      <c r="C3059" t="s">
        <v>314</v>
      </c>
      <c r="D3059" t="s">
        <v>74</v>
      </c>
      <c r="E3059" t="s">
        <v>11</v>
      </c>
      <c r="F3059" t="s">
        <v>42</v>
      </c>
      <c r="G3059" t="s">
        <v>28</v>
      </c>
      <c r="H3059">
        <v>12</v>
      </c>
    </row>
    <row r="3060" spans="1:8" ht="21.75" customHeight="1" x14ac:dyDescent="0.35">
      <c r="A3060" t="s">
        <v>3155</v>
      </c>
      <c r="B3060" s="3">
        <v>45453</v>
      </c>
      <c r="C3060" t="s">
        <v>323</v>
      </c>
      <c r="D3060" t="s">
        <v>102</v>
      </c>
      <c r="E3060" t="s">
        <v>22</v>
      </c>
      <c r="F3060" t="s">
        <v>56</v>
      </c>
      <c r="G3060" t="s">
        <v>23</v>
      </c>
      <c r="H3060">
        <v>14</v>
      </c>
    </row>
    <row r="3061" spans="1:8" ht="21.75" customHeight="1" x14ac:dyDescent="0.35">
      <c r="A3061" t="s">
        <v>3156</v>
      </c>
      <c r="B3061" s="3">
        <v>45472</v>
      </c>
      <c r="C3061" t="s">
        <v>642</v>
      </c>
      <c r="D3061" t="s">
        <v>160</v>
      </c>
      <c r="E3061" t="s">
        <v>11</v>
      </c>
      <c r="F3061" t="s">
        <v>42</v>
      </c>
      <c r="G3061" t="s">
        <v>23</v>
      </c>
      <c r="H3061">
        <v>20</v>
      </c>
    </row>
    <row r="3062" spans="1:8" ht="21.75" customHeight="1" x14ac:dyDescent="0.35">
      <c r="A3062" t="s">
        <v>3157</v>
      </c>
      <c r="B3062" s="3">
        <v>45506</v>
      </c>
      <c r="C3062" t="s">
        <v>51</v>
      </c>
      <c r="D3062" t="s">
        <v>59</v>
      </c>
      <c r="E3062" t="s">
        <v>11</v>
      </c>
      <c r="F3062" t="s">
        <v>306</v>
      </c>
      <c r="G3062" t="s">
        <v>28</v>
      </c>
      <c r="H3062">
        <v>14</v>
      </c>
    </row>
    <row r="3063" spans="1:8" ht="21.75" customHeight="1" x14ac:dyDescent="0.35">
      <c r="A3063" t="s">
        <v>3158</v>
      </c>
      <c r="B3063" s="3">
        <v>45632</v>
      </c>
      <c r="C3063" t="s">
        <v>99</v>
      </c>
      <c r="D3063" t="s">
        <v>109</v>
      </c>
      <c r="E3063" t="s">
        <v>17</v>
      </c>
      <c r="F3063" t="s">
        <v>42</v>
      </c>
      <c r="G3063" t="s">
        <v>32</v>
      </c>
      <c r="H3063">
        <v>11</v>
      </c>
    </row>
    <row r="3064" spans="1:8" ht="21.75" customHeight="1" x14ac:dyDescent="0.35">
      <c r="A3064" t="s">
        <v>3159</v>
      </c>
      <c r="B3064" s="3">
        <v>45501</v>
      </c>
      <c r="C3064" t="s">
        <v>572</v>
      </c>
      <c r="D3064" t="s">
        <v>160</v>
      </c>
      <c r="E3064" t="s">
        <v>11</v>
      </c>
      <c r="F3064" t="s">
        <v>306</v>
      </c>
      <c r="G3064" t="s">
        <v>23</v>
      </c>
      <c r="H3064">
        <v>7</v>
      </c>
    </row>
    <row r="3065" spans="1:8" ht="21.75" customHeight="1" x14ac:dyDescent="0.35">
      <c r="A3065" t="s">
        <v>3160</v>
      </c>
      <c r="B3065" s="3">
        <v>45524</v>
      </c>
      <c r="C3065" t="s">
        <v>142</v>
      </c>
      <c r="D3065" t="s">
        <v>45</v>
      </c>
      <c r="E3065" t="s">
        <v>11</v>
      </c>
      <c r="F3065" t="s">
        <v>27</v>
      </c>
      <c r="G3065" t="s">
        <v>32</v>
      </c>
      <c r="H3065">
        <v>18</v>
      </c>
    </row>
    <row r="3066" spans="1:8" ht="21.75" customHeight="1" x14ac:dyDescent="0.35">
      <c r="A3066" t="s">
        <v>3161</v>
      </c>
      <c r="B3066" s="3">
        <v>45532</v>
      </c>
      <c r="C3066" t="s">
        <v>323</v>
      </c>
      <c r="D3066" t="s">
        <v>102</v>
      </c>
      <c r="E3066" t="s">
        <v>11</v>
      </c>
      <c r="F3066" t="s">
        <v>12</v>
      </c>
      <c r="G3066" t="s">
        <v>23</v>
      </c>
      <c r="H3066">
        <v>1</v>
      </c>
    </row>
    <row r="3067" spans="1:8" ht="21.75" customHeight="1" x14ac:dyDescent="0.35">
      <c r="A3067" t="s">
        <v>3162</v>
      </c>
      <c r="B3067" s="3">
        <v>45329</v>
      </c>
      <c r="C3067" t="s">
        <v>34</v>
      </c>
      <c r="D3067" t="s">
        <v>160</v>
      </c>
      <c r="E3067" t="s">
        <v>22</v>
      </c>
      <c r="F3067" t="s">
        <v>27</v>
      </c>
      <c r="G3067" t="s">
        <v>23</v>
      </c>
      <c r="H3067">
        <v>12</v>
      </c>
    </row>
    <row r="3068" spans="1:8" ht="21.75" customHeight="1" x14ac:dyDescent="0.35">
      <c r="A3068" t="s">
        <v>3163</v>
      </c>
      <c r="B3068" s="3">
        <v>45648</v>
      </c>
      <c r="C3068" t="s">
        <v>642</v>
      </c>
      <c r="D3068" t="s">
        <v>197</v>
      </c>
      <c r="E3068" t="s">
        <v>22</v>
      </c>
      <c r="F3068" t="s">
        <v>42</v>
      </c>
      <c r="G3068" t="s">
        <v>13</v>
      </c>
      <c r="H3068">
        <v>11</v>
      </c>
    </row>
    <row r="3069" spans="1:8" ht="21.75" customHeight="1" x14ac:dyDescent="0.35">
      <c r="A3069" t="s">
        <v>3164</v>
      </c>
      <c r="B3069" s="3">
        <v>45464</v>
      </c>
      <c r="C3069" t="s">
        <v>449</v>
      </c>
      <c r="D3069" t="s">
        <v>109</v>
      </c>
      <c r="E3069" t="s">
        <v>22</v>
      </c>
      <c r="F3069" t="s">
        <v>12</v>
      </c>
      <c r="G3069" t="s">
        <v>13</v>
      </c>
      <c r="H3069">
        <v>3</v>
      </c>
    </row>
    <row r="3070" spans="1:8" ht="21.75" customHeight="1" x14ac:dyDescent="0.35">
      <c r="A3070" t="s">
        <v>3165</v>
      </c>
      <c r="B3070" s="3">
        <v>45473</v>
      </c>
      <c r="C3070" t="s">
        <v>430</v>
      </c>
      <c r="D3070" t="s">
        <v>87</v>
      </c>
      <c r="E3070" t="s">
        <v>22</v>
      </c>
      <c r="F3070" t="s">
        <v>27</v>
      </c>
      <c r="G3070" t="s">
        <v>23</v>
      </c>
      <c r="H3070">
        <v>10</v>
      </c>
    </row>
    <row r="3071" spans="1:8" ht="21.75" customHeight="1" x14ac:dyDescent="0.35">
      <c r="A3071" t="s">
        <v>3166</v>
      </c>
      <c r="B3071" s="3">
        <v>45650</v>
      </c>
      <c r="C3071" t="s">
        <v>99</v>
      </c>
      <c r="D3071" t="s">
        <v>84</v>
      </c>
      <c r="E3071" t="s">
        <v>11</v>
      </c>
      <c r="F3071" t="s">
        <v>306</v>
      </c>
      <c r="G3071" t="s">
        <v>36</v>
      </c>
      <c r="H3071">
        <v>3</v>
      </c>
    </row>
    <row r="3072" spans="1:8" ht="21.75" customHeight="1" x14ac:dyDescent="0.35">
      <c r="A3072" t="s">
        <v>3167</v>
      </c>
      <c r="B3072" s="3">
        <v>45295</v>
      </c>
      <c r="C3072" t="s">
        <v>449</v>
      </c>
      <c r="D3072" t="s">
        <v>59</v>
      </c>
      <c r="E3072" t="s">
        <v>17</v>
      </c>
      <c r="F3072" t="s">
        <v>27</v>
      </c>
      <c r="G3072" t="s">
        <v>23</v>
      </c>
      <c r="H3072">
        <v>11</v>
      </c>
    </row>
    <row r="3073" spans="1:8" ht="21.75" customHeight="1" x14ac:dyDescent="0.35">
      <c r="A3073" t="s">
        <v>3168</v>
      </c>
      <c r="B3073" s="3">
        <v>45552</v>
      </c>
      <c r="C3073" t="s">
        <v>329</v>
      </c>
      <c r="D3073" t="s">
        <v>59</v>
      </c>
      <c r="E3073" t="s">
        <v>17</v>
      </c>
      <c r="F3073" t="s">
        <v>12</v>
      </c>
      <c r="G3073" t="s">
        <v>28</v>
      </c>
      <c r="H3073">
        <v>10</v>
      </c>
    </row>
    <row r="3074" spans="1:8" ht="21.75" customHeight="1" x14ac:dyDescent="0.35">
      <c r="A3074" t="s">
        <v>3169</v>
      </c>
      <c r="B3074" s="3">
        <v>45316</v>
      </c>
      <c r="C3074" t="s">
        <v>614</v>
      </c>
      <c r="D3074" t="s">
        <v>160</v>
      </c>
      <c r="E3074" t="s">
        <v>22</v>
      </c>
      <c r="F3074" t="s">
        <v>306</v>
      </c>
      <c r="G3074" t="s">
        <v>36</v>
      </c>
      <c r="H3074">
        <v>14</v>
      </c>
    </row>
    <row r="3075" spans="1:8" ht="21.75" customHeight="1" x14ac:dyDescent="0.35">
      <c r="A3075" t="s">
        <v>3170</v>
      </c>
      <c r="B3075" s="3">
        <v>45488</v>
      </c>
      <c r="C3075" t="s">
        <v>38</v>
      </c>
      <c r="D3075" t="s">
        <v>119</v>
      </c>
      <c r="E3075" t="s">
        <v>11</v>
      </c>
      <c r="F3075" t="s">
        <v>56</v>
      </c>
      <c r="G3075" t="s">
        <v>13</v>
      </c>
      <c r="H3075">
        <v>7</v>
      </c>
    </row>
    <row r="3076" spans="1:8" ht="21.75" customHeight="1" x14ac:dyDescent="0.35">
      <c r="A3076" t="s">
        <v>3171</v>
      </c>
      <c r="B3076" s="3">
        <v>45434</v>
      </c>
      <c r="C3076" t="s">
        <v>314</v>
      </c>
      <c r="D3076" t="s">
        <v>109</v>
      </c>
      <c r="E3076" t="s">
        <v>17</v>
      </c>
      <c r="F3076" t="s">
        <v>12</v>
      </c>
      <c r="G3076" t="s">
        <v>32</v>
      </c>
      <c r="H3076">
        <v>10</v>
      </c>
    </row>
    <row r="3077" spans="1:8" ht="21.75" customHeight="1" x14ac:dyDescent="0.35">
      <c r="A3077" t="s">
        <v>3172</v>
      </c>
      <c r="B3077" s="3">
        <v>45439</v>
      </c>
      <c r="C3077" t="s">
        <v>89</v>
      </c>
      <c r="D3077" t="s">
        <v>35</v>
      </c>
      <c r="E3077" t="s">
        <v>17</v>
      </c>
      <c r="F3077" t="s">
        <v>56</v>
      </c>
      <c r="G3077" t="s">
        <v>28</v>
      </c>
      <c r="H3077">
        <v>10</v>
      </c>
    </row>
    <row r="3078" spans="1:8" ht="21.75" customHeight="1" x14ac:dyDescent="0.35">
      <c r="A3078" t="s">
        <v>3173</v>
      </c>
      <c r="B3078" s="3">
        <v>45424</v>
      </c>
      <c r="C3078" t="s">
        <v>493</v>
      </c>
      <c r="D3078" t="s">
        <v>119</v>
      </c>
      <c r="E3078" t="s">
        <v>11</v>
      </c>
      <c r="F3078" t="s">
        <v>56</v>
      </c>
      <c r="G3078" t="s">
        <v>32</v>
      </c>
      <c r="H3078">
        <v>5</v>
      </c>
    </row>
    <row r="3079" spans="1:8" ht="21.75" customHeight="1" x14ac:dyDescent="0.35">
      <c r="A3079" t="s">
        <v>3174</v>
      </c>
      <c r="B3079" s="3">
        <v>45574</v>
      </c>
      <c r="C3079" t="s">
        <v>345</v>
      </c>
      <c r="D3079" t="s">
        <v>119</v>
      </c>
      <c r="E3079" t="s">
        <v>11</v>
      </c>
      <c r="F3079" t="s">
        <v>12</v>
      </c>
      <c r="G3079" t="s">
        <v>36</v>
      </c>
      <c r="H3079">
        <v>2</v>
      </c>
    </row>
    <row r="3080" spans="1:8" ht="21.75" customHeight="1" x14ac:dyDescent="0.35">
      <c r="A3080" t="s">
        <v>3175</v>
      </c>
      <c r="B3080" s="3">
        <v>45568</v>
      </c>
      <c r="C3080" t="s">
        <v>312</v>
      </c>
      <c r="D3080" t="s">
        <v>65</v>
      </c>
      <c r="E3080" t="s">
        <v>11</v>
      </c>
      <c r="F3080" t="s">
        <v>27</v>
      </c>
      <c r="G3080" t="s">
        <v>13</v>
      </c>
      <c r="H3080">
        <v>12</v>
      </c>
    </row>
    <row r="3081" spans="1:8" ht="21.75" customHeight="1" x14ac:dyDescent="0.35">
      <c r="A3081" t="s">
        <v>3176</v>
      </c>
      <c r="B3081" s="3">
        <v>45584</v>
      </c>
      <c r="C3081" t="s">
        <v>309</v>
      </c>
      <c r="D3081" t="s">
        <v>84</v>
      </c>
      <c r="E3081" t="s">
        <v>17</v>
      </c>
      <c r="F3081" t="s">
        <v>306</v>
      </c>
      <c r="G3081" t="s">
        <v>28</v>
      </c>
      <c r="H3081">
        <v>15</v>
      </c>
    </row>
    <row r="3082" spans="1:8" ht="21.75" customHeight="1" x14ac:dyDescent="0.35">
      <c r="A3082" t="s">
        <v>3177</v>
      </c>
      <c r="B3082" s="3">
        <v>45348</v>
      </c>
      <c r="C3082" t="s">
        <v>436</v>
      </c>
      <c r="D3082" t="s">
        <v>62</v>
      </c>
      <c r="E3082" t="s">
        <v>11</v>
      </c>
      <c r="F3082" t="s">
        <v>27</v>
      </c>
      <c r="G3082" t="s">
        <v>23</v>
      </c>
      <c r="H3082">
        <v>16</v>
      </c>
    </row>
    <row r="3083" spans="1:8" ht="21.75" customHeight="1" x14ac:dyDescent="0.35">
      <c r="A3083" t="s">
        <v>3178</v>
      </c>
      <c r="B3083" s="3">
        <v>45362</v>
      </c>
      <c r="C3083" t="s">
        <v>89</v>
      </c>
      <c r="D3083" t="s">
        <v>84</v>
      </c>
      <c r="E3083" t="s">
        <v>22</v>
      </c>
      <c r="F3083" t="s">
        <v>12</v>
      </c>
      <c r="G3083" t="s">
        <v>32</v>
      </c>
      <c r="H3083">
        <v>3</v>
      </c>
    </row>
    <row r="3084" spans="1:8" ht="21.75" customHeight="1" x14ac:dyDescent="0.35">
      <c r="A3084" t="s">
        <v>3179</v>
      </c>
      <c r="B3084" s="3">
        <v>45405</v>
      </c>
      <c r="C3084" t="s">
        <v>388</v>
      </c>
      <c r="D3084" t="s">
        <v>10</v>
      </c>
      <c r="E3084" t="s">
        <v>17</v>
      </c>
      <c r="F3084" t="s">
        <v>56</v>
      </c>
      <c r="G3084" t="s">
        <v>36</v>
      </c>
      <c r="H3084">
        <v>11</v>
      </c>
    </row>
    <row r="3085" spans="1:8" ht="21.75" customHeight="1" x14ac:dyDescent="0.35">
      <c r="A3085" t="s">
        <v>3180</v>
      </c>
      <c r="B3085" s="3">
        <v>45614</v>
      </c>
      <c r="C3085" t="s">
        <v>304</v>
      </c>
      <c r="D3085" t="s">
        <v>160</v>
      </c>
      <c r="E3085" t="s">
        <v>22</v>
      </c>
      <c r="F3085" t="s">
        <v>12</v>
      </c>
      <c r="G3085" t="s">
        <v>32</v>
      </c>
      <c r="H3085">
        <v>2</v>
      </c>
    </row>
    <row r="3086" spans="1:8" ht="21.75" customHeight="1" x14ac:dyDescent="0.35">
      <c r="A3086" t="s">
        <v>3181</v>
      </c>
      <c r="B3086" s="3">
        <v>45653</v>
      </c>
      <c r="C3086" t="s">
        <v>363</v>
      </c>
      <c r="D3086" t="s">
        <v>72</v>
      </c>
      <c r="E3086" t="s">
        <v>11</v>
      </c>
      <c r="F3086" t="s">
        <v>306</v>
      </c>
      <c r="G3086" t="s">
        <v>13</v>
      </c>
      <c r="H3086">
        <v>1</v>
      </c>
    </row>
    <row r="3087" spans="1:8" ht="21.75" customHeight="1" x14ac:dyDescent="0.35">
      <c r="A3087" t="s">
        <v>3182</v>
      </c>
      <c r="B3087" s="3">
        <v>45592</v>
      </c>
      <c r="C3087" t="s">
        <v>159</v>
      </c>
      <c r="D3087" t="s">
        <v>197</v>
      </c>
      <c r="E3087" t="s">
        <v>22</v>
      </c>
      <c r="F3087" t="s">
        <v>56</v>
      </c>
      <c r="G3087" t="s">
        <v>32</v>
      </c>
      <c r="H3087">
        <v>16</v>
      </c>
    </row>
    <row r="3088" spans="1:8" ht="21.75" customHeight="1" x14ac:dyDescent="0.35">
      <c r="A3088" t="s">
        <v>3183</v>
      </c>
      <c r="B3088" s="3">
        <v>45387</v>
      </c>
      <c r="C3088" t="s">
        <v>388</v>
      </c>
      <c r="D3088" t="s">
        <v>35</v>
      </c>
      <c r="E3088" t="s">
        <v>17</v>
      </c>
      <c r="F3088" t="s">
        <v>56</v>
      </c>
      <c r="G3088" t="s">
        <v>28</v>
      </c>
      <c r="H3088">
        <v>3</v>
      </c>
    </row>
    <row r="3089" spans="1:8" ht="21.75" customHeight="1" x14ac:dyDescent="0.35">
      <c r="A3089" t="s">
        <v>3184</v>
      </c>
      <c r="B3089" s="3">
        <v>45401</v>
      </c>
      <c r="C3089" t="s">
        <v>25</v>
      </c>
      <c r="D3089" t="s">
        <v>87</v>
      </c>
      <c r="E3089" t="s">
        <v>11</v>
      </c>
      <c r="F3089" t="s">
        <v>27</v>
      </c>
      <c r="G3089" t="s">
        <v>36</v>
      </c>
      <c r="H3089">
        <v>20</v>
      </c>
    </row>
    <row r="3090" spans="1:8" ht="21.75" customHeight="1" x14ac:dyDescent="0.35">
      <c r="A3090" t="s">
        <v>3185</v>
      </c>
      <c r="B3090" s="3">
        <v>45383</v>
      </c>
      <c r="C3090" t="s">
        <v>122</v>
      </c>
      <c r="D3090" t="s">
        <v>87</v>
      </c>
      <c r="E3090" t="s">
        <v>22</v>
      </c>
      <c r="F3090" t="s">
        <v>42</v>
      </c>
      <c r="G3090" t="s">
        <v>36</v>
      </c>
      <c r="H3090">
        <v>13</v>
      </c>
    </row>
    <row r="3091" spans="1:8" ht="21.75" customHeight="1" x14ac:dyDescent="0.35">
      <c r="A3091" t="s">
        <v>3186</v>
      </c>
      <c r="B3091" s="3">
        <v>45412</v>
      </c>
      <c r="C3091" t="s">
        <v>541</v>
      </c>
      <c r="D3091" t="s">
        <v>48</v>
      </c>
      <c r="E3091" t="s">
        <v>17</v>
      </c>
      <c r="F3091" t="s">
        <v>306</v>
      </c>
      <c r="G3091" t="s">
        <v>28</v>
      </c>
      <c r="H3091">
        <v>10</v>
      </c>
    </row>
    <row r="3092" spans="1:8" ht="21.75" customHeight="1" x14ac:dyDescent="0.35">
      <c r="A3092" t="s">
        <v>3187</v>
      </c>
      <c r="B3092" s="3">
        <v>45441</v>
      </c>
      <c r="C3092" t="s">
        <v>317</v>
      </c>
      <c r="D3092" t="s">
        <v>35</v>
      </c>
      <c r="E3092" t="s">
        <v>17</v>
      </c>
      <c r="F3092" t="s">
        <v>27</v>
      </c>
      <c r="G3092" t="s">
        <v>36</v>
      </c>
      <c r="H3092">
        <v>12</v>
      </c>
    </row>
    <row r="3093" spans="1:8" ht="21.75" customHeight="1" x14ac:dyDescent="0.35">
      <c r="A3093" t="s">
        <v>3188</v>
      </c>
      <c r="B3093" s="3">
        <v>45443</v>
      </c>
      <c r="C3093" t="s">
        <v>108</v>
      </c>
      <c r="D3093" t="s">
        <v>197</v>
      </c>
      <c r="E3093" t="s">
        <v>11</v>
      </c>
      <c r="F3093" t="s">
        <v>42</v>
      </c>
      <c r="G3093" t="s">
        <v>23</v>
      </c>
      <c r="H3093">
        <v>15</v>
      </c>
    </row>
    <row r="3094" spans="1:8" ht="21.75" customHeight="1" x14ac:dyDescent="0.35">
      <c r="A3094" t="s">
        <v>3189</v>
      </c>
      <c r="B3094" s="3">
        <v>45631</v>
      </c>
      <c r="C3094" t="s">
        <v>309</v>
      </c>
      <c r="D3094" t="s">
        <v>102</v>
      </c>
      <c r="E3094" t="s">
        <v>11</v>
      </c>
      <c r="F3094" t="s">
        <v>27</v>
      </c>
      <c r="G3094" t="s">
        <v>32</v>
      </c>
      <c r="H3094">
        <v>4</v>
      </c>
    </row>
    <row r="3095" spans="1:8" ht="21.75" customHeight="1" x14ac:dyDescent="0.35">
      <c r="A3095" t="s">
        <v>3190</v>
      </c>
      <c r="B3095" s="3">
        <v>45495</v>
      </c>
      <c r="C3095" t="s">
        <v>369</v>
      </c>
      <c r="D3095" t="s">
        <v>16</v>
      </c>
      <c r="E3095" t="s">
        <v>17</v>
      </c>
      <c r="F3095" t="s">
        <v>27</v>
      </c>
      <c r="G3095" t="s">
        <v>36</v>
      </c>
      <c r="H3095">
        <v>14</v>
      </c>
    </row>
    <row r="3096" spans="1:8" ht="21.75" customHeight="1" x14ac:dyDescent="0.35">
      <c r="A3096" t="s">
        <v>3191</v>
      </c>
      <c r="B3096" s="3">
        <v>45306</v>
      </c>
      <c r="C3096" t="s">
        <v>61</v>
      </c>
      <c r="D3096" t="s">
        <v>26</v>
      </c>
      <c r="E3096" t="s">
        <v>22</v>
      </c>
      <c r="F3096" t="s">
        <v>56</v>
      </c>
      <c r="G3096" t="s">
        <v>23</v>
      </c>
      <c r="H3096">
        <v>2</v>
      </c>
    </row>
    <row r="3097" spans="1:8" ht="21.75" customHeight="1" x14ac:dyDescent="0.35">
      <c r="A3097" t="s">
        <v>3192</v>
      </c>
      <c r="B3097" s="3">
        <v>45457</v>
      </c>
      <c r="C3097" t="s">
        <v>86</v>
      </c>
      <c r="D3097" t="s">
        <v>41</v>
      </c>
      <c r="E3097" t="s">
        <v>17</v>
      </c>
      <c r="F3097" t="s">
        <v>27</v>
      </c>
      <c r="G3097" t="s">
        <v>23</v>
      </c>
      <c r="H3097">
        <v>15</v>
      </c>
    </row>
    <row r="3098" spans="1:8" ht="21.75" customHeight="1" x14ac:dyDescent="0.35">
      <c r="A3098" t="s">
        <v>3193</v>
      </c>
      <c r="B3098" s="3">
        <v>45425</v>
      </c>
      <c r="C3098" t="s">
        <v>9</v>
      </c>
      <c r="D3098" t="s">
        <v>26</v>
      </c>
      <c r="E3098" t="s">
        <v>17</v>
      </c>
      <c r="F3098" t="s">
        <v>56</v>
      </c>
      <c r="G3098" t="s">
        <v>32</v>
      </c>
      <c r="H3098">
        <v>2</v>
      </c>
    </row>
    <row r="3099" spans="1:8" ht="21.75" customHeight="1" x14ac:dyDescent="0.35">
      <c r="A3099" t="s">
        <v>3194</v>
      </c>
      <c r="B3099" s="3">
        <v>45501</v>
      </c>
      <c r="C3099" t="s">
        <v>240</v>
      </c>
      <c r="D3099" t="s">
        <v>59</v>
      </c>
      <c r="E3099" t="s">
        <v>11</v>
      </c>
      <c r="F3099" t="s">
        <v>306</v>
      </c>
      <c r="G3099" t="s">
        <v>28</v>
      </c>
      <c r="H3099">
        <v>4</v>
      </c>
    </row>
    <row r="3100" spans="1:8" ht="21.75" customHeight="1" x14ac:dyDescent="0.35">
      <c r="A3100" t="s">
        <v>3195</v>
      </c>
      <c r="B3100" s="3">
        <v>45606</v>
      </c>
      <c r="C3100" t="s">
        <v>594</v>
      </c>
      <c r="D3100" t="s">
        <v>72</v>
      </c>
      <c r="E3100" t="s">
        <v>11</v>
      </c>
      <c r="F3100" t="s">
        <v>306</v>
      </c>
      <c r="G3100" t="s">
        <v>36</v>
      </c>
      <c r="H3100">
        <v>1</v>
      </c>
    </row>
    <row r="3101" spans="1:8" ht="21.75" customHeight="1" x14ac:dyDescent="0.35">
      <c r="A3101" t="s">
        <v>3196</v>
      </c>
      <c r="B3101" s="3">
        <v>45302</v>
      </c>
      <c r="C3101" t="s">
        <v>159</v>
      </c>
      <c r="D3101" t="s">
        <v>10</v>
      </c>
      <c r="E3101" t="s">
        <v>22</v>
      </c>
      <c r="F3101" t="s">
        <v>42</v>
      </c>
      <c r="G3101" t="s">
        <v>32</v>
      </c>
      <c r="H3101">
        <v>18</v>
      </c>
    </row>
    <row r="3102" spans="1:8" ht="21.75" customHeight="1" x14ac:dyDescent="0.35">
      <c r="A3102" t="s">
        <v>3197</v>
      </c>
      <c r="B3102" s="3">
        <v>45317</v>
      </c>
      <c r="C3102" t="s">
        <v>363</v>
      </c>
      <c r="D3102" t="s">
        <v>65</v>
      </c>
      <c r="E3102" t="s">
        <v>17</v>
      </c>
      <c r="F3102" t="s">
        <v>306</v>
      </c>
      <c r="G3102" t="s">
        <v>28</v>
      </c>
      <c r="H3102">
        <v>6</v>
      </c>
    </row>
    <row r="3103" spans="1:8" ht="21.75" customHeight="1" x14ac:dyDescent="0.35">
      <c r="A3103" t="s">
        <v>3198</v>
      </c>
      <c r="B3103" s="3">
        <v>45494</v>
      </c>
      <c r="C3103" t="s">
        <v>436</v>
      </c>
      <c r="D3103" t="s">
        <v>197</v>
      </c>
      <c r="E3103" t="s">
        <v>17</v>
      </c>
      <c r="F3103" t="s">
        <v>56</v>
      </c>
      <c r="G3103" t="s">
        <v>32</v>
      </c>
      <c r="H3103">
        <v>11</v>
      </c>
    </row>
    <row r="3104" spans="1:8" ht="21.75" customHeight="1" x14ac:dyDescent="0.35">
      <c r="A3104" t="s">
        <v>3199</v>
      </c>
      <c r="B3104" s="3">
        <v>45575</v>
      </c>
      <c r="C3104" t="s">
        <v>388</v>
      </c>
      <c r="D3104" t="s">
        <v>197</v>
      </c>
      <c r="E3104" t="s">
        <v>11</v>
      </c>
      <c r="F3104" t="s">
        <v>12</v>
      </c>
      <c r="G3104" t="s">
        <v>13</v>
      </c>
      <c r="H3104">
        <v>17</v>
      </c>
    </row>
    <row r="3105" spans="1:8" ht="21.75" customHeight="1" x14ac:dyDescent="0.35">
      <c r="A3105" t="s">
        <v>3200</v>
      </c>
      <c r="B3105" s="3">
        <v>45495</v>
      </c>
      <c r="C3105" t="s">
        <v>374</v>
      </c>
      <c r="D3105" t="s">
        <v>79</v>
      </c>
      <c r="E3105" t="s">
        <v>11</v>
      </c>
      <c r="F3105" t="s">
        <v>42</v>
      </c>
      <c r="G3105" t="s">
        <v>32</v>
      </c>
      <c r="H3105">
        <v>1</v>
      </c>
    </row>
    <row r="3106" spans="1:8" ht="21.75" customHeight="1" x14ac:dyDescent="0.35">
      <c r="A3106" t="s">
        <v>3201</v>
      </c>
      <c r="B3106" s="3">
        <v>45644</v>
      </c>
      <c r="C3106" t="s">
        <v>78</v>
      </c>
      <c r="D3106" t="s">
        <v>79</v>
      </c>
      <c r="E3106" t="s">
        <v>17</v>
      </c>
      <c r="F3106" t="s">
        <v>12</v>
      </c>
      <c r="G3106" t="s">
        <v>23</v>
      </c>
      <c r="H3106">
        <v>13</v>
      </c>
    </row>
    <row r="3107" spans="1:8" ht="21.75" customHeight="1" x14ac:dyDescent="0.35">
      <c r="A3107" t="s">
        <v>3202</v>
      </c>
      <c r="B3107" s="3">
        <v>45430</v>
      </c>
      <c r="C3107" t="s">
        <v>81</v>
      </c>
      <c r="D3107" t="s">
        <v>10</v>
      </c>
      <c r="E3107" t="s">
        <v>11</v>
      </c>
      <c r="F3107" t="s">
        <v>306</v>
      </c>
      <c r="G3107" t="s">
        <v>23</v>
      </c>
      <c r="H3107">
        <v>1</v>
      </c>
    </row>
    <row r="3108" spans="1:8" ht="21.75" customHeight="1" x14ac:dyDescent="0.35">
      <c r="A3108" t="s">
        <v>3203</v>
      </c>
      <c r="B3108" s="3">
        <v>45569</v>
      </c>
      <c r="C3108" t="s">
        <v>493</v>
      </c>
      <c r="D3108" t="s">
        <v>16</v>
      </c>
      <c r="E3108" t="s">
        <v>11</v>
      </c>
      <c r="F3108" t="s">
        <v>306</v>
      </c>
      <c r="G3108" t="s">
        <v>23</v>
      </c>
      <c r="H3108">
        <v>7</v>
      </c>
    </row>
    <row r="3109" spans="1:8" ht="21.75" customHeight="1" x14ac:dyDescent="0.35">
      <c r="A3109" t="s">
        <v>3204</v>
      </c>
      <c r="B3109" s="3">
        <v>45451</v>
      </c>
      <c r="C3109" t="s">
        <v>728</v>
      </c>
      <c r="D3109" t="s">
        <v>72</v>
      </c>
      <c r="E3109" t="s">
        <v>17</v>
      </c>
      <c r="F3109" t="s">
        <v>306</v>
      </c>
      <c r="G3109" t="s">
        <v>13</v>
      </c>
      <c r="H3109">
        <v>10</v>
      </c>
    </row>
    <row r="3110" spans="1:8" ht="21.75" customHeight="1" x14ac:dyDescent="0.35">
      <c r="A3110" t="s">
        <v>3205</v>
      </c>
      <c r="B3110" s="3">
        <v>45395</v>
      </c>
      <c r="C3110" t="s">
        <v>108</v>
      </c>
      <c r="D3110" t="s">
        <v>26</v>
      </c>
      <c r="E3110" t="s">
        <v>22</v>
      </c>
      <c r="F3110" t="s">
        <v>306</v>
      </c>
      <c r="G3110" t="s">
        <v>23</v>
      </c>
      <c r="H3110">
        <v>13</v>
      </c>
    </row>
    <row r="3111" spans="1:8" ht="21.75" customHeight="1" x14ac:dyDescent="0.35">
      <c r="A3111" t="s">
        <v>3206</v>
      </c>
      <c r="B3111" s="3">
        <v>45339</v>
      </c>
      <c r="C3111" t="s">
        <v>240</v>
      </c>
      <c r="D3111" t="s">
        <v>87</v>
      </c>
      <c r="E3111" t="s">
        <v>22</v>
      </c>
      <c r="F3111" t="s">
        <v>42</v>
      </c>
      <c r="G3111" t="s">
        <v>23</v>
      </c>
      <c r="H3111">
        <v>10</v>
      </c>
    </row>
    <row r="3112" spans="1:8" ht="21.75" customHeight="1" x14ac:dyDescent="0.35">
      <c r="A3112" t="s">
        <v>3207</v>
      </c>
      <c r="B3112" s="3">
        <v>45565</v>
      </c>
      <c r="C3112" t="s">
        <v>358</v>
      </c>
      <c r="D3112" t="s">
        <v>197</v>
      </c>
      <c r="E3112" t="s">
        <v>17</v>
      </c>
      <c r="F3112" t="s">
        <v>12</v>
      </c>
      <c r="G3112" t="s">
        <v>23</v>
      </c>
      <c r="H3112">
        <v>13</v>
      </c>
    </row>
    <row r="3113" spans="1:8" ht="21.75" customHeight="1" x14ac:dyDescent="0.35">
      <c r="A3113" t="s">
        <v>3208</v>
      </c>
      <c r="B3113" s="3">
        <v>45571</v>
      </c>
      <c r="C3113" t="s">
        <v>436</v>
      </c>
      <c r="D3113" t="s">
        <v>102</v>
      </c>
      <c r="E3113" t="s">
        <v>17</v>
      </c>
      <c r="F3113" t="s">
        <v>56</v>
      </c>
      <c r="G3113" t="s">
        <v>36</v>
      </c>
      <c r="H3113">
        <v>1</v>
      </c>
    </row>
    <row r="3114" spans="1:8" ht="21.75" customHeight="1" x14ac:dyDescent="0.35">
      <c r="A3114" t="s">
        <v>3209</v>
      </c>
      <c r="B3114" s="3">
        <v>45410</v>
      </c>
      <c r="C3114" t="s">
        <v>430</v>
      </c>
      <c r="D3114" t="s">
        <v>48</v>
      </c>
      <c r="E3114" t="s">
        <v>17</v>
      </c>
      <c r="F3114" t="s">
        <v>306</v>
      </c>
      <c r="G3114" t="s">
        <v>13</v>
      </c>
      <c r="H3114">
        <v>10</v>
      </c>
    </row>
    <row r="3115" spans="1:8" ht="21.75" customHeight="1" x14ac:dyDescent="0.35">
      <c r="A3115" t="s">
        <v>3210</v>
      </c>
      <c r="B3115" s="3">
        <v>45614</v>
      </c>
      <c r="C3115" t="s">
        <v>81</v>
      </c>
      <c r="D3115" t="s">
        <v>102</v>
      </c>
      <c r="E3115" t="s">
        <v>22</v>
      </c>
      <c r="F3115" t="s">
        <v>56</v>
      </c>
      <c r="G3115" t="s">
        <v>28</v>
      </c>
      <c r="H3115">
        <v>16</v>
      </c>
    </row>
    <row r="3116" spans="1:8" ht="21.75" customHeight="1" x14ac:dyDescent="0.35">
      <c r="A3116" t="s">
        <v>3211</v>
      </c>
      <c r="B3116" s="3">
        <v>45334</v>
      </c>
      <c r="C3116" t="s">
        <v>167</v>
      </c>
      <c r="D3116" t="s">
        <v>31</v>
      </c>
      <c r="E3116" t="s">
        <v>22</v>
      </c>
      <c r="F3116" t="s">
        <v>27</v>
      </c>
      <c r="G3116" t="s">
        <v>36</v>
      </c>
      <c r="H3116">
        <v>19</v>
      </c>
    </row>
    <row r="3117" spans="1:8" ht="21.75" customHeight="1" x14ac:dyDescent="0.35">
      <c r="A3117" t="s">
        <v>3212</v>
      </c>
      <c r="B3117" s="3">
        <v>45322</v>
      </c>
      <c r="C3117" t="s">
        <v>337</v>
      </c>
      <c r="D3117" t="s">
        <v>35</v>
      </c>
      <c r="E3117" t="s">
        <v>17</v>
      </c>
      <c r="F3117" t="s">
        <v>27</v>
      </c>
      <c r="G3117" t="s">
        <v>32</v>
      </c>
      <c r="H3117">
        <v>11</v>
      </c>
    </row>
    <row r="3118" spans="1:8" ht="21.75" customHeight="1" x14ac:dyDescent="0.35">
      <c r="A3118" t="s">
        <v>3213</v>
      </c>
      <c r="B3118" s="3">
        <v>45310</v>
      </c>
      <c r="C3118" t="s">
        <v>187</v>
      </c>
      <c r="D3118" t="s">
        <v>62</v>
      </c>
      <c r="E3118" t="s">
        <v>22</v>
      </c>
      <c r="F3118" t="s">
        <v>306</v>
      </c>
      <c r="G3118" t="s">
        <v>23</v>
      </c>
      <c r="H3118">
        <v>1</v>
      </c>
    </row>
    <row r="3119" spans="1:8" ht="21.75" customHeight="1" x14ac:dyDescent="0.35">
      <c r="A3119" t="s">
        <v>3214</v>
      </c>
      <c r="B3119" s="3">
        <v>45399</v>
      </c>
      <c r="C3119" t="s">
        <v>664</v>
      </c>
      <c r="D3119" t="s">
        <v>174</v>
      </c>
      <c r="E3119" t="s">
        <v>17</v>
      </c>
      <c r="F3119" t="s">
        <v>306</v>
      </c>
      <c r="G3119" t="s">
        <v>23</v>
      </c>
      <c r="H3119">
        <v>11</v>
      </c>
    </row>
    <row r="3120" spans="1:8" ht="21.75" customHeight="1" x14ac:dyDescent="0.35">
      <c r="A3120" t="s">
        <v>3215</v>
      </c>
      <c r="B3120" s="3">
        <v>45412</v>
      </c>
      <c r="C3120" t="s">
        <v>187</v>
      </c>
      <c r="D3120" t="s">
        <v>70</v>
      </c>
      <c r="E3120" t="s">
        <v>22</v>
      </c>
      <c r="F3120" t="s">
        <v>27</v>
      </c>
      <c r="G3120" t="s">
        <v>36</v>
      </c>
      <c r="H3120">
        <v>18</v>
      </c>
    </row>
    <row r="3121" spans="1:8" ht="21.75" customHeight="1" x14ac:dyDescent="0.35">
      <c r="A3121" t="s">
        <v>3216</v>
      </c>
      <c r="B3121" s="3">
        <v>45333</v>
      </c>
      <c r="C3121" t="s">
        <v>15</v>
      </c>
      <c r="D3121" t="s">
        <v>87</v>
      </c>
      <c r="E3121" t="s">
        <v>22</v>
      </c>
      <c r="F3121" t="s">
        <v>12</v>
      </c>
      <c r="G3121" t="s">
        <v>23</v>
      </c>
      <c r="H3121">
        <v>5</v>
      </c>
    </row>
    <row r="3122" spans="1:8" ht="21.75" customHeight="1" x14ac:dyDescent="0.35">
      <c r="A3122" t="s">
        <v>3217</v>
      </c>
      <c r="B3122" s="3">
        <v>45374</v>
      </c>
      <c r="C3122" t="s">
        <v>363</v>
      </c>
      <c r="D3122" t="s">
        <v>84</v>
      </c>
      <c r="E3122" t="s">
        <v>11</v>
      </c>
      <c r="F3122" t="s">
        <v>56</v>
      </c>
      <c r="G3122" t="s">
        <v>28</v>
      </c>
      <c r="H3122">
        <v>15</v>
      </c>
    </row>
    <row r="3123" spans="1:8" ht="21.75" customHeight="1" x14ac:dyDescent="0.35">
      <c r="A3123" t="s">
        <v>3218</v>
      </c>
      <c r="B3123" s="3">
        <v>45350</v>
      </c>
      <c r="C3123" t="s">
        <v>122</v>
      </c>
      <c r="D3123" t="s">
        <v>87</v>
      </c>
      <c r="E3123" t="s">
        <v>17</v>
      </c>
      <c r="F3123" t="s">
        <v>56</v>
      </c>
      <c r="G3123" t="s">
        <v>36</v>
      </c>
      <c r="H3123">
        <v>16</v>
      </c>
    </row>
    <row r="3124" spans="1:8" ht="21.75" customHeight="1" x14ac:dyDescent="0.35">
      <c r="A3124" t="s">
        <v>3219</v>
      </c>
      <c r="B3124" s="3">
        <v>45572</v>
      </c>
      <c r="C3124" t="s">
        <v>572</v>
      </c>
      <c r="D3124" t="s">
        <v>31</v>
      </c>
      <c r="E3124" t="s">
        <v>11</v>
      </c>
      <c r="F3124" t="s">
        <v>42</v>
      </c>
      <c r="G3124" t="s">
        <v>13</v>
      </c>
      <c r="H3124">
        <v>14</v>
      </c>
    </row>
    <row r="3125" spans="1:8" ht="21.75" customHeight="1" x14ac:dyDescent="0.35">
      <c r="A3125" t="s">
        <v>3220</v>
      </c>
      <c r="B3125" s="3">
        <v>45638</v>
      </c>
      <c r="C3125" t="s">
        <v>101</v>
      </c>
      <c r="D3125" t="s">
        <v>160</v>
      </c>
      <c r="E3125" t="s">
        <v>17</v>
      </c>
      <c r="F3125" t="s">
        <v>306</v>
      </c>
      <c r="G3125" t="s">
        <v>32</v>
      </c>
      <c r="H3125">
        <v>19</v>
      </c>
    </row>
    <row r="3126" spans="1:8" ht="21.75" customHeight="1" x14ac:dyDescent="0.35">
      <c r="A3126" t="s">
        <v>3221</v>
      </c>
      <c r="B3126" s="3">
        <v>45364</v>
      </c>
      <c r="C3126" t="s">
        <v>61</v>
      </c>
      <c r="D3126" t="s">
        <v>160</v>
      </c>
      <c r="E3126" t="s">
        <v>22</v>
      </c>
      <c r="F3126" t="s">
        <v>56</v>
      </c>
      <c r="G3126" t="s">
        <v>36</v>
      </c>
      <c r="H3126">
        <v>12</v>
      </c>
    </row>
    <row r="3127" spans="1:8" ht="21.75" customHeight="1" x14ac:dyDescent="0.35">
      <c r="A3127" t="s">
        <v>3222</v>
      </c>
      <c r="B3127" s="3">
        <v>45420</v>
      </c>
      <c r="C3127" t="s">
        <v>553</v>
      </c>
      <c r="D3127" t="s">
        <v>70</v>
      </c>
      <c r="E3127" t="s">
        <v>11</v>
      </c>
      <c r="F3127" t="s">
        <v>42</v>
      </c>
      <c r="G3127" t="s">
        <v>28</v>
      </c>
      <c r="H3127">
        <v>6</v>
      </c>
    </row>
    <row r="3128" spans="1:8" ht="21.75" customHeight="1" x14ac:dyDescent="0.35">
      <c r="A3128" t="s">
        <v>3223</v>
      </c>
      <c r="B3128" s="3">
        <v>45534</v>
      </c>
      <c r="C3128" t="s">
        <v>142</v>
      </c>
      <c r="D3128" t="s">
        <v>72</v>
      </c>
      <c r="E3128" t="s">
        <v>17</v>
      </c>
      <c r="F3128" t="s">
        <v>56</v>
      </c>
      <c r="G3128" t="s">
        <v>28</v>
      </c>
      <c r="H3128">
        <v>16</v>
      </c>
    </row>
    <row r="3129" spans="1:8" ht="21.75" customHeight="1" x14ac:dyDescent="0.35">
      <c r="A3129" t="s">
        <v>3224</v>
      </c>
      <c r="B3129" s="3">
        <v>45294</v>
      </c>
      <c r="C3129" t="s">
        <v>147</v>
      </c>
      <c r="D3129" t="s">
        <v>62</v>
      </c>
      <c r="E3129" t="s">
        <v>11</v>
      </c>
      <c r="F3129" t="s">
        <v>56</v>
      </c>
      <c r="G3129" t="s">
        <v>13</v>
      </c>
      <c r="H3129">
        <v>18</v>
      </c>
    </row>
    <row r="3130" spans="1:8" ht="21.75" customHeight="1" x14ac:dyDescent="0.35">
      <c r="A3130" t="s">
        <v>3225</v>
      </c>
      <c r="B3130" s="3">
        <v>45340</v>
      </c>
      <c r="C3130" t="s">
        <v>131</v>
      </c>
      <c r="D3130" t="s">
        <v>109</v>
      </c>
      <c r="E3130" t="s">
        <v>17</v>
      </c>
      <c r="F3130" t="s">
        <v>306</v>
      </c>
      <c r="G3130" t="s">
        <v>28</v>
      </c>
      <c r="H3130">
        <v>3</v>
      </c>
    </row>
    <row r="3131" spans="1:8" ht="21.75" customHeight="1" x14ac:dyDescent="0.35">
      <c r="A3131" t="s">
        <v>3226</v>
      </c>
      <c r="B3131" s="3">
        <v>45578</v>
      </c>
      <c r="C3131" t="s">
        <v>240</v>
      </c>
      <c r="D3131" t="s">
        <v>48</v>
      </c>
      <c r="E3131" t="s">
        <v>22</v>
      </c>
      <c r="F3131" t="s">
        <v>12</v>
      </c>
      <c r="G3131" t="s">
        <v>28</v>
      </c>
      <c r="H3131">
        <v>9</v>
      </c>
    </row>
    <row r="3132" spans="1:8" ht="21.75" customHeight="1" x14ac:dyDescent="0.35">
      <c r="A3132" t="s">
        <v>3227</v>
      </c>
      <c r="B3132" s="3">
        <v>45510</v>
      </c>
      <c r="C3132" t="s">
        <v>361</v>
      </c>
      <c r="D3132" t="s">
        <v>84</v>
      </c>
      <c r="E3132" t="s">
        <v>17</v>
      </c>
      <c r="F3132" t="s">
        <v>42</v>
      </c>
      <c r="G3132" t="s">
        <v>36</v>
      </c>
      <c r="H3132">
        <v>13</v>
      </c>
    </row>
    <row r="3133" spans="1:8" ht="21.75" customHeight="1" x14ac:dyDescent="0.35">
      <c r="A3133" t="s">
        <v>3228</v>
      </c>
      <c r="B3133" s="3">
        <v>45579</v>
      </c>
      <c r="C3133" t="s">
        <v>591</v>
      </c>
      <c r="D3133" t="s">
        <v>21</v>
      </c>
      <c r="E3133" t="s">
        <v>22</v>
      </c>
      <c r="F3133" t="s">
        <v>56</v>
      </c>
      <c r="G3133" t="s">
        <v>13</v>
      </c>
      <c r="H3133">
        <v>19</v>
      </c>
    </row>
    <row r="3134" spans="1:8" ht="21.75" customHeight="1" x14ac:dyDescent="0.35">
      <c r="A3134" t="s">
        <v>3229</v>
      </c>
      <c r="B3134" s="3">
        <v>45402</v>
      </c>
      <c r="C3134" t="s">
        <v>89</v>
      </c>
      <c r="D3134" t="s">
        <v>45</v>
      </c>
      <c r="E3134" t="s">
        <v>17</v>
      </c>
      <c r="F3134" t="s">
        <v>306</v>
      </c>
      <c r="G3134" t="s">
        <v>13</v>
      </c>
      <c r="H3134">
        <v>5</v>
      </c>
    </row>
    <row r="3135" spans="1:8" ht="21.75" customHeight="1" x14ac:dyDescent="0.35">
      <c r="A3135" t="s">
        <v>3230</v>
      </c>
      <c r="B3135" s="3">
        <v>45592</v>
      </c>
      <c r="C3135" t="s">
        <v>736</v>
      </c>
      <c r="D3135" t="s">
        <v>119</v>
      </c>
      <c r="E3135" t="s">
        <v>17</v>
      </c>
      <c r="F3135" t="s">
        <v>42</v>
      </c>
      <c r="G3135" t="s">
        <v>36</v>
      </c>
      <c r="H3135">
        <v>19</v>
      </c>
    </row>
    <row r="3136" spans="1:8" ht="21.75" customHeight="1" x14ac:dyDescent="0.35">
      <c r="A3136" t="s">
        <v>3231</v>
      </c>
      <c r="B3136" s="3">
        <v>45607</v>
      </c>
      <c r="C3136" t="s">
        <v>317</v>
      </c>
      <c r="D3136" t="s">
        <v>35</v>
      </c>
      <c r="E3136" t="s">
        <v>11</v>
      </c>
      <c r="F3136" t="s">
        <v>56</v>
      </c>
      <c r="G3136" t="s">
        <v>13</v>
      </c>
      <c r="H3136">
        <v>8</v>
      </c>
    </row>
    <row r="3137" spans="1:8" ht="21.75" customHeight="1" x14ac:dyDescent="0.35">
      <c r="A3137" t="s">
        <v>3232</v>
      </c>
      <c r="B3137" s="3">
        <v>45338</v>
      </c>
      <c r="C3137" t="s">
        <v>594</v>
      </c>
      <c r="D3137" t="s">
        <v>16</v>
      </c>
      <c r="E3137" t="s">
        <v>11</v>
      </c>
      <c r="F3137" t="s">
        <v>56</v>
      </c>
      <c r="G3137" t="s">
        <v>23</v>
      </c>
      <c r="H3137">
        <v>1</v>
      </c>
    </row>
    <row r="3138" spans="1:8" ht="21.75" customHeight="1" x14ac:dyDescent="0.35">
      <c r="A3138" t="s">
        <v>3233</v>
      </c>
      <c r="B3138" s="3">
        <v>45318</v>
      </c>
      <c r="C3138" t="s">
        <v>99</v>
      </c>
      <c r="D3138" t="s">
        <v>160</v>
      </c>
      <c r="E3138" t="s">
        <v>17</v>
      </c>
      <c r="F3138" t="s">
        <v>27</v>
      </c>
      <c r="G3138" t="s">
        <v>23</v>
      </c>
      <c r="H3138">
        <v>11</v>
      </c>
    </row>
    <row r="3139" spans="1:8" ht="21.75" customHeight="1" x14ac:dyDescent="0.35">
      <c r="A3139" t="s">
        <v>3234</v>
      </c>
      <c r="B3139" s="3">
        <v>45352</v>
      </c>
      <c r="C3139" t="s">
        <v>93</v>
      </c>
      <c r="D3139" t="s">
        <v>174</v>
      </c>
      <c r="E3139" t="s">
        <v>17</v>
      </c>
      <c r="F3139" t="s">
        <v>27</v>
      </c>
      <c r="G3139" t="s">
        <v>23</v>
      </c>
      <c r="H3139">
        <v>16</v>
      </c>
    </row>
    <row r="3140" spans="1:8" ht="21.75" customHeight="1" x14ac:dyDescent="0.35">
      <c r="A3140" t="s">
        <v>3235</v>
      </c>
      <c r="B3140" s="3">
        <v>45559</v>
      </c>
      <c r="C3140" t="s">
        <v>38</v>
      </c>
      <c r="D3140" t="s">
        <v>160</v>
      </c>
      <c r="E3140" t="s">
        <v>11</v>
      </c>
      <c r="F3140" t="s">
        <v>306</v>
      </c>
      <c r="G3140" t="s">
        <v>28</v>
      </c>
      <c r="H3140">
        <v>6</v>
      </c>
    </row>
    <row r="3141" spans="1:8" ht="21.75" customHeight="1" x14ac:dyDescent="0.35">
      <c r="A3141" t="s">
        <v>3236</v>
      </c>
      <c r="B3141" s="3">
        <v>45434</v>
      </c>
      <c r="C3141" t="s">
        <v>436</v>
      </c>
      <c r="D3141" t="s">
        <v>16</v>
      </c>
      <c r="E3141" t="s">
        <v>17</v>
      </c>
      <c r="F3141" t="s">
        <v>306</v>
      </c>
      <c r="G3141" t="s">
        <v>23</v>
      </c>
      <c r="H3141">
        <v>16</v>
      </c>
    </row>
    <row r="3142" spans="1:8" ht="21.75" customHeight="1" x14ac:dyDescent="0.35">
      <c r="A3142" t="s">
        <v>3237</v>
      </c>
      <c r="B3142" s="3">
        <v>45420</v>
      </c>
      <c r="C3142" t="s">
        <v>455</v>
      </c>
      <c r="D3142" t="s">
        <v>102</v>
      </c>
      <c r="E3142" t="s">
        <v>22</v>
      </c>
      <c r="F3142" t="s">
        <v>27</v>
      </c>
      <c r="G3142" t="s">
        <v>32</v>
      </c>
      <c r="H3142">
        <v>6</v>
      </c>
    </row>
    <row r="3143" spans="1:8" ht="21.75" customHeight="1" x14ac:dyDescent="0.35">
      <c r="A3143" t="s">
        <v>3238</v>
      </c>
      <c r="B3143" s="3">
        <v>45479</v>
      </c>
      <c r="C3143" t="s">
        <v>319</v>
      </c>
      <c r="D3143" t="s">
        <v>119</v>
      </c>
      <c r="E3143" t="s">
        <v>22</v>
      </c>
      <c r="F3143" t="s">
        <v>42</v>
      </c>
      <c r="G3143" t="s">
        <v>23</v>
      </c>
      <c r="H3143">
        <v>7</v>
      </c>
    </row>
    <row r="3144" spans="1:8" ht="21.75" customHeight="1" x14ac:dyDescent="0.35">
      <c r="A3144" t="s">
        <v>3239</v>
      </c>
      <c r="B3144" s="3">
        <v>45389</v>
      </c>
      <c r="C3144" t="s">
        <v>159</v>
      </c>
      <c r="D3144" t="s">
        <v>48</v>
      </c>
      <c r="E3144" t="s">
        <v>11</v>
      </c>
      <c r="F3144" t="s">
        <v>12</v>
      </c>
      <c r="G3144" t="s">
        <v>28</v>
      </c>
      <c r="H3144">
        <v>15</v>
      </c>
    </row>
    <row r="3145" spans="1:8" ht="21.75" customHeight="1" x14ac:dyDescent="0.35">
      <c r="A3145" t="s">
        <v>3240</v>
      </c>
      <c r="B3145" s="3">
        <v>45391</v>
      </c>
      <c r="C3145" t="s">
        <v>25</v>
      </c>
      <c r="D3145" t="s">
        <v>59</v>
      </c>
      <c r="E3145" t="s">
        <v>17</v>
      </c>
      <c r="F3145" t="s">
        <v>42</v>
      </c>
      <c r="G3145" t="s">
        <v>13</v>
      </c>
      <c r="H3145">
        <v>12</v>
      </c>
    </row>
    <row r="3146" spans="1:8" ht="21.75" customHeight="1" x14ac:dyDescent="0.35">
      <c r="A3146" t="s">
        <v>3241</v>
      </c>
      <c r="B3146" s="3">
        <v>45549</v>
      </c>
      <c r="C3146" t="s">
        <v>142</v>
      </c>
      <c r="D3146" t="s">
        <v>109</v>
      </c>
      <c r="E3146" t="s">
        <v>17</v>
      </c>
      <c r="F3146" t="s">
        <v>12</v>
      </c>
      <c r="G3146" t="s">
        <v>32</v>
      </c>
      <c r="H3146">
        <v>16</v>
      </c>
    </row>
    <row r="3147" spans="1:8" ht="21.75" customHeight="1" x14ac:dyDescent="0.35">
      <c r="A3147" t="s">
        <v>3242</v>
      </c>
      <c r="B3147" s="3">
        <v>45648</v>
      </c>
      <c r="C3147" t="s">
        <v>369</v>
      </c>
      <c r="D3147" t="s">
        <v>26</v>
      </c>
      <c r="E3147" t="s">
        <v>17</v>
      </c>
      <c r="F3147" t="s">
        <v>12</v>
      </c>
      <c r="G3147" t="s">
        <v>36</v>
      </c>
      <c r="H3147">
        <v>1</v>
      </c>
    </row>
    <row r="3148" spans="1:8" ht="21.75" customHeight="1" x14ac:dyDescent="0.35">
      <c r="A3148" t="s">
        <v>3243</v>
      </c>
      <c r="B3148" s="3">
        <v>45533</v>
      </c>
      <c r="C3148" t="s">
        <v>493</v>
      </c>
      <c r="D3148" t="s">
        <v>21</v>
      </c>
      <c r="E3148" t="s">
        <v>17</v>
      </c>
      <c r="F3148" t="s">
        <v>27</v>
      </c>
      <c r="G3148" t="s">
        <v>28</v>
      </c>
      <c r="H3148">
        <v>16</v>
      </c>
    </row>
    <row r="3149" spans="1:8" ht="21.75" customHeight="1" x14ac:dyDescent="0.35">
      <c r="A3149" t="s">
        <v>3244</v>
      </c>
      <c r="B3149" s="3">
        <v>45623</v>
      </c>
      <c r="C3149" t="s">
        <v>664</v>
      </c>
      <c r="D3149" t="s">
        <v>174</v>
      </c>
      <c r="E3149" t="s">
        <v>11</v>
      </c>
      <c r="F3149" t="s">
        <v>12</v>
      </c>
      <c r="G3149" t="s">
        <v>32</v>
      </c>
      <c r="H3149">
        <v>1</v>
      </c>
    </row>
    <row r="3150" spans="1:8" ht="21.75" customHeight="1" x14ac:dyDescent="0.35">
      <c r="A3150" t="s">
        <v>3245</v>
      </c>
      <c r="B3150" s="3">
        <v>45370</v>
      </c>
      <c r="C3150" t="s">
        <v>369</v>
      </c>
      <c r="D3150" t="s">
        <v>84</v>
      </c>
      <c r="E3150" t="s">
        <v>11</v>
      </c>
      <c r="F3150" t="s">
        <v>56</v>
      </c>
      <c r="G3150" t="s">
        <v>13</v>
      </c>
      <c r="H3150">
        <v>14</v>
      </c>
    </row>
    <row r="3151" spans="1:8" ht="21.75" customHeight="1" x14ac:dyDescent="0.35">
      <c r="A3151" t="s">
        <v>3246</v>
      </c>
      <c r="B3151" s="3">
        <v>45353</v>
      </c>
      <c r="C3151" t="s">
        <v>131</v>
      </c>
      <c r="D3151" t="s">
        <v>70</v>
      </c>
      <c r="E3151" t="s">
        <v>22</v>
      </c>
      <c r="F3151" t="s">
        <v>12</v>
      </c>
      <c r="G3151" t="s">
        <v>32</v>
      </c>
      <c r="H3151">
        <v>4</v>
      </c>
    </row>
    <row r="3152" spans="1:8" ht="21.75" customHeight="1" x14ac:dyDescent="0.35">
      <c r="A3152" t="s">
        <v>3247</v>
      </c>
      <c r="B3152" s="3">
        <v>45434</v>
      </c>
      <c r="C3152" t="s">
        <v>150</v>
      </c>
      <c r="D3152" t="s">
        <v>21</v>
      </c>
      <c r="E3152" t="s">
        <v>22</v>
      </c>
      <c r="F3152" t="s">
        <v>12</v>
      </c>
      <c r="G3152" t="s">
        <v>32</v>
      </c>
      <c r="H3152">
        <v>11</v>
      </c>
    </row>
    <row r="3153" spans="1:8" ht="21.75" customHeight="1" x14ac:dyDescent="0.35">
      <c r="A3153" t="s">
        <v>3248</v>
      </c>
      <c r="B3153" s="3">
        <v>45378</v>
      </c>
      <c r="C3153" t="s">
        <v>449</v>
      </c>
      <c r="D3153" t="s">
        <v>84</v>
      </c>
      <c r="E3153" t="s">
        <v>17</v>
      </c>
      <c r="F3153" t="s">
        <v>306</v>
      </c>
      <c r="G3153" t="s">
        <v>13</v>
      </c>
      <c r="H3153">
        <v>13</v>
      </c>
    </row>
    <row r="3154" spans="1:8" ht="21.75" customHeight="1" x14ac:dyDescent="0.35">
      <c r="A3154" t="s">
        <v>3249</v>
      </c>
      <c r="B3154" s="3">
        <v>45633</v>
      </c>
      <c r="C3154" t="s">
        <v>317</v>
      </c>
      <c r="D3154" t="s">
        <v>79</v>
      </c>
      <c r="E3154" t="s">
        <v>11</v>
      </c>
      <c r="F3154" t="s">
        <v>56</v>
      </c>
      <c r="G3154" t="s">
        <v>36</v>
      </c>
      <c r="H3154">
        <v>5</v>
      </c>
    </row>
    <row r="3155" spans="1:8" ht="21.75" customHeight="1" x14ac:dyDescent="0.35">
      <c r="A3155" t="s">
        <v>3250</v>
      </c>
      <c r="B3155" s="3">
        <v>45334</v>
      </c>
      <c r="C3155" t="s">
        <v>235</v>
      </c>
      <c r="D3155" t="s">
        <v>70</v>
      </c>
      <c r="E3155" t="s">
        <v>11</v>
      </c>
      <c r="F3155" t="s">
        <v>42</v>
      </c>
      <c r="G3155" t="s">
        <v>36</v>
      </c>
      <c r="H3155">
        <v>7</v>
      </c>
    </row>
    <row r="3156" spans="1:8" ht="21.75" customHeight="1" x14ac:dyDescent="0.35">
      <c r="A3156" t="s">
        <v>3251</v>
      </c>
      <c r="B3156" s="3">
        <v>45501</v>
      </c>
      <c r="C3156" t="s">
        <v>235</v>
      </c>
      <c r="D3156" t="s">
        <v>21</v>
      </c>
      <c r="E3156" t="s">
        <v>22</v>
      </c>
      <c r="F3156" t="s">
        <v>12</v>
      </c>
      <c r="G3156" t="s">
        <v>32</v>
      </c>
      <c r="H3156">
        <v>9</v>
      </c>
    </row>
    <row r="3157" spans="1:8" ht="21.75" customHeight="1" x14ac:dyDescent="0.35">
      <c r="A3157" t="s">
        <v>3252</v>
      </c>
      <c r="B3157" s="3">
        <v>45352</v>
      </c>
      <c r="C3157" t="s">
        <v>47</v>
      </c>
      <c r="D3157" t="s">
        <v>70</v>
      </c>
      <c r="E3157" t="s">
        <v>22</v>
      </c>
      <c r="F3157" t="s">
        <v>12</v>
      </c>
      <c r="G3157" t="s">
        <v>36</v>
      </c>
      <c r="H3157">
        <v>15</v>
      </c>
    </row>
    <row r="3158" spans="1:8" ht="21.75" customHeight="1" x14ac:dyDescent="0.35">
      <c r="A3158" t="s">
        <v>3253</v>
      </c>
      <c r="B3158" s="3">
        <v>45338</v>
      </c>
      <c r="C3158" t="s">
        <v>44</v>
      </c>
      <c r="D3158" t="s">
        <v>84</v>
      </c>
      <c r="E3158" t="s">
        <v>11</v>
      </c>
      <c r="F3158" t="s">
        <v>56</v>
      </c>
      <c r="G3158" t="s">
        <v>32</v>
      </c>
      <c r="H3158">
        <v>19</v>
      </c>
    </row>
    <row r="3159" spans="1:8" ht="21.75" customHeight="1" x14ac:dyDescent="0.35">
      <c r="A3159" t="s">
        <v>3254</v>
      </c>
      <c r="B3159" s="3">
        <v>45302</v>
      </c>
      <c r="C3159" t="s">
        <v>337</v>
      </c>
      <c r="D3159" t="s">
        <v>45</v>
      </c>
      <c r="E3159" t="s">
        <v>11</v>
      </c>
      <c r="F3159" t="s">
        <v>56</v>
      </c>
      <c r="G3159" t="s">
        <v>32</v>
      </c>
      <c r="H3159">
        <v>15</v>
      </c>
    </row>
    <row r="3160" spans="1:8" ht="21.75" customHeight="1" x14ac:dyDescent="0.35">
      <c r="A3160" t="s">
        <v>3255</v>
      </c>
      <c r="B3160" s="3">
        <v>45418</v>
      </c>
      <c r="C3160" t="s">
        <v>147</v>
      </c>
      <c r="D3160" t="s">
        <v>41</v>
      </c>
      <c r="E3160" t="s">
        <v>22</v>
      </c>
      <c r="F3160" t="s">
        <v>56</v>
      </c>
      <c r="G3160" t="s">
        <v>28</v>
      </c>
      <c r="H3160">
        <v>10</v>
      </c>
    </row>
    <row r="3161" spans="1:8" ht="21.75" customHeight="1" x14ac:dyDescent="0.35">
      <c r="A3161" t="s">
        <v>3256</v>
      </c>
      <c r="B3161" s="3">
        <v>45653</v>
      </c>
      <c r="C3161" t="s">
        <v>55</v>
      </c>
      <c r="D3161" t="s">
        <v>45</v>
      </c>
      <c r="E3161" t="s">
        <v>17</v>
      </c>
      <c r="F3161" t="s">
        <v>56</v>
      </c>
      <c r="G3161" t="s">
        <v>36</v>
      </c>
      <c r="H3161">
        <v>11</v>
      </c>
    </row>
    <row r="3162" spans="1:8" ht="21.75" customHeight="1" x14ac:dyDescent="0.35">
      <c r="A3162" t="s">
        <v>3257</v>
      </c>
      <c r="B3162" s="3">
        <v>45388</v>
      </c>
      <c r="C3162" t="s">
        <v>101</v>
      </c>
      <c r="D3162" t="s">
        <v>65</v>
      </c>
      <c r="E3162" t="s">
        <v>11</v>
      </c>
      <c r="F3162" t="s">
        <v>42</v>
      </c>
      <c r="G3162" t="s">
        <v>32</v>
      </c>
      <c r="H3162">
        <v>15</v>
      </c>
    </row>
    <row r="3163" spans="1:8" ht="21.75" customHeight="1" x14ac:dyDescent="0.35">
      <c r="A3163" t="s">
        <v>3258</v>
      </c>
      <c r="B3163" s="3">
        <v>45542</v>
      </c>
      <c r="C3163" t="s">
        <v>182</v>
      </c>
      <c r="D3163" t="s">
        <v>59</v>
      </c>
      <c r="E3163" t="s">
        <v>17</v>
      </c>
      <c r="F3163" t="s">
        <v>42</v>
      </c>
      <c r="G3163" t="s">
        <v>36</v>
      </c>
      <c r="H3163">
        <v>15</v>
      </c>
    </row>
    <row r="3164" spans="1:8" ht="21.75" customHeight="1" x14ac:dyDescent="0.35">
      <c r="A3164" t="s">
        <v>3259</v>
      </c>
      <c r="B3164" s="3">
        <v>45643</v>
      </c>
      <c r="C3164" t="s">
        <v>30</v>
      </c>
      <c r="D3164" t="s">
        <v>79</v>
      </c>
      <c r="E3164" t="s">
        <v>22</v>
      </c>
      <c r="F3164" t="s">
        <v>27</v>
      </c>
      <c r="G3164" t="s">
        <v>28</v>
      </c>
      <c r="H3164">
        <v>18</v>
      </c>
    </row>
    <row r="3165" spans="1:8" ht="21.75" customHeight="1" x14ac:dyDescent="0.35">
      <c r="A3165" t="s">
        <v>3260</v>
      </c>
      <c r="B3165" s="3">
        <v>45651</v>
      </c>
      <c r="C3165" t="s">
        <v>348</v>
      </c>
      <c r="D3165" t="s">
        <v>48</v>
      </c>
      <c r="E3165" t="s">
        <v>22</v>
      </c>
      <c r="F3165" t="s">
        <v>42</v>
      </c>
      <c r="G3165" t="s">
        <v>28</v>
      </c>
      <c r="H3165">
        <v>11</v>
      </c>
    </row>
    <row r="3166" spans="1:8" ht="21.75" customHeight="1" x14ac:dyDescent="0.35">
      <c r="A3166" t="s">
        <v>3261</v>
      </c>
      <c r="B3166" s="3">
        <v>45549</v>
      </c>
      <c r="C3166" t="s">
        <v>378</v>
      </c>
      <c r="D3166" t="s">
        <v>84</v>
      </c>
      <c r="E3166" t="s">
        <v>17</v>
      </c>
      <c r="F3166" t="s">
        <v>12</v>
      </c>
      <c r="G3166" t="s">
        <v>36</v>
      </c>
      <c r="H3166">
        <v>7</v>
      </c>
    </row>
    <row r="3167" spans="1:8" ht="21.75" customHeight="1" x14ac:dyDescent="0.35">
      <c r="A3167" t="s">
        <v>3262</v>
      </c>
      <c r="B3167" s="3">
        <v>45531</v>
      </c>
      <c r="C3167" t="s">
        <v>86</v>
      </c>
      <c r="D3167" t="s">
        <v>79</v>
      </c>
      <c r="E3167" t="s">
        <v>11</v>
      </c>
      <c r="F3167" t="s">
        <v>306</v>
      </c>
      <c r="G3167" t="s">
        <v>28</v>
      </c>
      <c r="H3167">
        <v>16</v>
      </c>
    </row>
    <row r="3168" spans="1:8" ht="21.75" customHeight="1" x14ac:dyDescent="0.35">
      <c r="A3168" t="s">
        <v>3263</v>
      </c>
      <c r="B3168" s="3">
        <v>45592</v>
      </c>
      <c r="C3168" t="s">
        <v>187</v>
      </c>
      <c r="D3168" t="s">
        <v>48</v>
      </c>
      <c r="E3168" t="s">
        <v>22</v>
      </c>
      <c r="F3168" t="s">
        <v>27</v>
      </c>
      <c r="G3168" t="s">
        <v>36</v>
      </c>
      <c r="H3168">
        <v>2</v>
      </c>
    </row>
    <row r="3169" spans="1:8" ht="21.75" customHeight="1" x14ac:dyDescent="0.35">
      <c r="A3169" t="s">
        <v>3264</v>
      </c>
      <c r="B3169" s="3">
        <v>45345</v>
      </c>
      <c r="C3169" t="s">
        <v>451</v>
      </c>
      <c r="D3169" t="s">
        <v>48</v>
      </c>
      <c r="E3169" t="s">
        <v>11</v>
      </c>
      <c r="F3169" t="s">
        <v>56</v>
      </c>
      <c r="G3169" t="s">
        <v>23</v>
      </c>
      <c r="H3169">
        <v>16</v>
      </c>
    </row>
    <row r="3170" spans="1:8" ht="21.75" customHeight="1" x14ac:dyDescent="0.35">
      <c r="A3170" t="s">
        <v>3265</v>
      </c>
      <c r="B3170" s="3">
        <v>45623</v>
      </c>
      <c r="C3170" t="s">
        <v>108</v>
      </c>
      <c r="D3170" t="s">
        <v>45</v>
      </c>
      <c r="E3170" t="s">
        <v>17</v>
      </c>
      <c r="F3170" t="s">
        <v>42</v>
      </c>
      <c r="G3170" t="s">
        <v>28</v>
      </c>
      <c r="H3170">
        <v>15</v>
      </c>
    </row>
    <row r="3171" spans="1:8" ht="21.75" customHeight="1" x14ac:dyDescent="0.35">
      <c r="A3171" t="s">
        <v>3266</v>
      </c>
      <c r="B3171" s="3">
        <v>45303</v>
      </c>
      <c r="C3171" t="s">
        <v>396</v>
      </c>
      <c r="D3171" t="s">
        <v>109</v>
      </c>
      <c r="E3171" t="s">
        <v>17</v>
      </c>
      <c r="F3171" t="s">
        <v>306</v>
      </c>
      <c r="G3171" t="s">
        <v>36</v>
      </c>
      <c r="H3171">
        <v>14</v>
      </c>
    </row>
    <row r="3172" spans="1:8" ht="21.75" customHeight="1" x14ac:dyDescent="0.35">
      <c r="A3172" t="s">
        <v>3267</v>
      </c>
      <c r="B3172" s="3">
        <v>45534</v>
      </c>
      <c r="C3172" t="s">
        <v>78</v>
      </c>
      <c r="D3172" t="s">
        <v>26</v>
      </c>
      <c r="E3172" t="s">
        <v>22</v>
      </c>
      <c r="F3172" t="s">
        <v>42</v>
      </c>
      <c r="G3172" t="s">
        <v>36</v>
      </c>
      <c r="H3172">
        <v>11</v>
      </c>
    </row>
    <row r="3173" spans="1:8" ht="21.75" customHeight="1" x14ac:dyDescent="0.35">
      <c r="A3173" t="s">
        <v>3268</v>
      </c>
      <c r="B3173" s="3">
        <v>45497</v>
      </c>
      <c r="C3173" t="s">
        <v>68</v>
      </c>
      <c r="D3173" t="s">
        <v>79</v>
      </c>
      <c r="E3173" t="s">
        <v>11</v>
      </c>
      <c r="F3173" t="s">
        <v>306</v>
      </c>
      <c r="G3173" t="s">
        <v>13</v>
      </c>
      <c r="H3173">
        <v>14</v>
      </c>
    </row>
    <row r="3174" spans="1:8" ht="21.75" customHeight="1" x14ac:dyDescent="0.35">
      <c r="A3174" t="s">
        <v>3269</v>
      </c>
      <c r="B3174" s="3">
        <v>45429</v>
      </c>
      <c r="C3174" t="s">
        <v>314</v>
      </c>
      <c r="D3174" t="s">
        <v>31</v>
      </c>
      <c r="E3174" t="s">
        <v>22</v>
      </c>
      <c r="F3174" t="s">
        <v>12</v>
      </c>
      <c r="G3174" t="s">
        <v>28</v>
      </c>
      <c r="H3174">
        <v>17</v>
      </c>
    </row>
    <row r="3175" spans="1:8" ht="21.75" customHeight="1" x14ac:dyDescent="0.35">
      <c r="A3175" t="s">
        <v>3270</v>
      </c>
      <c r="B3175" s="3">
        <v>45445</v>
      </c>
      <c r="C3175" t="s">
        <v>327</v>
      </c>
      <c r="D3175" t="s">
        <v>62</v>
      </c>
      <c r="E3175" t="s">
        <v>22</v>
      </c>
      <c r="F3175" t="s">
        <v>56</v>
      </c>
      <c r="G3175" t="s">
        <v>36</v>
      </c>
      <c r="H3175">
        <v>5</v>
      </c>
    </row>
    <row r="3176" spans="1:8" ht="21.75" customHeight="1" x14ac:dyDescent="0.35">
      <c r="A3176" t="s">
        <v>3271</v>
      </c>
      <c r="B3176" s="3">
        <v>45462</v>
      </c>
      <c r="C3176" t="s">
        <v>728</v>
      </c>
      <c r="D3176" t="s">
        <v>79</v>
      </c>
      <c r="E3176" t="s">
        <v>11</v>
      </c>
      <c r="F3176" t="s">
        <v>42</v>
      </c>
      <c r="G3176" t="s">
        <v>28</v>
      </c>
      <c r="H3176">
        <v>12</v>
      </c>
    </row>
    <row r="3177" spans="1:8" ht="21.75" customHeight="1" x14ac:dyDescent="0.35">
      <c r="A3177" t="s">
        <v>3272</v>
      </c>
      <c r="B3177" s="3">
        <v>45376</v>
      </c>
      <c r="C3177" t="s">
        <v>366</v>
      </c>
      <c r="D3177" t="s">
        <v>96</v>
      </c>
      <c r="E3177" t="s">
        <v>22</v>
      </c>
      <c r="F3177" t="s">
        <v>56</v>
      </c>
      <c r="G3177" t="s">
        <v>28</v>
      </c>
      <c r="H3177">
        <v>6</v>
      </c>
    </row>
    <row r="3178" spans="1:8" ht="21.75" customHeight="1" x14ac:dyDescent="0.35">
      <c r="A3178" t="s">
        <v>3273</v>
      </c>
      <c r="B3178" s="3">
        <v>45333</v>
      </c>
      <c r="C3178" t="s">
        <v>44</v>
      </c>
      <c r="D3178" t="s">
        <v>197</v>
      </c>
      <c r="E3178" t="s">
        <v>11</v>
      </c>
      <c r="F3178" t="s">
        <v>27</v>
      </c>
      <c r="G3178" t="s">
        <v>13</v>
      </c>
      <c r="H3178">
        <v>8</v>
      </c>
    </row>
    <row r="3179" spans="1:8" ht="21.75" customHeight="1" x14ac:dyDescent="0.35">
      <c r="A3179" t="s">
        <v>3274</v>
      </c>
      <c r="B3179" s="3">
        <v>45576</v>
      </c>
      <c r="C3179" t="s">
        <v>420</v>
      </c>
      <c r="D3179" t="s">
        <v>48</v>
      </c>
      <c r="E3179" t="s">
        <v>11</v>
      </c>
      <c r="F3179" t="s">
        <v>27</v>
      </c>
      <c r="G3179" t="s">
        <v>28</v>
      </c>
      <c r="H3179">
        <v>12</v>
      </c>
    </row>
    <row r="3180" spans="1:8" ht="21.75" customHeight="1" x14ac:dyDescent="0.35">
      <c r="A3180" t="s">
        <v>3275</v>
      </c>
      <c r="B3180" s="3">
        <v>45573</v>
      </c>
      <c r="C3180" t="s">
        <v>455</v>
      </c>
      <c r="D3180" t="s">
        <v>31</v>
      </c>
      <c r="E3180" t="s">
        <v>22</v>
      </c>
      <c r="F3180" t="s">
        <v>56</v>
      </c>
      <c r="G3180" t="s">
        <v>23</v>
      </c>
      <c r="H3180">
        <v>13</v>
      </c>
    </row>
    <row r="3181" spans="1:8" ht="21.75" customHeight="1" x14ac:dyDescent="0.35">
      <c r="A3181" t="s">
        <v>3276</v>
      </c>
      <c r="B3181" s="3">
        <v>45653</v>
      </c>
      <c r="C3181" t="s">
        <v>78</v>
      </c>
      <c r="D3181" t="s">
        <v>119</v>
      </c>
      <c r="E3181" t="s">
        <v>11</v>
      </c>
      <c r="F3181" t="s">
        <v>27</v>
      </c>
      <c r="G3181" t="s">
        <v>28</v>
      </c>
      <c r="H3181">
        <v>11</v>
      </c>
    </row>
    <row r="3182" spans="1:8" ht="21.75" customHeight="1" x14ac:dyDescent="0.35">
      <c r="A3182" t="s">
        <v>3277</v>
      </c>
      <c r="B3182" s="3">
        <v>45360</v>
      </c>
      <c r="C3182" t="s">
        <v>341</v>
      </c>
      <c r="D3182" t="s">
        <v>119</v>
      </c>
      <c r="E3182" t="s">
        <v>17</v>
      </c>
      <c r="F3182" t="s">
        <v>42</v>
      </c>
      <c r="G3182" t="s">
        <v>23</v>
      </c>
      <c r="H3182">
        <v>20</v>
      </c>
    </row>
    <row r="3183" spans="1:8" ht="21.75" customHeight="1" x14ac:dyDescent="0.35">
      <c r="A3183" t="s">
        <v>3278</v>
      </c>
      <c r="B3183" s="3">
        <v>45328</v>
      </c>
      <c r="C3183" t="s">
        <v>20</v>
      </c>
      <c r="D3183" t="s">
        <v>35</v>
      </c>
      <c r="E3183" t="s">
        <v>22</v>
      </c>
      <c r="F3183" t="s">
        <v>306</v>
      </c>
      <c r="G3183" t="s">
        <v>13</v>
      </c>
      <c r="H3183">
        <v>8</v>
      </c>
    </row>
    <row r="3184" spans="1:8" ht="21.75" customHeight="1" x14ac:dyDescent="0.35">
      <c r="A3184" t="s">
        <v>3279</v>
      </c>
      <c r="B3184" s="3">
        <v>45383</v>
      </c>
      <c r="C3184" t="s">
        <v>337</v>
      </c>
      <c r="D3184" t="s">
        <v>197</v>
      </c>
      <c r="E3184" t="s">
        <v>17</v>
      </c>
      <c r="F3184" t="s">
        <v>42</v>
      </c>
      <c r="G3184" t="s">
        <v>32</v>
      </c>
      <c r="H3184">
        <v>17</v>
      </c>
    </row>
    <row r="3185" spans="1:8" ht="21.75" customHeight="1" x14ac:dyDescent="0.35">
      <c r="A3185" t="s">
        <v>3280</v>
      </c>
      <c r="B3185" s="3">
        <v>45604</v>
      </c>
      <c r="C3185" t="s">
        <v>327</v>
      </c>
      <c r="D3185" t="s">
        <v>119</v>
      </c>
      <c r="E3185" t="s">
        <v>17</v>
      </c>
      <c r="F3185" t="s">
        <v>12</v>
      </c>
      <c r="G3185" t="s">
        <v>28</v>
      </c>
      <c r="H3185">
        <v>5</v>
      </c>
    </row>
    <row r="3186" spans="1:8" ht="21.75" customHeight="1" x14ac:dyDescent="0.35">
      <c r="A3186" t="s">
        <v>3281</v>
      </c>
      <c r="B3186" s="3">
        <v>45314</v>
      </c>
      <c r="C3186" t="s">
        <v>133</v>
      </c>
      <c r="D3186" t="s">
        <v>74</v>
      </c>
      <c r="E3186" t="s">
        <v>17</v>
      </c>
      <c r="F3186" t="s">
        <v>12</v>
      </c>
      <c r="G3186" t="s">
        <v>32</v>
      </c>
      <c r="H3186">
        <v>13</v>
      </c>
    </row>
    <row r="3187" spans="1:8" ht="21.75" customHeight="1" x14ac:dyDescent="0.35">
      <c r="A3187" t="s">
        <v>3282</v>
      </c>
      <c r="B3187" s="3">
        <v>45509</v>
      </c>
      <c r="C3187" t="s">
        <v>125</v>
      </c>
      <c r="D3187" t="s">
        <v>74</v>
      </c>
      <c r="E3187" t="s">
        <v>17</v>
      </c>
      <c r="F3187" t="s">
        <v>27</v>
      </c>
      <c r="G3187" t="s">
        <v>23</v>
      </c>
      <c r="H3187">
        <v>2</v>
      </c>
    </row>
    <row r="3188" spans="1:8" ht="21.75" customHeight="1" x14ac:dyDescent="0.35">
      <c r="A3188" t="s">
        <v>3283</v>
      </c>
      <c r="B3188" s="3">
        <v>45507</v>
      </c>
      <c r="C3188" t="s">
        <v>235</v>
      </c>
      <c r="D3188" t="s">
        <v>45</v>
      </c>
      <c r="E3188" t="s">
        <v>17</v>
      </c>
      <c r="F3188" t="s">
        <v>306</v>
      </c>
      <c r="G3188" t="s">
        <v>13</v>
      </c>
      <c r="H3188">
        <v>15</v>
      </c>
    </row>
    <row r="3189" spans="1:8" ht="21.75" customHeight="1" x14ac:dyDescent="0.35">
      <c r="A3189" t="s">
        <v>3284</v>
      </c>
      <c r="B3189" s="3">
        <v>45469</v>
      </c>
      <c r="C3189" t="s">
        <v>455</v>
      </c>
      <c r="D3189" t="s">
        <v>84</v>
      </c>
      <c r="E3189" t="s">
        <v>11</v>
      </c>
      <c r="F3189" t="s">
        <v>27</v>
      </c>
      <c r="G3189" t="s">
        <v>13</v>
      </c>
      <c r="H3189">
        <v>6</v>
      </c>
    </row>
    <row r="3190" spans="1:8" ht="21.75" customHeight="1" x14ac:dyDescent="0.35">
      <c r="A3190" t="s">
        <v>3285</v>
      </c>
      <c r="B3190" s="3">
        <v>45586</v>
      </c>
      <c r="C3190" t="s">
        <v>358</v>
      </c>
      <c r="D3190" t="s">
        <v>31</v>
      </c>
      <c r="E3190" t="s">
        <v>22</v>
      </c>
      <c r="F3190" t="s">
        <v>27</v>
      </c>
      <c r="G3190" t="s">
        <v>13</v>
      </c>
      <c r="H3190">
        <v>16</v>
      </c>
    </row>
    <row r="3191" spans="1:8" ht="21.75" customHeight="1" x14ac:dyDescent="0.35">
      <c r="A3191" t="s">
        <v>3286</v>
      </c>
      <c r="B3191" s="3">
        <v>45635</v>
      </c>
      <c r="C3191" t="s">
        <v>341</v>
      </c>
      <c r="D3191" t="s">
        <v>87</v>
      </c>
      <c r="E3191" t="s">
        <v>11</v>
      </c>
      <c r="F3191" t="s">
        <v>42</v>
      </c>
      <c r="G3191" t="s">
        <v>23</v>
      </c>
      <c r="H3191">
        <v>9</v>
      </c>
    </row>
    <row r="3192" spans="1:8" ht="21.75" customHeight="1" x14ac:dyDescent="0.35">
      <c r="A3192" t="s">
        <v>3287</v>
      </c>
      <c r="B3192" s="3">
        <v>45351</v>
      </c>
      <c r="C3192" t="s">
        <v>493</v>
      </c>
      <c r="D3192" t="s">
        <v>70</v>
      </c>
      <c r="E3192" t="s">
        <v>22</v>
      </c>
      <c r="F3192" t="s">
        <v>42</v>
      </c>
      <c r="G3192" t="s">
        <v>23</v>
      </c>
      <c r="H3192">
        <v>11</v>
      </c>
    </row>
    <row r="3193" spans="1:8" ht="21.75" customHeight="1" x14ac:dyDescent="0.35">
      <c r="A3193" t="s">
        <v>3288</v>
      </c>
      <c r="B3193" s="3">
        <v>45478</v>
      </c>
      <c r="C3193" t="s">
        <v>40</v>
      </c>
      <c r="D3193" t="s">
        <v>45</v>
      </c>
      <c r="E3193" t="s">
        <v>17</v>
      </c>
      <c r="F3193" t="s">
        <v>306</v>
      </c>
      <c r="G3193" t="s">
        <v>23</v>
      </c>
      <c r="H3193">
        <v>3</v>
      </c>
    </row>
    <row r="3194" spans="1:8" ht="21.75" customHeight="1" x14ac:dyDescent="0.35">
      <c r="A3194" t="s">
        <v>3289</v>
      </c>
      <c r="B3194" s="3">
        <v>45464</v>
      </c>
      <c r="C3194" t="s">
        <v>369</v>
      </c>
      <c r="D3194" t="s">
        <v>59</v>
      </c>
      <c r="E3194" t="s">
        <v>17</v>
      </c>
      <c r="F3194" t="s">
        <v>56</v>
      </c>
      <c r="G3194" t="s">
        <v>36</v>
      </c>
      <c r="H3194">
        <v>20</v>
      </c>
    </row>
    <row r="3195" spans="1:8" ht="21.75" customHeight="1" x14ac:dyDescent="0.35">
      <c r="A3195" t="s">
        <v>3290</v>
      </c>
      <c r="B3195" s="3">
        <v>45524</v>
      </c>
      <c r="C3195" t="s">
        <v>348</v>
      </c>
      <c r="D3195" t="s">
        <v>79</v>
      </c>
      <c r="E3195" t="s">
        <v>17</v>
      </c>
      <c r="F3195" t="s">
        <v>42</v>
      </c>
      <c r="G3195" t="s">
        <v>13</v>
      </c>
      <c r="H3195">
        <v>4</v>
      </c>
    </row>
    <row r="3196" spans="1:8" ht="21.75" customHeight="1" x14ac:dyDescent="0.35">
      <c r="A3196" t="s">
        <v>3291</v>
      </c>
      <c r="B3196" s="3">
        <v>45527</v>
      </c>
      <c r="C3196" t="s">
        <v>83</v>
      </c>
      <c r="D3196" t="s">
        <v>79</v>
      </c>
      <c r="E3196" t="s">
        <v>22</v>
      </c>
      <c r="F3196" t="s">
        <v>42</v>
      </c>
      <c r="G3196" t="s">
        <v>32</v>
      </c>
      <c r="H3196">
        <v>14</v>
      </c>
    </row>
    <row r="3197" spans="1:8" ht="21.75" customHeight="1" x14ac:dyDescent="0.35">
      <c r="A3197" t="s">
        <v>3292</v>
      </c>
      <c r="B3197" s="3">
        <v>45443</v>
      </c>
      <c r="C3197" t="s">
        <v>337</v>
      </c>
      <c r="D3197" t="s">
        <v>96</v>
      </c>
      <c r="E3197" t="s">
        <v>22</v>
      </c>
      <c r="F3197" t="s">
        <v>42</v>
      </c>
      <c r="G3197" t="s">
        <v>28</v>
      </c>
      <c r="H3197">
        <v>10</v>
      </c>
    </row>
    <row r="3198" spans="1:8" ht="21.75" customHeight="1" x14ac:dyDescent="0.35">
      <c r="A3198" t="s">
        <v>3293</v>
      </c>
      <c r="B3198" s="3">
        <v>45300</v>
      </c>
      <c r="C3198" t="s">
        <v>430</v>
      </c>
      <c r="D3198" t="s">
        <v>72</v>
      </c>
      <c r="E3198" t="s">
        <v>17</v>
      </c>
      <c r="F3198" t="s">
        <v>12</v>
      </c>
      <c r="G3198" t="s">
        <v>36</v>
      </c>
      <c r="H3198">
        <v>4</v>
      </c>
    </row>
    <row r="3199" spans="1:8" ht="21.75" customHeight="1" x14ac:dyDescent="0.35">
      <c r="A3199" t="s">
        <v>3294</v>
      </c>
      <c r="B3199" s="3">
        <v>45310</v>
      </c>
      <c r="C3199" t="s">
        <v>312</v>
      </c>
      <c r="D3199" t="s">
        <v>84</v>
      </c>
      <c r="E3199" t="s">
        <v>17</v>
      </c>
      <c r="F3199" t="s">
        <v>56</v>
      </c>
      <c r="G3199" t="s">
        <v>28</v>
      </c>
      <c r="H3199">
        <v>3</v>
      </c>
    </row>
    <row r="3200" spans="1:8" ht="21.75" customHeight="1" x14ac:dyDescent="0.35">
      <c r="A3200" t="s">
        <v>3295</v>
      </c>
      <c r="B3200" s="3">
        <v>45356</v>
      </c>
      <c r="C3200" t="s">
        <v>388</v>
      </c>
      <c r="D3200" t="s">
        <v>16</v>
      </c>
      <c r="E3200" t="s">
        <v>22</v>
      </c>
      <c r="F3200" t="s">
        <v>27</v>
      </c>
      <c r="G3200" t="s">
        <v>23</v>
      </c>
      <c r="H3200">
        <v>9</v>
      </c>
    </row>
    <row r="3201" spans="1:8" ht="21.75" customHeight="1" x14ac:dyDescent="0.35">
      <c r="A3201" t="s">
        <v>3296</v>
      </c>
      <c r="B3201" s="3">
        <v>45526</v>
      </c>
      <c r="C3201" t="s">
        <v>465</v>
      </c>
      <c r="D3201" t="s">
        <v>109</v>
      </c>
      <c r="E3201" t="s">
        <v>11</v>
      </c>
      <c r="F3201" t="s">
        <v>306</v>
      </c>
      <c r="G3201" t="s">
        <v>36</v>
      </c>
      <c r="H3201">
        <v>15</v>
      </c>
    </row>
    <row r="3202" spans="1:8" ht="21.75" customHeight="1" x14ac:dyDescent="0.35">
      <c r="A3202" t="s">
        <v>3297</v>
      </c>
      <c r="B3202" s="3">
        <v>45459</v>
      </c>
      <c r="C3202" t="s">
        <v>200</v>
      </c>
      <c r="D3202" t="s">
        <v>79</v>
      </c>
      <c r="E3202" t="s">
        <v>11</v>
      </c>
      <c r="F3202" t="s">
        <v>306</v>
      </c>
      <c r="G3202" t="s">
        <v>13</v>
      </c>
      <c r="H3202">
        <v>13</v>
      </c>
    </row>
    <row r="3203" spans="1:8" ht="21.75" customHeight="1" x14ac:dyDescent="0.35">
      <c r="A3203" t="s">
        <v>3298</v>
      </c>
      <c r="B3203" s="3">
        <v>45332</v>
      </c>
      <c r="C3203" t="s">
        <v>47</v>
      </c>
      <c r="D3203" t="s">
        <v>21</v>
      </c>
      <c r="E3203" t="s">
        <v>22</v>
      </c>
      <c r="F3203" t="s">
        <v>42</v>
      </c>
      <c r="G3203" t="s">
        <v>23</v>
      </c>
      <c r="H3203">
        <v>13</v>
      </c>
    </row>
    <row r="3204" spans="1:8" ht="21.75" customHeight="1" x14ac:dyDescent="0.35">
      <c r="A3204" t="s">
        <v>3299</v>
      </c>
      <c r="B3204" s="3">
        <v>45423</v>
      </c>
      <c r="C3204" t="s">
        <v>329</v>
      </c>
      <c r="D3204" t="s">
        <v>21</v>
      </c>
      <c r="E3204" t="s">
        <v>22</v>
      </c>
      <c r="F3204" t="s">
        <v>12</v>
      </c>
      <c r="G3204" t="s">
        <v>23</v>
      </c>
      <c r="H3204">
        <v>4</v>
      </c>
    </row>
    <row r="3205" spans="1:8" ht="21.75" customHeight="1" x14ac:dyDescent="0.35">
      <c r="A3205" t="s">
        <v>3300</v>
      </c>
      <c r="B3205" s="3">
        <v>45584</v>
      </c>
      <c r="C3205" t="s">
        <v>86</v>
      </c>
      <c r="D3205" t="s">
        <v>74</v>
      </c>
      <c r="E3205" t="s">
        <v>22</v>
      </c>
      <c r="F3205" t="s">
        <v>306</v>
      </c>
      <c r="G3205" t="s">
        <v>36</v>
      </c>
      <c r="H3205">
        <v>8</v>
      </c>
    </row>
    <row r="3206" spans="1:8" ht="21.75" customHeight="1" x14ac:dyDescent="0.35">
      <c r="A3206" t="s">
        <v>3301</v>
      </c>
      <c r="B3206" s="3">
        <v>45317</v>
      </c>
      <c r="C3206" t="s">
        <v>200</v>
      </c>
      <c r="D3206" t="s">
        <v>59</v>
      </c>
      <c r="E3206" t="s">
        <v>17</v>
      </c>
      <c r="F3206" t="s">
        <v>56</v>
      </c>
      <c r="G3206" t="s">
        <v>23</v>
      </c>
      <c r="H3206">
        <v>9</v>
      </c>
    </row>
    <row r="3207" spans="1:8" ht="21.75" customHeight="1" x14ac:dyDescent="0.35">
      <c r="A3207" t="s">
        <v>3302</v>
      </c>
      <c r="B3207" s="3">
        <v>45387</v>
      </c>
      <c r="C3207" t="s">
        <v>89</v>
      </c>
      <c r="D3207" t="s">
        <v>160</v>
      </c>
      <c r="E3207" t="s">
        <v>22</v>
      </c>
      <c r="F3207" t="s">
        <v>12</v>
      </c>
      <c r="G3207" t="s">
        <v>36</v>
      </c>
      <c r="H3207">
        <v>13</v>
      </c>
    </row>
    <row r="3208" spans="1:8" ht="21.75" customHeight="1" x14ac:dyDescent="0.35">
      <c r="A3208" t="s">
        <v>3303</v>
      </c>
      <c r="B3208" s="3">
        <v>45639</v>
      </c>
      <c r="C3208" t="s">
        <v>55</v>
      </c>
      <c r="D3208" t="s">
        <v>26</v>
      </c>
      <c r="E3208" t="s">
        <v>11</v>
      </c>
      <c r="F3208" t="s">
        <v>27</v>
      </c>
      <c r="G3208" t="s">
        <v>28</v>
      </c>
      <c r="H3208">
        <v>1</v>
      </c>
    </row>
    <row r="3209" spans="1:8" ht="21.75" customHeight="1" x14ac:dyDescent="0.35">
      <c r="A3209" t="s">
        <v>3304</v>
      </c>
      <c r="B3209" s="3">
        <v>45628</v>
      </c>
      <c r="C3209" t="s">
        <v>34</v>
      </c>
      <c r="D3209" t="s">
        <v>26</v>
      </c>
      <c r="E3209" t="s">
        <v>17</v>
      </c>
      <c r="F3209" t="s">
        <v>27</v>
      </c>
      <c r="G3209" t="s">
        <v>36</v>
      </c>
      <c r="H3209">
        <v>11</v>
      </c>
    </row>
    <row r="3210" spans="1:8" ht="21.75" customHeight="1" x14ac:dyDescent="0.35">
      <c r="A3210" t="s">
        <v>3305</v>
      </c>
      <c r="B3210" s="3">
        <v>45407</v>
      </c>
      <c r="C3210" t="s">
        <v>138</v>
      </c>
      <c r="D3210" t="s">
        <v>62</v>
      </c>
      <c r="E3210" t="s">
        <v>17</v>
      </c>
      <c r="F3210" t="s">
        <v>56</v>
      </c>
      <c r="G3210" t="s">
        <v>13</v>
      </c>
      <c r="H3210">
        <v>20</v>
      </c>
    </row>
    <row r="3211" spans="1:8" ht="21.75" customHeight="1" x14ac:dyDescent="0.35">
      <c r="A3211" t="s">
        <v>3306</v>
      </c>
      <c r="B3211" s="3">
        <v>45656</v>
      </c>
      <c r="C3211" t="s">
        <v>493</v>
      </c>
      <c r="D3211" t="s">
        <v>70</v>
      </c>
      <c r="E3211" t="s">
        <v>22</v>
      </c>
      <c r="F3211" t="s">
        <v>27</v>
      </c>
      <c r="G3211" t="s">
        <v>36</v>
      </c>
      <c r="H3211">
        <v>11</v>
      </c>
    </row>
    <row r="3212" spans="1:8" ht="21.75" customHeight="1" x14ac:dyDescent="0.35">
      <c r="A3212" t="s">
        <v>3307</v>
      </c>
      <c r="B3212" s="3">
        <v>45535</v>
      </c>
      <c r="C3212" t="s">
        <v>642</v>
      </c>
      <c r="D3212" t="s">
        <v>96</v>
      </c>
      <c r="E3212" t="s">
        <v>17</v>
      </c>
      <c r="F3212" t="s">
        <v>42</v>
      </c>
      <c r="G3212" t="s">
        <v>32</v>
      </c>
      <c r="H3212">
        <v>12</v>
      </c>
    </row>
    <row r="3213" spans="1:8" ht="21.75" customHeight="1" x14ac:dyDescent="0.35">
      <c r="A3213" t="s">
        <v>3308</v>
      </c>
      <c r="B3213" s="3">
        <v>45369</v>
      </c>
      <c r="C3213" t="s">
        <v>319</v>
      </c>
      <c r="D3213" t="s">
        <v>84</v>
      </c>
      <c r="E3213" t="s">
        <v>17</v>
      </c>
      <c r="F3213" t="s">
        <v>56</v>
      </c>
      <c r="G3213" t="s">
        <v>36</v>
      </c>
      <c r="H3213">
        <v>6</v>
      </c>
    </row>
    <row r="3214" spans="1:8" ht="21.75" customHeight="1" x14ac:dyDescent="0.35">
      <c r="A3214" t="s">
        <v>3309</v>
      </c>
      <c r="B3214" s="3">
        <v>45422</v>
      </c>
      <c r="C3214" t="s">
        <v>341</v>
      </c>
      <c r="D3214" t="s">
        <v>79</v>
      </c>
      <c r="E3214" t="s">
        <v>22</v>
      </c>
      <c r="F3214" t="s">
        <v>306</v>
      </c>
      <c r="G3214" t="s">
        <v>13</v>
      </c>
      <c r="H3214">
        <v>16</v>
      </c>
    </row>
    <row r="3215" spans="1:8" ht="21.75" customHeight="1" x14ac:dyDescent="0.35">
      <c r="A3215" t="s">
        <v>3310</v>
      </c>
      <c r="B3215" s="3">
        <v>45468</v>
      </c>
      <c r="C3215" t="s">
        <v>81</v>
      </c>
      <c r="D3215" t="s">
        <v>65</v>
      </c>
      <c r="E3215" t="s">
        <v>22</v>
      </c>
      <c r="F3215" t="s">
        <v>306</v>
      </c>
      <c r="G3215" t="s">
        <v>32</v>
      </c>
      <c r="H3215">
        <v>10</v>
      </c>
    </row>
    <row r="3216" spans="1:8" ht="21.75" customHeight="1" x14ac:dyDescent="0.35">
      <c r="A3216" t="s">
        <v>3311</v>
      </c>
      <c r="B3216" s="3">
        <v>45453</v>
      </c>
      <c r="C3216" t="s">
        <v>430</v>
      </c>
      <c r="D3216" t="s">
        <v>41</v>
      </c>
      <c r="E3216" t="s">
        <v>17</v>
      </c>
      <c r="F3216" t="s">
        <v>12</v>
      </c>
      <c r="G3216" t="s">
        <v>28</v>
      </c>
      <c r="H3216">
        <v>20</v>
      </c>
    </row>
    <row r="3217" spans="1:8" ht="21.75" customHeight="1" x14ac:dyDescent="0.35">
      <c r="A3217" t="s">
        <v>3312</v>
      </c>
      <c r="B3217" s="3">
        <v>45611</v>
      </c>
      <c r="C3217" t="s">
        <v>182</v>
      </c>
      <c r="D3217" t="s">
        <v>59</v>
      </c>
      <c r="E3217" t="s">
        <v>17</v>
      </c>
      <c r="F3217" t="s">
        <v>27</v>
      </c>
      <c r="G3217" t="s">
        <v>13</v>
      </c>
      <c r="H3217">
        <v>10</v>
      </c>
    </row>
    <row r="3218" spans="1:8" ht="21.75" customHeight="1" x14ac:dyDescent="0.35">
      <c r="A3218" t="s">
        <v>3313</v>
      </c>
      <c r="B3218" s="3">
        <v>45543</v>
      </c>
      <c r="C3218" t="s">
        <v>93</v>
      </c>
      <c r="D3218" t="s">
        <v>31</v>
      </c>
      <c r="E3218" t="s">
        <v>22</v>
      </c>
      <c r="F3218" t="s">
        <v>56</v>
      </c>
      <c r="G3218" t="s">
        <v>23</v>
      </c>
      <c r="H3218">
        <v>20</v>
      </c>
    </row>
    <row r="3219" spans="1:8" ht="21.75" customHeight="1" x14ac:dyDescent="0.35">
      <c r="A3219" t="s">
        <v>3314</v>
      </c>
      <c r="B3219" s="3">
        <v>45355</v>
      </c>
      <c r="C3219" t="s">
        <v>108</v>
      </c>
      <c r="D3219" t="s">
        <v>31</v>
      </c>
      <c r="E3219" t="s">
        <v>11</v>
      </c>
      <c r="F3219" t="s">
        <v>56</v>
      </c>
      <c r="G3219" t="s">
        <v>13</v>
      </c>
      <c r="H3219">
        <v>19</v>
      </c>
    </row>
    <row r="3220" spans="1:8" ht="21.75" customHeight="1" x14ac:dyDescent="0.35">
      <c r="A3220" t="s">
        <v>3315</v>
      </c>
      <c r="B3220" s="3">
        <v>45373</v>
      </c>
      <c r="C3220" t="s">
        <v>337</v>
      </c>
      <c r="D3220" t="s">
        <v>119</v>
      </c>
      <c r="E3220" t="s">
        <v>22</v>
      </c>
      <c r="F3220" t="s">
        <v>27</v>
      </c>
      <c r="G3220" t="s">
        <v>36</v>
      </c>
      <c r="H3220">
        <v>14</v>
      </c>
    </row>
    <row r="3221" spans="1:8" ht="21.75" customHeight="1" x14ac:dyDescent="0.35">
      <c r="A3221" t="s">
        <v>3316</v>
      </c>
      <c r="B3221" s="3">
        <v>45403</v>
      </c>
      <c r="C3221" t="s">
        <v>572</v>
      </c>
      <c r="D3221" t="s">
        <v>109</v>
      </c>
      <c r="E3221" t="s">
        <v>17</v>
      </c>
      <c r="F3221" t="s">
        <v>42</v>
      </c>
      <c r="G3221" t="s">
        <v>32</v>
      </c>
      <c r="H3221">
        <v>4</v>
      </c>
    </row>
    <row r="3222" spans="1:8" ht="21.75" customHeight="1" x14ac:dyDescent="0.35">
      <c r="A3222" t="s">
        <v>3317</v>
      </c>
      <c r="B3222" s="3">
        <v>45643</v>
      </c>
      <c r="C3222" t="s">
        <v>541</v>
      </c>
      <c r="D3222" t="s">
        <v>119</v>
      </c>
      <c r="E3222" t="s">
        <v>22</v>
      </c>
      <c r="F3222" t="s">
        <v>42</v>
      </c>
      <c r="G3222" t="s">
        <v>36</v>
      </c>
      <c r="H3222">
        <v>18</v>
      </c>
    </row>
    <row r="3223" spans="1:8" ht="21.75" customHeight="1" x14ac:dyDescent="0.35">
      <c r="A3223" t="s">
        <v>3318</v>
      </c>
      <c r="B3223" s="3">
        <v>45407</v>
      </c>
      <c r="C3223" t="s">
        <v>341</v>
      </c>
      <c r="D3223" t="s">
        <v>35</v>
      </c>
      <c r="E3223" t="s">
        <v>17</v>
      </c>
      <c r="F3223" t="s">
        <v>42</v>
      </c>
      <c r="G3223" t="s">
        <v>23</v>
      </c>
      <c r="H3223">
        <v>6</v>
      </c>
    </row>
    <row r="3224" spans="1:8" ht="21.75" customHeight="1" x14ac:dyDescent="0.35">
      <c r="A3224" t="s">
        <v>3319</v>
      </c>
      <c r="B3224" s="3">
        <v>45382</v>
      </c>
      <c r="C3224" t="s">
        <v>341</v>
      </c>
      <c r="D3224" t="s">
        <v>74</v>
      </c>
      <c r="E3224" t="s">
        <v>11</v>
      </c>
      <c r="F3224" t="s">
        <v>306</v>
      </c>
      <c r="G3224" t="s">
        <v>32</v>
      </c>
      <c r="H3224">
        <v>15</v>
      </c>
    </row>
    <row r="3225" spans="1:8" ht="21.75" customHeight="1" x14ac:dyDescent="0.35">
      <c r="A3225" t="s">
        <v>3320</v>
      </c>
      <c r="B3225" s="3">
        <v>45641</v>
      </c>
      <c r="C3225" t="s">
        <v>108</v>
      </c>
      <c r="D3225" t="s">
        <v>31</v>
      </c>
      <c r="E3225" t="s">
        <v>22</v>
      </c>
      <c r="F3225" t="s">
        <v>27</v>
      </c>
      <c r="G3225" t="s">
        <v>23</v>
      </c>
      <c r="H3225">
        <v>14</v>
      </c>
    </row>
    <row r="3226" spans="1:8" ht="21.75" customHeight="1" x14ac:dyDescent="0.35">
      <c r="A3226" t="s">
        <v>3321</v>
      </c>
      <c r="B3226" s="3">
        <v>45306</v>
      </c>
      <c r="C3226" t="s">
        <v>381</v>
      </c>
      <c r="D3226" t="s">
        <v>197</v>
      </c>
      <c r="E3226" t="s">
        <v>11</v>
      </c>
      <c r="F3226" t="s">
        <v>306</v>
      </c>
      <c r="G3226" t="s">
        <v>36</v>
      </c>
      <c r="H3226">
        <v>17</v>
      </c>
    </row>
    <row r="3227" spans="1:8" ht="21.75" customHeight="1" x14ac:dyDescent="0.35">
      <c r="A3227" t="s">
        <v>3322</v>
      </c>
      <c r="B3227" s="3">
        <v>45598</v>
      </c>
      <c r="C3227" t="s">
        <v>314</v>
      </c>
      <c r="D3227" t="s">
        <v>84</v>
      </c>
      <c r="E3227" t="s">
        <v>17</v>
      </c>
      <c r="F3227" t="s">
        <v>12</v>
      </c>
      <c r="G3227" t="s">
        <v>32</v>
      </c>
      <c r="H3227">
        <v>20</v>
      </c>
    </row>
    <row r="3228" spans="1:8" ht="21.75" customHeight="1" x14ac:dyDescent="0.35">
      <c r="A3228" t="s">
        <v>3323</v>
      </c>
      <c r="B3228" s="3">
        <v>45583</v>
      </c>
      <c r="C3228" t="s">
        <v>451</v>
      </c>
      <c r="D3228" t="s">
        <v>35</v>
      </c>
      <c r="E3228" t="s">
        <v>22</v>
      </c>
      <c r="F3228" t="s">
        <v>12</v>
      </c>
      <c r="G3228" t="s">
        <v>32</v>
      </c>
      <c r="H3228">
        <v>1</v>
      </c>
    </row>
    <row r="3229" spans="1:8" ht="21.75" customHeight="1" x14ac:dyDescent="0.35">
      <c r="A3229" t="s">
        <v>3324</v>
      </c>
      <c r="B3229" s="3">
        <v>45626</v>
      </c>
      <c r="C3229" t="s">
        <v>53</v>
      </c>
      <c r="D3229" t="s">
        <v>174</v>
      </c>
      <c r="E3229" t="s">
        <v>22</v>
      </c>
      <c r="F3229" t="s">
        <v>56</v>
      </c>
      <c r="G3229" t="s">
        <v>28</v>
      </c>
      <c r="H3229">
        <v>15</v>
      </c>
    </row>
    <row r="3230" spans="1:8" ht="21.75" customHeight="1" x14ac:dyDescent="0.35">
      <c r="A3230" t="s">
        <v>3325</v>
      </c>
      <c r="B3230" s="3">
        <v>45414</v>
      </c>
      <c r="C3230" t="s">
        <v>235</v>
      </c>
      <c r="D3230" t="s">
        <v>35</v>
      </c>
      <c r="E3230" t="s">
        <v>22</v>
      </c>
      <c r="F3230" t="s">
        <v>56</v>
      </c>
      <c r="G3230" t="s">
        <v>32</v>
      </c>
      <c r="H3230">
        <v>5</v>
      </c>
    </row>
    <row r="3231" spans="1:8" ht="21.75" customHeight="1" x14ac:dyDescent="0.35">
      <c r="A3231" t="s">
        <v>3326</v>
      </c>
      <c r="B3231" s="3">
        <v>45307</v>
      </c>
      <c r="C3231" t="s">
        <v>95</v>
      </c>
      <c r="D3231" t="s">
        <v>59</v>
      </c>
      <c r="E3231" t="s">
        <v>17</v>
      </c>
      <c r="F3231" t="s">
        <v>27</v>
      </c>
      <c r="G3231" t="s">
        <v>28</v>
      </c>
      <c r="H3231">
        <v>20</v>
      </c>
    </row>
    <row r="3232" spans="1:8" ht="21.75" customHeight="1" x14ac:dyDescent="0.35">
      <c r="A3232" t="s">
        <v>3327</v>
      </c>
      <c r="B3232" s="3">
        <v>45415</v>
      </c>
      <c r="C3232" t="s">
        <v>235</v>
      </c>
      <c r="D3232" t="s">
        <v>70</v>
      </c>
      <c r="E3232" t="s">
        <v>22</v>
      </c>
      <c r="F3232" t="s">
        <v>12</v>
      </c>
      <c r="G3232" t="s">
        <v>36</v>
      </c>
      <c r="H3232">
        <v>11</v>
      </c>
    </row>
    <row r="3233" spans="1:8" ht="21.75" customHeight="1" x14ac:dyDescent="0.35">
      <c r="A3233" t="s">
        <v>3328</v>
      </c>
      <c r="B3233" s="3">
        <v>45373</v>
      </c>
      <c r="C3233" t="s">
        <v>78</v>
      </c>
      <c r="D3233" t="s">
        <v>70</v>
      </c>
      <c r="E3233" t="s">
        <v>22</v>
      </c>
      <c r="F3233" t="s">
        <v>12</v>
      </c>
      <c r="G3233" t="s">
        <v>13</v>
      </c>
      <c r="H3233">
        <v>2</v>
      </c>
    </row>
    <row r="3234" spans="1:8" ht="21.75" customHeight="1" x14ac:dyDescent="0.35">
      <c r="A3234" t="s">
        <v>3329</v>
      </c>
      <c r="B3234" s="3">
        <v>45500</v>
      </c>
      <c r="C3234" t="s">
        <v>363</v>
      </c>
      <c r="D3234" t="s">
        <v>35</v>
      </c>
      <c r="E3234" t="s">
        <v>17</v>
      </c>
      <c r="F3234" t="s">
        <v>12</v>
      </c>
      <c r="G3234" t="s">
        <v>23</v>
      </c>
      <c r="H3234">
        <v>9</v>
      </c>
    </row>
    <row r="3235" spans="1:8" ht="21.75" customHeight="1" x14ac:dyDescent="0.35">
      <c r="A3235" t="s">
        <v>3330</v>
      </c>
      <c r="B3235" s="3">
        <v>45567</v>
      </c>
      <c r="C3235" t="s">
        <v>114</v>
      </c>
      <c r="D3235" t="s">
        <v>62</v>
      </c>
      <c r="E3235" t="s">
        <v>22</v>
      </c>
      <c r="F3235" t="s">
        <v>306</v>
      </c>
      <c r="G3235" t="s">
        <v>13</v>
      </c>
      <c r="H3235">
        <v>15</v>
      </c>
    </row>
    <row r="3236" spans="1:8" ht="21.75" customHeight="1" x14ac:dyDescent="0.35">
      <c r="A3236" t="s">
        <v>3331</v>
      </c>
      <c r="B3236" s="3">
        <v>45322</v>
      </c>
      <c r="C3236" t="s">
        <v>61</v>
      </c>
      <c r="D3236" t="s">
        <v>31</v>
      </c>
      <c r="E3236" t="s">
        <v>22</v>
      </c>
      <c r="F3236" t="s">
        <v>12</v>
      </c>
      <c r="G3236" t="s">
        <v>32</v>
      </c>
      <c r="H3236">
        <v>13</v>
      </c>
    </row>
    <row r="3237" spans="1:8" ht="21.75" customHeight="1" x14ac:dyDescent="0.35">
      <c r="A3237" t="s">
        <v>3332</v>
      </c>
      <c r="B3237" s="3">
        <v>45553</v>
      </c>
      <c r="C3237" t="s">
        <v>451</v>
      </c>
      <c r="D3237" t="s">
        <v>21</v>
      </c>
      <c r="E3237" t="s">
        <v>17</v>
      </c>
      <c r="F3237" t="s">
        <v>27</v>
      </c>
      <c r="G3237" t="s">
        <v>13</v>
      </c>
      <c r="H3237">
        <v>4</v>
      </c>
    </row>
    <row r="3238" spans="1:8" ht="21.75" customHeight="1" x14ac:dyDescent="0.35">
      <c r="A3238" t="s">
        <v>3333</v>
      </c>
      <c r="B3238" s="3">
        <v>45426</v>
      </c>
      <c r="C3238" t="s">
        <v>332</v>
      </c>
      <c r="D3238" t="s">
        <v>59</v>
      </c>
      <c r="E3238" t="s">
        <v>11</v>
      </c>
      <c r="F3238" t="s">
        <v>56</v>
      </c>
      <c r="G3238" t="s">
        <v>32</v>
      </c>
      <c r="H3238">
        <v>14</v>
      </c>
    </row>
    <row r="3239" spans="1:8" ht="21.75" customHeight="1" x14ac:dyDescent="0.35">
      <c r="A3239" t="s">
        <v>3334</v>
      </c>
      <c r="B3239" s="3">
        <v>45364</v>
      </c>
      <c r="C3239" t="s">
        <v>78</v>
      </c>
      <c r="D3239" t="s">
        <v>35</v>
      </c>
      <c r="E3239" t="s">
        <v>11</v>
      </c>
      <c r="F3239" t="s">
        <v>42</v>
      </c>
      <c r="G3239" t="s">
        <v>13</v>
      </c>
      <c r="H3239">
        <v>11</v>
      </c>
    </row>
    <row r="3240" spans="1:8" ht="21.75" customHeight="1" x14ac:dyDescent="0.35">
      <c r="A3240" t="s">
        <v>3335</v>
      </c>
      <c r="B3240" s="3">
        <v>45329</v>
      </c>
      <c r="C3240" t="s">
        <v>366</v>
      </c>
      <c r="D3240" t="s">
        <v>62</v>
      </c>
      <c r="E3240" t="s">
        <v>17</v>
      </c>
      <c r="F3240" t="s">
        <v>56</v>
      </c>
      <c r="G3240" t="s">
        <v>32</v>
      </c>
      <c r="H3240">
        <v>11</v>
      </c>
    </row>
    <row r="3241" spans="1:8" ht="21.75" customHeight="1" x14ac:dyDescent="0.35">
      <c r="A3241" t="s">
        <v>3336</v>
      </c>
      <c r="B3241" s="3">
        <v>45519</v>
      </c>
      <c r="C3241" t="s">
        <v>118</v>
      </c>
      <c r="D3241" t="s">
        <v>70</v>
      </c>
      <c r="E3241" t="s">
        <v>22</v>
      </c>
      <c r="F3241" t="s">
        <v>42</v>
      </c>
      <c r="G3241" t="s">
        <v>36</v>
      </c>
      <c r="H3241">
        <v>9</v>
      </c>
    </row>
    <row r="3242" spans="1:8" ht="21.75" customHeight="1" x14ac:dyDescent="0.35">
      <c r="A3242" t="s">
        <v>3337</v>
      </c>
      <c r="B3242" s="3">
        <v>45363</v>
      </c>
      <c r="C3242" t="s">
        <v>167</v>
      </c>
      <c r="D3242" t="s">
        <v>160</v>
      </c>
      <c r="E3242" t="s">
        <v>17</v>
      </c>
      <c r="F3242" t="s">
        <v>12</v>
      </c>
      <c r="G3242" t="s">
        <v>28</v>
      </c>
      <c r="H3242">
        <v>12</v>
      </c>
    </row>
    <row r="3243" spans="1:8" ht="21.75" customHeight="1" x14ac:dyDescent="0.35">
      <c r="A3243" t="s">
        <v>3338</v>
      </c>
      <c r="B3243" s="3">
        <v>45441</v>
      </c>
      <c r="C3243" t="s">
        <v>147</v>
      </c>
      <c r="D3243" t="s">
        <v>62</v>
      </c>
      <c r="E3243" t="s">
        <v>11</v>
      </c>
      <c r="F3243" t="s">
        <v>306</v>
      </c>
      <c r="G3243" t="s">
        <v>32</v>
      </c>
      <c r="H3243">
        <v>16</v>
      </c>
    </row>
    <row r="3244" spans="1:8" ht="21.75" customHeight="1" x14ac:dyDescent="0.35">
      <c r="A3244" t="s">
        <v>3339</v>
      </c>
      <c r="B3244" s="3">
        <v>45636</v>
      </c>
      <c r="C3244" t="s">
        <v>61</v>
      </c>
      <c r="D3244" t="s">
        <v>16</v>
      </c>
      <c r="E3244" t="s">
        <v>22</v>
      </c>
      <c r="F3244" t="s">
        <v>56</v>
      </c>
      <c r="G3244" t="s">
        <v>28</v>
      </c>
      <c r="H3244">
        <v>20</v>
      </c>
    </row>
    <row r="3245" spans="1:8" ht="21.75" customHeight="1" x14ac:dyDescent="0.35">
      <c r="A3245" t="s">
        <v>3340</v>
      </c>
      <c r="B3245" s="3">
        <v>45488</v>
      </c>
      <c r="C3245" t="s">
        <v>230</v>
      </c>
      <c r="D3245" t="s">
        <v>21</v>
      </c>
      <c r="E3245" t="s">
        <v>11</v>
      </c>
      <c r="F3245" t="s">
        <v>12</v>
      </c>
      <c r="G3245" t="s">
        <v>28</v>
      </c>
      <c r="H3245">
        <v>19</v>
      </c>
    </row>
    <row r="3246" spans="1:8" ht="21.75" customHeight="1" x14ac:dyDescent="0.35">
      <c r="A3246" t="s">
        <v>3341</v>
      </c>
      <c r="B3246" s="3">
        <v>45591</v>
      </c>
      <c r="C3246" t="s">
        <v>142</v>
      </c>
      <c r="D3246" t="s">
        <v>26</v>
      </c>
      <c r="E3246" t="s">
        <v>17</v>
      </c>
      <c r="F3246" t="s">
        <v>306</v>
      </c>
      <c r="G3246" t="s">
        <v>36</v>
      </c>
      <c r="H3246">
        <v>13</v>
      </c>
    </row>
    <row r="3247" spans="1:8" ht="21.75" customHeight="1" x14ac:dyDescent="0.35">
      <c r="A3247" t="s">
        <v>3342</v>
      </c>
      <c r="B3247" s="3">
        <v>45379</v>
      </c>
      <c r="C3247" t="s">
        <v>20</v>
      </c>
      <c r="D3247" t="s">
        <v>21</v>
      </c>
      <c r="E3247" t="s">
        <v>11</v>
      </c>
      <c r="F3247" t="s">
        <v>306</v>
      </c>
      <c r="G3247" t="s">
        <v>36</v>
      </c>
      <c r="H3247">
        <v>11</v>
      </c>
    </row>
    <row r="3248" spans="1:8" ht="21.75" customHeight="1" x14ac:dyDescent="0.35">
      <c r="A3248" t="s">
        <v>3343</v>
      </c>
      <c r="B3248" s="3">
        <v>45485</v>
      </c>
      <c r="C3248" t="s">
        <v>374</v>
      </c>
      <c r="D3248" t="s">
        <v>21</v>
      </c>
      <c r="E3248" t="s">
        <v>11</v>
      </c>
      <c r="F3248" t="s">
        <v>306</v>
      </c>
      <c r="G3248" t="s">
        <v>23</v>
      </c>
      <c r="H3248">
        <v>6</v>
      </c>
    </row>
    <row r="3249" spans="1:8" ht="21.75" customHeight="1" x14ac:dyDescent="0.35">
      <c r="A3249" t="s">
        <v>3344</v>
      </c>
      <c r="B3249" s="3">
        <v>45486</v>
      </c>
      <c r="C3249" t="s">
        <v>142</v>
      </c>
      <c r="D3249" t="s">
        <v>41</v>
      </c>
      <c r="E3249" t="s">
        <v>11</v>
      </c>
      <c r="F3249" t="s">
        <v>42</v>
      </c>
      <c r="G3249" t="s">
        <v>28</v>
      </c>
      <c r="H3249">
        <v>10</v>
      </c>
    </row>
    <row r="3250" spans="1:8" ht="21.75" customHeight="1" x14ac:dyDescent="0.35">
      <c r="A3250" t="s">
        <v>3345</v>
      </c>
      <c r="B3250" s="3">
        <v>45368</v>
      </c>
      <c r="C3250" t="s">
        <v>89</v>
      </c>
      <c r="D3250" t="s">
        <v>109</v>
      </c>
      <c r="E3250" t="s">
        <v>22</v>
      </c>
      <c r="F3250" t="s">
        <v>12</v>
      </c>
      <c r="G3250" t="s">
        <v>28</v>
      </c>
      <c r="H3250">
        <v>12</v>
      </c>
    </row>
    <row r="3251" spans="1:8" ht="21.75" customHeight="1" x14ac:dyDescent="0.35">
      <c r="A3251" t="s">
        <v>3346</v>
      </c>
      <c r="B3251" s="3">
        <v>45583</v>
      </c>
      <c r="C3251" t="s">
        <v>541</v>
      </c>
      <c r="D3251" t="s">
        <v>96</v>
      </c>
      <c r="E3251" t="s">
        <v>22</v>
      </c>
      <c r="F3251" t="s">
        <v>306</v>
      </c>
      <c r="G3251" t="s">
        <v>28</v>
      </c>
      <c r="H3251">
        <v>7</v>
      </c>
    </row>
    <row r="3252" spans="1:8" ht="21.75" customHeight="1" x14ac:dyDescent="0.35">
      <c r="A3252" t="s">
        <v>3347</v>
      </c>
      <c r="B3252" s="3">
        <v>45308</v>
      </c>
      <c r="C3252" t="s">
        <v>341</v>
      </c>
      <c r="D3252" t="s">
        <v>21</v>
      </c>
      <c r="E3252" t="s">
        <v>11</v>
      </c>
      <c r="F3252" t="s">
        <v>42</v>
      </c>
      <c r="G3252" t="s">
        <v>36</v>
      </c>
      <c r="H3252">
        <v>3</v>
      </c>
    </row>
    <row r="3253" spans="1:8" ht="21.75" customHeight="1" x14ac:dyDescent="0.35">
      <c r="A3253" t="s">
        <v>3348</v>
      </c>
      <c r="B3253" s="3">
        <v>45565</v>
      </c>
      <c r="C3253" t="s">
        <v>304</v>
      </c>
      <c r="D3253" t="s">
        <v>174</v>
      </c>
      <c r="E3253" t="s">
        <v>11</v>
      </c>
      <c r="F3253" t="s">
        <v>12</v>
      </c>
      <c r="G3253" t="s">
        <v>23</v>
      </c>
      <c r="H3253">
        <v>19</v>
      </c>
    </row>
    <row r="3254" spans="1:8" ht="21.75" customHeight="1" x14ac:dyDescent="0.35">
      <c r="A3254" t="s">
        <v>3349</v>
      </c>
      <c r="B3254" s="3">
        <v>45417</v>
      </c>
      <c r="C3254" t="s">
        <v>230</v>
      </c>
      <c r="D3254" t="s">
        <v>84</v>
      </c>
      <c r="E3254" t="s">
        <v>11</v>
      </c>
      <c r="F3254" t="s">
        <v>56</v>
      </c>
      <c r="G3254" t="s">
        <v>28</v>
      </c>
      <c r="H3254">
        <v>15</v>
      </c>
    </row>
    <row r="3255" spans="1:8" ht="21.75" customHeight="1" x14ac:dyDescent="0.35">
      <c r="A3255" t="s">
        <v>3350</v>
      </c>
      <c r="B3255" s="3">
        <v>45603</v>
      </c>
      <c r="C3255" t="s">
        <v>101</v>
      </c>
      <c r="D3255" t="s">
        <v>174</v>
      </c>
      <c r="E3255" t="s">
        <v>17</v>
      </c>
      <c r="F3255" t="s">
        <v>12</v>
      </c>
      <c r="G3255" t="s">
        <v>28</v>
      </c>
      <c r="H3255">
        <v>3</v>
      </c>
    </row>
    <row r="3256" spans="1:8" ht="21.75" customHeight="1" x14ac:dyDescent="0.35">
      <c r="A3256" t="s">
        <v>3351</v>
      </c>
      <c r="B3256" s="3">
        <v>45359</v>
      </c>
      <c r="C3256" t="s">
        <v>363</v>
      </c>
      <c r="D3256" t="s">
        <v>74</v>
      </c>
      <c r="E3256" t="s">
        <v>11</v>
      </c>
      <c r="F3256" t="s">
        <v>56</v>
      </c>
      <c r="G3256" t="s">
        <v>28</v>
      </c>
      <c r="H3256">
        <v>8</v>
      </c>
    </row>
    <row r="3257" spans="1:8" ht="21.75" customHeight="1" x14ac:dyDescent="0.35">
      <c r="A3257" t="s">
        <v>3352</v>
      </c>
      <c r="B3257" s="3">
        <v>45589</v>
      </c>
      <c r="C3257" t="s">
        <v>517</v>
      </c>
      <c r="D3257" t="s">
        <v>70</v>
      </c>
      <c r="E3257" t="s">
        <v>11</v>
      </c>
      <c r="F3257" t="s">
        <v>306</v>
      </c>
      <c r="G3257" t="s">
        <v>13</v>
      </c>
      <c r="H3257">
        <v>11</v>
      </c>
    </row>
    <row r="3258" spans="1:8" ht="21.75" customHeight="1" x14ac:dyDescent="0.35">
      <c r="A3258" t="s">
        <v>3353</v>
      </c>
      <c r="B3258" s="3">
        <v>45329</v>
      </c>
      <c r="C3258" t="s">
        <v>104</v>
      </c>
      <c r="D3258" t="s">
        <v>35</v>
      </c>
      <c r="E3258" t="s">
        <v>11</v>
      </c>
      <c r="F3258" t="s">
        <v>27</v>
      </c>
      <c r="G3258" t="s">
        <v>13</v>
      </c>
      <c r="H3258">
        <v>16</v>
      </c>
    </row>
    <row r="3259" spans="1:8" ht="21.75" customHeight="1" x14ac:dyDescent="0.35">
      <c r="A3259" t="s">
        <v>3354</v>
      </c>
      <c r="B3259" s="3">
        <v>45569</v>
      </c>
      <c r="C3259" t="s">
        <v>449</v>
      </c>
      <c r="D3259" t="s">
        <v>65</v>
      </c>
      <c r="E3259" t="s">
        <v>22</v>
      </c>
      <c r="F3259" t="s">
        <v>27</v>
      </c>
      <c r="G3259" t="s">
        <v>32</v>
      </c>
      <c r="H3259">
        <v>19</v>
      </c>
    </row>
    <row r="3260" spans="1:8" ht="21.75" customHeight="1" x14ac:dyDescent="0.35">
      <c r="A3260" t="s">
        <v>3355</v>
      </c>
      <c r="B3260" s="3">
        <v>45512</v>
      </c>
      <c r="C3260" t="s">
        <v>40</v>
      </c>
      <c r="D3260" t="s">
        <v>84</v>
      </c>
      <c r="E3260" t="s">
        <v>17</v>
      </c>
      <c r="F3260" t="s">
        <v>56</v>
      </c>
      <c r="G3260" t="s">
        <v>36</v>
      </c>
      <c r="H3260">
        <v>20</v>
      </c>
    </row>
    <row r="3261" spans="1:8" ht="21.75" customHeight="1" x14ac:dyDescent="0.35">
      <c r="A3261" t="s">
        <v>3356</v>
      </c>
      <c r="B3261" s="3">
        <v>45292</v>
      </c>
      <c r="C3261" t="s">
        <v>230</v>
      </c>
      <c r="D3261" t="s">
        <v>119</v>
      </c>
      <c r="E3261" t="s">
        <v>17</v>
      </c>
      <c r="F3261" t="s">
        <v>306</v>
      </c>
      <c r="G3261" t="s">
        <v>32</v>
      </c>
      <c r="H3261">
        <v>16</v>
      </c>
    </row>
    <row r="3262" spans="1:8" ht="21.75" customHeight="1" x14ac:dyDescent="0.35">
      <c r="A3262" t="s">
        <v>3357</v>
      </c>
      <c r="B3262" s="3">
        <v>45460</v>
      </c>
      <c r="C3262" t="s">
        <v>358</v>
      </c>
      <c r="D3262" t="s">
        <v>35</v>
      </c>
      <c r="E3262" t="s">
        <v>22</v>
      </c>
      <c r="F3262" t="s">
        <v>42</v>
      </c>
      <c r="G3262" t="s">
        <v>32</v>
      </c>
      <c r="H3262">
        <v>9</v>
      </c>
    </row>
    <row r="3263" spans="1:8" ht="21.75" customHeight="1" x14ac:dyDescent="0.35">
      <c r="A3263" t="s">
        <v>3358</v>
      </c>
      <c r="B3263" s="3">
        <v>45419</v>
      </c>
      <c r="C3263" t="s">
        <v>47</v>
      </c>
      <c r="D3263" t="s">
        <v>26</v>
      </c>
      <c r="E3263" t="s">
        <v>22</v>
      </c>
      <c r="F3263" t="s">
        <v>306</v>
      </c>
      <c r="G3263" t="s">
        <v>36</v>
      </c>
      <c r="H3263">
        <v>10</v>
      </c>
    </row>
    <row r="3264" spans="1:8" ht="21.75" customHeight="1" x14ac:dyDescent="0.35">
      <c r="A3264" t="s">
        <v>3359</v>
      </c>
      <c r="B3264" s="3">
        <v>45349</v>
      </c>
      <c r="C3264" t="s">
        <v>664</v>
      </c>
      <c r="D3264" t="s">
        <v>45</v>
      </c>
      <c r="E3264" t="s">
        <v>17</v>
      </c>
      <c r="F3264" t="s">
        <v>12</v>
      </c>
      <c r="G3264" t="s">
        <v>32</v>
      </c>
      <c r="H3264">
        <v>17</v>
      </c>
    </row>
    <row r="3265" spans="1:8" ht="21.75" customHeight="1" x14ac:dyDescent="0.35">
      <c r="A3265" t="s">
        <v>3360</v>
      </c>
      <c r="B3265" s="3">
        <v>45375</v>
      </c>
      <c r="C3265" t="s">
        <v>235</v>
      </c>
      <c r="D3265" t="s">
        <v>10</v>
      </c>
      <c r="E3265" t="s">
        <v>17</v>
      </c>
      <c r="F3265" t="s">
        <v>42</v>
      </c>
      <c r="G3265" t="s">
        <v>13</v>
      </c>
      <c r="H3265">
        <v>15</v>
      </c>
    </row>
    <row r="3266" spans="1:8" ht="21.75" customHeight="1" x14ac:dyDescent="0.35">
      <c r="A3266" t="s">
        <v>3361</v>
      </c>
      <c r="B3266" s="3">
        <v>45643</v>
      </c>
      <c r="C3266" t="s">
        <v>312</v>
      </c>
      <c r="D3266" t="s">
        <v>45</v>
      </c>
      <c r="E3266" t="s">
        <v>11</v>
      </c>
      <c r="F3266" t="s">
        <v>12</v>
      </c>
      <c r="G3266" t="s">
        <v>28</v>
      </c>
      <c r="H3266">
        <v>7</v>
      </c>
    </row>
    <row r="3267" spans="1:8" ht="21.75" customHeight="1" x14ac:dyDescent="0.35">
      <c r="A3267" t="s">
        <v>3362</v>
      </c>
      <c r="B3267" s="3">
        <v>45448</v>
      </c>
      <c r="C3267" t="s">
        <v>38</v>
      </c>
      <c r="D3267" t="s">
        <v>119</v>
      </c>
      <c r="E3267" t="s">
        <v>22</v>
      </c>
      <c r="F3267" t="s">
        <v>27</v>
      </c>
      <c r="G3267" t="s">
        <v>13</v>
      </c>
      <c r="H3267">
        <v>10</v>
      </c>
    </row>
    <row r="3268" spans="1:8" ht="21.75" customHeight="1" x14ac:dyDescent="0.35">
      <c r="A3268" t="s">
        <v>3363</v>
      </c>
      <c r="B3268" s="3">
        <v>45399</v>
      </c>
      <c r="C3268" t="s">
        <v>314</v>
      </c>
      <c r="D3268" t="s">
        <v>41</v>
      </c>
      <c r="E3268" t="s">
        <v>11</v>
      </c>
      <c r="F3268" t="s">
        <v>42</v>
      </c>
      <c r="G3268" t="s">
        <v>28</v>
      </c>
      <c r="H3268">
        <v>7</v>
      </c>
    </row>
    <row r="3269" spans="1:8" ht="21.75" customHeight="1" x14ac:dyDescent="0.35">
      <c r="A3269" t="s">
        <v>3364</v>
      </c>
      <c r="B3269" s="3">
        <v>45379</v>
      </c>
      <c r="C3269" t="s">
        <v>111</v>
      </c>
      <c r="D3269" t="s">
        <v>109</v>
      </c>
      <c r="E3269" t="s">
        <v>22</v>
      </c>
      <c r="F3269" t="s">
        <v>56</v>
      </c>
      <c r="G3269" t="s">
        <v>32</v>
      </c>
      <c r="H3269">
        <v>17</v>
      </c>
    </row>
    <row r="3270" spans="1:8" ht="21.75" customHeight="1" x14ac:dyDescent="0.35">
      <c r="A3270" t="s">
        <v>3365</v>
      </c>
      <c r="B3270" s="3">
        <v>45626</v>
      </c>
      <c r="C3270" t="s">
        <v>327</v>
      </c>
      <c r="D3270" t="s">
        <v>87</v>
      </c>
      <c r="E3270" t="s">
        <v>22</v>
      </c>
      <c r="F3270" t="s">
        <v>42</v>
      </c>
      <c r="G3270" t="s">
        <v>28</v>
      </c>
      <c r="H3270">
        <v>9</v>
      </c>
    </row>
    <row r="3271" spans="1:8" ht="21.75" customHeight="1" x14ac:dyDescent="0.35">
      <c r="A3271" t="s">
        <v>3366</v>
      </c>
      <c r="B3271" s="3">
        <v>45447</v>
      </c>
      <c r="C3271" t="s">
        <v>200</v>
      </c>
      <c r="D3271" t="s">
        <v>16</v>
      </c>
      <c r="E3271" t="s">
        <v>17</v>
      </c>
      <c r="F3271" t="s">
        <v>42</v>
      </c>
      <c r="G3271" t="s">
        <v>32</v>
      </c>
      <c r="H3271">
        <v>11</v>
      </c>
    </row>
    <row r="3272" spans="1:8" ht="21.75" customHeight="1" x14ac:dyDescent="0.35">
      <c r="A3272" t="s">
        <v>3367</v>
      </c>
      <c r="B3272" s="3">
        <v>45509</v>
      </c>
      <c r="C3272" t="s">
        <v>614</v>
      </c>
      <c r="D3272" t="s">
        <v>31</v>
      </c>
      <c r="E3272" t="s">
        <v>17</v>
      </c>
      <c r="F3272" t="s">
        <v>12</v>
      </c>
      <c r="G3272" t="s">
        <v>23</v>
      </c>
      <c r="H3272">
        <v>2</v>
      </c>
    </row>
    <row r="3273" spans="1:8" ht="21.75" customHeight="1" x14ac:dyDescent="0.35">
      <c r="A3273" t="s">
        <v>3368</v>
      </c>
      <c r="B3273" s="3">
        <v>45473</v>
      </c>
      <c r="C3273" t="s">
        <v>736</v>
      </c>
      <c r="D3273" t="s">
        <v>16</v>
      </c>
      <c r="E3273" t="s">
        <v>17</v>
      </c>
      <c r="F3273" t="s">
        <v>42</v>
      </c>
      <c r="G3273" t="s">
        <v>13</v>
      </c>
      <c r="H3273">
        <v>7</v>
      </c>
    </row>
    <row r="3274" spans="1:8" ht="21.75" customHeight="1" x14ac:dyDescent="0.35">
      <c r="A3274" t="s">
        <v>3369</v>
      </c>
      <c r="B3274" s="3">
        <v>45423</v>
      </c>
      <c r="C3274" t="s">
        <v>61</v>
      </c>
      <c r="D3274" t="s">
        <v>48</v>
      </c>
      <c r="E3274" t="s">
        <v>11</v>
      </c>
      <c r="F3274" t="s">
        <v>42</v>
      </c>
      <c r="G3274" t="s">
        <v>23</v>
      </c>
      <c r="H3274">
        <v>13</v>
      </c>
    </row>
    <row r="3275" spans="1:8" ht="21.75" customHeight="1" x14ac:dyDescent="0.35">
      <c r="A3275" t="s">
        <v>3370</v>
      </c>
      <c r="B3275" s="3">
        <v>45578</v>
      </c>
      <c r="C3275" t="s">
        <v>304</v>
      </c>
      <c r="D3275" t="s">
        <v>65</v>
      </c>
      <c r="E3275" t="s">
        <v>11</v>
      </c>
      <c r="F3275" t="s">
        <v>306</v>
      </c>
      <c r="G3275" t="s">
        <v>36</v>
      </c>
      <c r="H3275">
        <v>15</v>
      </c>
    </row>
    <row r="3276" spans="1:8" ht="21.75" customHeight="1" x14ac:dyDescent="0.35">
      <c r="A3276" t="s">
        <v>3371</v>
      </c>
      <c r="B3276" s="3">
        <v>45346</v>
      </c>
      <c r="C3276" t="s">
        <v>208</v>
      </c>
      <c r="D3276" t="s">
        <v>197</v>
      </c>
      <c r="E3276" t="s">
        <v>11</v>
      </c>
      <c r="F3276" t="s">
        <v>42</v>
      </c>
      <c r="G3276" t="s">
        <v>23</v>
      </c>
      <c r="H3276">
        <v>19</v>
      </c>
    </row>
    <row r="3277" spans="1:8" ht="21.75" customHeight="1" x14ac:dyDescent="0.35">
      <c r="A3277" t="s">
        <v>3372</v>
      </c>
      <c r="B3277" s="3">
        <v>45315</v>
      </c>
      <c r="C3277" t="s">
        <v>420</v>
      </c>
      <c r="D3277" t="s">
        <v>41</v>
      </c>
      <c r="E3277" t="s">
        <v>17</v>
      </c>
      <c r="F3277" t="s">
        <v>27</v>
      </c>
      <c r="G3277" t="s">
        <v>28</v>
      </c>
      <c r="H3277">
        <v>9</v>
      </c>
    </row>
    <row r="3278" spans="1:8" ht="21.75" customHeight="1" x14ac:dyDescent="0.35">
      <c r="A3278" t="s">
        <v>3373</v>
      </c>
      <c r="B3278" s="3">
        <v>45592</v>
      </c>
      <c r="C3278" t="s">
        <v>159</v>
      </c>
      <c r="D3278" t="s">
        <v>79</v>
      </c>
      <c r="E3278" t="s">
        <v>11</v>
      </c>
      <c r="F3278" t="s">
        <v>12</v>
      </c>
      <c r="G3278" t="s">
        <v>32</v>
      </c>
      <c r="H3278">
        <v>9</v>
      </c>
    </row>
    <row r="3279" spans="1:8" ht="21.75" customHeight="1" x14ac:dyDescent="0.35">
      <c r="A3279" t="s">
        <v>3374</v>
      </c>
      <c r="B3279" s="3">
        <v>45516</v>
      </c>
      <c r="C3279" t="s">
        <v>55</v>
      </c>
      <c r="D3279" t="s">
        <v>102</v>
      </c>
      <c r="E3279" t="s">
        <v>17</v>
      </c>
      <c r="F3279" t="s">
        <v>56</v>
      </c>
      <c r="G3279" t="s">
        <v>13</v>
      </c>
      <c r="H3279">
        <v>11</v>
      </c>
    </row>
    <row r="3280" spans="1:8" ht="21.75" customHeight="1" x14ac:dyDescent="0.35">
      <c r="A3280" t="s">
        <v>3375</v>
      </c>
      <c r="B3280" s="3">
        <v>45503</v>
      </c>
      <c r="C3280" t="s">
        <v>125</v>
      </c>
      <c r="D3280" t="s">
        <v>16</v>
      </c>
      <c r="E3280" t="s">
        <v>22</v>
      </c>
      <c r="F3280" t="s">
        <v>42</v>
      </c>
      <c r="G3280" t="s">
        <v>36</v>
      </c>
      <c r="H3280">
        <v>7</v>
      </c>
    </row>
    <row r="3281" spans="1:8" ht="21.75" customHeight="1" x14ac:dyDescent="0.35">
      <c r="A3281" t="s">
        <v>3376</v>
      </c>
      <c r="B3281" s="3">
        <v>45516</v>
      </c>
      <c r="C3281" t="s">
        <v>78</v>
      </c>
      <c r="D3281" t="s">
        <v>72</v>
      </c>
      <c r="E3281" t="s">
        <v>22</v>
      </c>
      <c r="F3281" t="s">
        <v>306</v>
      </c>
      <c r="G3281" t="s">
        <v>32</v>
      </c>
      <c r="H3281">
        <v>18</v>
      </c>
    </row>
    <row r="3282" spans="1:8" ht="21.75" customHeight="1" x14ac:dyDescent="0.35">
      <c r="A3282" t="s">
        <v>3377</v>
      </c>
      <c r="B3282" s="3">
        <v>45441</v>
      </c>
      <c r="C3282" t="s">
        <v>465</v>
      </c>
      <c r="D3282" t="s">
        <v>96</v>
      </c>
      <c r="E3282" t="s">
        <v>11</v>
      </c>
      <c r="F3282" t="s">
        <v>12</v>
      </c>
      <c r="G3282" t="s">
        <v>32</v>
      </c>
      <c r="H3282">
        <v>12</v>
      </c>
    </row>
    <row r="3283" spans="1:8" ht="21.75" customHeight="1" x14ac:dyDescent="0.35">
      <c r="A3283" t="s">
        <v>3378</v>
      </c>
      <c r="B3283" s="3">
        <v>45520</v>
      </c>
      <c r="C3283" t="s">
        <v>323</v>
      </c>
      <c r="D3283" t="s">
        <v>65</v>
      </c>
      <c r="E3283" t="s">
        <v>11</v>
      </c>
      <c r="F3283" t="s">
        <v>42</v>
      </c>
      <c r="G3283" t="s">
        <v>23</v>
      </c>
      <c r="H3283">
        <v>8</v>
      </c>
    </row>
    <row r="3284" spans="1:8" ht="21.75" customHeight="1" x14ac:dyDescent="0.35">
      <c r="A3284" t="s">
        <v>3379</v>
      </c>
      <c r="B3284" s="3">
        <v>45462</v>
      </c>
      <c r="C3284" t="s">
        <v>104</v>
      </c>
      <c r="D3284" t="s">
        <v>41</v>
      </c>
      <c r="E3284" t="s">
        <v>22</v>
      </c>
      <c r="F3284" t="s">
        <v>42</v>
      </c>
      <c r="G3284" t="s">
        <v>32</v>
      </c>
      <c r="H3284">
        <v>20</v>
      </c>
    </row>
    <row r="3285" spans="1:8" ht="21.75" customHeight="1" x14ac:dyDescent="0.35">
      <c r="A3285" t="s">
        <v>3380</v>
      </c>
      <c r="B3285" s="3">
        <v>45303</v>
      </c>
      <c r="C3285" t="s">
        <v>99</v>
      </c>
      <c r="D3285" t="s">
        <v>102</v>
      </c>
      <c r="E3285" t="s">
        <v>22</v>
      </c>
      <c r="F3285" t="s">
        <v>27</v>
      </c>
      <c r="G3285" t="s">
        <v>23</v>
      </c>
      <c r="H3285">
        <v>13</v>
      </c>
    </row>
    <row r="3286" spans="1:8" ht="21.75" customHeight="1" x14ac:dyDescent="0.35">
      <c r="A3286" t="s">
        <v>3381</v>
      </c>
      <c r="B3286" s="3">
        <v>45316</v>
      </c>
      <c r="C3286" t="s">
        <v>339</v>
      </c>
      <c r="D3286" t="s">
        <v>79</v>
      </c>
      <c r="E3286" t="s">
        <v>22</v>
      </c>
      <c r="F3286" t="s">
        <v>42</v>
      </c>
      <c r="G3286" t="s">
        <v>13</v>
      </c>
      <c r="H3286">
        <v>19</v>
      </c>
    </row>
    <row r="3287" spans="1:8" ht="21.75" customHeight="1" x14ac:dyDescent="0.35">
      <c r="A3287" t="s">
        <v>3382</v>
      </c>
      <c r="B3287" s="3">
        <v>45308</v>
      </c>
      <c r="C3287" t="s">
        <v>358</v>
      </c>
      <c r="D3287" t="s">
        <v>72</v>
      </c>
      <c r="E3287" t="s">
        <v>22</v>
      </c>
      <c r="F3287" t="s">
        <v>27</v>
      </c>
      <c r="G3287" t="s">
        <v>32</v>
      </c>
      <c r="H3287">
        <v>19</v>
      </c>
    </row>
    <row r="3288" spans="1:8" ht="21.75" customHeight="1" x14ac:dyDescent="0.35">
      <c r="A3288" t="s">
        <v>3383</v>
      </c>
      <c r="B3288" s="3">
        <v>45326</v>
      </c>
      <c r="C3288" t="s">
        <v>304</v>
      </c>
      <c r="D3288" t="s">
        <v>10</v>
      </c>
      <c r="E3288" t="s">
        <v>22</v>
      </c>
      <c r="F3288" t="s">
        <v>12</v>
      </c>
      <c r="G3288" t="s">
        <v>36</v>
      </c>
      <c r="H3288">
        <v>4</v>
      </c>
    </row>
    <row r="3289" spans="1:8" ht="21.75" customHeight="1" x14ac:dyDescent="0.35">
      <c r="A3289" t="s">
        <v>3384</v>
      </c>
      <c r="B3289" s="3">
        <v>45554</v>
      </c>
      <c r="C3289" t="s">
        <v>203</v>
      </c>
      <c r="D3289" t="s">
        <v>59</v>
      </c>
      <c r="E3289" t="s">
        <v>17</v>
      </c>
      <c r="F3289" t="s">
        <v>306</v>
      </c>
      <c r="G3289" t="s">
        <v>28</v>
      </c>
      <c r="H3289">
        <v>3</v>
      </c>
    </row>
    <row r="3290" spans="1:8" ht="21.75" customHeight="1" x14ac:dyDescent="0.35">
      <c r="A3290" t="s">
        <v>3385</v>
      </c>
      <c r="B3290" s="3">
        <v>45512</v>
      </c>
      <c r="C3290" t="s">
        <v>89</v>
      </c>
      <c r="D3290" t="s">
        <v>70</v>
      </c>
      <c r="E3290" t="s">
        <v>17</v>
      </c>
      <c r="F3290" t="s">
        <v>56</v>
      </c>
      <c r="G3290" t="s">
        <v>32</v>
      </c>
      <c r="H3290">
        <v>3</v>
      </c>
    </row>
    <row r="3291" spans="1:8" ht="21.75" customHeight="1" x14ac:dyDescent="0.35">
      <c r="A3291" t="s">
        <v>3386</v>
      </c>
      <c r="B3291" s="3">
        <v>45586</v>
      </c>
      <c r="C3291" t="s">
        <v>47</v>
      </c>
      <c r="D3291" t="s">
        <v>70</v>
      </c>
      <c r="E3291" t="s">
        <v>22</v>
      </c>
      <c r="F3291" t="s">
        <v>27</v>
      </c>
      <c r="G3291" t="s">
        <v>13</v>
      </c>
      <c r="H3291">
        <v>13</v>
      </c>
    </row>
    <row r="3292" spans="1:8" ht="21.75" customHeight="1" x14ac:dyDescent="0.35">
      <c r="A3292" t="s">
        <v>3387</v>
      </c>
      <c r="B3292" s="3">
        <v>45295</v>
      </c>
      <c r="C3292" t="s">
        <v>381</v>
      </c>
      <c r="D3292" t="s">
        <v>31</v>
      </c>
      <c r="E3292" t="s">
        <v>11</v>
      </c>
      <c r="F3292" t="s">
        <v>12</v>
      </c>
      <c r="G3292" t="s">
        <v>28</v>
      </c>
      <c r="H3292">
        <v>11</v>
      </c>
    </row>
    <row r="3293" spans="1:8" ht="21.75" customHeight="1" x14ac:dyDescent="0.35">
      <c r="A3293" t="s">
        <v>3388</v>
      </c>
      <c r="B3293" s="3">
        <v>45424</v>
      </c>
      <c r="C3293" t="s">
        <v>240</v>
      </c>
      <c r="D3293" t="s">
        <v>59</v>
      </c>
      <c r="E3293" t="s">
        <v>22</v>
      </c>
      <c r="F3293" t="s">
        <v>42</v>
      </c>
      <c r="G3293" t="s">
        <v>36</v>
      </c>
      <c r="H3293">
        <v>15</v>
      </c>
    </row>
    <row r="3294" spans="1:8" ht="21.75" customHeight="1" x14ac:dyDescent="0.35">
      <c r="A3294" t="s">
        <v>3389</v>
      </c>
      <c r="B3294" s="3">
        <v>45394</v>
      </c>
      <c r="C3294" t="s">
        <v>337</v>
      </c>
      <c r="D3294" t="s">
        <v>59</v>
      </c>
      <c r="E3294" t="s">
        <v>17</v>
      </c>
      <c r="F3294" t="s">
        <v>306</v>
      </c>
      <c r="G3294" t="s">
        <v>28</v>
      </c>
      <c r="H3294">
        <v>7</v>
      </c>
    </row>
    <row r="3295" spans="1:8" ht="21.75" customHeight="1" x14ac:dyDescent="0.35">
      <c r="A3295" t="s">
        <v>3390</v>
      </c>
      <c r="B3295" s="3">
        <v>45397</v>
      </c>
      <c r="C3295" t="s">
        <v>147</v>
      </c>
      <c r="D3295" t="s">
        <v>45</v>
      </c>
      <c r="E3295" t="s">
        <v>11</v>
      </c>
      <c r="F3295" t="s">
        <v>12</v>
      </c>
      <c r="G3295" t="s">
        <v>36</v>
      </c>
      <c r="H3295">
        <v>20</v>
      </c>
    </row>
    <row r="3296" spans="1:8" ht="21.75" customHeight="1" x14ac:dyDescent="0.35">
      <c r="A3296" t="s">
        <v>3391</v>
      </c>
      <c r="B3296" s="3">
        <v>45312</v>
      </c>
      <c r="C3296" t="s">
        <v>420</v>
      </c>
      <c r="D3296" t="s">
        <v>16</v>
      </c>
      <c r="E3296" t="s">
        <v>22</v>
      </c>
      <c r="F3296" t="s">
        <v>42</v>
      </c>
      <c r="G3296" t="s">
        <v>13</v>
      </c>
      <c r="H3296">
        <v>11</v>
      </c>
    </row>
    <row r="3297" spans="1:8" ht="21.75" customHeight="1" x14ac:dyDescent="0.35">
      <c r="A3297" t="s">
        <v>3392</v>
      </c>
      <c r="B3297" s="3">
        <v>45409</v>
      </c>
      <c r="C3297" t="s">
        <v>371</v>
      </c>
      <c r="D3297" t="s">
        <v>65</v>
      </c>
      <c r="E3297" t="s">
        <v>11</v>
      </c>
      <c r="F3297" t="s">
        <v>42</v>
      </c>
      <c r="G3297" t="s">
        <v>28</v>
      </c>
      <c r="H3297">
        <v>14</v>
      </c>
    </row>
    <row r="3298" spans="1:8" ht="21.75" customHeight="1" x14ac:dyDescent="0.35">
      <c r="A3298" t="s">
        <v>3393</v>
      </c>
      <c r="B3298" s="3">
        <v>45411</v>
      </c>
      <c r="C3298" t="s">
        <v>133</v>
      </c>
      <c r="D3298" t="s">
        <v>119</v>
      </c>
      <c r="E3298" t="s">
        <v>17</v>
      </c>
      <c r="F3298" t="s">
        <v>12</v>
      </c>
      <c r="G3298" t="s">
        <v>28</v>
      </c>
      <c r="H3298">
        <v>15</v>
      </c>
    </row>
    <row r="3299" spans="1:8" ht="21.75" customHeight="1" x14ac:dyDescent="0.35">
      <c r="A3299" t="s">
        <v>3394</v>
      </c>
      <c r="B3299" s="3">
        <v>45484</v>
      </c>
      <c r="C3299" t="s">
        <v>64</v>
      </c>
      <c r="D3299" t="s">
        <v>70</v>
      </c>
      <c r="E3299" t="s">
        <v>22</v>
      </c>
      <c r="F3299" t="s">
        <v>56</v>
      </c>
      <c r="G3299" t="s">
        <v>23</v>
      </c>
      <c r="H3299">
        <v>2</v>
      </c>
    </row>
    <row r="3300" spans="1:8" ht="21.75" customHeight="1" x14ac:dyDescent="0.35">
      <c r="A3300" t="s">
        <v>3395</v>
      </c>
      <c r="B3300" s="3">
        <v>45496</v>
      </c>
      <c r="C3300" t="s">
        <v>104</v>
      </c>
      <c r="D3300" t="s">
        <v>65</v>
      </c>
      <c r="E3300" t="s">
        <v>17</v>
      </c>
      <c r="F3300" t="s">
        <v>306</v>
      </c>
      <c r="G3300" t="s">
        <v>13</v>
      </c>
      <c r="H3300">
        <v>3</v>
      </c>
    </row>
    <row r="3301" spans="1:8" ht="21.75" customHeight="1" x14ac:dyDescent="0.35">
      <c r="A3301" t="s">
        <v>3396</v>
      </c>
      <c r="B3301" s="3">
        <v>45551</v>
      </c>
      <c r="C3301" t="s">
        <v>361</v>
      </c>
      <c r="D3301" t="s">
        <v>84</v>
      </c>
      <c r="E3301" t="s">
        <v>22</v>
      </c>
      <c r="F3301" t="s">
        <v>12</v>
      </c>
      <c r="G3301" t="s">
        <v>28</v>
      </c>
      <c r="H3301">
        <v>7</v>
      </c>
    </row>
    <row r="3302" spans="1:8" ht="21.75" customHeight="1" x14ac:dyDescent="0.35">
      <c r="A3302" t="s">
        <v>3397</v>
      </c>
      <c r="B3302" s="3">
        <v>45542</v>
      </c>
      <c r="C3302" t="s">
        <v>304</v>
      </c>
      <c r="D3302" t="s">
        <v>109</v>
      </c>
      <c r="E3302" t="s">
        <v>17</v>
      </c>
      <c r="F3302" t="s">
        <v>42</v>
      </c>
      <c r="G3302" t="s">
        <v>23</v>
      </c>
      <c r="H3302">
        <v>7</v>
      </c>
    </row>
    <row r="3303" spans="1:8" ht="21.75" customHeight="1" x14ac:dyDescent="0.35">
      <c r="A3303" t="s">
        <v>3398</v>
      </c>
      <c r="B3303" s="3">
        <v>45338</v>
      </c>
      <c r="C3303" t="s">
        <v>358</v>
      </c>
      <c r="D3303" t="s">
        <v>48</v>
      </c>
      <c r="E3303" t="s">
        <v>17</v>
      </c>
      <c r="F3303" t="s">
        <v>42</v>
      </c>
      <c r="G3303" t="s">
        <v>36</v>
      </c>
      <c r="H3303">
        <v>4</v>
      </c>
    </row>
    <row r="3304" spans="1:8" ht="21.75" customHeight="1" x14ac:dyDescent="0.35">
      <c r="A3304" t="s">
        <v>3399</v>
      </c>
      <c r="B3304" s="3">
        <v>45300</v>
      </c>
      <c r="C3304" t="s">
        <v>25</v>
      </c>
      <c r="D3304" t="s">
        <v>31</v>
      </c>
      <c r="E3304" t="s">
        <v>17</v>
      </c>
      <c r="F3304" t="s">
        <v>27</v>
      </c>
      <c r="G3304" t="s">
        <v>13</v>
      </c>
      <c r="H3304">
        <v>12</v>
      </c>
    </row>
    <row r="3305" spans="1:8" ht="21.75" customHeight="1" x14ac:dyDescent="0.35">
      <c r="A3305" t="s">
        <v>3400</v>
      </c>
      <c r="B3305" s="3">
        <v>45450</v>
      </c>
      <c r="C3305" t="s">
        <v>58</v>
      </c>
      <c r="D3305" t="s">
        <v>87</v>
      </c>
      <c r="E3305" t="s">
        <v>22</v>
      </c>
      <c r="F3305" t="s">
        <v>42</v>
      </c>
      <c r="G3305" t="s">
        <v>28</v>
      </c>
      <c r="H3305">
        <v>3</v>
      </c>
    </row>
    <row r="3306" spans="1:8" ht="21.75" customHeight="1" x14ac:dyDescent="0.35">
      <c r="A3306" t="s">
        <v>3401</v>
      </c>
      <c r="B3306" s="3">
        <v>45491</v>
      </c>
      <c r="C3306" t="s">
        <v>553</v>
      </c>
      <c r="D3306" t="s">
        <v>96</v>
      </c>
      <c r="E3306" t="s">
        <v>17</v>
      </c>
      <c r="F3306" t="s">
        <v>42</v>
      </c>
      <c r="G3306" t="s">
        <v>13</v>
      </c>
      <c r="H3306">
        <v>5</v>
      </c>
    </row>
    <row r="3307" spans="1:8" ht="21.75" customHeight="1" x14ac:dyDescent="0.35">
      <c r="A3307" t="s">
        <v>3402</v>
      </c>
      <c r="B3307" s="3">
        <v>45382</v>
      </c>
      <c r="C3307" t="s">
        <v>614</v>
      </c>
      <c r="D3307" t="s">
        <v>96</v>
      </c>
      <c r="E3307" t="s">
        <v>11</v>
      </c>
      <c r="F3307" t="s">
        <v>306</v>
      </c>
      <c r="G3307" t="s">
        <v>28</v>
      </c>
      <c r="H3307">
        <v>5</v>
      </c>
    </row>
    <row r="3308" spans="1:8" ht="21.75" customHeight="1" x14ac:dyDescent="0.35">
      <c r="A3308" t="s">
        <v>3403</v>
      </c>
      <c r="B3308" s="3">
        <v>45311</v>
      </c>
      <c r="C3308" t="s">
        <v>131</v>
      </c>
      <c r="D3308" t="s">
        <v>109</v>
      </c>
      <c r="E3308" t="s">
        <v>11</v>
      </c>
      <c r="F3308" t="s">
        <v>42</v>
      </c>
      <c r="G3308" t="s">
        <v>32</v>
      </c>
      <c r="H3308">
        <v>20</v>
      </c>
    </row>
    <row r="3309" spans="1:8" ht="21.75" customHeight="1" x14ac:dyDescent="0.35">
      <c r="A3309" t="s">
        <v>3404</v>
      </c>
      <c r="B3309" s="3">
        <v>45372</v>
      </c>
      <c r="C3309" t="s">
        <v>572</v>
      </c>
      <c r="D3309" t="s">
        <v>45</v>
      </c>
      <c r="E3309" t="s">
        <v>11</v>
      </c>
      <c r="F3309" t="s">
        <v>306</v>
      </c>
      <c r="G3309" t="s">
        <v>28</v>
      </c>
      <c r="H3309">
        <v>6</v>
      </c>
    </row>
    <row r="3310" spans="1:8" ht="21.75" customHeight="1" x14ac:dyDescent="0.35">
      <c r="A3310" t="s">
        <v>3405</v>
      </c>
      <c r="B3310" s="3">
        <v>45348</v>
      </c>
      <c r="C3310" t="s">
        <v>728</v>
      </c>
      <c r="D3310" t="s">
        <v>45</v>
      </c>
      <c r="E3310" t="s">
        <v>11</v>
      </c>
      <c r="F3310" t="s">
        <v>27</v>
      </c>
      <c r="G3310" t="s">
        <v>28</v>
      </c>
      <c r="H3310">
        <v>10</v>
      </c>
    </row>
    <row r="3311" spans="1:8" ht="21.75" customHeight="1" x14ac:dyDescent="0.35">
      <c r="A3311" t="s">
        <v>3406</v>
      </c>
      <c r="B3311" s="3">
        <v>45483</v>
      </c>
      <c r="C3311" t="s">
        <v>86</v>
      </c>
      <c r="D3311" t="s">
        <v>109</v>
      </c>
      <c r="E3311" t="s">
        <v>17</v>
      </c>
      <c r="F3311" t="s">
        <v>12</v>
      </c>
      <c r="G3311" t="s">
        <v>13</v>
      </c>
      <c r="H3311">
        <v>11</v>
      </c>
    </row>
    <row r="3312" spans="1:8" ht="21.75" customHeight="1" x14ac:dyDescent="0.35">
      <c r="A3312" t="s">
        <v>3407</v>
      </c>
      <c r="B3312" s="3">
        <v>45532</v>
      </c>
      <c r="C3312" t="s">
        <v>122</v>
      </c>
      <c r="D3312" t="s">
        <v>84</v>
      </c>
      <c r="E3312" t="s">
        <v>11</v>
      </c>
      <c r="F3312" t="s">
        <v>27</v>
      </c>
      <c r="G3312" t="s">
        <v>13</v>
      </c>
      <c r="H3312">
        <v>18</v>
      </c>
    </row>
    <row r="3313" spans="1:8" ht="21.75" customHeight="1" x14ac:dyDescent="0.35">
      <c r="A3313" t="s">
        <v>3408</v>
      </c>
      <c r="B3313" s="3">
        <v>45598</v>
      </c>
      <c r="C3313" t="s">
        <v>329</v>
      </c>
      <c r="D3313" t="s">
        <v>160</v>
      </c>
      <c r="E3313" t="s">
        <v>11</v>
      </c>
      <c r="F3313" t="s">
        <v>56</v>
      </c>
      <c r="G3313" t="s">
        <v>13</v>
      </c>
      <c r="H3313">
        <v>1</v>
      </c>
    </row>
    <row r="3314" spans="1:8" ht="21.75" customHeight="1" x14ac:dyDescent="0.35">
      <c r="A3314" t="s">
        <v>3409</v>
      </c>
      <c r="B3314" s="3">
        <v>45406</v>
      </c>
      <c r="C3314" t="s">
        <v>203</v>
      </c>
      <c r="D3314" t="s">
        <v>87</v>
      </c>
      <c r="E3314" t="s">
        <v>11</v>
      </c>
      <c r="F3314" t="s">
        <v>12</v>
      </c>
      <c r="G3314" t="s">
        <v>23</v>
      </c>
      <c r="H3314">
        <v>15</v>
      </c>
    </row>
    <row r="3315" spans="1:8" ht="21.75" customHeight="1" x14ac:dyDescent="0.35">
      <c r="A3315" t="s">
        <v>3410</v>
      </c>
      <c r="B3315" s="3">
        <v>45566</v>
      </c>
      <c r="C3315" t="s">
        <v>396</v>
      </c>
      <c r="D3315" t="s">
        <v>16</v>
      </c>
      <c r="E3315" t="s">
        <v>22</v>
      </c>
      <c r="F3315" t="s">
        <v>12</v>
      </c>
      <c r="G3315" t="s">
        <v>32</v>
      </c>
      <c r="H3315">
        <v>16</v>
      </c>
    </row>
    <row r="3316" spans="1:8" ht="21.75" customHeight="1" x14ac:dyDescent="0.35">
      <c r="A3316" t="s">
        <v>3411</v>
      </c>
      <c r="B3316" s="3">
        <v>45423</v>
      </c>
      <c r="C3316" t="s">
        <v>34</v>
      </c>
      <c r="D3316" t="s">
        <v>72</v>
      </c>
      <c r="E3316" t="s">
        <v>22</v>
      </c>
      <c r="F3316" t="s">
        <v>306</v>
      </c>
      <c r="G3316" t="s">
        <v>32</v>
      </c>
      <c r="H3316">
        <v>20</v>
      </c>
    </row>
    <row r="3317" spans="1:8" ht="21.75" customHeight="1" x14ac:dyDescent="0.35">
      <c r="A3317" t="s">
        <v>3412</v>
      </c>
      <c r="B3317" s="3">
        <v>45341</v>
      </c>
      <c r="C3317" t="s">
        <v>517</v>
      </c>
      <c r="D3317" t="s">
        <v>35</v>
      </c>
      <c r="E3317" t="s">
        <v>22</v>
      </c>
      <c r="F3317" t="s">
        <v>306</v>
      </c>
      <c r="G3317" t="s">
        <v>28</v>
      </c>
      <c r="H3317">
        <v>5</v>
      </c>
    </row>
    <row r="3318" spans="1:8" ht="21.75" customHeight="1" x14ac:dyDescent="0.35">
      <c r="A3318" t="s">
        <v>3413</v>
      </c>
      <c r="B3318" s="3">
        <v>45358</v>
      </c>
      <c r="C3318" t="s">
        <v>167</v>
      </c>
      <c r="D3318" t="s">
        <v>197</v>
      </c>
      <c r="E3318" t="s">
        <v>22</v>
      </c>
      <c r="F3318" t="s">
        <v>12</v>
      </c>
      <c r="G3318" t="s">
        <v>13</v>
      </c>
      <c r="H3318">
        <v>13</v>
      </c>
    </row>
    <row r="3319" spans="1:8" ht="21.75" customHeight="1" x14ac:dyDescent="0.35">
      <c r="A3319" t="s">
        <v>3414</v>
      </c>
      <c r="B3319" s="3">
        <v>45606</v>
      </c>
      <c r="C3319" t="s">
        <v>15</v>
      </c>
      <c r="D3319" t="s">
        <v>197</v>
      </c>
      <c r="E3319" t="s">
        <v>11</v>
      </c>
      <c r="F3319" t="s">
        <v>42</v>
      </c>
      <c r="G3319" t="s">
        <v>28</v>
      </c>
      <c r="H3319">
        <v>10</v>
      </c>
    </row>
    <row r="3320" spans="1:8" ht="21.75" customHeight="1" x14ac:dyDescent="0.35">
      <c r="A3320" t="s">
        <v>3415</v>
      </c>
      <c r="B3320" s="3">
        <v>45528</v>
      </c>
      <c r="C3320" t="s">
        <v>317</v>
      </c>
      <c r="D3320" t="s">
        <v>59</v>
      </c>
      <c r="E3320" t="s">
        <v>22</v>
      </c>
      <c r="F3320" t="s">
        <v>306</v>
      </c>
      <c r="G3320" t="s">
        <v>36</v>
      </c>
      <c r="H3320">
        <v>9</v>
      </c>
    </row>
    <row r="3321" spans="1:8" ht="21.75" customHeight="1" x14ac:dyDescent="0.35">
      <c r="A3321" t="s">
        <v>3416</v>
      </c>
      <c r="B3321" s="3">
        <v>45359</v>
      </c>
      <c r="C3321" t="s">
        <v>187</v>
      </c>
      <c r="D3321" t="s">
        <v>87</v>
      </c>
      <c r="E3321" t="s">
        <v>17</v>
      </c>
      <c r="F3321" t="s">
        <v>56</v>
      </c>
      <c r="G3321" t="s">
        <v>36</v>
      </c>
      <c r="H3321">
        <v>2</v>
      </c>
    </row>
    <row r="3322" spans="1:8" ht="21.75" customHeight="1" x14ac:dyDescent="0.35">
      <c r="A3322" t="s">
        <v>3417</v>
      </c>
      <c r="B3322" s="3">
        <v>45489</v>
      </c>
      <c r="C3322" t="s">
        <v>451</v>
      </c>
      <c r="D3322" t="s">
        <v>79</v>
      </c>
      <c r="E3322" t="s">
        <v>11</v>
      </c>
      <c r="F3322" t="s">
        <v>56</v>
      </c>
      <c r="G3322" t="s">
        <v>13</v>
      </c>
      <c r="H3322">
        <v>5</v>
      </c>
    </row>
    <row r="3323" spans="1:8" ht="21.75" customHeight="1" x14ac:dyDescent="0.35">
      <c r="A3323" t="s">
        <v>3418</v>
      </c>
      <c r="B3323" s="3">
        <v>45413</v>
      </c>
      <c r="C3323" t="s">
        <v>111</v>
      </c>
      <c r="D3323" t="s">
        <v>31</v>
      </c>
      <c r="E3323" t="s">
        <v>17</v>
      </c>
      <c r="F3323" t="s">
        <v>12</v>
      </c>
      <c r="G3323" t="s">
        <v>36</v>
      </c>
      <c r="H3323">
        <v>16</v>
      </c>
    </row>
    <row r="3324" spans="1:8" ht="21.75" customHeight="1" x14ac:dyDescent="0.35">
      <c r="A3324" t="s">
        <v>3419</v>
      </c>
      <c r="B3324" s="3">
        <v>45468</v>
      </c>
      <c r="C3324" t="s">
        <v>150</v>
      </c>
      <c r="D3324" t="s">
        <v>21</v>
      </c>
      <c r="E3324" t="s">
        <v>22</v>
      </c>
      <c r="F3324" t="s">
        <v>27</v>
      </c>
      <c r="G3324" t="s">
        <v>23</v>
      </c>
      <c r="H3324">
        <v>7</v>
      </c>
    </row>
    <row r="3325" spans="1:8" ht="21.75" customHeight="1" x14ac:dyDescent="0.35">
      <c r="A3325" t="s">
        <v>3420</v>
      </c>
      <c r="B3325" s="3">
        <v>45426</v>
      </c>
      <c r="C3325" t="s">
        <v>591</v>
      </c>
      <c r="D3325" t="s">
        <v>70</v>
      </c>
      <c r="E3325" t="s">
        <v>11</v>
      </c>
      <c r="F3325" t="s">
        <v>42</v>
      </c>
      <c r="G3325" t="s">
        <v>36</v>
      </c>
      <c r="H3325">
        <v>11</v>
      </c>
    </row>
    <row r="3326" spans="1:8" ht="21.75" customHeight="1" x14ac:dyDescent="0.35">
      <c r="A3326" t="s">
        <v>3421</v>
      </c>
      <c r="B3326" s="3">
        <v>45387</v>
      </c>
      <c r="C3326" t="s">
        <v>230</v>
      </c>
      <c r="D3326" t="s">
        <v>72</v>
      </c>
      <c r="E3326" t="s">
        <v>17</v>
      </c>
      <c r="F3326" t="s">
        <v>306</v>
      </c>
      <c r="G3326" t="s">
        <v>23</v>
      </c>
      <c r="H3326">
        <v>4</v>
      </c>
    </row>
    <row r="3327" spans="1:8" ht="21.75" customHeight="1" x14ac:dyDescent="0.35">
      <c r="A3327" t="s">
        <v>3422</v>
      </c>
      <c r="B3327" s="3">
        <v>45467</v>
      </c>
      <c r="C3327" t="s">
        <v>332</v>
      </c>
      <c r="D3327" t="s">
        <v>160</v>
      </c>
      <c r="E3327" t="s">
        <v>17</v>
      </c>
      <c r="F3327" t="s">
        <v>12</v>
      </c>
      <c r="G3327" t="s">
        <v>32</v>
      </c>
      <c r="H3327">
        <v>14</v>
      </c>
    </row>
    <row r="3328" spans="1:8" ht="21.75" customHeight="1" x14ac:dyDescent="0.35">
      <c r="A3328" t="s">
        <v>3423</v>
      </c>
      <c r="B3328" s="3">
        <v>45570</v>
      </c>
      <c r="C3328" t="s">
        <v>34</v>
      </c>
      <c r="D3328" t="s">
        <v>102</v>
      </c>
      <c r="E3328" t="s">
        <v>11</v>
      </c>
      <c r="F3328" t="s">
        <v>27</v>
      </c>
      <c r="G3328" t="s">
        <v>13</v>
      </c>
      <c r="H3328">
        <v>4</v>
      </c>
    </row>
    <row r="3329" spans="1:8" ht="21.75" customHeight="1" x14ac:dyDescent="0.35">
      <c r="A3329" t="s">
        <v>3424</v>
      </c>
      <c r="B3329" s="3">
        <v>45443</v>
      </c>
      <c r="C3329" t="s">
        <v>34</v>
      </c>
      <c r="D3329" t="s">
        <v>48</v>
      </c>
      <c r="E3329" t="s">
        <v>17</v>
      </c>
      <c r="F3329" t="s">
        <v>27</v>
      </c>
      <c r="G3329" t="s">
        <v>23</v>
      </c>
      <c r="H3329">
        <v>18</v>
      </c>
    </row>
    <row r="3330" spans="1:8" ht="21.75" customHeight="1" x14ac:dyDescent="0.35">
      <c r="A3330" t="s">
        <v>3425</v>
      </c>
      <c r="B3330" s="3">
        <v>45334</v>
      </c>
      <c r="C3330" t="s">
        <v>358</v>
      </c>
      <c r="D3330" t="s">
        <v>45</v>
      </c>
      <c r="E3330" t="s">
        <v>17</v>
      </c>
      <c r="F3330" t="s">
        <v>306</v>
      </c>
      <c r="G3330" t="s">
        <v>28</v>
      </c>
      <c r="H3330">
        <v>5</v>
      </c>
    </row>
    <row r="3331" spans="1:8" ht="21.75" customHeight="1" x14ac:dyDescent="0.35">
      <c r="A3331" t="s">
        <v>3426</v>
      </c>
      <c r="B3331" s="3">
        <v>45405</v>
      </c>
      <c r="C3331" t="s">
        <v>420</v>
      </c>
      <c r="D3331" t="s">
        <v>96</v>
      </c>
      <c r="E3331" t="s">
        <v>11</v>
      </c>
      <c r="F3331" t="s">
        <v>42</v>
      </c>
      <c r="G3331" t="s">
        <v>36</v>
      </c>
      <c r="H3331">
        <v>20</v>
      </c>
    </row>
    <row r="3332" spans="1:8" ht="21.75" customHeight="1" x14ac:dyDescent="0.35">
      <c r="A3332" t="s">
        <v>3427</v>
      </c>
      <c r="B3332" s="3">
        <v>45580</v>
      </c>
      <c r="C3332" t="s">
        <v>339</v>
      </c>
      <c r="D3332" t="s">
        <v>160</v>
      </c>
      <c r="E3332" t="s">
        <v>11</v>
      </c>
      <c r="F3332" t="s">
        <v>306</v>
      </c>
      <c r="G3332" t="s">
        <v>32</v>
      </c>
      <c r="H3332">
        <v>18</v>
      </c>
    </row>
    <row r="3333" spans="1:8" ht="21.75" customHeight="1" x14ac:dyDescent="0.35">
      <c r="A3333" t="s">
        <v>3428</v>
      </c>
      <c r="B3333" s="3">
        <v>45563</v>
      </c>
      <c r="C3333" t="s">
        <v>30</v>
      </c>
      <c r="D3333" t="s">
        <v>48</v>
      </c>
      <c r="E3333" t="s">
        <v>11</v>
      </c>
      <c r="F3333" t="s">
        <v>12</v>
      </c>
      <c r="G3333" t="s">
        <v>28</v>
      </c>
      <c r="H3333">
        <v>20</v>
      </c>
    </row>
    <row r="3334" spans="1:8" ht="21.75" customHeight="1" x14ac:dyDescent="0.35">
      <c r="A3334" t="s">
        <v>3429</v>
      </c>
      <c r="B3334" s="3">
        <v>45369</v>
      </c>
      <c r="C3334" t="s">
        <v>591</v>
      </c>
      <c r="D3334" t="s">
        <v>109</v>
      </c>
      <c r="E3334" t="s">
        <v>17</v>
      </c>
      <c r="F3334" t="s">
        <v>56</v>
      </c>
      <c r="G3334" t="s">
        <v>32</v>
      </c>
      <c r="H3334">
        <v>2</v>
      </c>
    </row>
    <row r="3335" spans="1:8" ht="21.75" customHeight="1" x14ac:dyDescent="0.35">
      <c r="A3335" t="s">
        <v>3430</v>
      </c>
      <c r="B3335" s="3">
        <v>45497</v>
      </c>
      <c r="C3335" t="s">
        <v>61</v>
      </c>
      <c r="D3335" t="s">
        <v>31</v>
      </c>
      <c r="E3335" t="s">
        <v>22</v>
      </c>
      <c r="F3335" t="s">
        <v>27</v>
      </c>
      <c r="G3335" t="s">
        <v>23</v>
      </c>
      <c r="H3335">
        <v>15</v>
      </c>
    </row>
    <row r="3336" spans="1:8" ht="21.75" customHeight="1" x14ac:dyDescent="0.35">
      <c r="A3336" t="s">
        <v>3431</v>
      </c>
      <c r="B3336" s="3">
        <v>45445</v>
      </c>
      <c r="C3336" t="s">
        <v>25</v>
      </c>
      <c r="D3336" t="s">
        <v>10</v>
      </c>
      <c r="E3336" t="s">
        <v>17</v>
      </c>
      <c r="F3336" t="s">
        <v>306</v>
      </c>
      <c r="G3336" t="s">
        <v>32</v>
      </c>
      <c r="H3336">
        <v>7</v>
      </c>
    </row>
    <row r="3337" spans="1:8" ht="21.75" customHeight="1" x14ac:dyDescent="0.35">
      <c r="A3337" t="s">
        <v>3432</v>
      </c>
      <c r="B3337" s="3">
        <v>45605</v>
      </c>
      <c r="C3337" t="s">
        <v>327</v>
      </c>
      <c r="D3337" t="s">
        <v>10</v>
      </c>
      <c r="E3337" t="s">
        <v>11</v>
      </c>
      <c r="F3337" t="s">
        <v>27</v>
      </c>
      <c r="G3337" t="s">
        <v>28</v>
      </c>
      <c r="H3337">
        <v>5</v>
      </c>
    </row>
    <row r="3338" spans="1:8" ht="21.75" customHeight="1" x14ac:dyDescent="0.35">
      <c r="A3338" t="s">
        <v>3433</v>
      </c>
      <c r="B3338" s="3">
        <v>45374</v>
      </c>
      <c r="C3338" t="s">
        <v>332</v>
      </c>
      <c r="D3338" t="s">
        <v>197</v>
      </c>
      <c r="E3338" t="s">
        <v>17</v>
      </c>
      <c r="F3338" t="s">
        <v>56</v>
      </c>
      <c r="G3338" t="s">
        <v>23</v>
      </c>
      <c r="H3338">
        <v>13</v>
      </c>
    </row>
    <row r="3339" spans="1:8" ht="21.75" customHeight="1" x14ac:dyDescent="0.35">
      <c r="A3339" t="s">
        <v>3434</v>
      </c>
      <c r="B3339" s="3">
        <v>45419</v>
      </c>
      <c r="C3339" t="s">
        <v>20</v>
      </c>
      <c r="D3339" t="s">
        <v>10</v>
      </c>
      <c r="E3339" t="s">
        <v>11</v>
      </c>
      <c r="F3339" t="s">
        <v>42</v>
      </c>
      <c r="G3339" t="s">
        <v>28</v>
      </c>
      <c r="H3339">
        <v>13</v>
      </c>
    </row>
    <row r="3340" spans="1:8" ht="21.75" customHeight="1" x14ac:dyDescent="0.35">
      <c r="A3340" t="s">
        <v>3435</v>
      </c>
      <c r="B3340" s="3">
        <v>45591</v>
      </c>
      <c r="C3340" t="s">
        <v>422</v>
      </c>
      <c r="D3340" t="s">
        <v>16</v>
      </c>
      <c r="E3340" t="s">
        <v>11</v>
      </c>
      <c r="F3340" t="s">
        <v>27</v>
      </c>
      <c r="G3340" t="s">
        <v>28</v>
      </c>
      <c r="H3340">
        <v>9</v>
      </c>
    </row>
    <row r="3341" spans="1:8" ht="21.75" customHeight="1" x14ac:dyDescent="0.35">
      <c r="A3341" t="s">
        <v>3436</v>
      </c>
      <c r="B3341" s="3">
        <v>45297</v>
      </c>
      <c r="C3341" t="s">
        <v>541</v>
      </c>
      <c r="D3341" t="s">
        <v>102</v>
      </c>
      <c r="E3341" t="s">
        <v>22</v>
      </c>
      <c r="F3341" t="s">
        <v>42</v>
      </c>
      <c r="G3341" t="s">
        <v>36</v>
      </c>
      <c r="H3341">
        <v>4</v>
      </c>
    </row>
    <row r="3342" spans="1:8" ht="21.75" customHeight="1" x14ac:dyDescent="0.35">
      <c r="A3342" t="s">
        <v>3437</v>
      </c>
      <c r="B3342" s="3">
        <v>45598</v>
      </c>
      <c r="C3342" t="s">
        <v>553</v>
      </c>
      <c r="D3342" t="s">
        <v>197</v>
      </c>
      <c r="E3342" t="s">
        <v>22</v>
      </c>
      <c r="F3342" t="s">
        <v>27</v>
      </c>
      <c r="G3342" t="s">
        <v>32</v>
      </c>
      <c r="H3342">
        <v>4</v>
      </c>
    </row>
    <row r="3343" spans="1:8" ht="21.75" customHeight="1" x14ac:dyDescent="0.35">
      <c r="A3343" t="s">
        <v>3438</v>
      </c>
      <c r="B3343" s="3">
        <v>45604</v>
      </c>
      <c r="C3343" t="s">
        <v>366</v>
      </c>
      <c r="D3343" t="s">
        <v>16</v>
      </c>
      <c r="E3343" t="s">
        <v>11</v>
      </c>
      <c r="F3343" t="s">
        <v>42</v>
      </c>
      <c r="G3343" t="s">
        <v>32</v>
      </c>
      <c r="H3343">
        <v>2</v>
      </c>
    </row>
    <row r="3344" spans="1:8" ht="21.75" customHeight="1" x14ac:dyDescent="0.35">
      <c r="A3344" t="s">
        <v>3439</v>
      </c>
      <c r="B3344" s="3">
        <v>45422</v>
      </c>
      <c r="C3344" t="s">
        <v>40</v>
      </c>
      <c r="D3344" t="s">
        <v>21</v>
      </c>
      <c r="E3344" t="s">
        <v>17</v>
      </c>
      <c r="F3344" t="s">
        <v>27</v>
      </c>
      <c r="G3344" t="s">
        <v>36</v>
      </c>
      <c r="H3344">
        <v>6</v>
      </c>
    </row>
    <row r="3345" spans="1:8" ht="21.75" customHeight="1" x14ac:dyDescent="0.35">
      <c r="A3345" t="s">
        <v>3440</v>
      </c>
      <c r="B3345" s="3">
        <v>45646</v>
      </c>
      <c r="C3345" t="s">
        <v>374</v>
      </c>
      <c r="D3345" t="s">
        <v>119</v>
      </c>
      <c r="E3345" t="s">
        <v>17</v>
      </c>
      <c r="F3345" t="s">
        <v>56</v>
      </c>
      <c r="G3345" t="s">
        <v>36</v>
      </c>
      <c r="H3345">
        <v>4</v>
      </c>
    </row>
    <row r="3346" spans="1:8" ht="21.75" customHeight="1" x14ac:dyDescent="0.35">
      <c r="A3346" t="s">
        <v>3441</v>
      </c>
      <c r="B3346" s="3">
        <v>45600</v>
      </c>
      <c r="C3346" t="s">
        <v>327</v>
      </c>
      <c r="D3346" t="s">
        <v>48</v>
      </c>
      <c r="E3346" t="s">
        <v>11</v>
      </c>
      <c r="F3346" t="s">
        <v>27</v>
      </c>
      <c r="G3346" t="s">
        <v>23</v>
      </c>
      <c r="H3346">
        <v>14</v>
      </c>
    </row>
    <row r="3347" spans="1:8" ht="21.75" customHeight="1" x14ac:dyDescent="0.35">
      <c r="A3347" t="s">
        <v>3442</v>
      </c>
      <c r="B3347" s="3">
        <v>45345</v>
      </c>
      <c r="C3347" t="s">
        <v>337</v>
      </c>
      <c r="D3347" t="s">
        <v>26</v>
      </c>
      <c r="E3347" t="s">
        <v>22</v>
      </c>
      <c r="F3347" t="s">
        <v>42</v>
      </c>
      <c r="G3347" t="s">
        <v>32</v>
      </c>
      <c r="H3347">
        <v>17</v>
      </c>
    </row>
    <row r="3348" spans="1:8" ht="21.75" customHeight="1" x14ac:dyDescent="0.35">
      <c r="A3348" t="s">
        <v>3443</v>
      </c>
      <c r="B3348" s="3">
        <v>45633</v>
      </c>
      <c r="C3348" t="s">
        <v>230</v>
      </c>
      <c r="D3348" t="s">
        <v>48</v>
      </c>
      <c r="E3348" t="s">
        <v>11</v>
      </c>
      <c r="F3348" t="s">
        <v>12</v>
      </c>
      <c r="G3348" t="s">
        <v>13</v>
      </c>
      <c r="H3348">
        <v>16</v>
      </c>
    </row>
    <row r="3349" spans="1:8" ht="21.75" customHeight="1" x14ac:dyDescent="0.35">
      <c r="A3349" t="s">
        <v>3444</v>
      </c>
      <c r="B3349" s="3">
        <v>45545</v>
      </c>
      <c r="C3349" t="s">
        <v>240</v>
      </c>
      <c r="D3349" t="s">
        <v>59</v>
      </c>
      <c r="E3349" t="s">
        <v>17</v>
      </c>
      <c r="F3349" t="s">
        <v>42</v>
      </c>
      <c r="G3349" t="s">
        <v>13</v>
      </c>
      <c r="H3349">
        <v>16</v>
      </c>
    </row>
    <row r="3350" spans="1:8" ht="21.75" customHeight="1" x14ac:dyDescent="0.35">
      <c r="A3350" t="s">
        <v>3445</v>
      </c>
      <c r="B3350" s="3">
        <v>45581</v>
      </c>
      <c r="C3350" t="s">
        <v>159</v>
      </c>
      <c r="D3350" t="s">
        <v>109</v>
      </c>
      <c r="E3350" t="s">
        <v>22</v>
      </c>
      <c r="F3350" t="s">
        <v>27</v>
      </c>
      <c r="G3350" t="s">
        <v>13</v>
      </c>
      <c r="H3350">
        <v>20</v>
      </c>
    </row>
    <row r="3351" spans="1:8" ht="21.75" customHeight="1" x14ac:dyDescent="0.35">
      <c r="A3351" t="s">
        <v>3446</v>
      </c>
      <c r="B3351" s="3">
        <v>45621</v>
      </c>
      <c r="C3351" t="s">
        <v>108</v>
      </c>
      <c r="D3351" t="s">
        <v>59</v>
      </c>
      <c r="E3351" t="s">
        <v>11</v>
      </c>
      <c r="F3351" t="s">
        <v>12</v>
      </c>
      <c r="G3351" t="s">
        <v>28</v>
      </c>
      <c r="H3351">
        <v>12</v>
      </c>
    </row>
    <row r="3352" spans="1:8" ht="21.75" customHeight="1" x14ac:dyDescent="0.35">
      <c r="A3352" t="s">
        <v>3447</v>
      </c>
      <c r="B3352" s="3">
        <v>45655</v>
      </c>
      <c r="C3352" t="s">
        <v>493</v>
      </c>
      <c r="D3352" t="s">
        <v>87</v>
      </c>
      <c r="E3352" t="s">
        <v>17</v>
      </c>
      <c r="F3352" t="s">
        <v>12</v>
      </c>
      <c r="G3352" t="s">
        <v>32</v>
      </c>
      <c r="H3352">
        <v>15</v>
      </c>
    </row>
    <row r="3353" spans="1:8" ht="21.75" customHeight="1" x14ac:dyDescent="0.35">
      <c r="A3353" t="s">
        <v>3448</v>
      </c>
      <c r="B3353" s="3">
        <v>45585</v>
      </c>
      <c r="C3353" t="s">
        <v>363</v>
      </c>
      <c r="D3353" t="s">
        <v>79</v>
      </c>
      <c r="E3353" t="s">
        <v>17</v>
      </c>
      <c r="F3353" t="s">
        <v>27</v>
      </c>
      <c r="G3353" t="s">
        <v>13</v>
      </c>
      <c r="H3353">
        <v>7</v>
      </c>
    </row>
    <row r="3354" spans="1:8" ht="21.75" customHeight="1" x14ac:dyDescent="0.35">
      <c r="A3354" t="s">
        <v>3449</v>
      </c>
      <c r="B3354" s="3">
        <v>45304</v>
      </c>
      <c r="C3354" t="s">
        <v>451</v>
      </c>
      <c r="D3354" t="s">
        <v>72</v>
      </c>
      <c r="E3354" t="s">
        <v>11</v>
      </c>
      <c r="F3354" t="s">
        <v>42</v>
      </c>
      <c r="G3354" t="s">
        <v>23</v>
      </c>
      <c r="H3354">
        <v>1</v>
      </c>
    </row>
    <row r="3355" spans="1:8" ht="21.75" customHeight="1" x14ac:dyDescent="0.35">
      <c r="A3355" t="s">
        <v>3450</v>
      </c>
      <c r="B3355" s="3">
        <v>45421</v>
      </c>
      <c r="C3355" t="s">
        <v>182</v>
      </c>
      <c r="D3355" t="s">
        <v>41</v>
      </c>
      <c r="E3355" t="s">
        <v>17</v>
      </c>
      <c r="F3355" t="s">
        <v>42</v>
      </c>
      <c r="G3355" t="s">
        <v>28</v>
      </c>
      <c r="H3355">
        <v>9</v>
      </c>
    </row>
    <row r="3356" spans="1:8" ht="21.75" customHeight="1" x14ac:dyDescent="0.35">
      <c r="A3356" t="s">
        <v>3451</v>
      </c>
      <c r="B3356" s="3">
        <v>45316</v>
      </c>
      <c r="C3356" t="s">
        <v>187</v>
      </c>
      <c r="D3356" t="s">
        <v>70</v>
      </c>
      <c r="E3356" t="s">
        <v>22</v>
      </c>
      <c r="F3356" t="s">
        <v>42</v>
      </c>
      <c r="G3356" t="s">
        <v>28</v>
      </c>
      <c r="H3356">
        <v>7</v>
      </c>
    </row>
    <row r="3357" spans="1:8" ht="21.75" customHeight="1" x14ac:dyDescent="0.35">
      <c r="A3357" t="s">
        <v>3452</v>
      </c>
      <c r="B3357" s="3">
        <v>45572</v>
      </c>
      <c r="C3357" t="s">
        <v>736</v>
      </c>
      <c r="D3357" t="s">
        <v>72</v>
      </c>
      <c r="E3357" t="s">
        <v>22</v>
      </c>
      <c r="F3357" t="s">
        <v>27</v>
      </c>
      <c r="G3357" t="s">
        <v>32</v>
      </c>
      <c r="H3357">
        <v>6</v>
      </c>
    </row>
  </sheetData>
  <pageMargins left="0.75" right="0.75" top="1" bottom="1" header="0.5" footer="0.5"/>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30EC-FA79-4FCA-BAB7-4F78BA313093}">
  <dimension ref="A1:B4"/>
  <sheetViews>
    <sheetView workbookViewId="0">
      <selection activeCell="B5" sqref="B5"/>
    </sheetView>
  </sheetViews>
  <sheetFormatPr defaultRowHeight="14.5" x14ac:dyDescent="0.35"/>
  <cols>
    <col min="1" max="1" width="15.81640625" customWidth="1"/>
  </cols>
  <sheetData>
    <row r="1" spans="1:2" x14ac:dyDescent="0.35">
      <c r="A1" t="s">
        <v>3661</v>
      </c>
      <c r="B1">
        <f>SUM(Clean_Data!N:N)</f>
        <v>4067320</v>
      </c>
    </row>
    <row r="2" spans="1:2" x14ac:dyDescent="0.35">
      <c r="A2" t="s">
        <v>3662</v>
      </c>
      <c r="B2">
        <f>AVERAGE(Clean_Data!N:N)</f>
        <v>1232.5212121212121</v>
      </c>
    </row>
    <row r="3" spans="1:2" x14ac:dyDescent="0.35">
      <c r="A3" t="s">
        <v>3663</v>
      </c>
      <c r="B3">
        <f>COUNT(Clean_Data!A:A)</f>
        <v>0</v>
      </c>
    </row>
    <row r="4" spans="1:2" x14ac:dyDescent="0.35">
      <c r="A4" t="s">
        <v>3664</v>
      </c>
      <c r="B4">
        <f>MEDIAN(Clean_Data!L:L)</f>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AB9A-5FE3-4A22-BB4D-7F32F4EE88E8}">
  <dimension ref="A1:Q3357"/>
  <sheetViews>
    <sheetView topLeftCell="A2" zoomScale="55" zoomScaleNormal="55" workbookViewId="0">
      <selection activeCell="C34" sqref="A2:Q3302"/>
    </sheetView>
  </sheetViews>
  <sheetFormatPr defaultRowHeight="14.5" x14ac:dyDescent="0.35"/>
  <cols>
    <col min="1" max="1" width="9.26953125" customWidth="1"/>
    <col min="2" max="2" width="22.453125" style="7" customWidth="1"/>
    <col min="3" max="3" width="22.453125" style="13" customWidth="1"/>
    <col min="4" max="5" width="22.453125" style="7" customWidth="1"/>
    <col min="6" max="6" width="12.6328125" customWidth="1"/>
    <col min="7" max="7" width="11.90625" customWidth="1"/>
    <col min="8" max="9" width="11.453125" customWidth="1"/>
    <col min="10" max="10" width="9.08984375" customWidth="1"/>
    <col min="11" max="11" width="9.7265625" customWidth="1"/>
    <col min="13" max="13" width="12.54296875" customWidth="1"/>
    <col min="15" max="17" width="17.90625" customWidth="1"/>
  </cols>
  <sheetData>
    <row r="1" spans="1:17" x14ac:dyDescent="0.35">
      <c r="A1" s="1"/>
      <c r="B1" s="6"/>
      <c r="C1" s="11"/>
      <c r="D1" s="6"/>
      <c r="E1" s="6"/>
      <c r="F1" s="1"/>
      <c r="G1" s="1"/>
      <c r="H1" s="1"/>
      <c r="I1" s="1"/>
      <c r="J1" s="1"/>
      <c r="K1" s="1"/>
      <c r="L1" s="1"/>
      <c r="M1" s="1"/>
      <c r="N1" s="1"/>
    </row>
    <row r="2" spans="1:17" x14ac:dyDescent="0.35">
      <c r="A2" s="2" t="s">
        <v>0</v>
      </c>
      <c r="B2" s="8" t="s">
        <v>1</v>
      </c>
      <c r="C2" s="12" t="s">
        <v>3653</v>
      </c>
      <c r="D2" s="8" t="s">
        <v>3654</v>
      </c>
      <c r="E2" s="8" t="s">
        <v>3655</v>
      </c>
      <c r="F2" s="2" t="s">
        <v>2</v>
      </c>
      <c r="G2" s="2" t="s">
        <v>3</v>
      </c>
      <c r="H2" s="2" t="s">
        <v>4</v>
      </c>
      <c r="I2" s="2" t="str">
        <f>TRIM(J3)</f>
        <v>North</v>
      </c>
      <c r="J2" s="4" t="s">
        <v>5</v>
      </c>
      <c r="K2" s="2" t="s">
        <v>6</v>
      </c>
      <c r="L2" s="2" t="s">
        <v>7</v>
      </c>
      <c r="M2" s="4" t="s">
        <v>3626</v>
      </c>
      <c r="N2" s="5" t="s">
        <v>3627</v>
      </c>
      <c r="O2" s="10" t="s">
        <v>3658</v>
      </c>
      <c r="P2" s="10" t="s">
        <v>3659</v>
      </c>
      <c r="Q2" s="10" t="s">
        <v>3660</v>
      </c>
    </row>
    <row r="3" spans="1:17" x14ac:dyDescent="0.35">
      <c r="A3" t="s">
        <v>8</v>
      </c>
      <c r="B3" s="7">
        <v>45619</v>
      </c>
      <c r="C3" s="13">
        <f>YEAR(B3)</f>
        <v>2024</v>
      </c>
      <c r="D3" s="7" t="str">
        <f>TEXT(B3,"mmm")</f>
        <v>Nov</v>
      </c>
      <c r="E3" s="7" t="str">
        <f>TEXT(B3,"ddd")</f>
        <v>Sat</v>
      </c>
      <c r="F3" t="s">
        <v>9</v>
      </c>
      <c r="G3" t="s">
        <v>10</v>
      </c>
      <c r="H3" t="s">
        <v>11</v>
      </c>
      <c r="I3" s="2" t="str">
        <f t="shared" ref="I3:I66" si="0">TRIM(J4)</f>
        <v>Central</v>
      </c>
      <c r="J3" t="s">
        <v>12</v>
      </c>
      <c r="K3" t="s">
        <v>13</v>
      </c>
      <c r="L3">
        <v>4</v>
      </c>
      <c r="M3">
        <v>100</v>
      </c>
      <c r="N3">
        <f>M3*L3</f>
        <v>400</v>
      </c>
      <c r="O3">
        <f>N3*0.1</f>
        <v>40</v>
      </c>
      <c r="P3" t="str">
        <f>IF(N3&gt;500,"Large Order","Standard Order")</f>
        <v>Standard Order</v>
      </c>
      <c r="Q3" t="str">
        <f>IF(OR(TRIM(E3)="Sat",TRIM(E3)="Sun"),"Weekend","Weekday")</f>
        <v>Weekend</v>
      </c>
    </row>
    <row r="4" spans="1:17" x14ac:dyDescent="0.35">
      <c r="A4" t="s">
        <v>14</v>
      </c>
      <c r="B4" s="7">
        <v>45638</v>
      </c>
      <c r="C4" s="13">
        <f t="shared" ref="C4:C67" si="1">YEAR(B4)</f>
        <v>2024</v>
      </c>
      <c r="D4" s="7" t="str">
        <f t="shared" ref="D4:D67" si="2">TEXT(B4,"mmm")</f>
        <v>Dec</v>
      </c>
      <c r="E4" s="7" t="str">
        <f t="shared" ref="E4:E67" si="3">TEXT(B4,"ddd")</f>
        <v>Thu</v>
      </c>
      <c r="F4" t="s">
        <v>15</v>
      </c>
      <c r="G4" t="s">
        <v>16</v>
      </c>
      <c r="H4" t="s">
        <v>17</v>
      </c>
      <c r="I4" s="2" t="str">
        <f t="shared" si="0"/>
        <v>Central</v>
      </c>
      <c r="J4" t="s">
        <v>18</v>
      </c>
      <c r="K4" t="s">
        <v>13</v>
      </c>
      <c r="L4">
        <v>1</v>
      </c>
      <c r="M4">
        <v>200</v>
      </c>
      <c r="N4">
        <f t="shared" ref="N4:N67" si="4">M4*L4</f>
        <v>200</v>
      </c>
      <c r="O4">
        <f t="shared" ref="O4:O67" si="5">N4*0.1</f>
        <v>20</v>
      </c>
      <c r="P4" t="str">
        <f t="shared" ref="P4:P67" si="6">IF(N4&gt;500,"Large Order","Standard Order")</f>
        <v>Standard Order</v>
      </c>
      <c r="Q4" t="str">
        <f t="shared" ref="Q4:Q67" si="7">IF(OR(TRIM(E4)="Sat",TRIM(E4)="Sun"),"Weekend","Weekday")</f>
        <v>Weekday</v>
      </c>
    </row>
    <row r="5" spans="1:17" x14ac:dyDescent="0.35">
      <c r="A5" t="s">
        <v>19</v>
      </c>
      <c r="B5" s="7">
        <v>45411</v>
      </c>
      <c r="C5" s="13">
        <f t="shared" si="1"/>
        <v>2024</v>
      </c>
      <c r="D5" s="7" t="str">
        <f t="shared" si="2"/>
        <v>Apr</v>
      </c>
      <c r="E5" s="7" t="str">
        <f t="shared" si="3"/>
        <v>Mon</v>
      </c>
      <c r="F5" t="s">
        <v>20</v>
      </c>
      <c r="G5" t="s">
        <v>21</v>
      </c>
      <c r="H5" t="s">
        <v>22</v>
      </c>
      <c r="I5" s="2" t="str">
        <f t="shared" si="0"/>
        <v>West</v>
      </c>
      <c r="J5" t="s">
        <v>18</v>
      </c>
      <c r="K5" t="s">
        <v>23</v>
      </c>
      <c r="L5">
        <v>4</v>
      </c>
      <c r="M5">
        <v>150</v>
      </c>
      <c r="N5">
        <f t="shared" si="4"/>
        <v>600</v>
      </c>
      <c r="O5">
        <f t="shared" si="5"/>
        <v>60</v>
      </c>
      <c r="P5" t="str">
        <f t="shared" si="6"/>
        <v>Large Order</v>
      </c>
      <c r="Q5" t="str">
        <f t="shared" si="7"/>
        <v>Weekday</v>
      </c>
    </row>
    <row r="6" spans="1:17" x14ac:dyDescent="0.35">
      <c r="A6" t="s">
        <v>24</v>
      </c>
      <c r="B6" s="7">
        <v>45571</v>
      </c>
      <c r="C6" s="13">
        <f t="shared" si="1"/>
        <v>2024</v>
      </c>
      <c r="D6" s="7" t="str">
        <f t="shared" si="2"/>
        <v>Oct</v>
      </c>
      <c r="E6" s="7" t="str">
        <f t="shared" si="3"/>
        <v>Sun</v>
      </c>
      <c r="F6" t="s">
        <v>25</v>
      </c>
      <c r="G6" t="s">
        <v>26</v>
      </c>
      <c r="H6" t="s">
        <v>22</v>
      </c>
      <c r="I6" s="2" t="str">
        <f t="shared" si="0"/>
        <v>West</v>
      </c>
      <c r="J6" t="s">
        <v>27</v>
      </c>
      <c r="K6" t="s">
        <v>28</v>
      </c>
      <c r="L6">
        <v>5</v>
      </c>
      <c r="M6">
        <v>80</v>
      </c>
      <c r="N6">
        <f t="shared" si="4"/>
        <v>400</v>
      </c>
      <c r="O6">
        <f t="shared" si="5"/>
        <v>40</v>
      </c>
      <c r="P6" t="str">
        <f t="shared" si="6"/>
        <v>Standard Order</v>
      </c>
      <c r="Q6" t="str">
        <f t="shared" si="7"/>
        <v>Weekend</v>
      </c>
    </row>
    <row r="7" spans="1:17" x14ac:dyDescent="0.35">
      <c r="A7" t="s">
        <v>29</v>
      </c>
      <c r="B7" s="7">
        <v>45373</v>
      </c>
      <c r="C7" s="13">
        <f t="shared" si="1"/>
        <v>2024</v>
      </c>
      <c r="D7" s="7" t="str">
        <f t="shared" si="2"/>
        <v>Mar</v>
      </c>
      <c r="E7" s="7" t="str">
        <f t="shared" si="3"/>
        <v>Fri</v>
      </c>
      <c r="F7" t="s">
        <v>30</v>
      </c>
      <c r="G7" t="s">
        <v>31</v>
      </c>
      <c r="H7" t="s">
        <v>11</v>
      </c>
      <c r="I7" s="2" t="str">
        <f t="shared" si="0"/>
        <v>North</v>
      </c>
      <c r="J7" t="s">
        <v>27</v>
      </c>
      <c r="K7" t="s">
        <v>32</v>
      </c>
      <c r="L7">
        <v>4</v>
      </c>
      <c r="M7">
        <v>120</v>
      </c>
      <c r="N7">
        <f t="shared" si="4"/>
        <v>480</v>
      </c>
      <c r="O7">
        <f t="shared" si="5"/>
        <v>48</v>
      </c>
      <c r="P7" t="str">
        <f t="shared" si="6"/>
        <v>Standard Order</v>
      </c>
      <c r="Q7" t="str">
        <f t="shared" si="7"/>
        <v>Weekday</v>
      </c>
    </row>
    <row r="8" spans="1:17" x14ac:dyDescent="0.35">
      <c r="A8" t="s">
        <v>33</v>
      </c>
      <c r="B8" s="7">
        <v>45344</v>
      </c>
      <c r="C8" s="13">
        <f t="shared" si="1"/>
        <v>2024</v>
      </c>
      <c r="D8" s="7" t="str">
        <f t="shared" si="2"/>
        <v>Feb</v>
      </c>
      <c r="E8" s="7" t="str">
        <f t="shared" si="3"/>
        <v>Thu</v>
      </c>
      <c r="F8" t="s">
        <v>34</v>
      </c>
      <c r="G8" t="s">
        <v>35</v>
      </c>
      <c r="H8" t="s">
        <v>17</v>
      </c>
      <c r="I8" s="2" t="str">
        <f t="shared" si="0"/>
        <v>West</v>
      </c>
      <c r="J8" t="s">
        <v>12</v>
      </c>
      <c r="K8" t="s">
        <v>36</v>
      </c>
      <c r="L8">
        <v>14</v>
      </c>
      <c r="M8">
        <v>120</v>
      </c>
      <c r="N8">
        <f t="shared" si="4"/>
        <v>1680</v>
      </c>
      <c r="O8">
        <f t="shared" si="5"/>
        <v>168</v>
      </c>
      <c r="P8" t="str">
        <f t="shared" si="6"/>
        <v>Large Order</v>
      </c>
      <c r="Q8" t="str">
        <f t="shared" si="7"/>
        <v>Weekday</v>
      </c>
    </row>
    <row r="9" spans="1:17" x14ac:dyDescent="0.35">
      <c r="A9" t="s">
        <v>37</v>
      </c>
      <c r="B9" s="7">
        <v>45314</v>
      </c>
      <c r="C9" s="13">
        <f t="shared" si="1"/>
        <v>2024</v>
      </c>
      <c r="D9" s="7" t="str">
        <f t="shared" si="2"/>
        <v>Jan</v>
      </c>
      <c r="E9" s="7" t="str">
        <f t="shared" si="3"/>
        <v>Tue</v>
      </c>
      <c r="F9" t="s">
        <v>38</v>
      </c>
      <c r="G9" t="s">
        <v>21</v>
      </c>
      <c r="H9" t="s">
        <v>17</v>
      </c>
      <c r="I9" s="2" t="str">
        <f t="shared" si="0"/>
        <v>East</v>
      </c>
      <c r="J9" t="s">
        <v>27</v>
      </c>
      <c r="K9" t="s">
        <v>23</v>
      </c>
      <c r="L9">
        <v>2</v>
      </c>
      <c r="M9">
        <v>120</v>
      </c>
      <c r="N9">
        <f t="shared" si="4"/>
        <v>240</v>
      </c>
      <c r="O9">
        <f t="shared" si="5"/>
        <v>24</v>
      </c>
      <c r="P9" t="str">
        <f t="shared" si="6"/>
        <v>Standard Order</v>
      </c>
      <c r="Q9" t="str">
        <f t="shared" si="7"/>
        <v>Weekday</v>
      </c>
    </row>
    <row r="10" spans="1:17" x14ac:dyDescent="0.35">
      <c r="A10" t="s">
        <v>39</v>
      </c>
      <c r="B10" s="7">
        <v>45608</v>
      </c>
      <c r="C10" s="13">
        <f t="shared" si="1"/>
        <v>2024</v>
      </c>
      <c r="D10" s="7" t="str">
        <f t="shared" si="2"/>
        <v>Nov</v>
      </c>
      <c r="E10" s="7" t="str">
        <f t="shared" si="3"/>
        <v>Tue</v>
      </c>
      <c r="F10" t="s">
        <v>40</v>
      </c>
      <c r="G10" t="s">
        <v>41</v>
      </c>
      <c r="H10" t="s">
        <v>22</v>
      </c>
      <c r="I10" s="2" t="str">
        <f t="shared" si="0"/>
        <v>North</v>
      </c>
      <c r="J10" t="s">
        <v>42</v>
      </c>
      <c r="K10" t="s">
        <v>23</v>
      </c>
      <c r="L10">
        <v>2</v>
      </c>
      <c r="M10">
        <v>120</v>
      </c>
      <c r="N10">
        <f t="shared" si="4"/>
        <v>240</v>
      </c>
      <c r="O10">
        <f t="shared" si="5"/>
        <v>24</v>
      </c>
      <c r="P10" t="str">
        <f t="shared" si="6"/>
        <v>Standard Order</v>
      </c>
      <c r="Q10" t="str">
        <f t="shared" si="7"/>
        <v>Weekday</v>
      </c>
    </row>
    <row r="11" spans="1:17" x14ac:dyDescent="0.35">
      <c r="A11" t="s">
        <v>43</v>
      </c>
      <c r="B11" s="7">
        <v>45440</v>
      </c>
      <c r="C11" s="13">
        <f t="shared" si="1"/>
        <v>2024</v>
      </c>
      <c r="D11" s="7" t="str">
        <f t="shared" si="2"/>
        <v>May</v>
      </c>
      <c r="E11" s="7" t="str">
        <f t="shared" si="3"/>
        <v>Tue</v>
      </c>
      <c r="F11" t="s">
        <v>44</v>
      </c>
      <c r="G11" t="s">
        <v>45</v>
      </c>
      <c r="H11" t="s">
        <v>17</v>
      </c>
      <c r="I11" s="2" t="str">
        <f t="shared" si="0"/>
        <v>East</v>
      </c>
      <c r="J11" t="s">
        <v>12</v>
      </c>
      <c r="K11" t="s">
        <v>28</v>
      </c>
      <c r="L11">
        <v>5</v>
      </c>
      <c r="M11">
        <v>120</v>
      </c>
      <c r="N11">
        <f t="shared" si="4"/>
        <v>600</v>
      </c>
      <c r="O11">
        <f t="shared" si="5"/>
        <v>60</v>
      </c>
      <c r="P11" t="str">
        <f t="shared" si="6"/>
        <v>Large Order</v>
      </c>
      <c r="Q11" t="str">
        <f t="shared" si="7"/>
        <v>Weekday</v>
      </c>
    </row>
    <row r="12" spans="1:17" x14ac:dyDescent="0.35">
      <c r="A12" t="s">
        <v>46</v>
      </c>
      <c r="B12" s="7">
        <v>45375</v>
      </c>
      <c r="C12" s="13">
        <f t="shared" si="1"/>
        <v>2024</v>
      </c>
      <c r="D12" s="7" t="str">
        <f t="shared" si="2"/>
        <v>Mar</v>
      </c>
      <c r="E12" s="7" t="str">
        <f t="shared" si="3"/>
        <v>Sun</v>
      </c>
      <c r="F12" t="s">
        <v>47</v>
      </c>
      <c r="G12" t="s">
        <v>48</v>
      </c>
      <c r="H12" t="s">
        <v>22</v>
      </c>
      <c r="I12" s="2" t="str">
        <f t="shared" si="0"/>
        <v>North</v>
      </c>
      <c r="J12" t="s">
        <v>42</v>
      </c>
      <c r="K12" t="s">
        <v>49</v>
      </c>
      <c r="L12">
        <v>5</v>
      </c>
      <c r="M12">
        <v>120</v>
      </c>
      <c r="N12">
        <f t="shared" si="4"/>
        <v>600</v>
      </c>
      <c r="O12">
        <f t="shared" si="5"/>
        <v>60</v>
      </c>
      <c r="P12" t="str">
        <f t="shared" si="6"/>
        <v>Large Order</v>
      </c>
      <c r="Q12" t="str">
        <f t="shared" si="7"/>
        <v>Weekend</v>
      </c>
    </row>
    <row r="13" spans="1:17" x14ac:dyDescent="0.35">
      <c r="A13" t="s">
        <v>50</v>
      </c>
      <c r="B13" s="7">
        <v>45623</v>
      </c>
      <c r="C13" s="13">
        <f t="shared" si="1"/>
        <v>2024</v>
      </c>
      <c r="D13" s="7" t="str">
        <f t="shared" si="2"/>
        <v>Nov</v>
      </c>
      <c r="E13" s="7" t="str">
        <f t="shared" si="3"/>
        <v>Wed</v>
      </c>
      <c r="F13" t="s">
        <v>51</v>
      </c>
      <c r="G13" t="s">
        <v>41</v>
      </c>
      <c r="H13" t="s">
        <v>22</v>
      </c>
      <c r="I13" s="2" t="str">
        <f t="shared" si="0"/>
        <v>East</v>
      </c>
      <c r="J13" t="s">
        <v>12</v>
      </c>
      <c r="K13" t="s">
        <v>23</v>
      </c>
      <c r="L13">
        <v>12</v>
      </c>
      <c r="M13">
        <v>120</v>
      </c>
      <c r="N13">
        <f t="shared" si="4"/>
        <v>1440</v>
      </c>
      <c r="O13">
        <f t="shared" si="5"/>
        <v>144</v>
      </c>
      <c r="P13" t="str">
        <f t="shared" si="6"/>
        <v>Large Order</v>
      </c>
      <c r="Q13" t="str">
        <f t="shared" si="7"/>
        <v>Weekday</v>
      </c>
    </row>
    <row r="14" spans="1:17" x14ac:dyDescent="0.35">
      <c r="A14" t="s">
        <v>52</v>
      </c>
      <c r="B14" s="7">
        <v>45486</v>
      </c>
      <c r="C14" s="13">
        <f t="shared" si="1"/>
        <v>2024</v>
      </c>
      <c r="D14" s="7" t="str">
        <f t="shared" si="2"/>
        <v>Jul</v>
      </c>
      <c r="E14" s="7" t="str">
        <f t="shared" si="3"/>
        <v>Sat</v>
      </c>
      <c r="F14" t="s">
        <v>53</v>
      </c>
      <c r="G14" t="s">
        <v>41</v>
      </c>
      <c r="H14" t="s">
        <v>22</v>
      </c>
      <c r="I14" s="2" t="str">
        <f t="shared" si="0"/>
        <v>South</v>
      </c>
      <c r="J14" t="s">
        <v>42</v>
      </c>
      <c r="K14" t="s">
        <v>23</v>
      </c>
      <c r="L14">
        <v>6</v>
      </c>
      <c r="M14">
        <v>120</v>
      </c>
      <c r="N14">
        <f t="shared" si="4"/>
        <v>720</v>
      </c>
      <c r="O14">
        <f t="shared" si="5"/>
        <v>72</v>
      </c>
      <c r="P14" t="str">
        <f t="shared" si="6"/>
        <v>Large Order</v>
      </c>
      <c r="Q14" t="str">
        <f t="shared" si="7"/>
        <v>Weekend</v>
      </c>
    </row>
    <row r="15" spans="1:17" x14ac:dyDescent="0.35">
      <c r="A15" t="s">
        <v>54</v>
      </c>
      <c r="B15" s="7">
        <v>45320</v>
      </c>
      <c r="C15" s="13">
        <f t="shared" si="1"/>
        <v>2024</v>
      </c>
      <c r="D15" s="7" t="str">
        <f t="shared" si="2"/>
        <v>Jan</v>
      </c>
      <c r="E15" s="7" t="str">
        <f t="shared" si="3"/>
        <v>Mon</v>
      </c>
      <c r="F15" t="s">
        <v>55</v>
      </c>
      <c r="G15" t="s">
        <v>10</v>
      </c>
      <c r="H15" t="s">
        <v>17</v>
      </c>
      <c r="I15" s="2" t="str">
        <f t="shared" si="0"/>
        <v>South</v>
      </c>
      <c r="J15" t="s">
        <v>56</v>
      </c>
      <c r="K15" t="s">
        <v>13</v>
      </c>
      <c r="L15">
        <v>5</v>
      </c>
      <c r="M15">
        <v>120</v>
      </c>
      <c r="N15">
        <f t="shared" si="4"/>
        <v>600</v>
      </c>
      <c r="O15">
        <f t="shared" si="5"/>
        <v>60</v>
      </c>
      <c r="P15" t="str">
        <f t="shared" si="6"/>
        <v>Large Order</v>
      </c>
      <c r="Q15" t="str">
        <f t="shared" si="7"/>
        <v>Weekday</v>
      </c>
    </row>
    <row r="16" spans="1:17" x14ac:dyDescent="0.35">
      <c r="A16" t="s">
        <v>57</v>
      </c>
      <c r="B16" s="7">
        <v>45453</v>
      </c>
      <c r="C16" s="13">
        <f t="shared" si="1"/>
        <v>2024</v>
      </c>
      <c r="D16" s="7" t="str">
        <f t="shared" si="2"/>
        <v>Jun</v>
      </c>
      <c r="E16" s="7" t="str">
        <f t="shared" si="3"/>
        <v>Mon</v>
      </c>
      <c r="F16" t="s">
        <v>58</v>
      </c>
      <c r="G16" t="s">
        <v>59</v>
      </c>
      <c r="H16" t="s">
        <v>22</v>
      </c>
      <c r="I16" s="2" t="str">
        <f t="shared" si="0"/>
        <v>Central</v>
      </c>
      <c r="J16" t="s">
        <v>56</v>
      </c>
      <c r="K16" t="s">
        <v>36</v>
      </c>
      <c r="L16">
        <v>8</v>
      </c>
      <c r="M16">
        <v>120</v>
      </c>
      <c r="N16">
        <f t="shared" si="4"/>
        <v>960</v>
      </c>
      <c r="O16">
        <f t="shared" si="5"/>
        <v>96</v>
      </c>
      <c r="P16" t="str">
        <f t="shared" si="6"/>
        <v>Large Order</v>
      </c>
      <c r="Q16" t="str">
        <f t="shared" si="7"/>
        <v>Weekday</v>
      </c>
    </row>
    <row r="17" spans="1:17" x14ac:dyDescent="0.35">
      <c r="A17" t="s">
        <v>60</v>
      </c>
      <c r="B17" s="7">
        <v>45418</v>
      </c>
      <c r="C17" s="13">
        <f t="shared" si="1"/>
        <v>2024</v>
      </c>
      <c r="D17" s="7" t="str">
        <f t="shared" si="2"/>
        <v>May</v>
      </c>
      <c r="E17" s="7" t="str">
        <f t="shared" si="3"/>
        <v>Mon</v>
      </c>
      <c r="F17" t="s">
        <v>61</v>
      </c>
      <c r="G17" t="s">
        <v>62</v>
      </c>
      <c r="H17" t="s">
        <v>22</v>
      </c>
      <c r="I17" s="2" t="str">
        <f t="shared" si="0"/>
        <v>East</v>
      </c>
      <c r="J17" t="s">
        <v>18</v>
      </c>
      <c r="K17" t="s">
        <v>23</v>
      </c>
      <c r="L17">
        <v>10</v>
      </c>
      <c r="M17">
        <v>120</v>
      </c>
      <c r="N17">
        <f t="shared" si="4"/>
        <v>1200</v>
      </c>
      <c r="O17">
        <f t="shared" si="5"/>
        <v>120</v>
      </c>
      <c r="P17" t="str">
        <f t="shared" si="6"/>
        <v>Large Order</v>
      </c>
      <c r="Q17" t="str">
        <f t="shared" si="7"/>
        <v>Weekday</v>
      </c>
    </row>
    <row r="18" spans="1:17" x14ac:dyDescent="0.35">
      <c r="A18" t="s">
        <v>63</v>
      </c>
      <c r="B18" s="7">
        <v>45496</v>
      </c>
      <c r="C18" s="13">
        <f t="shared" si="1"/>
        <v>2024</v>
      </c>
      <c r="D18" s="7" t="str">
        <f t="shared" si="2"/>
        <v>Jul</v>
      </c>
      <c r="E18" s="7" t="str">
        <f t="shared" si="3"/>
        <v>Tue</v>
      </c>
      <c r="F18" t="s">
        <v>64</v>
      </c>
      <c r="G18" t="s">
        <v>65</v>
      </c>
      <c r="H18" t="s">
        <v>22</v>
      </c>
      <c r="I18" s="2" t="str">
        <f t="shared" si="0"/>
        <v>South</v>
      </c>
      <c r="J18" t="s">
        <v>42</v>
      </c>
      <c r="K18" t="s">
        <v>66</v>
      </c>
      <c r="L18">
        <v>8</v>
      </c>
      <c r="M18">
        <v>120</v>
      </c>
      <c r="N18">
        <f t="shared" si="4"/>
        <v>960</v>
      </c>
      <c r="O18">
        <f t="shared" si="5"/>
        <v>96</v>
      </c>
      <c r="P18" t="str">
        <f t="shared" si="6"/>
        <v>Large Order</v>
      </c>
      <c r="Q18" t="str">
        <f t="shared" si="7"/>
        <v>Weekday</v>
      </c>
    </row>
    <row r="19" spans="1:17" x14ac:dyDescent="0.35">
      <c r="A19" t="s">
        <v>67</v>
      </c>
      <c r="B19" s="7">
        <v>45348</v>
      </c>
      <c r="C19" s="13">
        <f t="shared" si="1"/>
        <v>2024</v>
      </c>
      <c r="D19" s="7" t="str">
        <f t="shared" si="2"/>
        <v>Feb</v>
      </c>
      <c r="E19" s="7" t="str">
        <f t="shared" si="3"/>
        <v>Mon</v>
      </c>
      <c r="F19" t="s">
        <v>68</v>
      </c>
      <c r="G19" t="s">
        <v>26</v>
      </c>
      <c r="H19" t="s">
        <v>22</v>
      </c>
      <c r="I19" s="2" t="str">
        <f t="shared" si="0"/>
        <v>Central</v>
      </c>
      <c r="J19" t="s">
        <v>56</v>
      </c>
      <c r="K19" t="s">
        <v>28</v>
      </c>
      <c r="L19">
        <v>2</v>
      </c>
      <c r="M19">
        <v>120</v>
      </c>
      <c r="N19">
        <f t="shared" si="4"/>
        <v>240</v>
      </c>
      <c r="O19">
        <f t="shared" si="5"/>
        <v>24</v>
      </c>
      <c r="P19" t="str">
        <f t="shared" si="6"/>
        <v>Standard Order</v>
      </c>
      <c r="Q19" t="str">
        <f t="shared" si="7"/>
        <v>Weekday</v>
      </c>
    </row>
    <row r="20" spans="1:17" x14ac:dyDescent="0.35">
      <c r="A20" t="s">
        <v>69</v>
      </c>
      <c r="B20" s="7">
        <v>45531</v>
      </c>
      <c r="C20" s="13">
        <f t="shared" si="1"/>
        <v>2024</v>
      </c>
      <c r="D20" s="7" t="str">
        <f t="shared" si="2"/>
        <v>Aug</v>
      </c>
      <c r="E20" s="7" t="str">
        <f t="shared" si="3"/>
        <v>Tue</v>
      </c>
      <c r="F20" t="s">
        <v>47</v>
      </c>
      <c r="G20" t="s">
        <v>70</v>
      </c>
      <c r="H20" t="s">
        <v>11</v>
      </c>
      <c r="I20" s="2" t="str">
        <f t="shared" si="0"/>
        <v>East</v>
      </c>
      <c r="J20" t="s">
        <v>18</v>
      </c>
      <c r="K20" t="s">
        <v>32</v>
      </c>
      <c r="L20">
        <v>11</v>
      </c>
      <c r="M20">
        <v>120</v>
      </c>
      <c r="N20">
        <f t="shared" si="4"/>
        <v>1320</v>
      </c>
      <c r="O20">
        <f t="shared" si="5"/>
        <v>132</v>
      </c>
      <c r="P20" t="str">
        <f t="shared" si="6"/>
        <v>Large Order</v>
      </c>
      <c r="Q20" t="str">
        <f t="shared" si="7"/>
        <v>Weekday</v>
      </c>
    </row>
    <row r="21" spans="1:17" x14ac:dyDescent="0.35">
      <c r="A21" t="s">
        <v>71</v>
      </c>
      <c r="B21" s="7">
        <v>45566</v>
      </c>
      <c r="C21" s="13">
        <f t="shared" si="1"/>
        <v>2024</v>
      </c>
      <c r="D21" s="7" t="str">
        <f t="shared" si="2"/>
        <v>Oct</v>
      </c>
      <c r="E21" s="7" t="str">
        <f t="shared" si="3"/>
        <v>Tue</v>
      </c>
      <c r="F21" t="s">
        <v>25</v>
      </c>
      <c r="G21" t="s">
        <v>72</v>
      </c>
      <c r="H21" t="s">
        <v>17</v>
      </c>
      <c r="I21" s="2" t="str">
        <f t="shared" si="0"/>
        <v>Central</v>
      </c>
      <c r="J21" t="s">
        <v>42</v>
      </c>
      <c r="K21" t="s">
        <v>49</v>
      </c>
      <c r="L21">
        <v>7</v>
      </c>
      <c r="M21">
        <v>120</v>
      </c>
      <c r="N21">
        <f t="shared" si="4"/>
        <v>840</v>
      </c>
      <c r="O21">
        <f t="shared" si="5"/>
        <v>84</v>
      </c>
      <c r="P21" t="str">
        <f t="shared" si="6"/>
        <v>Large Order</v>
      </c>
      <c r="Q21" t="str">
        <f t="shared" si="7"/>
        <v>Weekday</v>
      </c>
    </row>
    <row r="22" spans="1:17" x14ac:dyDescent="0.35">
      <c r="A22" t="s">
        <v>73</v>
      </c>
      <c r="B22" s="7">
        <v>45426</v>
      </c>
      <c r="C22" s="13">
        <f t="shared" si="1"/>
        <v>2024</v>
      </c>
      <c r="D22" s="7" t="str">
        <f t="shared" si="2"/>
        <v>May</v>
      </c>
      <c r="E22" s="7" t="str">
        <f t="shared" si="3"/>
        <v>Tue</v>
      </c>
      <c r="F22" t="s">
        <v>38</v>
      </c>
      <c r="G22" t="s">
        <v>74</v>
      </c>
      <c r="H22" t="s">
        <v>11</v>
      </c>
      <c r="I22" s="2" t="str">
        <f t="shared" si="0"/>
        <v>Central</v>
      </c>
      <c r="J22" t="s">
        <v>18</v>
      </c>
      <c r="K22" t="s">
        <v>28</v>
      </c>
      <c r="L22">
        <v>14</v>
      </c>
      <c r="M22">
        <v>120</v>
      </c>
      <c r="N22">
        <f t="shared" si="4"/>
        <v>1680</v>
      </c>
      <c r="O22">
        <f t="shared" si="5"/>
        <v>168</v>
      </c>
      <c r="P22" t="str">
        <f t="shared" si="6"/>
        <v>Large Order</v>
      </c>
      <c r="Q22" t="str">
        <f t="shared" si="7"/>
        <v>Weekday</v>
      </c>
    </row>
    <row r="23" spans="1:17" x14ac:dyDescent="0.35">
      <c r="A23" t="s">
        <v>75</v>
      </c>
      <c r="B23" s="7">
        <v>45551</v>
      </c>
      <c r="C23" s="13">
        <f t="shared" si="1"/>
        <v>2024</v>
      </c>
      <c r="D23" s="7" t="str">
        <f t="shared" si="2"/>
        <v>Sep</v>
      </c>
      <c r="E23" s="7" t="str">
        <f t="shared" si="3"/>
        <v>Mon</v>
      </c>
      <c r="F23" t="s">
        <v>53</v>
      </c>
      <c r="G23" t="s">
        <v>65</v>
      </c>
      <c r="H23" t="s">
        <v>17</v>
      </c>
      <c r="I23" s="2" t="str">
        <f t="shared" si="0"/>
        <v>North</v>
      </c>
      <c r="J23" t="s">
        <v>18</v>
      </c>
      <c r="K23" t="s">
        <v>28</v>
      </c>
      <c r="L23">
        <v>13</v>
      </c>
      <c r="M23">
        <v>120</v>
      </c>
      <c r="N23">
        <f t="shared" si="4"/>
        <v>1560</v>
      </c>
      <c r="O23">
        <f t="shared" si="5"/>
        <v>156</v>
      </c>
      <c r="P23" t="str">
        <f t="shared" si="6"/>
        <v>Large Order</v>
      </c>
      <c r="Q23" t="str">
        <f t="shared" si="7"/>
        <v>Weekday</v>
      </c>
    </row>
    <row r="24" spans="1:17" x14ac:dyDescent="0.35">
      <c r="A24" t="s">
        <v>76</v>
      </c>
      <c r="B24" s="7">
        <v>45563</v>
      </c>
      <c r="C24" s="13">
        <f t="shared" si="1"/>
        <v>2024</v>
      </c>
      <c r="D24" s="7" t="str">
        <f t="shared" si="2"/>
        <v>Sep</v>
      </c>
      <c r="E24" s="7" t="str">
        <f t="shared" si="3"/>
        <v>Sat</v>
      </c>
      <c r="F24" t="s">
        <v>44</v>
      </c>
      <c r="G24" t="s">
        <v>62</v>
      </c>
      <c r="H24" t="s">
        <v>17</v>
      </c>
      <c r="I24" s="2" t="str">
        <f t="shared" si="0"/>
        <v>South</v>
      </c>
      <c r="J24" t="s">
        <v>12</v>
      </c>
      <c r="K24" t="s">
        <v>23</v>
      </c>
      <c r="L24">
        <v>1</v>
      </c>
      <c r="M24">
        <v>120</v>
      </c>
      <c r="N24">
        <f t="shared" si="4"/>
        <v>120</v>
      </c>
      <c r="O24">
        <f t="shared" si="5"/>
        <v>12</v>
      </c>
      <c r="P24" t="str">
        <f t="shared" si="6"/>
        <v>Standard Order</v>
      </c>
      <c r="Q24" t="str">
        <f t="shared" si="7"/>
        <v>Weekend</v>
      </c>
    </row>
    <row r="25" spans="1:17" x14ac:dyDescent="0.35">
      <c r="A25" t="s">
        <v>77</v>
      </c>
      <c r="B25" s="7">
        <v>45449</v>
      </c>
      <c r="C25" s="13">
        <f t="shared" si="1"/>
        <v>2024</v>
      </c>
      <c r="D25" s="7" t="str">
        <f t="shared" si="2"/>
        <v>Jun</v>
      </c>
      <c r="E25" s="7" t="str">
        <f t="shared" si="3"/>
        <v>Thu</v>
      </c>
      <c r="F25" t="s">
        <v>78</v>
      </c>
      <c r="G25" t="s">
        <v>79</v>
      </c>
      <c r="H25" t="s">
        <v>22</v>
      </c>
      <c r="I25" s="2" t="str">
        <f t="shared" si="0"/>
        <v>Central</v>
      </c>
      <c r="J25" t="s">
        <v>56</v>
      </c>
      <c r="K25" t="s">
        <v>13</v>
      </c>
      <c r="L25">
        <v>2</v>
      </c>
      <c r="M25">
        <v>120</v>
      </c>
      <c r="N25">
        <f t="shared" si="4"/>
        <v>240</v>
      </c>
      <c r="O25">
        <f t="shared" si="5"/>
        <v>24</v>
      </c>
      <c r="P25" t="str">
        <f t="shared" si="6"/>
        <v>Standard Order</v>
      </c>
      <c r="Q25" t="str">
        <f t="shared" si="7"/>
        <v>Weekday</v>
      </c>
    </row>
    <row r="26" spans="1:17" x14ac:dyDescent="0.35">
      <c r="A26" t="s">
        <v>80</v>
      </c>
      <c r="B26" s="7">
        <v>45327</v>
      </c>
      <c r="C26" s="13">
        <f t="shared" si="1"/>
        <v>2024</v>
      </c>
      <c r="D26" s="7" t="str">
        <f t="shared" si="2"/>
        <v>Feb</v>
      </c>
      <c r="E26" s="7" t="str">
        <f t="shared" si="3"/>
        <v>Mon</v>
      </c>
      <c r="F26" t="s">
        <v>81</v>
      </c>
      <c r="G26" t="s">
        <v>65</v>
      </c>
      <c r="H26" t="s">
        <v>22</v>
      </c>
      <c r="I26" s="2" t="str">
        <f t="shared" si="0"/>
        <v>Central</v>
      </c>
      <c r="J26" t="s">
        <v>18</v>
      </c>
      <c r="K26" t="s">
        <v>28</v>
      </c>
      <c r="L26">
        <v>8</v>
      </c>
      <c r="M26">
        <v>120</v>
      </c>
      <c r="N26">
        <f t="shared" si="4"/>
        <v>960</v>
      </c>
      <c r="O26">
        <f t="shared" si="5"/>
        <v>96</v>
      </c>
      <c r="P26" t="str">
        <f t="shared" si="6"/>
        <v>Large Order</v>
      </c>
      <c r="Q26" t="str">
        <f t="shared" si="7"/>
        <v>Weekday</v>
      </c>
    </row>
    <row r="27" spans="1:17" x14ac:dyDescent="0.35">
      <c r="A27" t="s">
        <v>82</v>
      </c>
      <c r="B27" s="7">
        <v>45427</v>
      </c>
      <c r="C27" s="13">
        <f t="shared" si="1"/>
        <v>2024</v>
      </c>
      <c r="D27" s="7" t="str">
        <f t="shared" si="2"/>
        <v>May</v>
      </c>
      <c r="E27" s="7" t="str">
        <f t="shared" si="3"/>
        <v>Wed</v>
      </c>
      <c r="F27" t="s">
        <v>83</v>
      </c>
      <c r="G27" t="s">
        <v>84</v>
      </c>
      <c r="H27" t="s">
        <v>11</v>
      </c>
      <c r="I27" s="2" t="str">
        <f t="shared" si="0"/>
        <v>South</v>
      </c>
      <c r="J27" t="s">
        <v>18</v>
      </c>
      <c r="K27" t="s">
        <v>23</v>
      </c>
      <c r="L27">
        <v>15</v>
      </c>
      <c r="M27">
        <v>120</v>
      </c>
      <c r="N27">
        <f t="shared" si="4"/>
        <v>1800</v>
      </c>
      <c r="O27">
        <f t="shared" si="5"/>
        <v>180</v>
      </c>
      <c r="P27" t="str">
        <f t="shared" si="6"/>
        <v>Large Order</v>
      </c>
      <c r="Q27" t="str">
        <f t="shared" si="7"/>
        <v>Weekday</v>
      </c>
    </row>
    <row r="28" spans="1:17" x14ac:dyDescent="0.35">
      <c r="A28" t="s">
        <v>85</v>
      </c>
      <c r="B28" s="7">
        <v>45645</v>
      </c>
      <c r="C28" s="13">
        <f t="shared" si="1"/>
        <v>2024</v>
      </c>
      <c r="D28" s="7" t="str">
        <f t="shared" si="2"/>
        <v>Dec</v>
      </c>
      <c r="E28" s="7" t="str">
        <f t="shared" si="3"/>
        <v>Thu</v>
      </c>
      <c r="F28" t="s">
        <v>86</v>
      </c>
      <c r="G28" t="s">
        <v>87</v>
      </c>
      <c r="H28" t="s">
        <v>22</v>
      </c>
      <c r="I28" s="2" t="str">
        <f t="shared" si="0"/>
        <v>North</v>
      </c>
      <c r="J28" t="s">
        <v>56</v>
      </c>
      <c r="K28" t="s">
        <v>32</v>
      </c>
      <c r="L28">
        <v>11</v>
      </c>
      <c r="M28">
        <v>120</v>
      </c>
      <c r="N28">
        <f t="shared" si="4"/>
        <v>1320</v>
      </c>
      <c r="O28">
        <f t="shared" si="5"/>
        <v>132</v>
      </c>
      <c r="P28" t="str">
        <f t="shared" si="6"/>
        <v>Large Order</v>
      </c>
      <c r="Q28" t="str">
        <f t="shared" si="7"/>
        <v>Weekday</v>
      </c>
    </row>
    <row r="29" spans="1:17" x14ac:dyDescent="0.35">
      <c r="A29" t="s">
        <v>88</v>
      </c>
      <c r="B29" s="7">
        <v>45523</v>
      </c>
      <c r="C29" s="13">
        <f t="shared" si="1"/>
        <v>2024</v>
      </c>
      <c r="D29" s="7" t="str">
        <f t="shared" si="2"/>
        <v>Aug</v>
      </c>
      <c r="E29" s="7" t="str">
        <f t="shared" si="3"/>
        <v>Mon</v>
      </c>
      <c r="F29" t="s">
        <v>89</v>
      </c>
      <c r="G29" t="s">
        <v>65</v>
      </c>
      <c r="H29" t="s">
        <v>11</v>
      </c>
      <c r="I29" s="2" t="str">
        <f t="shared" si="0"/>
        <v>Central</v>
      </c>
      <c r="J29" t="s">
        <v>12</v>
      </c>
      <c r="K29" t="s">
        <v>28</v>
      </c>
      <c r="L29">
        <v>6</v>
      </c>
      <c r="M29">
        <v>120</v>
      </c>
      <c r="N29">
        <f t="shared" si="4"/>
        <v>720</v>
      </c>
      <c r="O29">
        <f t="shared" si="5"/>
        <v>72</v>
      </c>
      <c r="P29" t="str">
        <f t="shared" si="6"/>
        <v>Large Order</v>
      </c>
      <c r="Q29" t="str">
        <f t="shared" si="7"/>
        <v>Weekday</v>
      </c>
    </row>
    <row r="30" spans="1:17" x14ac:dyDescent="0.35">
      <c r="A30" t="s">
        <v>90</v>
      </c>
      <c r="B30" s="7">
        <v>45409</v>
      </c>
      <c r="C30" s="13">
        <f t="shared" si="1"/>
        <v>2024</v>
      </c>
      <c r="D30" s="7" t="str">
        <f t="shared" si="2"/>
        <v>Apr</v>
      </c>
      <c r="E30" s="7" t="str">
        <f t="shared" si="3"/>
        <v>Sat</v>
      </c>
      <c r="F30" t="s">
        <v>40</v>
      </c>
      <c r="G30" t="s">
        <v>45</v>
      </c>
      <c r="H30" t="s">
        <v>11</v>
      </c>
      <c r="I30" s="2" t="str">
        <f t="shared" si="0"/>
        <v>North</v>
      </c>
      <c r="J30" t="s">
        <v>18</v>
      </c>
      <c r="K30" t="s">
        <v>28</v>
      </c>
      <c r="L30">
        <v>12</v>
      </c>
      <c r="M30">
        <v>120</v>
      </c>
      <c r="N30">
        <f t="shared" si="4"/>
        <v>1440</v>
      </c>
      <c r="O30">
        <f t="shared" si="5"/>
        <v>144</v>
      </c>
      <c r="P30" t="str">
        <f t="shared" si="6"/>
        <v>Large Order</v>
      </c>
      <c r="Q30" t="str">
        <f t="shared" si="7"/>
        <v>Weekend</v>
      </c>
    </row>
    <row r="31" spans="1:17" x14ac:dyDescent="0.35">
      <c r="A31" t="s">
        <v>91</v>
      </c>
      <c r="B31" s="7">
        <v>45326</v>
      </c>
      <c r="C31" s="13">
        <f t="shared" si="1"/>
        <v>2024</v>
      </c>
      <c r="D31" s="7" t="str">
        <f t="shared" si="2"/>
        <v>Feb</v>
      </c>
      <c r="E31" s="7" t="str">
        <f t="shared" si="3"/>
        <v>Sun</v>
      </c>
      <c r="F31" t="s">
        <v>78</v>
      </c>
      <c r="G31" t="s">
        <v>72</v>
      </c>
      <c r="H31" t="s">
        <v>22</v>
      </c>
      <c r="I31" s="2" t="str">
        <f t="shared" si="0"/>
        <v>Central</v>
      </c>
      <c r="J31" t="s">
        <v>12</v>
      </c>
      <c r="K31" t="s">
        <v>32</v>
      </c>
      <c r="L31">
        <v>4</v>
      </c>
      <c r="M31">
        <v>120</v>
      </c>
      <c r="N31">
        <f t="shared" si="4"/>
        <v>480</v>
      </c>
      <c r="O31">
        <f t="shared" si="5"/>
        <v>48</v>
      </c>
      <c r="P31" t="str">
        <f t="shared" si="6"/>
        <v>Standard Order</v>
      </c>
      <c r="Q31" t="str">
        <f t="shared" si="7"/>
        <v>Weekend</v>
      </c>
    </row>
    <row r="32" spans="1:17" x14ac:dyDescent="0.35">
      <c r="A32" t="s">
        <v>92</v>
      </c>
      <c r="B32" s="7">
        <v>45401</v>
      </c>
      <c r="C32" s="13">
        <f t="shared" si="1"/>
        <v>2024</v>
      </c>
      <c r="D32" s="7" t="str">
        <f t="shared" si="2"/>
        <v>Apr</v>
      </c>
      <c r="E32" s="7" t="str">
        <f t="shared" si="3"/>
        <v>Fri</v>
      </c>
      <c r="F32" t="s">
        <v>93</v>
      </c>
      <c r="G32" t="s">
        <v>74</v>
      </c>
      <c r="H32" t="s">
        <v>22</v>
      </c>
      <c r="I32" s="2" t="str">
        <f t="shared" si="0"/>
        <v>South</v>
      </c>
      <c r="J32" t="s">
        <v>18</v>
      </c>
      <c r="K32" t="s">
        <v>28</v>
      </c>
      <c r="L32">
        <v>8</v>
      </c>
      <c r="M32">
        <v>120</v>
      </c>
      <c r="N32">
        <f t="shared" si="4"/>
        <v>960</v>
      </c>
      <c r="O32">
        <f t="shared" si="5"/>
        <v>96</v>
      </c>
      <c r="P32" t="str">
        <f t="shared" si="6"/>
        <v>Large Order</v>
      </c>
      <c r="Q32" t="str">
        <f t="shared" si="7"/>
        <v>Weekday</v>
      </c>
    </row>
    <row r="33" spans="1:17" x14ac:dyDescent="0.35">
      <c r="A33" t="s">
        <v>94</v>
      </c>
      <c r="B33" s="7">
        <v>45500</v>
      </c>
      <c r="C33" s="13">
        <f t="shared" si="1"/>
        <v>2024</v>
      </c>
      <c r="D33" s="7" t="str">
        <f t="shared" si="2"/>
        <v>Jul</v>
      </c>
      <c r="E33" s="7" t="str">
        <f t="shared" si="3"/>
        <v>Sat</v>
      </c>
      <c r="F33" t="s">
        <v>95</v>
      </c>
      <c r="G33" t="s">
        <v>96</v>
      </c>
      <c r="H33" t="s">
        <v>22</v>
      </c>
      <c r="I33" s="2" t="str">
        <f t="shared" si="0"/>
        <v>North</v>
      </c>
      <c r="J33" t="s">
        <v>56</v>
      </c>
      <c r="K33" t="s">
        <v>13</v>
      </c>
      <c r="L33">
        <v>7</v>
      </c>
      <c r="M33">
        <v>120</v>
      </c>
      <c r="N33">
        <f t="shared" si="4"/>
        <v>840</v>
      </c>
      <c r="O33">
        <f t="shared" si="5"/>
        <v>84</v>
      </c>
      <c r="P33" t="str">
        <f t="shared" si="6"/>
        <v>Large Order</v>
      </c>
      <c r="Q33" t="str">
        <f t="shared" si="7"/>
        <v>Weekend</v>
      </c>
    </row>
    <row r="34" spans="1:17" x14ac:dyDescent="0.35">
      <c r="A34" t="s">
        <v>97</v>
      </c>
      <c r="B34" s="7">
        <v>45531</v>
      </c>
      <c r="C34" s="13">
        <f t="shared" si="1"/>
        <v>2024</v>
      </c>
      <c r="D34" s="7" t="str">
        <f t="shared" si="2"/>
        <v>Aug</v>
      </c>
      <c r="E34" s="7" t="str">
        <f t="shared" si="3"/>
        <v>Tue</v>
      </c>
      <c r="F34" t="s">
        <v>9</v>
      </c>
      <c r="G34" t="s">
        <v>96</v>
      </c>
      <c r="H34" t="s">
        <v>17</v>
      </c>
      <c r="I34" s="2" t="str">
        <f t="shared" si="0"/>
        <v>South</v>
      </c>
      <c r="J34" t="s">
        <v>12</v>
      </c>
      <c r="K34" t="s">
        <v>13</v>
      </c>
      <c r="L34">
        <v>12</v>
      </c>
      <c r="M34">
        <v>120</v>
      </c>
      <c r="N34">
        <f t="shared" si="4"/>
        <v>1440</v>
      </c>
      <c r="O34">
        <f t="shared" si="5"/>
        <v>144</v>
      </c>
      <c r="P34" t="str">
        <f t="shared" si="6"/>
        <v>Large Order</v>
      </c>
      <c r="Q34" t="str">
        <f t="shared" si="7"/>
        <v>Weekday</v>
      </c>
    </row>
    <row r="35" spans="1:17" x14ac:dyDescent="0.35">
      <c r="A35" t="s">
        <v>98</v>
      </c>
      <c r="B35" s="7">
        <v>45419</v>
      </c>
      <c r="C35" s="13">
        <f t="shared" si="1"/>
        <v>2024</v>
      </c>
      <c r="D35" s="7" t="str">
        <f t="shared" si="2"/>
        <v>May</v>
      </c>
      <c r="E35" s="7" t="str">
        <f t="shared" si="3"/>
        <v>Tue</v>
      </c>
      <c r="F35" t="s">
        <v>99</v>
      </c>
      <c r="G35" t="s">
        <v>74</v>
      </c>
      <c r="H35" t="s">
        <v>17</v>
      </c>
      <c r="I35" s="2" t="str">
        <f t="shared" si="0"/>
        <v>South</v>
      </c>
      <c r="J35" t="s">
        <v>56</v>
      </c>
      <c r="K35" t="s">
        <v>28</v>
      </c>
      <c r="L35">
        <v>3</v>
      </c>
      <c r="M35">
        <v>120</v>
      </c>
      <c r="N35">
        <f t="shared" si="4"/>
        <v>360</v>
      </c>
      <c r="O35">
        <f t="shared" si="5"/>
        <v>36</v>
      </c>
      <c r="P35" t="str">
        <f t="shared" si="6"/>
        <v>Standard Order</v>
      </c>
      <c r="Q35" t="str">
        <f t="shared" si="7"/>
        <v>Weekday</v>
      </c>
    </row>
    <row r="36" spans="1:17" x14ac:dyDescent="0.35">
      <c r="A36" t="s">
        <v>100</v>
      </c>
      <c r="B36" s="7">
        <v>45528</v>
      </c>
      <c r="C36" s="13">
        <f t="shared" si="1"/>
        <v>2024</v>
      </c>
      <c r="D36" s="7" t="str">
        <f t="shared" si="2"/>
        <v>Aug</v>
      </c>
      <c r="E36" s="7" t="str">
        <f t="shared" si="3"/>
        <v>Sat</v>
      </c>
      <c r="F36" t="s">
        <v>101</v>
      </c>
      <c r="G36" t="s">
        <v>102</v>
      </c>
      <c r="H36" t="s">
        <v>22</v>
      </c>
      <c r="I36" s="2" t="str">
        <f t="shared" si="0"/>
        <v>North</v>
      </c>
      <c r="J36" t="s">
        <v>56</v>
      </c>
      <c r="K36" t="s">
        <v>13</v>
      </c>
      <c r="L36">
        <v>2</v>
      </c>
      <c r="M36">
        <v>120</v>
      </c>
      <c r="N36">
        <f t="shared" si="4"/>
        <v>240</v>
      </c>
      <c r="O36">
        <f t="shared" si="5"/>
        <v>24</v>
      </c>
      <c r="P36" t="str">
        <f t="shared" si="6"/>
        <v>Standard Order</v>
      </c>
      <c r="Q36" t="str">
        <f t="shared" si="7"/>
        <v>Weekend</v>
      </c>
    </row>
    <row r="37" spans="1:17" x14ac:dyDescent="0.35">
      <c r="A37" t="s">
        <v>103</v>
      </c>
      <c r="B37" s="7">
        <v>45299</v>
      </c>
      <c r="C37" s="13">
        <f t="shared" si="1"/>
        <v>2024</v>
      </c>
      <c r="D37" s="7" t="str">
        <f t="shared" si="2"/>
        <v>Jan</v>
      </c>
      <c r="E37" s="7" t="str">
        <f t="shared" si="3"/>
        <v>Mon</v>
      </c>
      <c r="F37" t="s">
        <v>104</v>
      </c>
      <c r="G37" t="s">
        <v>65</v>
      </c>
      <c r="H37" t="s">
        <v>17</v>
      </c>
      <c r="I37" s="2" t="str">
        <f t="shared" si="0"/>
        <v>South</v>
      </c>
      <c r="J37" t="s">
        <v>12</v>
      </c>
      <c r="K37" t="s">
        <v>28</v>
      </c>
      <c r="L37">
        <v>8</v>
      </c>
      <c r="M37">
        <v>120</v>
      </c>
      <c r="N37">
        <f t="shared" si="4"/>
        <v>960</v>
      </c>
      <c r="O37">
        <f t="shared" si="5"/>
        <v>96</v>
      </c>
      <c r="P37" t="str">
        <f t="shared" si="6"/>
        <v>Large Order</v>
      </c>
      <c r="Q37" t="str">
        <f t="shared" si="7"/>
        <v>Weekday</v>
      </c>
    </row>
    <row r="38" spans="1:17" x14ac:dyDescent="0.35">
      <c r="A38" t="s">
        <v>105</v>
      </c>
      <c r="B38" s="7">
        <v>45322</v>
      </c>
      <c r="C38" s="13">
        <f t="shared" si="1"/>
        <v>2024</v>
      </c>
      <c r="D38" s="7" t="str">
        <f t="shared" si="2"/>
        <v>Jan</v>
      </c>
      <c r="E38" s="7" t="str">
        <f t="shared" si="3"/>
        <v>Wed</v>
      </c>
      <c r="F38" t="s">
        <v>106</v>
      </c>
      <c r="G38" t="s">
        <v>35</v>
      </c>
      <c r="H38" t="s">
        <v>17</v>
      </c>
      <c r="I38" s="2" t="str">
        <f t="shared" si="0"/>
        <v>East</v>
      </c>
      <c r="J38" t="s">
        <v>56</v>
      </c>
      <c r="K38" t="s">
        <v>36</v>
      </c>
      <c r="L38">
        <v>5</v>
      </c>
      <c r="M38">
        <v>120</v>
      </c>
      <c r="N38">
        <f t="shared" si="4"/>
        <v>600</v>
      </c>
      <c r="O38">
        <f t="shared" si="5"/>
        <v>60</v>
      </c>
      <c r="P38" t="str">
        <f t="shared" si="6"/>
        <v>Large Order</v>
      </c>
      <c r="Q38" t="str">
        <f t="shared" si="7"/>
        <v>Weekday</v>
      </c>
    </row>
    <row r="39" spans="1:17" x14ac:dyDescent="0.35">
      <c r="A39" t="s">
        <v>107</v>
      </c>
      <c r="B39" s="7">
        <v>45524</v>
      </c>
      <c r="C39" s="13">
        <f t="shared" si="1"/>
        <v>2024</v>
      </c>
      <c r="D39" s="7" t="str">
        <f t="shared" si="2"/>
        <v>Aug</v>
      </c>
      <c r="E39" s="7" t="str">
        <f t="shared" si="3"/>
        <v>Tue</v>
      </c>
      <c r="F39" t="s">
        <v>108</v>
      </c>
      <c r="G39" t="s">
        <v>109</v>
      </c>
      <c r="H39" t="s">
        <v>22</v>
      </c>
      <c r="I39" s="2" t="str">
        <f t="shared" si="0"/>
        <v>South</v>
      </c>
      <c r="J39" t="s">
        <v>42</v>
      </c>
      <c r="K39" t="s">
        <v>36</v>
      </c>
      <c r="L39">
        <v>12</v>
      </c>
      <c r="M39">
        <v>120</v>
      </c>
      <c r="N39">
        <f t="shared" si="4"/>
        <v>1440</v>
      </c>
      <c r="O39">
        <f t="shared" si="5"/>
        <v>144</v>
      </c>
      <c r="P39" t="str">
        <f t="shared" si="6"/>
        <v>Large Order</v>
      </c>
      <c r="Q39" t="str">
        <f t="shared" si="7"/>
        <v>Weekday</v>
      </c>
    </row>
    <row r="40" spans="1:17" x14ac:dyDescent="0.35">
      <c r="A40" t="s">
        <v>110</v>
      </c>
      <c r="B40" s="7">
        <v>45443</v>
      </c>
      <c r="C40" s="13">
        <f t="shared" si="1"/>
        <v>2024</v>
      </c>
      <c r="D40" s="7" t="str">
        <f t="shared" si="2"/>
        <v>May</v>
      </c>
      <c r="E40" s="7" t="str">
        <f t="shared" si="3"/>
        <v>Fri</v>
      </c>
      <c r="F40" t="s">
        <v>111</v>
      </c>
      <c r="G40" t="s">
        <v>16</v>
      </c>
      <c r="H40" t="s">
        <v>22</v>
      </c>
      <c r="I40" s="2" t="str">
        <f t="shared" si="0"/>
        <v>North</v>
      </c>
      <c r="J40" t="s">
        <v>56</v>
      </c>
      <c r="K40" t="s">
        <v>13</v>
      </c>
      <c r="L40">
        <v>9</v>
      </c>
      <c r="M40">
        <v>120</v>
      </c>
      <c r="N40">
        <f t="shared" si="4"/>
        <v>1080</v>
      </c>
      <c r="O40">
        <f t="shared" si="5"/>
        <v>108</v>
      </c>
      <c r="P40" t="str">
        <f t="shared" si="6"/>
        <v>Large Order</v>
      </c>
      <c r="Q40" t="str">
        <f t="shared" si="7"/>
        <v>Weekday</v>
      </c>
    </row>
    <row r="41" spans="1:17" x14ac:dyDescent="0.35">
      <c r="A41" t="s">
        <v>112</v>
      </c>
      <c r="B41" s="7">
        <v>45321</v>
      </c>
      <c r="C41" s="13">
        <f t="shared" si="1"/>
        <v>2024</v>
      </c>
      <c r="D41" s="7" t="str">
        <f t="shared" si="2"/>
        <v>Jan</v>
      </c>
      <c r="E41" s="7" t="str">
        <f t="shared" si="3"/>
        <v>Tue</v>
      </c>
      <c r="F41" t="s">
        <v>81</v>
      </c>
      <c r="G41" t="s">
        <v>84</v>
      </c>
      <c r="H41" t="s">
        <v>22</v>
      </c>
      <c r="I41" s="2" t="str">
        <f t="shared" si="0"/>
        <v>Central</v>
      </c>
      <c r="J41" t="s">
        <v>12</v>
      </c>
      <c r="K41" t="s">
        <v>23</v>
      </c>
      <c r="L41">
        <v>15</v>
      </c>
      <c r="M41">
        <v>120</v>
      </c>
      <c r="N41">
        <f t="shared" si="4"/>
        <v>1800</v>
      </c>
      <c r="O41">
        <f t="shared" si="5"/>
        <v>180</v>
      </c>
      <c r="P41" t="str">
        <f t="shared" si="6"/>
        <v>Large Order</v>
      </c>
      <c r="Q41" t="str">
        <f t="shared" si="7"/>
        <v>Weekday</v>
      </c>
    </row>
    <row r="42" spans="1:17" x14ac:dyDescent="0.35">
      <c r="A42" t="s">
        <v>113</v>
      </c>
      <c r="B42" s="7">
        <v>45321</v>
      </c>
      <c r="C42" s="13">
        <f t="shared" si="1"/>
        <v>2024</v>
      </c>
      <c r="D42" s="7" t="str">
        <f t="shared" si="2"/>
        <v>Jan</v>
      </c>
      <c r="E42" s="7" t="str">
        <f t="shared" si="3"/>
        <v>Tue</v>
      </c>
      <c r="F42" t="s">
        <v>114</v>
      </c>
      <c r="G42" t="s">
        <v>79</v>
      </c>
      <c r="H42" t="s">
        <v>11</v>
      </c>
      <c r="I42" s="2" t="str">
        <f t="shared" si="0"/>
        <v>North</v>
      </c>
      <c r="J42" t="s">
        <v>18</v>
      </c>
      <c r="K42" t="s">
        <v>13</v>
      </c>
      <c r="L42">
        <v>10</v>
      </c>
      <c r="M42">
        <v>120</v>
      </c>
      <c r="N42">
        <f t="shared" si="4"/>
        <v>1200</v>
      </c>
      <c r="O42">
        <f t="shared" si="5"/>
        <v>120</v>
      </c>
      <c r="P42" t="str">
        <f t="shared" si="6"/>
        <v>Large Order</v>
      </c>
      <c r="Q42" t="str">
        <f t="shared" si="7"/>
        <v>Weekday</v>
      </c>
    </row>
    <row r="43" spans="1:17" x14ac:dyDescent="0.35">
      <c r="A43" t="s">
        <v>115</v>
      </c>
      <c r="B43" s="7">
        <v>45498</v>
      </c>
      <c r="C43" s="13">
        <f t="shared" si="1"/>
        <v>2024</v>
      </c>
      <c r="D43" s="7" t="str">
        <f t="shared" si="2"/>
        <v>Jul</v>
      </c>
      <c r="E43" s="7" t="str">
        <f t="shared" si="3"/>
        <v>Thu</v>
      </c>
      <c r="F43" t="s">
        <v>116</v>
      </c>
      <c r="G43" t="s">
        <v>41</v>
      </c>
      <c r="H43" t="s">
        <v>22</v>
      </c>
      <c r="I43" s="2" t="str">
        <f t="shared" si="0"/>
        <v>Central</v>
      </c>
      <c r="J43" t="s">
        <v>12</v>
      </c>
      <c r="K43" t="s">
        <v>23</v>
      </c>
      <c r="L43">
        <v>10</v>
      </c>
      <c r="M43">
        <v>120</v>
      </c>
      <c r="N43">
        <f t="shared" si="4"/>
        <v>1200</v>
      </c>
      <c r="O43">
        <f t="shared" si="5"/>
        <v>120</v>
      </c>
      <c r="P43" t="str">
        <f t="shared" si="6"/>
        <v>Large Order</v>
      </c>
      <c r="Q43" t="str">
        <f t="shared" si="7"/>
        <v>Weekday</v>
      </c>
    </row>
    <row r="44" spans="1:17" x14ac:dyDescent="0.35">
      <c r="A44" t="s">
        <v>117</v>
      </c>
      <c r="B44" s="7">
        <v>45506</v>
      </c>
      <c r="C44" s="13">
        <f t="shared" si="1"/>
        <v>2024</v>
      </c>
      <c r="D44" s="7" t="str">
        <f t="shared" si="2"/>
        <v>Aug</v>
      </c>
      <c r="E44" s="7" t="str">
        <f t="shared" si="3"/>
        <v>Fri</v>
      </c>
      <c r="F44" t="s">
        <v>118</v>
      </c>
      <c r="G44" t="s">
        <v>119</v>
      </c>
      <c r="H44" t="s">
        <v>17</v>
      </c>
      <c r="I44" s="2" t="str">
        <f t="shared" si="0"/>
        <v>South</v>
      </c>
      <c r="J44" t="s">
        <v>18</v>
      </c>
      <c r="K44" t="s">
        <v>23</v>
      </c>
      <c r="L44">
        <v>15</v>
      </c>
      <c r="M44">
        <v>120</v>
      </c>
      <c r="N44">
        <f t="shared" si="4"/>
        <v>1800</v>
      </c>
      <c r="O44">
        <f t="shared" si="5"/>
        <v>180</v>
      </c>
      <c r="P44" t="str">
        <f t="shared" si="6"/>
        <v>Large Order</v>
      </c>
      <c r="Q44" t="str">
        <f t="shared" si="7"/>
        <v>Weekday</v>
      </c>
    </row>
    <row r="45" spans="1:17" x14ac:dyDescent="0.35">
      <c r="A45" t="s">
        <v>120</v>
      </c>
      <c r="B45" s="7">
        <v>45452</v>
      </c>
      <c r="C45" s="13">
        <f t="shared" si="1"/>
        <v>2024</v>
      </c>
      <c r="D45" s="7" t="str">
        <f t="shared" si="2"/>
        <v>Jun</v>
      </c>
      <c r="E45" s="7" t="str">
        <f t="shared" si="3"/>
        <v>Sun</v>
      </c>
      <c r="F45" t="s">
        <v>51</v>
      </c>
      <c r="G45" t="s">
        <v>87</v>
      </c>
      <c r="H45" t="s">
        <v>11</v>
      </c>
      <c r="I45" s="2" t="str">
        <f t="shared" si="0"/>
        <v>North</v>
      </c>
      <c r="J45" t="s">
        <v>56</v>
      </c>
      <c r="K45" t="s">
        <v>32</v>
      </c>
      <c r="L45">
        <v>11</v>
      </c>
      <c r="M45">
        <v>120</v>
      </c>
      <c r="N45">
        <f t="shared" si="4"/>
        <v>1320</v>
      </c>
      <c r="O45">
        <f t="shared" si="5"/>
        <v>132</v>
      </c>
      <c r="P45" t="str">
        <f t="shared" si="6"/>
        <v>Large Order</v>
      </c>
      <c r="Q45" t="str">
        <f t="shared" si="7"/>
        <v>Weekend</v>
      </c>
    </row>
    <row r="46" spans="1:17" x14ac:dyDescent="0.35">
      <c r="A46" t="s">
        <v>121</v>
      </c>
      <c r="B46" s="7">
        <v>45453</v>
      </c>
      <c r="C46" s="13">
        <f t="shared" si="1"/>
        <v>2024</v>
      </c>
      <c r="D46" s="7" t="str">
        <f t="shared" si="2"/>
        <v>Jun</v>
      </c>
      <c r="E46" s="7" t="str">
        <f t="shared" si="3"/>
        <v>Mon</v>
      </c>
      <c r="F46" t="s">
        <v>122</v>
      </c>
      <c r="G46" t="s">
        <v>102</v>
      </c>
      <c r="H46" t="s">
        <v>22</v>
      </c>
      <c r="I46" s="2" t="str">
        <f t="shared" si="0"/>
        <v>South</v>
      </c>
      <c r="J46" t="s">
        <v>12</v>
      </c>
      <c r="K46" t="s">
        <v>13</v>
      </c>
      <c r="L46">
        <v>10</v>
      </c>
      <c r="M46">
        <v>120</v>
      </c>
      <c r="N46">
        <f t="shared" si="4"/>
        <v>1200</v>
      </c>
      <c r="O46">
        <f t="shared" si="5"/>
        <v>120</v>
      </c>
      <c r="P46" t="str">
        <f t="shared" si="6"/>
        <v>Large Order</v>
      </c>
      <c r="Q46" t="str">
        <f t="shared" si="7"/>
        <v>Weekday</v>
      </c>
    </row>
    <row r="47" spans="1:17" x14ac:dyDescent="0.35">
      <c r="A47" t="s">
        <v>123</v>
      </c>
      <c r="B47" s="7">
        <v>45567</v>
      </c>
      <c r="C47" s="13">
        <f t="shared" si="1"/>
        <v>2024</v>
      </c>
      <c r="D47" s="7" t="str">
        <f t="shared" si="2"/>
        <v>Oct</v>
      </c>
      <c r="E47" s="7" t="str">
        <f t="shared" si="3"/>
        <v>Wed</v>
      </c>
      <c r="F47" t="s">
        <v>122</v>
      </c>
      <c r="G47" t="s">
        <v>62</v>
      </c>
      <c r="H47" t="s">
        <v>11</v>
      </c>
      <c r="I47" s="2" t="str">
        <f t="shared" si="0"/>
        <v>East</v>
      </c>
      <c r="J47" t="s">
        <v>56</v>
      </c>
      <c r="K47" t="s">
        <v>23</v>
      </c>
      <c r="L47">
        <v>15</v>
      </c>
      <c r="M47">
        <v>120</v>
      </c>
      <c r="N47">
        <f t="shared" si="4"/>
        <v>1800</v>
      </c>
      <c r="O47">
        <f t="shared" si="5"/>
        <v>180</v>
      </c>
      <c r="P47" t="str">
        <f t="shared" si="6"/>
        <v>Large Order</v>
      </c>
      <c r="Q47" t="str">
        <f t="shared" si="7"/>
        <v>Weekday</v>
      </c>
    </row>
    <row r="48" spans="1:17" x14ac:dyDescent="0.35">
      <c r="A48" t="s">
        <v>124</v>
      </c>
      <c r="B48" s="7">
        <v>45417</v>
      </c>
      <c r="C48" s="13">
        <f t="shared" si="1"/>
        <v>2024</v>
      </c>
      <c r="D48" s="7" t="str">
        <f t="shared" si="2"/>
        <v>May</v>
      </c>
      <c r="E48" s="7" t="str">
        <f t="shared" si="3"/>
        <v>Sun</v>
      </c>
      <c r="F48" t="s">
        <v>125</v>
      </c>
      <c r="G48" t="s">
        <v>48</v>
      </c>
      <c r="H48" t="s">
        <v>17</v>
      </c>
      <c r="I48" s="2" t="str">
        <f t="shared" si="0"/>
        <v>Central</v>
      </c>
      <c r="J48" t="s">
        <v>42</v>
      </c>
      <c r="K48" t="s">
        <v>32</v>
      </c>
      <c r="L48">
        <v>14</v>
      </c>
      <c r="M48">
        <v>120</v>
      </c>
      <c r="N48">
        <f t="shared" si="4"/>
        <v>1680</v>
      </c>
      <c r="O48">
        <f t="shared" si="5"/>
        <v>168</v>
      </c>
      <c r="P48" t="str">
        <f t="shared" si="6"/>
        <v>Large Order</v>
      </c>
      <c r="Q48" t="str">
        <f t="shared" si="7"/>
        <v>Weekend</v>
      </c>
    </row>
    <row r="49" spans="1:17" x14ac:dyDescent="0.35">
      <c r="A49" t="s">
        <v>126</v>
      </c>
      <c r="B49" s="7">
        <v>45605</v>
      </c>
      <c r="C49" s="13">
        <f t="shared" si="1"/>
        <v>2024</v>
      </c>
      <c r="D49" s="7" t="str">
        <f t="shared" si="2"/>
        <v>Nov</v>
      </c>
      <c r="E49" s="7" t="str">
        <f t="shared" si="3"/>
        <v>Sat</v>
      </c>
      <c r="F49" t="s">
        <v>58</v>
      </c>
      <c r="G49" t="s">
        <v>16</v>
      </c>
      <c r="H49" t="s">
        <v>17</v>
      </c>
      <c r="I49" s="2" t="str">
        <f t="shared" si="0"/>
        <v>North</v>
      </c>
      <c r="J49" t="s">
        <v>18</v>
      </c>
      <c r="K49" t="s">
        <v>13</v>
      </c>
      <c r="L49">
        <v>15</v>
      </c>
      <c r="M49">
        <v>120</v>
      </c>
      <c r="N49">
        <f t="shared" si="4"/>
        <v>1800</v>
      </c>
      <c r="O49">
        <f t="shared" si="5"/>
        <v>180</v>
      </c>
      <c r="P49" t="str">
        <f t="shared" si="6"/>
        <v>Large Order</v>
      </c>
      <c r="Q49" t="str">
        <f t="shared" si="7"/>
        <v>Weekend</v>
      </c>
    </row>
    <row r="50" spans="1:17" x14ac:dyDescent="0.35">
      <c r="A50" t="s">
        <v>127</v>
      </c>
      <c r="B50" s="7">
        <v>45427</v>
      </c>
      <c r="C50" s="13">
        <f t="shared" si="1"/>
        <v>2024</v>
      </c>
      <c r="D50" s="7" t="str">
        <f t="shared" si="2"/>
        <v>May</v>
      </c>
      <c r="E50" s="7" t="str">
        <f t="shared" si="3"/>
        <v>Wed</v>
      </c>
      <c r="F50" t="s">
        <v>15</v>
      </c>
      <c r="G50" t="s">
        <v>16</v>
      </c>
      <c r="H50" t="s">
        <v>11</v>
      </c>
      <c r="I50" s="2" t="str">
        <f t="shared" si="0"/>
        <v>South</v>
      </c>
      <c r="J50" t="s">
        <v>12</v>
      </c>
      <c r="K50" t="s">
        <v>13</v>
      </c>
      <c r="L50">
        <v>5</v>
      </c>
      <c r="M50">
        <v>120</v>
      </c>
      <c r="N50">
        <f t="shared" si="4"/>
        <v>600</v>
      </c>
      <c r="O50">
        <f t="shared" si="5"/>
        <v>60</v>
      </c>
      <c r="P50" t="str">
        <f t="shared" si="6"/>
        <v>Large Order</v>
      </c>
      <c r="Q50" t="str">
        <f t="shared" si="7"/>
        <v>Weekday</v>
      </c>
    </row>
    <row r="51" spans="1:17" x14ac:dyDescent="0.35">
      <c r="A51" t="s">
        <v>128</v>
      </c>
      <c r="B51" s="7">
        <v>45467</v>
      </c>
      <c r="C51" s="13">
        <f t="shared" si="1"/>
        <v>2024</v>
      </c>
      <c r="D51" s="7" t="str">
        <f t="shared" si="2"/>
        <v>Jun</v>
      </c>
      <c r="E51" s="7" t="str">
        <f t="shared" si="3"/>
        <v>Mon</v>
      </c>
      <c r="F51" t="s">
        <v>64</v>
      </c>
      <c r="G51" t="s">
        <v>70</v>
      </c>
      <c r="H51" t="s">
        <v>17</v>
      </c>
      <c r="I51" s="2" t="str">
        <f t="shared" si="0"/>
        <v>West</v>
      </c>
      <c r="J51" t="s">
        <v>56</v>
      </c>
      <c r="K51" t="s">
        <v>32</v>
      </c>
      <c r="L51">
        <v>5</v>
      </c>
      <c r="M51">
        <v>120</v>
      </c>
      <c r="N51">
        <f t="shared" si="4"/>
        <v>600</v>
      </c>
      <c r="O51">
        <f t="shared" si="5"/>
        <v>60</v>
      </c>
      <c r="P51" t="str">
        <f t="shared" si="6"/>
        <v>Large Order</v>
      </c>
      <c r="Q51" t="str">
        <f t="shared" si="7"/>
        <v>Weekday</v>
      </c>
    </row>
    <row r="52" spans="1:17" x14ac:dyDescent="0.35">
      <c r="A52" t="s">
        <v>129</v>
      </c>
      <c r="B52" s="7">
        <v>45339</v>
      </c>
      <c r="C52" s="13">
        <f t="shared" si="1"/>
        <v>2024</v>
      </c>
      <c r="D52" s="7" t="str">
        <f t="shared" si="2"/>
        <v>Feb</v>
      </c>
      <c r="E52" s="7" t="str">
        <f t="shared" si="3"/>
        <v>Sat</v>
      </c>
      <c r="F52" t="s">
        <v>38</v>
      </c>
      <c r="G52" t="s">
        <v>72</v>
      </c>
      <c r="H52" t="s">
        <v>11</v>
      </c>
      <c r="I52" s="2" t="str">
        <f t="shared" si="0"/>
        <v>South</v>
      </c>
      <c r="J52" t="s">
        <v>27</v>
      </c>
      <c r="K52" t="s">
        <v>32</v>
      </c>
      <c r="L52">
        <v>6</v>
      </c>
      <c r="M52">
        <v>120</v>
      </c>
      <c r="N52">
        <f t="shared" si="4"/>
        <v>720</v>
      </c>
      <c r="O52">
        <f t="shared" si="5"/>
        <v>72</v>
      </c>
      <c r="P52" t="str">
        <f t="shared" si="6"/>
        <v>Large Order</v>
      </c>
      <c r="Q52" t="str">
        <f t="shared" si="7"/>
        <v>Weekend</v>
      </c>
    </row>
    <row r="53" spans="1:17" x14ac:dyDescent="0.35">
      <c r="A53" t="s">
        <v>130</v>
      </c>
      <c r="B53" s="7">
        <v>45426</v>
      </c>
      <c r="C53" s="13">
        <f t="shared" si="1"/>
        <v>2024</v>
      </c>
      <c r="D53" s="7" t="str">
        <f t="shared" si="2"/>
        <v>May</v>
      </c>
      <c r="E53" s="7" t="str">
        <f t="shared" si="3"/>
        <v>Tue</v>
      </c>
      <c r="F53" t="s">
        <v>131</v>
      </c>
      <c r="G53" t="s">
        <v>109</v>
      </c>
      <c r="H53" t="s">
        <v>22</v>
      </c>
      <c r="I53" s="2" t="str">
        <f t="shared" si="0"/>
        <v>South</v>
      </c>
      <c r="J53" t="s">
        <v>56</v>
      </c>
      <c r="K53" t="s">
        <v>36</v>
      </c>
      <c r="L53">
        <v>7</v>
      </c>
      <c r="M53">
        <v>120</v>
      </c>
      <c r="N53">
        <f t="shared" si="4"/>
        <v>840</v>
      </c>
      <c r="O53">
        <f t="shared" si="5"/>
        <v>84</v>
      </c>
      <c r="P53" t="str">
        <f t="shared" si="6"/>
        <v>Large Order</v>
      </c>
      <c r="Q53" t="str">
        <f t="shared" si="7"/>
        <v>Weekday</v>
      </c>
    </row>
    <row r="54" spans="1:17" x14ac:dyDescent="0.35">
      <c r="A54" t="s">
        <v>132</v>
      </c>
      <c r="B54" s="7">
        <v>45330</v>
      </c>
      <c r="C54" s="13">
        <f t="shared" si="1"/>
        <v>2024</v>
      </c>
      <c r="D54" s="7" t="str">
        <f t="shared" si="2"/>
        <v>Feb</v>
      </c>
      <c r="E54" s="7" t="str">
        <f t="shared" si="3"/>
        <v>Thu</v>
      </c>
      <c r="F54" t="s">
        <v>133</v>
      </c>
      <c r="G54" t="s">
        <v>21</v>
      </c>
      <c r="H54" t="s">
        <v>17</v>
      </c>
      <c r="I54" s="2" t="str">
        <f t="shared" si="0"/>
        <v>North</v>
      </c>
      <c r="J54" t="s">
        <v>56</v>
      </c>
      <c r="K54" t="s">
        <v>23</v>
      </c>
      <c r="L54">
        <v>10</v>
      </c>
      <c r="M54">
        <v>120</v>
      </c>
      <c r="N54">
        <f t="shared" si="4"/>
        <v>1200</v>
      </c>
      <c r="O54">
        <f t="shared" si="5"/>
        <v>120</v>
      </c>
      <c r="P54" t="str">
        <f t="shared" si="6"/>
        <v>Large Order</v>
      </c>
      <c r="Q54" t="str">
        <f t="shared" si="7"/>
        <v>Weekday</v>
      </c>
    </row>
    <row r="55" spans="1:17" x14ac:dyDescent="0.35">
      <c r="A55" t="s">
        <v>134</v>
      </c>
      <c r="B55" s="7">
        <v>45357</v>
      </c>
      <c r="C55" s="13">
        <f t="shared" si="1"/>
        <v>2024</v>
      </c>
      <c r="D55" s="7" t="str">
        <f t="shared" si="2"/>
        <v>Mar</v>
      </c>
      <c r="E55" s="7" t="str">
        <f t="shared" si="3"/>
        <v>Wed</v>
      </c>
      <c r="F55" t="s">
        <v>47</v>
      </c>
      <c r="G55" t="s">
        <v>31</v>
      </c>
      <c r="H55" t="s">
        <v>11</v>
      </c>
      <c r="I55" s="2" t="str">
        <f t="shared" si="0"/>
        <v>North</v>
      </c>
      <c r="J55" t="s">
        <v>12</v>
      </c>
      <c r="K55" t="s">
        <v>32</v>
      </c>
      <c r="L55">
        <v>15</v>
      </c>
      <c r="M55">
        <v>120</v>
      </c>
      <c r="N55">
        <f t="shared" si="4"/>
        <v>1800</v>
      </c>
      <c r="O55">
        <f t="shared" si="5"/>
        <v>180</v>
      </c>
      <c r="P55" t="str">
        <f t="shared" si="6"/>
        <v>Large Order</v>
      </c>
      <c r="Q55" t="str">
        <f t="shared" si="7"/>
        <v>Weekday</v>
      </c>
    </row>
    <row r="56" spans="1:17" x14ac:dyDescent="0.35">
      <c r="A56" t="s">
        <v>135</v>
      </c>
      <c r="B56" s="7">
        <v>45419</v>
      </c>
      <c r="C56" s="13">
        <f t="shared" si="1"/>
        <v>2024</v>
      </c>
      <c r="D56" s="7" t="str">
        <f t="shared" si="2"/>
        <v>May</v>
      </c>
      <c r="E56" s="7" t="str">
        <f t="shared" si="3"/>
        <v>Tue</v>
      </c>
      <c r="F56" t="s">
        <v>114</v>
      </c>
      <c r="G56" t="s">
        <v>70</v>
      </c>
      <c r="H56" t="s">
        <v>17</v>
      </c>
      <c r="I56" s="2" t="str">
        <f t="shared" si="0"/>
        <v>South</v>
      </c>
      <c r="J56" t="s">
        <v>12</v>
      </c>
      <c r="K56" t="s">
        <v>32</v>
      </c>
      <c r="L56">
        <v>10</v>
      </c>
      <c r="M56">
        <v>120</v>
      </c>
      <c r="N56">
        <f t="shared" si="4"/>
        <v>1200</v>
      </c>
      <c r="O56">
        <f t="shared" si="5"/>
        <v>120</v>
      </c>
      <c r="P56" t="str">
        <f t="shared" si="6"/>
        <v>Large Order</v>
      </c>
      <c r="Q56" t="str">
        <f t="shared" si="7"/>
        <v>Weekday</v>
      </c>
    </row>
    <row r="57" spans="1:17" x14ac:dyDescent="0.35">
      <c r="A57" t="s">
        <v>136</v>
      </c>
      <c r="B57" s="7">
        <v>45375</v>
      </c>
      <c r="C57" s="13">
        <f t="shared" si="1"/>
        <v>2024</v>
      </c>
      <c r="D57" s="7" t="str">
        <f t="shared" si="2"/>
        <v>Mar</v>
      </c>
      <c r="E57" s="7" t="str">
        <f t="shared" si="3"/>
        <v>Sun</v>
      </c>
      <c r="F57" t="s">
        <v>106</v>
      </c>
      <c r="G57" t="s">
        <v>35</v>
      </c>
      <c r="H57" t="s">
        <v>11</v>
      </c>
      <c r="I57" s="2" t="str">
        <f t="shared" si="0"/>
        <v>South</v>
      </c>
      <c r="J57" t="s">
        <v>56</v>
      </c>
      <c r="K57" t="s">
        <v>36</v>
      </c>
      <c r="L57">
        <v>12</v>
      </c>
      <c r="M57">
        <v>120</v>
      </c>
      <c r="N57">
        <f t="shared" si="4"/>
        <v>1440</v>
      </c>
      <c r="O57">
        <f t="shared" si="5"/>
        <v>144</v>
      </c>
      <c r="P57" t="str">
        <f t="shared" si="6"/>
        <v>Large Order</v>
      </c>
      <c r="Q57" t="str">
        <f t="shared" si="7"/>
        <v>Weekend</v>
      </c>
    </row>
    <row r="58" spans="1:17" x14ac:dyDescent="0.35">
      <c r="A58" t="s">
        <v>137</v>
      </c>
      <c r="B58" s="7">
        <v>45502</v>
      </c>
      <c r="C58" s="13">
        <f t="shared" si="1"/>
        <v>2024</v>
      </c>
      <c r="D58" s="7" t="str">
        <f t="shared" si="2"/>
        <v>Jul</v>
      </c>
      <c r="E58" s="7" t="str">
        <f t="shared" si="3"/>
        <v>Mon</v>
      </c>
      <c r="F58" t="s">
        <v>138</v>
      </c>
      <c r="G58" t="s">
        <v>48</v>
      </c>
      <c r="I58" s="2" t="str">
        <f t="shared" si="0"/>
        <v>South</v>
      </c>
      <c r="J58" t="s">
        <v>56</v>
      </c>
      <c r="K58" t="s">
        <v>32</v>
      </c>
      <c r="L58">
        <v>2</v>
      </c>
      <c r="M58">
        <v>120</v>
      </c>
      <c r="N58">
        <f t="shared" si="4"/>
        <v>240</v>
      </c>
      <c r="O58">
        <f t="shared" si="5"/>
        <v>24</v>
      </c>
      <c r="P58" t="str">
        <f t="shared" si="6"/>
        <v>Standard Order</v>
      </c>
      <c r="Q58" t="str">
        <f t="shared" si="7"/>
        <v>Weekday</v>
      </c>
    </row>
    <row r="59" spans="1:17" x14ac:dyDescent="0.35">
      <c r="A59" t="s">
        <v>139</v>
      </c>
      <c r="B59" s="7">
        <v>45532</v>
      </c>
      <c r="C59" s="13">
        <f t="shared" si="1"/>
        <v>2024</v>
      </c>
      <c r="D59" s="7" t="str">
        <f t="shared" si="2"/>
        <v>Aug</v>
      </c>
      <c r="E59" s="7" t="str">
        <f t="shared" si="3"/>
        <v>Wed</v>
      </c>
      <c r="F59" t="s">
        <v>40</v>
      </c>
      <c r="G59" t="s">
        <v>26</v>
      </c>
      <c r="I59" s="2" t="str">
        <f t="shared" si="0"/>
        <v>North</v>
      </c>
      <c r="J59" t="s">
        <v>56</v>
      </c>
      <c r="K59" t="s">
        <v>28</v>
      </c>
      <c r="L59">
        <v>5</v>
      </c>
      <c r="M59">
        <v>120</v>
      </c>
      <c r="N59">
        <f t="shared" si="4"/>
        <v>600</v>
      </c>
      <c r="O59">
        <f t="shared" si="5"/>
        <v>60</v>
      </c>
      <c r="P59" t="str">
        <f t="shared" si="6"/>
        <v>Large Order</v>
      </c>
      <c r="Q59" t="str">
        <f t="shared" si="7"/>
        <v>Weekday</v>
      </c>
    </row>
    <row r="60" spans="1:17" x14ac:dyDescent="0.35">
      <c r="A60" t="s">
        <v>140</v>
      </c>
      <c r="B60" s="7">
        <v>45406</v>
      </c>
      <c r="C60" s="13">
        <f t="shared" si="1"/>
        <v>2024</v>
      </c>
      <c r="D60" s="7" t="str">
        <f t="shared" si="2"/>
        <v>Apr</v>
      </c>
      <c r="E60" s="7" t="str">
        <f t="shared" si="3"/>
        <v>Wed</v>
      </c>
      <c r="F60" t="s">
        <v>53</v>
      </c>
      <c r="G60" t="s">
        <v>26</v>
      </c>
      <c r="H60" t="s">
        <v>17</v>
      </c>
      <c r="I60" s="2" t="str">
        <f t="shared" si="0"/>
        <v>East</v>
      </c>
      <c r="J60" t="s">
        <v>12</v>
      </c>
      <c r="K60" t="s">
        <v>28</v>
      </c>
      <c r="L60">
        <v>5</v>
      </c>
      <c r="M60">
        <v>120</v>
      </c>
      <c r="N60">
        <f t="shared" si="4"/>
        <v>600</v>
      </c>
      <c r="O60">
        <f t="shared" si="5"/>
        <v>60</v>
      </c>
      <c r="P60" t="str">
        <f t="shared" si="6"/>
        <v>Large Order</v>
      </c>
      <c r="Q60" t="str">
        <f t="shared" si="7"/>
        <v>Weekday</v>
      </c>
    </row>
    <row r="61" spans="1:17" x14ac:dyDescent="0.35">
      <c r="A61" t="s">
        <v>141</v>
      </c>
      <c r="B61" s="7">
        <v>45434</v>
      </c>
      <c r="C61" s="13">
        <f t="shared" si="1"/>
        <v>2024</v>
      </c>
      <c r="D61" s="7" t="str">
        <f t="shared" si="2"/>
        <v>May</v>
      </c>
      <c r="E61" s="7" t="str">
        <f t="shared" si="3"/>
        <v>Wed</v>
      </c>
      <c r="F61" t="s">
        <v>142</v>
      </c>
      <c r="G61" t="s">
        <v>84</v>
      </c>
      <c r="H61" t="s">
        <v>22</v>
      </c>
      <c r="I61" s="2" t="str">
        <f t="shared" si="0"/>
        <v>East</v>
      </c>
      <c r="J61" t="s">
        <v>42</v>
      </c>
      <c r="K61" t="s">
        <v>23</v>
      </c>
      <c r="L61">
        <v>14</v>
      </c>
      <c r="M61">
        <v>120</v>
      </c>
      <c r="N61">
        <f t="shared" si="4"/>
        <v>1680</v>
      </c>
      <c r="O61">
        <f t="shared" si="5"/>
        <v>168</v>
      </c>
      <c r="P61" t="str">
        <f t="shared" si="6"/>
        <v>Large Order</v>
      </c>
      <c r="Q61" t="str">
        <f t="shared" si="7"/>
        <v>Weekday</v>
      </c>
    </row>
    <row r="62" spans="1:17" x14ac:dyDescent="0.35">
      <c r="A62" t="s">
        <v>143</v>
      </c>
      <c r="B62" s="7">
        <v>45351</v>
      </c>
      <c r="C62" s="13">
        <f t="shared" si="1"/>
        <v>2024</v>
      </c>
      <c r="D62" s="7" t="str">
        <f t="shared" si="2"/>
        <v>Feb</v>
      </c>
      <c r="E62" s="7" t="str">
        <f t="shared" si="3"/>
        <v>Thu</v>
      </c>
      <c r="F62" t="s">
        <v>133</v>
      </c>
      <c r="G62" t="s">
        <v>74</v>
      </c>
      <c r="H62" t="s">
        <v>17</v>
      </c>
      <c r="I62" s="2" t="str">
        <f t="shared" si="0"/>
        <v>East</v>
      </c>
      <c r="J62" t="s">
        <v>42</v>
      </c>
      <c r="K62" t="s">
        <v>28</v>
      </c>
      <c r="L62">
        <v>1</v>
      </c>
      <c r="M62">
        <v>120</v>
      </c>
      <c r="N62">
        <f t="shared" si="4"/>
        <v>120</v>
      </c>
      <c r="O62">
        <f t="shared" si="5"/>
        <v>12</v>
      </c>
      <c r="P62" t="str">
        <f t="shared" si="6"/>
        <v>Standard Order</v>
      </c>
      <c r="Q62" t="str">
        <f t="shared" si="7"/>
        <v>Weekday</v>
      </c>
    </row>
    <row r="63" spans="1:17" x14ac:dyDescent="0.35">
      <c r="A63" t="s">
        <v>144</v>
      </c>
      <c r="B63" s="7">
        <v>45468</v>
      </c>
      <c r="C63" s="13">
        <f t="shared" si="1"/>
        <v>2024</v>
      </c>
      <c r="D63" s="7" t="str">
        <f t="shared" si="2"/>
        <v>Jun</v>
      </c>
      <c r="E63" s="7" t="str">
        <f t="shared" si="3"/>
        <v>Tue</v>
      </c>
      <c r="F63" t="s">
        <v>55</v>
      </c>
      <c r="G63" t="s">
        <v>109</v>
      </c>
      <c r="H63" t="s">
        <v>22</v>
      </c>
      <c r="I63" s="2" t="str">
        <f t="shared" si="0"/>
        <v>East</v>
      </c>
      <c r="J63" t="s">
        <v>42</v>
      </c>
      <c r="K63" t="s">
        <v>36</v>
      </c>
      <c r="L63">
        <v>2</v>
      </c>
      <c r="M63">
        <v>120</v>
      </c>
      <c r="N63">
        <f t="shared" si="4"/>
        <v>240</v>
      </c>
      <c r="O63">
        <f t="shared" si="5"/>
        <v>24</v>
      </c>
      <c r="P63" t="str">
        <f t="shared" si="6"/>
        <v>Standard Order</v>
      </c>
      <c r="Q63" t="str">
        <f t="shared" si="7"/>
        <v>Weekday</v>
      </c>
    </row>
    <row r="64" spans="1:17" x14ac:dyDescent="0.35">
      <c r="A64" t="s">
        <v>145</v>
      </c>
      <c r="B64" s="7">
        <v>45389</v>
      </c>
      <c r="C64" s="13">
        <f t="shared" si="1"/>
        <v>2024</v>
      </c>
      <c r="D64" s="7" t="str">
        <f t="shared" si="2"/>
        <v>Apr</v>
      </c>
      <c r="E64" s="7" t="str">
        <f t="shared" si="3"/>
        <v>Sun</v>
      </c>
      <c r="F64" t="s">
        <v>101</v>
      </c>
      <c r="G64" t="s">
        <v>102</v>
      </c>
      <c r="I64" s="2" t="str">
        <f t="shared" si="0"/>
        <v>South</v>
      </c>
      <c r="J64" t="s">
        <v>42</v>
      </c>
      <c r="K64" t="s">
        <v>13</v>
      </c>
      <c r="L64">
        <v>9</v>
      </c>
      <c r="M64">
        <v>120</v>
      </c>
      <c r="N64">
        <f t="shared" si="4"/>
        <v>1080</v>
      </c>
      <c r="O64">
        <f t="shared" si="5"/>
        <v>108</v>
      </c>
      <c r="P64" t="str">
        <f t="shared" si="6"/>
        <v>Large Order</v>
      </c>
      <c r="Q64" t="str">
        <f t="shared" si="7"/>
        <v>Weekend</v>
      </c>
    </row>
    <row r="65" spans="1:17" x14ac:dyDescent="0.35">
      <c r="A65" t="s">
        <v>146</v>
      </c>
      <c r="B65" s="7">
        <v>45643</v>
      </c>
      <c r="C65" s="13">
        <f t="shared" si="1"/>
        <v>2024</v>
      </c>
      <c r="D65" s="7" t="str">
        <f t="shared" si="2"/>
        <v>Dec</v>
      </c>
      <c r="E65" s="7" t="str">
        <f t="shared" si="3"/>
        <v>Tue</v>
      </c>
      <c r="F65" t="s">
        <v>147</v>
      </c>
      <c r="G65" t="s">
        <v>87</v>
      </c>
      <c r="H65" t="s">
        <v>11</v>
      </c>
      <c r="I65" s="2" t="str">
        <f t="shared" si="0"/>
        <v>North</v>
      </c>
      <c r="J65" t="s">
        <v>56</v>
      </c>
      <c r="K65" t="s">
        <v>32</v>
      </c>
      <c r="L65">
        <v>11</v>
      </c>
      <c r="M65">
        <v>120</v>
      </c>
      <c r="N65">
        <f t="shared" si="4"/>
        <v>1320</v>
      </c>
      <c r="O65">
        <f t="shared" si="5"/>
        <v>132</v>
      </c>
      <c r="P65" t="str">
        <f t="shared" si="6"/>
        <v>Large Order</v>
      </c>
      <c r="Q65" t="str">
        <f t="shared" si="7"/>
        <v>Weekday</v>
      </c>
    </row>
    <row r="66" spans="1:17" x14ac:dyDescent="0.35">
      <c r="A66" t="s">
        <v>148</v>
      </c>
      <c r="B66" s="7">
        <v>45452</v>
      </c>
      <c r="C66" s="13">
        <f t="shared" si="1"/>
        <v>2024</v>
      </c>
      <c r="D66" s="7" t="str">
        <f t="shared" si="2"/>
        <v>Jun</v>
      </c>
      <c r="E66" s="7" t="str">
        <f t="shared" si="3"/>
        <v>Sun</v>
      </c>
      <c r="F66" t="s">
        <v>104</v>
      </c>
      <c r="G66" t="s">
        <v>70</v>
      </c>
      <c r="H66" t="s">
        <v>17</v>
      </c>
      <c r="I66" s="2" t="str">
        <f t="shared" si="0"/>
        <v>East</v>
      </c>
      <c r="J66" t="s">
        <v>12</v>
      </c>
      <c r="K66" t="s">
        <v>32</v>
      </c>
      <c r="L66">
        <v>11</v>
      </c>
      <c r="M66">
        <v>120</v>
      </c>
      <c r="N66">
        <f t="shared" si="4"/>
        <v>1320</v>
      </c>
      <c r="O66">
        <f t="shared" si="5"/>
        <v>132</v>
      </c>
      <c r="P66" t="str">
        <f t="shared" si="6"/>
        <v>Large Order</v>
      </c>
      <c r="Q66" t="str">
        <f t="shared" si="7"/>
        <v>Weekend</v>
      </c>
    </row>
    <row r="67" spans="1:17" x14ac:dyDescent="0.35">
      <c r="A67" t="s">
        <v>149</v>
      </c>
      <c r="B67" s="7">
        <v>45648</v>
      </c>
      <c r="C67" s="13">
        <f t="shared" si="1"/>
        <v>2024</v>
      </c>
      <c r="D67" s="7" t="str">
        <f t="shared" si="2"/>
        <v>Dec</v>
      </c>
      <c r="E67" s="7" t="str">
        <f t="shared" si="3"/>
        <v>Sun</v>
      </c>
      <c r="F67" t="s">
        <v>150</v>
      </c>
      <c r="G67" t="s">
        <v>41</v>
      </c>
      <c r="H67" t="s">
        <v>11</v>
      </c>
      <c r="I67" s="2" t="str">
        <f t="shared" ref="I67:I130" si="8">TRIM(J68)</f>
        <v>South</v>
      </c>
      <c r="J67" t="s">
        <v>42</v>
      </c>
      <c r="K67" t="s">
        <v>23</v>
      </c>
      <c r="L67">
        <v>7</v>
      </c>
      <c r="M67">
        <v>120</v>
      </c>
      <c r="N67">
        <f t="shared" si="4"/>
        <v>840</v>
      </c>
      <c r="O67">
        <f t="shared" si="5"/>
        <v>84</v>
      </c>
      <c r="P67" t="str">
        <f t="shared" si="6"/>
        <v>Large Order</v>
      </c>
      <c r="Q67" t="str">
        <f t="shared" si="7"/>
        <v>Weekend</v>
      </c>
    </row>
    <row r="68" spans="1:17" x14ac:dyDescent="0.35">
      <c r="A68" t="s">
        <v>151</v>
      </c>
      <c r="B68" s="7">
        <v>45638</v>
      </c>
      <c r="C68" s="13">
        <f t="shared" ref="C68:C131" si="9">YEAR(B68)</f>
        <v>2024</v>
      </c>
      <c r="D68" s="7" t="str">
        <f t="shared" ref="D68:D131" si="10">TEXT(B68,"mmm")</f>
        <v>Dec</v>
      </c>
      <c r="E68" s="7" t="str">
        <f t="shared" ref="E68:E131" si="11">TEXT(B68,"ddd")</f>
        <v>Thu</v>
      </c>
      <c r="F68" t="s">
        <v>25</v>
      </c>
      <c r="G68" t="s">
        <v>119</v>
      </c>
      <c r="H68" t="s">
        <v>17</v>
      </c>
      <c r="I68" s="2" t="str">
        <f t="shared" si="8"/>
        <v>East</v>
      </c>
      <c r="J68" t="s">
        <v>56</v>
      </c>
      <c r="K68" t="s">
        <v>152</v>
      </c>
      <c r="L68">
        <v>7</v>
      </c>
      <c r="M68">
        <v>120</v>
      </c>
      <c r="N68">
        <f t="shared" ref="N68:N131" si="12">M68*L68</f>
        <v>840</v>
      </c>
      <c r="O68">
        <f t="shared" ref="O68:O131" si="13">N68*0.1</f>
        <v>84</v>
      </c>
      <c r="P68" t="str">
        <f t="shared" ref="P68:P131" si="14">IF(N68&gt;500,"Large Order","Standard Order")</f>
        <v>Large Order</v>
      </c>
      <c r="Q68" t="str">
        <f t="shared" ref="Q68:Q131" si="15">IF(OR(TRIM(E68)="Sat",TRIM(E68)="Sun"),"Weekend","Weekday")</f>
        <v>Weekday</v>
      </c>
    </row>
    <row r="69" spans="1:17" x14ac:dyDescent="0.35">
      <c r="A69" t="s">
        <v>153</v>
      </c>
      <c r="B69" s="7">
        <v>45447</v>
      </c>
      <c r="C69" s="13">
        <f t="shared" si="9"/>
        <v>2024</v>
      </c>
      <c r="D69" s="7" t="str">
        <f t="shared" si="10"/>
        <v>Jun</v>
      </c>
      <c r="E69" s="7" t="str">
        <f t="shared" si="11"/>
        <v>Tue</v>
      </c>
      <c r="F69" t="s">
        <v>51</v>
      </c>
      <c r="G69" t="s">
        <v>26</v>
      </c>
      <c r="H69" t="s">
        <v>22</v>
      </c>
      <c r="I69" s="2" t="str">
        <f t="shared" si="8"/>
        <v>West</v>
      </c>
      <c r="J69" t="s">
        <v>42</v>
      </c>
      <c r="K69" t="s">
        <v>28</v>
      </c>
      <c r="L69">
        <v>10</v>
      </c>
      <c r="M69">
        <v>120</v>
      </c>
      <c r="N69">
        <f t="shared" si="12"/>
        <v>1200</v>
      </c>
      <c r="O69">
        <f t="shared" si="13"/>
        <v>120</v>
      </c>
      <c r="P69" t="str">
        <f t="shared" si="14"/>
        <v>Large Order</v>
      </c>
      <c r="Q69" t="str">
        <f t="shared" si="15"/>
        <v>Weekday</v>
      </c>
    </row>
    <row r="70" spans="1:17" x14ac:dyDescent="0.35">
      <c r="A70" t="s">
        <v>154</v>
      </c>
      <c r="B70" s="7">
        <v>45518</v>
      </c>
      <c r="C70" s="13">
        <f t="shared" si="9"/>
        <v>2024</v>
      </c>
      <c r="D70" s="7" t="str">
        <f t="shared" si="10"/>
        <v>Aug</v>
      </c>
      <c r="E70" s="7" t="str">
        <f t="shared" si="11"/>
        <v>Wed</v>
      </c>
      <c r="F70" t="s">
        <v>106</v>
      </c>
      <c r="G70" t="s">
        <v>74</v>
      </c>
      <c r="H70" t="s">
        <v>17</v>
      </c>
      <c r="I70" s="2" t="str">
        <f t="shared" si="8"/>
        <v>North</v>
      </c>
      <c r="J70" t="s">
        <v>27</v>
      </c>
      <c r="K70" t="s">
        <v>28</v>
      </c>
      <c r="L70">
        <v>13</v>
      </c>
      <c r="M70">
        <v>120</v>
      </c>
      <c r="N70">
        <f t="shared" si="12"/>
        <v>1560</v>
      </c>
      <c r="O70">
        <f t="shared" si="13"/>
        <v>156</v>
      </c>
      <c r="P70" t="str">
        <f t="shared" si="14"/>
        <v>Large Order</v>
      </c>
      <c r="Q70" t="str">
        <f t="shared" si="15"/>
        <v>Weekday</v>
      </c>
    </row>
    <row r="71" spans="1:17" x14ac:dyDescent="0.35">
      <c r="A71" t="s">
        <v>155</v>
      </c>
      <c r="B71" s="7">
        <v>45378</v>
      </c>
      <c r="C71" s="13">
        <f t="shared" si="9"/>
        <v>2024</v>
      </c>
      <c r="D71" s="7" t="str">
        <f t="shared" si="10"/>
        <v>Mar</v>
      </c>
      <c r="E71" s="7" t="str">
        <f t="shared" si="11"/>
        <v>Wed</v>
      </c>
      <c r="F71" t="s">
        <v>116</v>
      </c>
      <c r="G71" t="s">
        <v>70</v>
      </c>
      <c r="H71" t="s">
        <v>22</v>
      </c>
      <c r="I71" s="2" t="str">
        <f t="shared" si="8"/>
        <v>East</v>
      </c>
      <c r="J71" t="s">
        <v>12</v>
      </c>
      <c r="K71" t="s">
        <v>49</v>
      </c>
      <c r="L71">
        <v>11</v>
      </c>
      <c r="M71">
        <v>120</v>
      </c>
      <c r="N71">
        <f t="shared" si="12"/>
        <v>1320</v>
      </c>
      <c r="O71">
        <f t="shared" si="13"/>
        <v>132</v>
      </c>
      <c r="P71" t="str">
        <f t="shared" si="14"/>
        <v>Large Order</v>
      </c>
      <c r="Q71" t="str">
        <f t="shared" si="15"/>
        <v>Weekday</v>
      </c>
    </row>
    <row r="72" spans="1:17" x14ac:dyDescent="0.35">
      <c r="A72" t="s">
        <v>156</v>
      </c>
      <c r="B72" s="7">
        <v>45412</v>
      </c>
      <c r="C72" s="13">
        <f t="shared" si="9"/>
        <v>2024</v>
      </c>
      <c r="D72" s="7" t="str">
        <f t="shared" si="10"/>
        <v>Apr</v>
      </c>
      <c r="E72" s="7" t="str">
        <f t="shared" si="11"/>
        <v>Tue</v>
      </c>
      <c r="F72" t="s">
        <v>93</v>
      </c>
      <c r="G72" t="s">
        <v>65</v>
      </c>
      <c r="H72" t="s">
        <v>11</v>
      </c>
      <c r="I72" s="2" t="str">
        <f t="shared" si="8"/>
        <v>North</v>
      </c>
      <c r="J72" t="s">
        <v>42</v>
      </c>
      <c r="K72" t="s">
        <v>28</v>
      </c>
      <c r="L72">
        <v>1</v>
      </c>
      <c r="M72">
        <v>120</v>
      </c>
      <c r="N72">
        <f t="shared" si="12"/>
        <v>120</v>
      </c>
      <c r="O72">
        <f t="shared" si="13"/>
        <v>12</v>
      </c>
      <c r="P72" t="str">
        <f t="shared" si="14"/>
        <v>Standard Order</v>
      </c>
      <c r="Q72" t="str">
        <f t="shared" si="15"/>
        <v>Weekday</v>
      </c>
    </row>
    <row r="73" spans="1:17" x14ac:dyDescent="0.35">
      <c r="A73" t="s">
        <v>157</v>
      </c>
      <c r="B73" s="7">
        <v>45604</v>
      </c>
      <c r="C73" s="13">
        <f t="shared" si="9"/>
        <v>2024</v>
      </c>
      <c r="D73" s="7" t="str">
        <f t="shared" si="10"/>
        <v>Nov</v>
      </c>
      <c r="E73" s="7" t="str">
        <f t="shared" si="11"/>
        <v>Fri</v>
      </c>
      <c r="F73" t="s">
        <v>20</v>
      </c>
      <c r="G73" t="s">
        <v>59</v>
      </c>
      <c r="H73" t="s">
        <v>22</v>
      </c>
      <c r="I73" s="2" t="str">
        <f t="shared" si="8"/>
        <v>West</v>
      </c>
      <c r="J73" t="s">
        <v>12</v>
      </c>
      <c r="K73" t="s">
        <v>36</v>
      </c>
      <c r="L73">
        <v>10</v>
      </c>
      <c r="M73">
        <v>120</v>
      </c>
      <c r="N73">
        <f t="shared" si="12"/>
        <v>1200</v>
      </c>
      <c r="O73">
        <f t="shared" si="13"/>
        <v>120</v>
      </c>
      <c r="P73" t="str">
        <f t="shared" si="14"/>
        <v>Large Order</v>
      </c>
      <c r="Q73" t="str">
        <f t="shared" si="15"/>
        <v>Weekday</v>
      </c>
    </row>
    <row r="74" spans="1:17" x14ac:dyDescent="0.35">
      <c r="A74" t="s">
        <v>158</v>
      </c>
      <c r="B74" s="7">
        <v>45488</v>
      </c>
      <c r="C74" s="13">
        <f t="shared" si="9"/>
        <v>2024</v>
      </c>
      <c r="D74" s="7" t="str">
        <f t="shared" si="10"/>
        <v>Jul</v>
      </c>
      <c r="E74" s="7" t="str">
        <f t="shared" si="11"/>
        <v>Mon</v>
      </c>
      <c r="F74" t="s">
        <v>159</v>
      </c>
      <c r="G74" t="s">
        <v>160</v>
      </c>
      <c r="H74" t="s">
        <v>11</v>
      </c>
      <c r="I74" s="2" t="str">
        <f t="shared" si="8"/>
        <v>West</v>
      </c>
      <c r="J74" t="s">
        <v>27</v>
      </c>
      <c r="K74" t="s">
        <v>36</v>
      </c>
      <c r="L74">
        <v>11</v>
      </c>
      <c r="M74">
        <v>120</v>
      </c>
      <c r="N74">
        <f t="shared" si="12"/>
        <v>1320</v>
      </c>
      <c r="O74">
        <f t="shared" si="13"/>
        <v>132</v>
      </c>
      <c r="P74" t="str">
        <f t="shared" si="14"/>
        <v>Large Order</v>
      </c>
      <c r="Q74" t="str">
        <f t="shared" si="15"/>
        <v>Weekday</v>
      </c>
    </row>
    <row r="75" spans="1:17" x14ac:dyDescent="0.35">
      <c r="A75" t="s">
        <v>161</v>
      </c>
      <c r="B75" s="7">
        <v>45346</v>
      </c>
      <c r="C75" s="13">
        <f t="shared" si="9"/>
        <v>2024</v>
      </c>
      <c r="D75" s="7" t="str">
        <f t="shared" si="10"/>
        <v>Feb</v>
      </c>
      <c r="E75" s="7" t="str">
        <f t="shared" si="11"/>
        <v>Sat</v>
      </c>
      <c r="F75" t="s">
        <v>89</v>
      </c>
      <c r="G75" t="s">
        <v>65</v>
      </c>
      <c r="H75" t="s">
        <v>22</v>
      </c>
      <c r="I75" s="2" t="str">
        <f t="shared" si="8"/>
        <v>North</v>
      </c>
      <c r="J75" t="s">
        <v>27</v>
      </c>
      <c r="K75" t="s">
        <v>28</v>
      </c>
      <c r="L75">
        <v>9</v>
      </c>
      <c r="M75">
        <v>120</v>
      </c>
      <c r="N75">
        <f t="shared" si="12"/>
        <v>1080</v>
      </c>
      <c r="O75">
        <f t="shared" si="13"/>
        <v>108</v>
      </c>
      <c r="P75" t="str">
        <f t="shared" si="14"/>
        <v>Large Order</v>
      </c>
      <c r="Q75" t="str">
        <f t="shared" si="15"/>
        <v>Weekend</v>
      </c>
    </row>
    <row r="76" spans="1:17" x14ac:dyDescent="0.35">
      <c r="A76" t="s">
        <v>162</v>
      </c>
      <c r="B76" s="7">
        <v>45419</v>
      </c>
      <c r="C76" s="13">
        <f t="shared" si="9"/>
        <v>2024</v>
      </c>
      <c r="D76" s="7" t="str">
        <f t="shared" si="10"/>
        <v>May</v>
      </c>
      <c r="E76" s="7" t="str">
        <f t="shared" si="11"/>
        <v>Tue</v>
      </c>
      <c r="F76" t="s">
        <v>89</v>
      </c>
      <c r="G76" t="s">
        <v>160</v>
      </c>
      <c r="H76" t="s">
        <v>17</v>
      </c>
      <c r="I76" s="2" t="str">
        <f t="shared" si="8"/>
        <v>East</v>
      </c>
      <c r="J76" t="s">
        <v>12</v>
      </c>
      <c r="K76" t="s">
        <v>163</v>
      </c>
      <c r="L76">
        <v>11</v>
      </c>
      <c r="M76">
        <v>120</v>
      </c>
      <c r="N76">
        <f t="shared" si="12"/>
        <v>1320</v>
      </c>
      <c r="O76">
        <f t="shared" si="13"/>
        <v>132</v>
      </c>
      <c r="P76" t="str">
        <f t="shared" si="14"/>
        <v>Large Order</v>
      </c>
      <c r="Q76" t="str">
        <f t="shared" si="15"/>
        <v>Weekday</v>
      </c>
    </row>
    <row r="77" spans="1:17" x14ac:dyDescent="0.35">
      <c r="A77" t="s">
        <v>164</v>
      </c>
      <c r="B77" s="7">
        <v>45596</v>
      </c>
      <c r="C77" s="13">
        <f t="shared" si="9"/>
        <v>2024</v>
      </c>
      <c r="D77" s="7" t="str">
        <f t="shared" si="10"/>
        <v>Oct</v>
      </c>
      <c r="E77" s="7" t="str">
        <f t="shared" si="11"/>
        <v>Thu</v>
      </c>
      <c r="F77" t="s">
        <v>89</v>
      </c>
      <c r="G77" t="s">
        <v>109</v>
      </c>
      <c r="H77" t="s">
        <v>22</v>
      </c>
      <c r="I77" s="2" t="str">
        <f t="shared" si="8"/>
        <v>South</v>
      </c>
      <c r="J77" t="s">
        <v>42</v>
      </c>
      <c r="K77" t="s">
        <v>36</v>
      </c>
      <c r="L77">
        <v>15</v>
      </c>
      <c r="M77">
        <v>120</v>
      </c>
      <c r="N77">
        <f t="shared" si="12"/>
        <v>1800</v>
      </c>
      <c r="O77">
        <f t="shared" si="13"/>
        <v>180</v>
      </c>
      <c r="P77" t="str">
        <f t="shared" si="14"/>
        <v>Large Order</v>
      </c>
      <c r="Q77" t="str">
        <f t="shared" si="15"/>
        <v>Weekday</v>
      </c>
    </row>
    <row r="78" spans="1:17" x14ac:dyDescent="0.35">
      <c r="A78" t="s">
        <v>165</v>
      </c>
      <c r="B78" s="7">
        <v>45520</v>
      </c>
      <c r="C78" s="13">
        <f t="shared" si="9"/>
        <v>2024</v>
      </c>
      <c r="D78" s="7" t="str">
        <f t="shared" si="10"/>
        <v>Aug</v>
      </c>
      <c r="E78" s="7" t="str">
        <f t="shared" si="11"/>
        <v>Fri</v>
      </c>
      <c r="F78" t="s">
        <v>38</v>
      </c>
      <c r="G78" t="s">
        <v>59</v>
      </c>
      <c r="H78" t="s">
        <v>17</v>
      </c>
      <c r="I78" s="2" t="str">
        <f t="shared" si="8"/>
        <v>Central</v>
      </c>
      <c r="J78" t="s">
        <v>56</v>
      </c>
      <c r="K78" t="s">
        <v>36</v>
      </c>
      <c r="L78">
        <v>13</v>
      </c>
      <c r="M78">
        <v>120</v>
      </c>
      <c r="N78">
        <f t="shared" si="12"/>
        <v>1560</v>
      </c>
      <c r="O78">
        <f t="shared" si="13"/>
        <v>156</v>
      </c>
      <c r="P78" t="str">
        <f t="shared" si="14"/>
        <v>Large Order</v>
      </c>
      <c r="Q78" t="str">
        <f t="shared" si="15"/>
        <v>Weekday</v>
      </c>
    </row>
    <row r="79" spans="1:17" x14ac:dyDescent="0.35">
      <c r="A79" t="s">
        <v>166</v>
      </c>
      <c r="B79" s="7">
        <v>45433</v>
      </c>
      <c r="C79" s="13">
        <f t="shared" si="9"/>
        <v>2024</v>
      </c>
      <c r="D79" s="7" t="str">
        <f t="shared" si="10"/>
        <v>May</v>
      </c>
      <c r="E79" s="7" t="str">
        <f t="shared" si="11"/>
        <v>Tue</v>
      </c>
      <c r="F79" t="s">
        <v>167</v>
      </c>
      <c r="G79" t="s">
        <v>160</v>
      </c>
      <c r="H79" t="s">
        <v>17</v>
      </c>
      <c r="I79" s="2" t="str">
        <f t="shared" si="8"/>
        <v>East</v>
      </c>
      <c r="J79" t="s">
        <v>18</v>
      </c>
      <c r="K79" t="s">
        <v>36</v>
      </c>
      <c r="L79">
        <v>8</v>
      </c>
      <c r="M79">
        <v>120</v>
      </c>
      <c r="N79">
        <f t="shared" si="12"/>
        <v>960</v>
      </c>
      <c r="O79">
        <f t="shared" si="13"/>
        <v>96</v>
      </c>
      <c r="P79" t="str">
        <f t="shared" si="14"/>
        <v>Large Order</v>
      </c>
      <c r="Q79" t="str">
        <f t="shared" si="15"/>
        <v>Weekday</v>
      </c>
    </row>
    <row r="80" spans="1:17" x14ac:dyDescent="0.35">
      <c r="A80" t="s">
        <v>168</v>
      </c>
      <c r="B80" s="7">
        <v>45412</v>
      </c>
      <c r="C80" s="13">
        <f t="shared" si="9"/>
        <v>2024</v>
      </c>
      <c r="D80" s="7" t="str">
        <f t="shared" si="10"/>
        <v>Apr</v>
      </c>
      <c r="E80" s="7" t="str">
        <f t="shared" si="11"/>
        <v>Tue</v>
      </c>
      <c r="F80" t="s">
        <v>40</v>
      </c>
      <c r="G80" t="s">
        <v>31</v>
      </c>
      <c r="H80" t="s">
        <v>22</v>
      </c>
      <c r="I80" s="2" t="str">
        <f t="shared" si="8"/>
        <v>South</v>
      </c>
      <c r="J80" t="s">
        <v>42</v>
      </c>
      <c r="K80" t="s">
        <v>32</v>
      </c>
      <c r="L80">
        <v>2</v>
      </c>
      <c r="M80">
        <v>120</v>
      </c>
      <c r="N80">
        <f t="shared" si="12"/>
        <v>240</v>
      </c>
      <c r="O80">
        <f t="shared" si="13"/>
        <v>24</v>
      </c>
      <c r="P80" t="str">
        <f t="shared" si="14"/>
        <v>Standard Order</v>
      </c>
      <c r="Q80" t="str">
        <f t="shared" si="15"/>
        <v>Weekday</v>
      </c>
    </row>
    <row r="81" spans="1:17" x14ac:dyDescent="0.35">
      <c r="A81" t="s">
        <v>169</v>
      </c>
      <c r="B81" s="7">
        <v>45488</v>
      </c>
      <c r="C81" s="13">
        <f t="shared" si="9"/>
        <v>2024</v>
      </c>
      <c r="D81" s="7" t="str">
        <f t="shared" si="10"/>
        <v>Jul</v>
      </c>
      <c r="E81" s="7" t="str">
        <f t="shared" si="11"/>
        <v>Mon</v>
      </c>
      <c r="F81" t="s">
        <v>51</v>
      </c>
      <c r="G81" t="s">
        <v>45</v>
      </c>
      <c r="H81" t="s">
        <v>17</v>
      </c>
      <c r="I81" s="2" t="str">
        <f t="shared" si="8"/>
        <v>North</v>
      </c>
      <c r="J81" t="s">
        <v>56</v>
      </c>
      <c r="K81" t="s">
        <v>28</v>
      </c>
      <c r="L81">
        <v>7</v>
      </c>
      <c r="M81">
        <v>120</v>
      </c>
      <c r="N81">
        <f t="shared" si="12"/>
        <v>840</v>
      </c>
      <c r="O81">
        <f t="shared" si="13"/>
        <v>84</v>
      </c>
      <c r="P81" t="str">
        <f t="shared" si="14"/>
        <v>Large Order</v>
      </c>
      <c r="Q81" t="str">
        <f t="shared" si="15"/>
        <v>Weekday</v>
      </c>
    </row>
    <row r="82" spans="1:17" x14ac:dyDescent="0.35">
      <c r="A82" t="s">
        <v>170</v>
      </c>
      <c r="B82" s="7">
        <v>45504</v>
      </c>
      <c r="C82" s="13">
        <f t="shared" si="9"/>
        <v>2024</v>
      </c>
      <c r="D82" s="7" t="str">
        <f t="shared" si="10"/>
        <v>Jul</v>
      </c>
      <c r="E82" s="7" t="str">
        <f t="shared" si="11"/>
        <v>Wed</v>
      </c>
      <c r="F82" t="s">
        <v>20</v>
      </c>
      <c r="G82" t="s">
        <v>26</v>
      </c>
      <c r="H82" t="s">
        <v>17</v>
      </c>
      <c r="I82" s="2" t="str">
        <f t="shared" si="8"/>
        <v>Central</v>
      </c>
      <c r="J82" t="s">
        <v>12</v>
      </c>
      <c r="K82" t="s">
        <v>28</v>
      </c>
      <c r="L82">
        <v>15</v>
      </c>
      <c r="M82">
        <v>120</v>
      </c>
      <c r="N82">
        <f t="shared" si="12"/>
        <v>1800</v>
      </c>
      <c r="O82">
        <f t="shared" si="13"/>
        <v>180</v>
      </c>
      <c r="P82" t="str">
        <f t="shared" si="14"/>
        <v>Large Order</v>
      </c>
      <c r="Q82" t="str">
        <f t="shared" si="15"/>
        <v>Weekday</v>
      </c>
    </row>
    <row r="83" spans="1:17" x14ac:dyDescent="0.35">
      <c r="A83" t="s">
        <v>171</v>
      </c>
      <c r="B83" s="7">
        <v>45302</v>
      </c>
      <c r="C83" s="13">
        <f t="shared" si="9"/>
        <v>2024</v>
      </c>
      <c r="D83" s="7" t="str">
        <f t="shared" si="10"/>
        <v>Jan</v>
      </c>
      <c r="E83" s="7" t="str">
        <f t="shared" si="11"/>
        <v>Thu</v>
      </c>
      <c r="F83" t="s">
        <v>150</v>
      </c>
      <c r="G83" t="s">
        <v>59</v>
      </c>
      <c r="H83" t="s">
        <v>11</v>
      </c>
      <c r="I83" s="2" t="str">
        <f t="shared" si="8"/>
        <v>Central</v>
      </c>
      <c r="J83" t="s">
        <v>18</v>
      </c>
      <c r="K83" t="s">
        <v>36</v>
      </c>
      <c r="L83">
        <v>6</v>
      </c>
      <c r="M83">
        <v>120</v>
      </c>
      <c r="N83">
        <f t="shared" si="12"/>
        <v>720</v>
      </c>
      <c r="O83">
        <f t="shared" si="13"/>
        <v>72</v>
      </c>
      <c r="P83" t="str">
        <f t="shared" si="14"/>
        <v>Large Order</v>
      </c>
      <c r="Q83" t="str">
        <f t="shared" si="15"/>
        <v>Weekday</v>
      </c>
    </row>
    <row r="84" spans="1:17" x14ac:dyDescent="0.35">
      <c r="A84" t="s">
        <v>172</v>
      </c>
      <c r="B84" s="7">
        <v>45506</v>
      </c>
      <c r="C84" s="13">
        <f t="shared" si="9"/>
        <v>2024</v>
      </c>
      <c r="D84" s="7" t="str">
        <f t="shared" si="10"/>
        <v>Aug</v>
      </c>
      <c r="E84" s="7" t="str">
        <f t="shared" si="11"/>
        <v>Fri</v>
      </c>
      <c r="F84" t="s">
        <v>133</v>
      </c>
      <c r="G84" t="s">
        <v>119</v>
      </c>
      <c r="H84" t="s">
        <v>11</v>
      </c>
      <c r="I84" s="2" t="str">
        <f t="shared" si="8"/>
        <v>North</v>
      </c>
      <c r="J84" t="s">
        <v>18</v>
      </c>
      <c r="K84" t="s">
        <v>23</v>
      </c>
      <c r="L84">
        <v>8</v>
      </c>
      <c r="M84">
        <v>120</v>
      </c>
      <c r="N84">
        <f t="shared" si="12"/>
        <v>960</v>
      </c>
      <c r="O84">
        <f t="shared" si="13"/>
        <v>96</v>
      </c>
      <c r="P84" t="str">
        <f t="shared" si="14"/>
        <v>Large Order</v>
      </c>
      <c r="Q84" t="str">
        <f t="shared" si="15"/>
        <v>Weekday</v>
      </c>
    </row>
    <row r="85" spans="1:17" x14ac:dyDescent="0.35">
      <c r="A85" t="s">
        <v>173</v>
      </c>
      <c r="B85" s="7">
        <v>45540</v>
      </c>
      <c r="C85" s="13">
        <f t="shared" si="9"/>
        <v>2024</v>
      </c>
      <c r="D85" s="7" t="str">
        <f t="shared" si="10"/>
        <v>Sep</v>
      </c>
      <c r="E85" s="7" t="str">
        <f t="shared" si="11"/>
        <v>Thu</v>
      </c>
      <c r="F85" t="s">
        <v>83</v>
      </c>
      <c r="G85" t="s">
        <v>174</v>
      </c>
      <c r="H85" t="s">
        <v>22</v>
      </c>
      <c r="I85" s="2" t="str">
        <f t="shared" si="8"/>
        <v>West</v>
      </c>
      <c r="J85" t="s">
        <v>12</v>
      </c>
      <c r="K85" t="s">
        <v>163</v>
      </c>
      <c r="L85">
        <v>11</v>
      </c>
      <c r="M85">
        <v>120</v>
      </c>
      <c r="N85">
        <f t="shared" si="12"/>
        <v>1320</v>
      </c>
      <c r="O85">
        <f t="shared" si="13"/>
        <v>132</v>
      </c>
      <c r="P85" t="str">
        <f t="shared" si="14"/>
        <v>Large Order</v>
      </c>
      <c r="Q85" t="str">
        <f t="shared" si="15"/>
        <v>Weekday</v>
      </c>
    </row>
    <row r="86" spans="1:17" x14ac:dyDescent="0.35">
      <c r="A86" t="s">
        <v>175</v>
      </c>
      <c r="B86" s="7">
        <v>45376</v>
      </c>
      <c r="C86" s="13">
        <f t="shared" si="9"/>
        <v>2024</v>
      </c>
      <c r="D86" s="7" t="str">
        <f t="shared" si="10"/>
        <v>Mar</v>
      </c>
      <c r="E86" s="7" t="str">
        <f t="shared" si="11"/>
        <v>Mon</v>
      </c>
      <c r="F86" t="s">
        <v>61</v>
      </c>
      <c r="G86" t="s">
        <v>74</v>
      </c>
      <c r="H86" t="s">
        <v>22</v>
      </c>
      <c r="I86" s="2" t="str">
        <f t="shared" si="8"/>
        <v>North</v>
      </c>
      <c r="J86" t="s">
        <v>27</v>
      </c>
      <c r="K86" t="s">
        <v>28</v>
      </c>
      <c r="L86">
        <v>1</v>
      </c>
      <c r="M86">
        <v>120</v>
      </c>
      <c r="N86">
        <f t="shared" si="12"/>
        <v>120</v>
      </c>
      <c r="O86">
        <f t="shared" si="13"/>
        <v>12</v>
      </c>
      <c r="P86" t="str">
        <f t="shared" si="14"/>
        <v>Standard Order</v>
      </c>
      <c r="Q86" t="str">
        <f t="shared" si="15"/>
        <v>Weekday</v>
      </c>
    </row>
    <row r="87" spans="1:17" x14ac:dyDescent="0.35">
      <c r="A87" t="s">
        <v>176</v>
      </c>
      <c r="B87" s="7">
        <v>45580</v>
      </c>
      <c r="C87" s="13">
        <f t="shared" si="9"/>
        <v>2024</v>
      </c>
      <c r="D87" s="7" t="str">
        <f t="shared" si="10"/>
        <v>Oct</v>
      </c>
      <c r="E87" s="7" t="str">
        <f t="shared" si="11"/>
        <v>Tue</v>
      </c>
      <c r="F87" t="s">
        <v>64</v>
      </c>
      <c r="G87" t="s">
        <v>102</v>
      </c>
      <c r="H87" t="s">
        <v>11</v>
      </c>
      <c r="I87" s="2" t="str">
        <f t="shared" si="8"/>
        <v>West</v>
      </c>
      <c r="J87" t="s">
        <v>12</v>
      </c>
      <c r="K87" t="s">
        <v>13</v>
      </c>
      <c r="L87">
        <v>14</v>
      </c>
      <c r="M87">
        <v>120</v>
      </c>
      <c r="N87">
        <f t="shared" si="12"/>
        <v>1680</v>
      </c>
      <c r="O87">
        <f t="shared" si="13"/>
        <v>168</v>
      </c>
      <c r="P87" t="str">
        <f t="shared" si="14"/>
        <v>Large Order</v>
      </c>
      <c r="Q87" t="str">
        <f t="shared" si="15"/>
        <v>Weekday</v>
      </c>
    </row>
    <row r="88" spans="1:17" x14ac:dyDescent="0.35">
      <c r="A88" t="s">
        <v>177</v>
      </c>
      <c r="B88" s="7">
        <v>45425</v>
      </c>
      <c r="C88" s="13">
        <f t="shared" si="9"/>
        <v>2024</v>
      </c>
      <c r="D88" s="7" t="str">
        <f t="shared" si="10"/>
        <v>May</v>
      </c>
      <c r="E88" s="7" t="str">
        <f t="shared" si="11"/>
        <v>Mon</v>
      </c>
      <c r="F88" t="s">
        <v>150</v>
      </c>
      <c r="G88" t="s">
        <v>48</v>
      </c>
      <c r="H88" t="s">
        <v>17</v>
      </c>
      <c r="I88" s="2" t="str">
        <f t="shared" si="8"/>
        <v>West</v>
      </c>
      <c r="J88" t="s">
        <v>27</v>
      </c>
      <c r="K88" t="s">
        <v>32</v>
      </c>
      <c r="L88">
        <v>6</v>
      </c>
      <c r="M88">
        <v>120</v>
      </c>
      <c r="N88">
        <f t="shared" si="12"/>
        <v>720</v>
      </c>
      <c r="O88">
        <f t="shared" si="13"/>
        <v>72</v>
      </c>
      <c r="P88" t="str">
        <f t="shared" si="14"/>
        <v>Large Order</v>
      </c>
      <c r="Q88" t="str">
        <f t="shared" si="15"/>
        <v>Weekday</v>
      </c>
    </row>
    <row r="89" spans="1:17" x14ac:dyDescent="0.35">
      <c r="A89" t="s">
        <v>178</v>
      </c>
      <c r="B89" s="7">
        <v>45434</v>
      </c>
      <c r="C89" s="13">
        <f t="shared" si="9"/>
        <v>2024</v>
      </c>
      <c r="D89" s="7" t="str">
        <f t="shared" si="10"/>
        <v>May</v>
      </c>
      <c r="E89" s="7" t="str">
        <f t="shared" si="11"/>
        <v>Wed</v>
      </c>
      <c r="F89" t="s">
        <v>64</v>
      </c>
      <c r="G89" t="s">
        <v>72</v>
      </c>
      <c r="H89" t="s">
        <v>17</v>
      </c>
      <c r="I89" s="2" t="str">
        <f t="shared" si="8"/>
        <v>South</v>
      </c>
      <c r="J89" t="s">
        <v>27</v>
      </c>
      <c r="K89" t="s">
        <v>49</v>
      </c>
      <c r="L89">
        <v>1</v>
      </c>
      <c r="M89">
        <v>120</v>
      </c>
      <c r="N89">
        <f t="shared" si="12"/>
        <v>120</v>
      </c>
      <c r="O89">
        <f t="shared" si="13"/>
        <v>12</v>
      </c>
      <c r="P89" t="str">
        <f t="shared" si="14"/>
        <v>Standard Order</v>
      </c>
      <c r="Q89" t="str">
        <f t="shared" si="15"/>
        <v>Weekday</v>
      </c>
    </row>
    <row r="90" spans="1:17" x14ac:dyDescent="0.35">
      <c r="A90" t="s">
        <v>179</v>
      </c>
      <c r="B90" s="7">
        <v>45471</v>
      </c>
      <c r="C90" s="13">
        <f t="shared" si="9"/>
        <v>2024</v>
      </c>
      <c r="D90" s="7" t="str">
        <f t="shared" si="10"/>
        <v>Jun</v>
      </c>
      <c r="E90" s="7" t="str">
        <f t="shared" si="11"/>
        <v>Fri</v>
      </c>
      <c r="F90" t="s">
        <v>142</v>
      </c>
      <c r="G90" t="s">
        <v>96</v>
      </c>
      <c r="H90" t="s">
        <v>11</v>
      </c>
      <c r="I90" s="2" t="str">
        <f t="shared" si="8"/>
        <v>South</v>
      </c>
      <c r="J90" t="s">
        <v>56</v>
      </c>
      <c r="K90" t="s">
        <v>13</v>
      </c>
      <c r="L90">
        <v>4</v>
      </c>
      <c r="M90">
        <v>120</v>
      </c>
      <c r="N90">
        <f t="shared" si="12"/>
        <v>480</v>
      </c>
      <c r="O90">
        <f t="shared" si="13"/>
        <v>48</v>
      </c>
      <c r="P90" t="str">
        <f t="shared" si="14"/>
        <v>Standard Order</v>
      </c>
      <c r="Q90" t="str">
        <f t="shared" si="15"/>
        <v>Weekday</v>
      </c>
    </row>
    <row r="91" spans="1:17" x14ac:dyDescent="0.35">
      <c r="A91" t="s">
        <v>180</v>
      </c>
      <c r="B91" s="7">
        <v>45610</v>
      </c>
      <c r="C91" s="13">
        <f t="shared" si="9"/>
        <v>2024</v>
      </c>
      <c r="D91" s="7" t="str">
        <f t="shared" si="10"/>
        <v>Nov</v>
      </c>
      <c r="E91" s="7" t="str">
        <f t="shared" si="11"/>
        <v>Thu</v>
      </c>
      <c r="F91" t="s">
        <v>15</v>
      </c>
      <c r="G91" t="s">
        <v>65</v>
      </c>
      <c r="H91" t="s">
        <v>17</v>
      </c>
      <c r="I91" s="2" t="str">
        <f t="shared" si="8"/>
        <v>East</v>
      </c>
      <c r="J91" t="s">
        <v>56</v>
      </c>
      <c r="K91" t="s">
        <v>28</v>
      </c>
      <c r="L91">
        <v>11</v>
      </c>
      <c r="M91">
        <v>120</v>
      </c>
      <c r="N91">
        <f t="shared" si="12"/>
        <v>1320</v>
      </c>
      <c r="O91">
        <f t="shared" si="13"/>
        <v>132</v>
      </c>
      <c r="P91" t="str">
        <f t="shared" si="14"/>
        <v>Large Order</v>
      </c>
      <c r="Q91" t="str">
        <f t="shared" si="15"/>
        <v>Weekday</v>
      </c>
    </row>
    <row r="92" spans="1:17" x14ac:dyDescent="0.35">
      <c r="A92" t="s">
        <v>181</v>
      </c>
      <c r="B92" s="7">
        <v>45530</v>
      </c>
      <c r="C92" s="13">
        <f t="shared" si="9"/>
        <v>2024</v>
      </c>
      <c r="D92" s="7" t="str">
        <f t="shared" si="10"/>
        <v>Aug</v>
      </c>
      <c r="E92" s="7" t="str">
        <f t="shared" si="11"/>
        <v>Mon</v>
      </c>
      <c r="F92" t="s">
        <v>182</v>
      </c>
      <c r="G92" t="s">
        <v>48</v>
      </c>
      <c r="H92" t="s">
        <v>22</v>
      </c>
      <c r="I92" s="2" t="str">
        <f t="shared" si="8"/>
        <v>South</v>
      </c>
      <c r="J92" t="s">
        <v>42</v>
      </c>
      <c r="K92" t="s">
        <v>32</v>
      </c>
      <c r="L92">
        <v>10</v>
      </c>
      <c r="M92">
        <v>120</v>
      </c>
      <c r="N92">
        <f t="shared" si="12"/>
        <v>1200</v>
      </c>
      <c r="O92">
        <f t="shared" si="13"/>
        <v>120</v>
      </c>
      <c r="P92" t="str">
        <f t="shared" si="14"/>
        <v>Large Order</v>
      </c>
      <c r="Q92" t="str">
        <f t="shared" si="15"/>
        <v>Weekday</v>
      </c>
    </row>
    <row r="93" spans="1:17" x14ac:dyDescent="0.35">
      <c r="A93" t="s">
        <v>183</v>
      </c>
      <c r="B93" s="7">
        <v>45350</v>
      </c>
      <c r="C93" s="13">
        <f t="shared" si="9"/>
        <v>2024</v>
      </c>
      <c r="D93" s="7" t="str">
        <f t="shared" si="10"/>
        <v>Feb</v>
      </c>
      <c r="E93" s="7" t="str">
        <f t="shared" si="11"/>
        <v>Wed</v>
      </c>
      <c r="F93" t="s">
        <v>55</v>
      </c>
      <c r="G93" t="s">
        <v>72</v>
      </c>
      <c r="H93" t="s">
        <v>22</v>
      </c>
      <c r="I93" s="2" t="str">
        <f t="shared" si="8"/>
        <v>West</v>
      </c>
      <c r="J93" t="s">
        <v>56</v>
      </c>
      <c r="K93" t="s">
        <v>32</v>
      </c>
      <c r="L93">
        <v>1</v>
      </c>
      <c r="M93">
        <v>120</v>
      </c>
      <c r="N93">
        <f t="shared" si="12"/>
        <v>120</v>
      </c>
      <c r="O93">
        <f t="shared" si="13"/>
        <v>12</v>
      </c>
      <c r="P93" t="str">
        <f t="shared" si="14"/>
        <v>Standard Order</v>
      </c>
      <c r="Q93" t="str">
        <f t="shared" si="15"/>
        <v>Weekday</v>
      </c>
    </row>
    <row r="94" spans="1:17" x14ac:dyDescent="0.35">
      <c r="A94" t="s">
        <v>184</v>
      </c>
      <c r="B94" s="7">
        <v>45638</v>
      </c>
      <c r="C94" s="13">
        <f t="shared" si="9"/>
        <v>2024</v>
      </c>
      <c r="D94" s="7" t="str">
        <f t="shared" si="10"/>
        <v>Dec</v>
      </c>
      <c r="E94" s="7" t="str">
        <f t="shared" si="11"/>
        <v>Thu</v>
      </c>
      <c r="F94" t="s">
        <v>38</v>
      </c>
      <c r="G94" t="s">
        <v>160</v>
      </c>
      <c r="H94" t="s">
        <v>11</v>
      </c>
      <c r="I94" s="2" t="str">
        <f t="shared" si="8"/>
        <v>North</v>
      </c>
      <c r="J94" t="s">
        <v>27</v>
      </c>
      <c r="K94" t="s">
        <v>36</v>
      </c>
      <c r="L94">
        <v>10</v>
      </c>
      <c r="M94">
        <v>120</v>
      </c>
      <c r="N94">
        <f t="shared" si="12"/>
        <v>1200</v>
      </c>
      <c r="O94">
        <f t="shared" si="13"/>
        <v>120</v>
      </c>
      <c r="P94" t="str">
        <f t="shared" si="14"/>
        <v>Large Order</v>
      </c>
      <c r="Q94" t="str">
        <f t="shared" si="15"/>
        <v>Weekday</v>
      </c>
    </row>
    <row r="95" spans="1:17" x14ac:dyDescent="0.35">
      <c r="A95" t="s">
        <v>185</v>
      </c>
      <c r="B95" s="7">
        <v>45416</v>
      </c>
      <c r="C95" s="13">
        <f t="shared" si="9"/>
        <v>2024</v>
      </c>
      <c r="D95" s="7" t="str">
        <f t="shared" si="10"/>
        <v>May</v>
      </c>
      <c r="E95" s="7" t="str">
        <f t="shared" si="11"/>
        <v>Sat</v>
      </c>
      <c r="F95" t="s">
        <v>106</v>
      </c>
      <c r="G95" t="s">
        <v>70</v>
      </c>
      <c r="H95" t="s">
        <v>11</v>
      </c>
      <c r="I95" s="2" t="str">
        <f t="shared" si="8"/>
        <v>East</v>
      </c>
      <c r="J95" t="s">
        <v>12</v>
      </c>
      <c r="K95" t="s">
        <v>32</v>
      </c>
      <c r="L95">
        <v>13</v>
      </c>
      <c r="M95">
        <v>120</v>
      </c>
      <c r="N95">
        <f t="shared" si="12"/>
        <v>1560</v>
      </c>
      <c r="O95">
        <f t="shared" si="13"/>
        <v>156</v>
      </c>
      <c r="P95" t="str">
        <f t="shared" si="14"/>
        <v>Large Order</v>
      </c>
      <c r="Q95" t="str">
        <f t="shared" si="15"/>
        <v>Weekend</v>
      </c>
    </row>
    <row r="96" spans="1:17" x14ac:dyDescent="0.35">
      <c r="A96" t="s">
        <v>186</v>
      </c>
      <c r="B96" s="7">
        <v>45313</v>
      </c>
      <c r="C96" s="13">
        <f t="shared" si="9"/>
        <v>2024</v>
      </c>
      <c r="D96" s="7" t="str">
        <f t="shared" si="10"/>
        <v>Jan</v>
      </c>
      <c r="E96" s="7" t="str">
        <f t="shared" si="11"/>
        <v>Mon</v>
      </c>
      <c r="F96" t="s">
        <v>187</v>
      </c>
      <c r="G96" t="s">
        <v>84</v>
      </c>
      <c r="H96" t="s">
        <v>22</v>
      </c>
      <c r="I96" s="2" t="str">
        <f t="shared" si="8"/>
        <v>North</v>
      </c>
      <c r="J96" t="s">
        <v>42</v>
      </c>
      <c r="K96" t="s">
        <v>23</v>
      </c>
      <c r="L96">
        <v>6</v>
      </c>
      <c r="M96">
        <v>120</v>
      </c>
      <c r="N96">
        <f t="shared" si="12"/>
        <v>720</v>
      </c>
      <c r="O96">
        <f t="shared" si="13"/>
        <v>72</v>
      </c>
      <c r="P96" t="str">
        <f t="shared" si="14"/>
        <v>Large Order</v>
      </c>
      <c r="Q96" t="str">
        <f t="shared" si="15"/>
        <v>Weekday</v>
      </c>
    </row>
    <row r="97" spans="1:17" x14ac:dyDescent="0.35">
      <c r="A97" t="s">
        <v>188</v>
      </c>
      <c r="B97" s="7">
        <v>45466</v>
      </c>
      <c r="C97" s="13">
        <f t="shared" si="9"/>
        <v>2024</v>
      </c>
      <c r="D97" s="7" t="str">
        <f t="shared" si="10"/>
        <v>Jun</v>
      </c>
      <c r="E97" s="7" t="str">
        <f t="shared" si="11"/>
        <v>Sun</v>
      </c>
      <c r="F97" t="s">
        <v>38</v>
      </c>
      <c r="G97" t="s">
        <v>59</v>
      </c>
      <c r="H97" t="s">
        <v>11</v>
      </c>
      <c r="I97" s="2" t="str">
        <f t="shared" si="8"/>
        <v>South</v>
      </c>
      <c r="J97" t="s">
        <v>12</v>
      </c>
      <c r="K97" t="s">
        <v>36</v>
      </c>
      <c r="L97">
        <v>7</v>
      </c>
      <c r="M97">
        <v>120</v>
      </c>
      <c r="N97">
        <f t="shared" si="12"/>
        <v>840</v>
      </c>
      <c r="O97">
        <f t="shared" si="13"/>
        <v>84</v>
      </c>
      <c r="P97" t="str">
        <f t="shared" si="14"/>
        <v>Large Order</v>
      </c>
      <c r="Q97" t="str">
        <f t="shared" si="15"/>
        <v>Weekend</v>
      </c>
    </row>
    <row r="98" spans="1:17" x14ac:dyDescent="0.35">
      <c r="A98" t="s">
        <v>189</v>
      </c>
      <c r="B98" s="7">
        <v>45527</v>
      </c>
      <c r="C98" s="13">
        <f t="shared" si="9"/>
        <v>2024</v>
      </c>
      <c r="D98" s="7" t="str">
        <f t="shared" si="10"/>
        <v>Aug</v>
      </c>
      <c r="E98" s="7" t="str">
        <f t="shared" si="11"/>
        <v>Fri</v>
      </c>
      <c r="F98" t="s">
        <v>99</v>
      </c>
      <c r="G98" t="s">
        <v>160</v>
      </c>
      <c r="H98" t="s">
        <v>22</v>
      </c>
      <c r="I98" s="2" t="str">
        <f t="shared" si="8"/>
        <v>Central</v>
      </c>
      <c r="J98" t="s">
        <v>56</v>
      </c>
      <c r="K98" t="s">
        <v>163</v>
      </c>
      <c r="L98">
        <v>9</v>
      </c>
      <c r="M98">
        <v>120</v>
      </c>
      <c r="N98">
        <f t="shared" si="12"/>
        <v>1080</v>
      </c>
      <c r="O98">
        <f t="shared" si="13"/>
        <v>108</v>
      </c>
      <c r="P98" t="str">
        <f t="shared" si="14"/>
        <v>Large Order</v>
      </c>
      <c r="Q98" t="str">
        <f t="shared" si="15"/>
        <v>Weekday</v>
      </c>
    </row>
    <row r="99" spans="1:17" x14ac:dyDescent="0.35">
      <c r="A99" t="s">
        <v>190</v>
      </c>
      <c r="B99" s="7">
        <v>45607</v>
      </c>
      <c r="C99" s="13">
        <f t="shared" si="9"/>
        <v>2024</v>
      </c>
      <c r="D99" s="7" t="str">
        <f t="shared" si="10"/>
        <v>Nov</v>
      </c>
      <c r="E99" s="7" t="str">
        <f t="shared" si="11"/>
        <v>Mon</v>
      </c>
      <c r="F99" t="s">
        <v>99</v>
      </c>
      <c r="G99" t="s">
        <v>59</v>
      </c>
      <c r="H99" t="s">
        <v>17</v>
      </c>
      <c r="I99" s="2" t="str">
        <f t="shared" si="8"/>
        <v>South</v>
      </c>
      <c r="J99" t="s">
        <v>18</v>
      </c>
      <c r="K99" t="s">
        <v>36</v>
      </c>
      <c r="L99">
        <v>14</v>
      </c>
      <c r="M99">
        <v>120</v>
      </c>
      <c r="N99">
        <f t="shared" si="12"/>
        <v>1680</v>
      </c>
      <c r="O99">
        <f t="shared" si="13"/>
        <v>168</v>
      </c>
      <c r="P99" t="str">
        <f t="shared" si="14"/>
        <v>Large Order</v>
      </c>
      <c r="Q99" t="str">
        <f t="shared" si="15"/>
        <v>Weekday</v>
      </c>
    </row>
    <row r="100" spans="1:17" x14ac:dyDescent="0.35">
      <c r="A100" t="s">
        <v>191</v>
      </c>
      <c r="B100" s="7">
        <v>45457</v>
      </c>
      <c r="C100" s="13">
        <f t="shared" si="9"/>
        <v>2024</v>
      </c>
      <c r="D100" s="7" t="str">
        <f t="shared" si="10"/>
        <v>Jun</v>
      </c>
      <c r="E100" s="7" t="str">
        <f t="shared" si="11"/>
        <v>Fri</v>
      </c>
      <c r="F100" t="s">
        <v>55</v>
      </c>
      <c r="G100" t="s">
        <v>10</v>
      </c>
      <c r="H100" t="s">
        <v>17</v>
      </c>
      <c r="I100" s="2" t="str">
        <f t="shared" si="8"/>
        <v>West</v>
      </c>
      <c r="J100" t="s">
        <v>56</v>
      </c>
      <c r="K100" t="s">
        <v>13</v>
      </c>
      <c r="L100">
        <v>4</v>
      </c>
      <c r="M100">
        <v>120</v>
      </c>
      <c r="N100">
        <f t="shared" si="12"/>
        <v>480</v>
      </c>
      <c r="O100">
        <f t="shared" si="13"/>
        <v>48</v>
      </c>
      <c r="P100" t="str">
        <f t="shared" si="14"/>
        <v>Standard Order</v>
      </c>
      <c r="Q100" t="str">
        <f t="shared" si="15"/>
        <v>Weekday</v>
      </c>
    </row>
    <row r="101" spans="1:17" x14ac:dyDescent="0.35">
      <c r="A101" t="s">
        <v>192</v>
      </c>
      <c r="B101" s="7">
        <v>45604</v>
      </c>
      <c r="C101" s="13">
        <f t="shared" si="9"/>
        <v>2024</v>
      </c>
      <c r="D101" s="7" t="str">
        <f t="shared" si="10"/>
        <v>Nov</v>
      </c>
      <c r="E101" s="7" t="str">
        <f t="shared" si="11"/>
        <v>Fri</v>
      </c>
      <c r="F101" t="s">
        <v>78</v>
      </c>
      <c r="G101" t="s">
        <v>72</v>
      </c>
      <c r="H101" t="s">
        <v>17</v>
      </c>
      <c r="I101" s="2" t="str">
        <f t="shared" si="8"/>
        <v>East</v>
      </c>
      <c r="J101" t="s">
        <v>27</v>
      </c>
      <c r="K101" t="s">
        <v>32</v>
      </c>
      <c r="L101">
        <v>14</v>
      </c>
      <c r="M101">
        <v>120</v>
      </c>
      <c r="N101">
        <f t="shared" si="12"/>
        <v>1680</v>
      </c>
      <c r="O101">
        <f t="shared" si="13"/>
        <v>168</v>
      </c>
      <c r="P101" t="str">
        <f t="shared" si="14"/>
        <v>Large Order</v>
      </c>
      <c r="Q101" t="str">
        <f t="shared" si="15"/>
        <v>Weekday</v>
      </c>
    </row>
    <row r="102" spans="1:17" x14ac:dyDescent="0.35">
      <c r="A102" t="s">
        <v>193</v>
      </c>
      <c r="B102" s="7">
        <v>45400</v>
      </c>
      <c r="C102" s="13">
        <f t="shared" si="9"/>
        <v>2024</v>
      </c>
      <c r="D102" s="7" t="str">
        <f t="shared" si="10"/>
        <v>Apr</v>
      </c>
      <c r="E102" s="7" t="str">
        <f t="shared" si="11"/>
        <v>Thu</v>
      </c>
      <c r="F102" t="s">
        <v>99</v>
      </c>
      <c r="G102" t="s">
        <v>31</v>
      </c>
      <c r="H102" t="s">
        <v>17</v>
      </c>
      <c r="I102" s="2" t="str">
        <f t="shared" si="8"/>
        <v>North</v>
      </c>
      <c r="J102" t="s">
        <v>42</v>
      </c>
      <c r="K102" t="s">
        <v>32</v>
      </c>
      <c r="L102">
        <v>15</v>
      </c>
      <c r="M102">
        <v>120</v>
      </c>
      <c r="N102">
        <f t="shared" si="12"/>
        <v>1800</v>
      </c>
      <c r="O102">
        <f t="shared" si="13"/>
        <v>180</v>
      </c>
      <c r="P102" t="str">
        <f t="shared" si="14"/>
        <v>Large Order</v>
      </c>
      <c r="Q102" t="str">
        <f t="shared" si="15"/>
        <v>Weekday</v>
      </c>
    </row>
    <row r="103" spans="1:17" x14ac:dyDescent="0.35">
      <c r="A103" t="s">
        <v>194</v>
      </c>
      <c r="B103" s="7">
        <v>45576</v>
      </c>
      <c r="C103" s="13">
        <f t="shared" si="9"/>
        <v>2024</v>
      </c>
      <c r="D103" s="7" t="str">
        <f t="shared" si="10"/>
        <v>Oct</v>
      </c>
      <c r="E103" s="7" t="str">
        <f t="shared" si="11"/>
        <v>Fri</v>
      </c>
      <c r="F103" t="s">
        <v>78</v>
      </c>
      <c r="G103" t="s">
        <v>41</v>
      </c>
      <c r="H103" t="s">
        <v>11</v>
      </c>
      <c r="I103" s="2" t="str">
        <f t="shared" si="8"/>
        <v>South</v>
      </c>
      <c r="J103" t="s">
        <v>12</v>
      </c>
      <c r="K103" t="s">
        <v>152</v>
      </c>
      <c r="L103">
        <v>4</v>
      </c>
      <c r="M103">
        <v>120</v>
      </c>
      <c r="N103">
        <f t="shared" si="12"/>
        <v>480</v>
      </c>
      <c r="O103">
        <f t="shared" si="13"/>
        <v>48</v>
      </c>
      <c r="P103" t="str">
        <f t="shared" si="14"/>
        <v>Standard Order</v>
      </c>
      <c r="Q103" t="str">
        <f t="shared" si="15"/>
        <v>Weekday</v>
      </c>
    </row>
    <row r="104" spans="1:17" x14ac:dyDescent="0.35">
      <c r="A104" t="s">
        <v>195</v>
      </c>
      <c r="B104" s="7">
        <v>45576</v>
      </c>
      <c r="C104" s="13">
        <f t="shared" si="9"/>
        <v>2024</v>
      </c>
      <c r="D104" s="7" t="str">
        <f t="shared" si="10"/>
        <v>Oct</v>
      </c>
      <c r="E104" s="7" t="str">
        <f t="shared" si="11"/>
        <v>Fri</v>
      </c>
      <c r="F104" t="s">
        <v>167</v>
      </c>
      <c r="G104" t="s">
        <v>59</v>
      </c>
      <c r="H104" t="s">
        <v>17</v>
      </c>
      <c r="I104" s="2" t="str">
        <f t="shared" si="8"/>
        <v>West</v>
      </c>
      <c r="J104" t="s">
        <v>56</v>
      </c>
      <c r="K104" t="s">
        <v>36</v>
      </c>
      <c r="L104">
        <v>13</v>
      </c>
      <c r="M104">
        <v>120</v>
      </c>
      <c r="N104">
        <f t="shared" si="12"/>
        <v>1560</v>
      </c>
      <c r="O104">
        <f t="shared" si="13"/>
        <v>156</v>
      </c>
      <c r="P104" t="str">
        <f t="shared" si="14"/>
        <v>Large Order</v>
      </c>
      <c r="Q104" t="str">
        <f t="shared" si="15"/>
        <v>Weekday</v>
      </c>
    </row>
    <row r="105" spans="1:17" x14ac:dyDescent="0.35">
      <c r="A105" t="s">
        <v>196</v>
      </c>
      <c r="B105" s="7">
        <v>45405</v>
      </c>
      <c r="C105" s="13">
        <f t="shared" si="9"/>
        <v>2024</v>
      </c>
      <c r="D105" s="7" t="str">
        <f t="shared" si="10"/>
        <v>Apr</v>
      </c>
      <c r="E105" s="7" t="str">
        <f t="shared" si="11"/>
        <v>Tue</v>
      </c>
      <c r="F105" t="s">
        <v>89</v>
      </c>
      <c r="G105" t="s">
        <v>197</v>
      </c>
      <c r="H105" t="s">
        <v>22</v>
      </c>
      <c r="I105" s="2" t="str">
        <f t="shared" si="8"/>
        <v>East</v>
      </c>
      <c r="J105" t="s">
        <v>27</v>
      </c>
      <c r="K105" t="s">
        <v>28</v>
      </c>
      <c r="L105">
        <v>10</v>
      </c>
      <c r="M105">
        <v>120</v>
      </c>
      <c r="N105">
        <f t="shared" si="12"/>
        <v>1200</v>
      </c>
      <c r="O105">
        <f t="shared" si="13"/>
        <v>120</v>
      </c>
      <c r="P105" t="str">
        <f t="shared" si="14"/>
        <v>Large Order</v>
      </c>
      <c r="Q105" t="str">
        <f t="shared" si="15"/>
        <v>Weekday</v>
      </c>
    </row>
    <row r="106" spans="1:17" x14ac:dyDescent="0.35">
      <c r="A106" t="s">
        <v>198</v>
      </c>
      <c r="B106" s="7">
        <v>45563</v>
      </c>
      <c r="C106" s="13">
        <f t="shared" si="9"/>
        <v>2024</v>
      </c>
      <c r="D106" s="7" t="str">
        <f t="shared" si="10"/>
        <v>Sep</v>
      </c>
      <c r="E106" s="7" t="str">
        <f t="shared" si="11"/>
        <v>Sat</v>
      </c>
      <c r="F106" t="s">
        <v>99</v>
      </c>
      <c r="G106" t="s">
        <v>109</v>
      </c>
      <c r="H106" t="s">
        <v>17</v>
      </c>
      <c r="I106" s="2" t="str">
        <f t="shared" si="8"/>
        <v>East</v>
      </c>
      <c r="J106" t="s">
        <v>42</v>
      </c>
      <c r="K106" t="s">
        <v>36</v>
      </c>
      <c r="L106">
        <v>6</v>
      </c>
      <c r="M106">
        <v>120</v>
      </c>
      <c r="N106">
        <f t="shared" si="12"/>
        <v>720</v>
      </c>
      <c r="O106">
        <f t="shared" si="13"/>
        <v>72</v>
      </c>
      <c r="P106" t="str">
        <f t="shared" si="14"/>
        <v>Large Order</v>
      </c>
      <c r="Q106" t="str">
        <f t="shared" si="15"/>
        <v>Weekend</v>
      </c>
    </row>
    <row r="107" spans="1:17" x14ac:dyDescent="0.35">
      <c r="A107" t="s">
        <v>199</v>
      </c>
      <c r="B107" s="7">
        <v>45448</v>
      </c>
      <c r="C107" s="13">
        <f t="shared" si="9"/>
        <v>2024</v>
      </c>
      <c r="D107" s="7" t="str">
        <f t="shared" si="10"/>
        <v>Jun</v>
      </c>
      <c r="E107" s="7" t="str">
        <f t="shared" si="11"/>
        <v>Wed</v>
      </c>
      <c r="F107" t="s">
        <v>200</v>
      </c>
      <c r="G107" t="s">
        <v>45</v>
      </c>
      <c r="H107" t="s">
        <v>22</v>
      </c>
      <c r="I107" s="2" t="str">
        <f t="shared" si="8"/>
        <v>South</v>
      </c>
      <c r="J107" t="s">
        <v>42</v>
      </c>
      <c r="K107" t="s">
        <v>28</v>
      </c>
      <c r="L107">
        <v>4</v>
      </c>
      <c r="M107">
        <v>120</v>
      </c>
      <c r="N107">
        <f t="shared" si="12"/>
        <v>480</v>
      </c>
      <c r="O107">
        <f t="shared" si="13"/>
        <v>48</v>
      </c>
      <c r="P107" t="str">
        <f t="shared" si="14"/>
        <v>Standard Order</v>
      </c>
      <c r="Q107" t="str">
        <f t="shared" si="15"/>
        <v>Weekday</v>
      </c>
    </row>
    <row r="108" spans="1:17" x14ac:dyDescent="0.35">
      <c r="A108" t="s">
        <v>201</v>
      </c>
      <c r="B108" s="7">
        <v>45566</v>
      </c>
      <c r="C108" s="13">
        <f t="shared" si="9"/>
        <v>2024</v>
      </c>
      <c r="D108" s="7" t="str">
        <f t="shared" si="10"/>
        <v>Oct</v>
      </c>
      <c r="E108" s="7" t="str">
        <f t="shared" si="11"/>
        <v>Tue</v>
      </c>
      <c r="F108" t="s">
        <v>61</v>
      </c>
      <c r="G108" t="s">
        <v>65</v>
      </c>
      <c r="I108" s="2" t="str">
        <f t="shared" si="8"/>
        <v>Central</v>
      </c>
      <c r="J108" t="s">
        <v>56</v>
      </c>
      <c r="K108" t="s">
        <v>28</v>
      </c>
      <c r="L108">
        <v>8</v>
      </c>
      <c r="M108">
        <v>120</v>
      </c>
      <c r="N108">
        <f t="shared" si="12"/>
        <v>960</v>
      </c>
      <c r="O108">
        <f t="shared" si="13"/>
        <v>96</v>
      </c>
      <c r="P108" t="str">
        <f t="shared" si="14"/>
        <v>Large Order</v>
      </c>
      <c r="Q108" t="str">
        <f t="shared" si="15"/>
        <v>Weekday</v>
      </c>
    </row>
    <row r="109" spans="1:17" x14ac:dyDescent="0.35">
      <c r="A109" t="s">
        <v>202</v>
      </c>
      <c r="B109" s="7">
        <v>45560</v>
      </c>
      <c r="C109" s="13">
        <f t="shared" si="9"/>
        <v>2024</v>
      </c>
      <c r="D109" s="7" t="str">
        <f t="shared" si="10"/>
        <v>Sep</v>
      </c>
      <c r="E109" s="7" t="str">
        <f t="shared" si="11"/>
        <v>Wed</v>
      </c>
      <c r="F109" t="s">
        <v>203</v>
      </c>
      <c r="G109" t="s">
        <v>72</v>
      </c>
      <c r="H109" t="s">
        <v>11</v>
      </c>
      <c r="I109" s="2" t="str">
        <f t="shared" si="8"/>
        <v>North</v>
      </c>
      <c r="J109" t="s">
        <v>18</v>
      </c>
      <c r="K109" t="s">
        <v>32</v>
      </c>
      <c r="L109">
        <v>5</v>
      </c>
      <c r="M109">
        <v>120</v>
      </c>
      <c r="N109">
        <f t="shared" si="12"/>
        <v>600</v>
      </c>
      <c r="O109">
        <f t="shared" si="13"/>
        <v>60</v>
      </c>
      <c r="P109" t="str">
        <f t="shared" si="14"/>
        <v>Large Order</v>
      </c>
      <c r="Q109" t="str">
        <f t="shared" si="15"/>
        <v>Weekday</v>
      </c>
    </row>
    <row r="110" spans="1:17" x14ac:dyDescent="0.35">
      <c r="A110" t="s">
        <v>204</v>
      </c>
      <c r="B110" s="7">
        <v>45446</v>
      </c>
      <c r="C110" s="13">
        <f t="shared" si="9"/>
        <v>2024</v>
      </c>
      <c r="D110" s="7" t="str">
        <f t="shared" si="10"/>
        <v>Jun</v>
      </c>
      <c r="E110" s="7" t="str">
        <f t="shared" si="11"/>
        <v>Mon</v>
      </c>
      <c r="F110" t="s">
        <v>89</v>
      </c>
      <c r="G110" t="s">
        <v>41</v>
      </c>
      <c r="H110" t="s">
        <v>17</v>
      </c>
      <c r="I110" s="2" t="str">
        <f t="shared" si="8"/>
        <v>South</v>
      </c>
      <c r="J110" t="s">
        <v>12</v>
      </c>
      <c r="K110" t="s">
        <v>23</v>
      </c>
      <c r="L110">
        <v>1</v>
      </c>
      <c r="M110">
        <v>120</v>
      </c>
      <c r="N110">
        <f t="shared" si="12"/>
        <v>120</v>
      </c>
      <c r="O110">
        <f t="shared" si="13"/>
        <v>12</v>
      </c>
      <c r="P110" t="str">
        <f t="shared" si="14"/>
        <v>Standard Order</v>
      </c>
      <c r="Q110" t="str">
        <f t="shared" si="15"/>
        <v>Weekday</v>
      </c>
    </row>
    <row r="111" spans="1:17" x14ac:dyDescent="0.35">
      <c r="A111" t="s">
        <v>205</v>
      </c>
      <c r="B111" s="7">
        <v>45441</v>
      </c>
      <c r="C111" s="13">
        <f t="shared" si="9"/>
        <v>2024</v>
      </c>
      <c r="D111" s="7" t="str">
        <f t="shared" si="10"/>
        <v>May</v>
      </c>
      <c r="E111" s="7" t="str">
        <f t="shared" si="11"/>
        <v>Wed</v>
      </c>
      <c r="F111" t="s">
        <v>93</v>
      </c>
      <c r="G111" t="s">
        <v>35</v>
      </c>
      <c r="H111" t="s">
        <v>11</v>
      </c>
      <c r="I111" s="2" t="str">
        <f t="shared" si="8"/>
        <v>East</v>
      </c>
      <c r="J111" t="s">
        <v>56</v>
      </c>
      <c r="K111" t="s">
        <v>36</v>
      </c>
      <c r="L111">
        <v>10</v>
      </c>
      <c r="M111">
        <v>120</v>
      </c>
      <c r="N111">
        <f t="shared" si="12"/>
        <v>1200</v>
      </c>
      <c r="O111">
        <f t="shared" si="13"/>
        <v>120</v>
      </c>
      <c r="P111" t="str">
        <f t="shared" si="14"/>
        <v>Large Order</v>
      </c>
      <c r="Q111" t="str">
        <f t="shared" si="15"/>
        <v>Weekday</v>
      </c>
    </row>
    <row r="112" spans="1:17" x14ac:dyDescent="0.35">
      <c r="A112" t="s">
        <v>206</v>
      </c>
      <c r="B112" s="7">
        <v>45517</v>
      </c>
      <c r="C112" s="13">
        <f t="shared" si="9"/>
        <v>2024</v>
      </c>
      <c r="D112" s="7" t="str">
        <f t="shared" si="10"/>
        <v>Aug</v>
      </c>
      <c r="E112" s="7" t="str">
        <f t="shared" si="11"/>
        <v>Tue</v>
      </c>
      <c r="F112" t="s">
        <v>122</v>
      </c>
      <c r="G112" t="s">
        <v>45</v>
      </c>
      <c r="H112" t="s">
        <v>17</v>
      </c>
      <c r="I112" s="2" t="str">
        <f t="shared" si="8"/>
        <v>West</v>
      </c>
      <c r="J112" t="s">
        <v>42</v>
      </c>
      <c r="K112" t="s">
        <v>28</v>
      </c>
      <c r="L112">
        <v>14</v>
      </c>
      <c r="M112">
        <v>120</v>
      </c>
      <c r="N112">
        <f t="shared" si="12"/>
        <v>1680</v>
      </c>
      <c r="O112">
        <f t="shared" si="13"/>
        <v>168</v>
      </c>
      <c r="P112" t="str">
        <f t="shared" si="14"/>
        <v>Large Order</v>
      </c>
      <c r="Q112" t="str">
        <f t="shared" si="15"/>
        <v>Weekday</v>
      </c>
    </row>
    <row r="113" spans="1:17" x14ac:dyDescent="0.35">
      <c r="A113" t="s">
        <v>207</v>
      </c>
      <c r="B113" s="7">
        <v>45497</v>
      </c>
      <c r="C113" s="13">
        <f t="shared" si="9"/>
        <v>2024</v>
      </c>
      <c r="D113" s="7" t="str">
        <f t="shared" si="10"/>
        <v>Jul</v>
      </c>
      <c r="E113" s="7" t="str">
        <f t="shared" si="11"/>
        <v>Wed</v>
      </c>
      <c r="F113" t="s">
        <v>208</v>
      </c>
      <c r="G113" t="s">
        <v>16</v>
      </c>
      <c r="H113" t="s">
        <v>22</v>
      </c>
      <c r="I113" s="2" t="str">
        <f t="shared" si="8"/>
        <v>East</v>
      </c>
      <c r="J113" t="s">
        <v>27</v>
      </c>
      <c r="K113" t="s">
        <v>13</v>
      </c>
      <c r="L113">
        <v>11</v>
      </c>
      <c r="M113">
        <v>120</v>
      </c>
      <c r="N113">
        <f t="shared" si="12"/>
        <v>1320</v>
      </c>
      <c r="O113">
        <f t="shared" si="13"/>
        <v>132</v>
      </c>
      <c r="P113" t="str">
        <f t="shared" si="14"/>
        <v>Large Order</v>
      </c>
      <c r="Q113" t="str">
        <f t="shared" si="15"/>
        <v>Weekday</v>
      </c>
    </row>
    <row r="114" spans="1:17" x14ac:dyDescent="0.35">
      <c r="A114" t="s">
        <v>209</v>
      </c>
      <c r="B114" s="7">
        <v>45580</v>
      </c>
      <c r="C114" s="13">
        <f t="shared" si="9"/>
        <v>2024</v>
      </c>
      <c r="D114" s="7" t="str">
        <f t="shared" si="10"/>
        <v>Oct</v>
      </c>
      <c r="E114" s="7" t="str">
        <f t="shared" si="11"/>
        <v>Tue</v>
      </c>
      <c r="F114" t="s">
        <v>68</v>
      </c>
      <c r="G114" t="s">
        <v>79</v>
      </c>
      <c r="H114" t="s">
        <v>11</v>
      </c>
      <c r="I114" s="2" t="str">
        <f t="shared" si="8"/>
        <v>Central</v>
      </c>
      <c r="J114" t="s">
        <v>42</v>
      </c>
      <c r="K114" t="s">
        <v>13</v>
      </c>
      <c r="L114">
        <v>9</v>
      </c>
      <c r="M114">
        <v>120</v>
      </c>
      <c r="N114">
        <f t="shared" si="12"/>
        <v>1080</v>
      </c>
      <c r="O114">
        <f t="shared" si="13"/>
        <v>108</v>
      </c>
      <c r="P114" t="str">
        <f t="shared" si="14"/>
        <v>Large Order</v>
      </c>
      <c r="Q114" t="str">
        <f t="shared" si="15"/>
        <v>Weekday</v>
      </c>
    </row>
    <row r="115" spans="1:17" x14ac:dyDescent="0.35">
      <c r="A115" t="s">
        <v>210</v>
      </c>
      <c r="B115" s="7">
        <v>45597</v>
      </c>
      <c r="C115" s="13">
        <f t="shared" si="9"/>
        <v>2024</v>
      </c>
      <c r="D115" s="7" t="str">
        <f t="shared" si="10"/>
        <v>Nov</v>
      </c>
      <c r="E115" s="7" t="str">
        <f t="shared" si="11"/>
        <v>Fri</v>
      </c>
      <c r="F115" t="s">
        <v>125</v>
      </c>
      <c r="G115" t="s">
        <v>74</v>
      </c>
      <c r="H115" t="s">
        <v>17</v>
      </c>
      <c r="I115" s="2" t="str">
        <f t="shared" si="8"/>
        <v>West</v>
      </c>
      <c r="J115" t="s">
        <v>18</v>
      </c>
      <c r="K115" t="s">
        <v>28</v>
      </c>
      <c r="L115">
        <v>8</v>
      </c>
      <c r="M115">
        <v>120</v>
      </c>
      <c r="N115">
        <f t="shared" si="12"/>
        <v>960</v>
      </c>
      <c r="O115">
        <f t="shared" si="13"/>
        <v>96</v>
      </c>
      <c r="P115" t="str">
        <f t="shared" si="14"/>
        <v>Large Order</v>
      </c>
      <c r="Q115" t="str">
        <f t="shared" si="15"/>
        <v>Weekday</v>
      </c>
    </row>
    <row r="116" spans="1:17" x14ac:dyDescent="0.35">
      <c r="A116" t="s">
        <v>211</v>
      </c>
      <c r="B116" s="7">
        <v>45593</v>
      </c>
      <c r="C116" s="13">
        <f t="shared" si="9"/>
        <v>2024</v>
      </c>
      <c r="D116" s="7" t="str">
        <f t="shared" si="10"/>
        <v>Oct</v>
      </c>
      <c r="E116" s="7" t="str">
        <f t="shared" si="11"/>
        <v>Mon</v>
      </c>
      <c r="F116" t="s">
        <v>200</v>
      </c>
      <c r="G116" t="s">
        <v>70</v>
      </c>
      <c r="H116" t="s">
        <v>22</v>
      </c>
      <c r="I116" s="2" t="str">
        <f t="shared" si="8"/>
        <v>South</v>
      </c>
      <c r="J116" t="s">
        <v>27</v>
      </c>
      <c r="K116" t="s">
        <v>32</v>
      </c>
      <c r="L116">
        <v>1</v>
      </c>
      <c r="M116">
        <v>120</v>
      </c>
      <c r="N116">
        <f t="shared" si="12"/>
        <v>120</v>
      </c>
      <c r="O116">
        <f t="shared" si="13"/>
        <v>12</v>
      </c>
      <c r="P116" t="str">
        <f t="shared" si="14"/>
        <v>Standard Order</v>
      </c>
      <c r="Q116" t="str">
        <f t="shared" si="15"/>
        <v>Weekday</v>
      </c>
    </row>
    <row r="117" spans="1:17" x14ac:dyDescent="0.35">
      <c r="A117" t="s">
        <v>212</v>
      </c>
      <c r="B117" s="7">
        <v>45342</v>
      </c>
      <c r="C117" s="13">
        <f t="shared" si="9"/>
        <v>2024</v>
      </c>
      <c r="D117" s="7" t="str">
        <f t="shared" si="10"/>
        <v>Feb</v>
      </c>
      <c r="E117" s="7" t="str">
        <f t="shared" si="11"/>
        <v>Tue</v>
      </c>
      <c r="F117" t="s">
        <v>203</v>
      </c>
      <c r="G117" t="s">
        <v>197</v>
      </c>
      <c r="H117" t="s">
        <v>22</v>
      </c>
      <c r="I117" s="2" t="str">
        <f t="shared" si="8"/>
        <v>North</v>
      </c>
      <c r="J117" t="s">
        <v>56</v>
      </c>
      <c r="K117" t="s">
        <v>28</v>
      </c>
      <c r="L117">
        <v>2</v>
      </c>
      <c r="M117">
        <v>120</v>
      </c>
      <c r="N117">
        <f t="shared" si="12"/>
        <v>240</v>
      </c>
      <c r="O117">
        <f t="shared" si="13"/>
        <v>24</v>
      </c>
      <c r="P117" t="str">
        <f t="shared" si="14"/>
        <v>Standard Order</v>
      </c>
      <c r="Q117" t="str">
        <f t="shared" si="15"/>
        <v>Weekday</v>
      </c>
    </row>
    <row r="118" spans="1:17" x14ac:dyDescent="0.35">
      <c r="A118" t="s">
        <v>213</v>
      </c>
      <c r="B118" s="7">
        <v>45574</v>
      </c>
      <c r="C118" s="13">
        <f t="shared" si="9"/>
        <v>2024</v>
      </c>
      <c r="D118" s="7" t="str">
        <f t="shared" si="10"/>
        <v>Oct</v>
      </c>
      <c r="E118" s="7" t="str">
        <f t="shared" si="11"/>
        <v>Wed</v>
      </c>
      <c r="F118" t="s">
        <v>93</v>
      </c>
      <c r="G118" t="s">
        <v>45</v>
      </c>
      <c r="H118" t="s">
        <v>17</v>
      </c>
      <c r="I118" s="2" t="str">
        <f t="shared" si="8"/>
        <v>North</v>
      </c>
      <c r="J118" t="s">
        <v>12</v>
      </c>
      <c r="K118" t="s">
        <v>28</v>
      </c>
      <c r="L118">
        <v>8</v>
      </c>
      <c r="M118">
        <v>120</v>
      </c>
      <c r="N118">
        <f t="shared" si="12"/>
        <v>960</v>
      </c>
      <c r="O118">
        <f t="shared" si="13"/>
        <v>96</v>
      </c>
      <c r="P118" t="str">
        <f t="shared" si="14"/>
        <v>Large Order</v>
      </c>
      <c r="Q118" t="str">
        <f t="shared" si="15"/>
        <v>Weekday</v>
      </c>
    </row>
    <row r="119" spans="1:17" x14ac:dyDescent="0.35">
      <c r="A119" t="s">
        <v>214</v>
      </c>
      <c r="B119" s="7">
        <v>45441</v>
      </c>
      <c r="C119" s="13">
        <f t="shared" si="9"/>
        <v>2024</v>
      </c>
      <c r="D119" s="7" t="str">
        <f t="shared" si="10"/>
        <v>May</v>
      </c>
      <c r="E119" s="7" t="str">
        <f t="shared" si="11"/>
        <v>Wed</v>
      </c>
      <c r="F119" t="s">
        <v>51</v>
      </c>
      <c r="G119" t="s">
        <v>197</v>
      </c>
      <c r="H119" t="s">
        <v>22</v>
      </c>
      <c r="I119" s="2" t="str">
        <f t="shared" si="8"/>
        <v>South</v>
      </c>
      <c r="J119" t="s">
        <v>12</v>
      </c>
      <c r="K119" t="s">
        <v>28</v>
      </c>
      <c r="L119">
        <v>5</v>
      </c>
      <c r="M119">
        <v>120</v>
      </c>
      <c r="N119">
        <f t="shared" si="12"/>
        <v>600</v>
      </c>
      <c r="O119">
        <f t="shared" si="13"/>
        <v>60</v>
      </c>
      <c r="P119" t="str">
        <f t="shared" si="14"/>
        <v>Large Order</v>
      </c>
      <c r="Q119" t="str">
        <f t="shared" si="15"/>
        <v>Weekday</v>
      </c>
    </row>
    <row r="120" spans="1:17" x14ac:dyDescent="0.35">
      <c r="A120" t="s">
        <v>215</v>
      </c>
      <c r="B120" s="7">
        <v>45328</v>
      </c>
      <c r="C120" s="13">
        <f t="shared" si="9"/>
        <v>2024</v>
      </c>
      <c r="D120" s="7" t="str">
        <f t="shared" si="10"/>
        <v>Feb</v>
      </c>
      <c r="E120" s="7" t="str">
        <f t="shared" si="11"/>
        <v>Tue</v>
      </c>
      <c r="F120" t="s">
        <v>133</v>
      </c>
      <c r="G120" t="s">
        <v>70</v>
      </c>
      <c r="H120" t="s">
        <v>22</v>
      </c>
      <c r="I120" s="2" t="str">
        <f t="shared" si="8"/>
        <v>Central</v>
      </c>
      <c r="J120" t="s">
        <v>56</v>
      </c>
      <c r="K120" t="s">
        <v>32</v>
      </c>
      <c r="L120">
        <v>13</v>
      </c>
      <c r="M120">
        <v>120</v>
      </c>
      <c r="N120">
        <f t="shared" si="12"/>
        <v>1560</v>
      </c>
      <c r="O120">
        <f t="shared" si="13"/>
        <v>156</v>
      </c>
      <c r="P120" t="str">
        <f t="shared" si="14"/>
        <v>Large Order</v>
      </c>
      <c r="Q120" t="str">
        <f t="shared" si="15"/>
        <v>Weekday</v>
      </c>
    </row>
    <row r="121" spans="1:17" x14ac:dyDescent="0.35">
      <c r="A121" t="s">
        <v>216</v>
      </c>
      <c r="B121" s="7">
        <v>45350</v>
      </c>
      <c r="C121" s="13">
        <f t="shared" si="9"/>
        <v>2024</v>
      </c>
      <c r="D121" s="7" t="str">
        <f t="shared" si="10"/>
        <v>Feb</v>
      </c>
      <c r="E121" s="7" t="str">
        <f t="shared" si="11"/>
        <v>Wed</v>
      </c>
      <c r="F121" t="s">
        <v>64</v>
      </c>
      <c r="G121" t="s">
        <v>65</v>
      </c>
      <c r="H121" t="s">
        <v>17</v>
      </c>
      <c r="I121" s="2" t="str">
        <f t="shared" si="8"/>
        <v>East</v>
      </c>
      <c r="J121" t="s">
        <v>18</v>
      </c>
      <c r="K121" t="s">
        <v>28</v>
      </c>
      <c r="L121">
        <v>14</v>
      </c>
      <c r="M121">
        <v>120</v>
      </c>
      <c r="N121">
        <f t="shared" si="12"/>
        <v>1680</v>
      </c>
      <c r="O121">
        <f t="shared" si="13"/>
        <v>168</v>
      </c>
      <c r="P121" t="str">
        <f t="shared" si="14"/>
        <v>Large Order</v>
      </c>
      <c r="Q121" t="str">
        <f t="shared" si="15"/>
        <v>Weekday</v>
      </c>
    </row>
    <row r="122" spans="1:17" x14ac:dyDescent="0.35">
      <c r="A122" t="s">
        <v>217</v>
      </c>
      <c r="B122" s="7">
        <v>45376</v>
      </c>
      <c r="C122" s="13">
        <f t="shared" si="9"/>
        <v>2024</v>
      </c>
      <c r="D122" s="7" t="str">
        <f t="shared" si="10"/>
        <v>Mar</v>
      </c>
      <c r="E122" s="7" t="str">
        <f t="shared" si="11"/>
        <v>Mon</v>
      </c>
      <c r="F122" t="s">
        <v>20</v>
      </c>
      <c r="G122" t="s">
        <v>119</v>
      </c>
      <c r="H122" t="s">
        <v>17</v>
      </c>
      <c r="I122" s="2" t="str">
        <f t="shared" si="8"/>
        <v>West</v>
      </c>
      <c r="J122" t="s">
        <v>42</v>
      </c>
      <c r="K122" t="s">
        <v>23</v>
      </c>
      <c r="L122">
        <v>8</v>
      </c>
      <c r="M122">
        <v>120</v>
      </c>
      <c r="N122">
        <f t="shared" si="12"/>
        <v>960</v>
      </c>
      <c r="O122">
        <f t="shared" si="13"/>
        <v>96</v>
      </c>
      <c r="P122" t="str">
        <f t="shared" si="14"/>
        <v>Large Order</v>
      </c>
      <c r="Q122" t="str">
        <f t="shared" si="15"/>
        <v>Weekday</v>
      </c>
    </row>
    <row r="123" spans="1:17" x14ac:dyDescent="0.35">
      <c r="A123" t="s">
        <v>218</v>
      </c>
      <c r="B123" s="7">
        <v>45447</v>
      </c>
      <c r="C123" s="13">
        <f t="shared" si="9"/>
        <v>2024</v>
      </c>
      <c r="D123" s="7" t="str">
        <f t="shared" si="10"/>
        <v>Jun</v>
      </c>
      <c r="E123" s="7" t="str">
        <f t="shared" si="11"/>
        <v>Tue</v>
      </c>
      <c r="F123" t="s">
        <v>68</v>
      </c>
      <c r="G123" t="s">
        <v>70</v>
      </c>
      <c r="I123" s="2" t="str">
        <f t="shared" si="8"/>
        <v>West</v>
      </c>
      <c r="J123" t="s">
        <v>27</v>
      </c>
      <c r="K123" t="s">
        <v>32</v>
      </c>
      <c r="L123">
        <v>8</v>
      </c>
      <c r="M123">
        <v>120</v>
      </c>
      <c r="N123">
        <f t="shared" si="12"/>
        <v>960</v>
      </c>
      <c r="O123">
        <f t="shared" si="13"/>
        <v>96</v>
      </c>
      <c r="P123" t="str">
        <f t="shared" si="14"/>
        <v>Large Order</v>
      </c>
      <c r="Q123" t="str">
        <f t="shared" si="15"/>
        <v>Weekday</v>
      </c>
    </row>
    <row r="124" spans="1:17" x14ac:dyDescent="0.35">
      <c r="A124" t="s">
        <v>219</v>
      </c>
      <c r="B124" s="7">
        <v>45312</v>
      </c>
      <c r="C124" s="13">
        <f t="shared" si="9"/>
        <v>2024</v>
      </c>
      <c r="D124" s="7" t="str">
        <f t="shared" si="10"/>
        <v>Jan</v>
      </c>
      <c r="E124" s="7" t="str">
        <f t="shared" si="11"/>
        <v>Sun</v>
      </c>
      <c r="F124" t="s">
        <v>47</v>
      </c>
      <c r="G124" t="s">
        <v>70</v>
      </c>
      <c r="H124" t="s">
        <v>17</v>
      </c>
      <c r="I124" s="2" t="str">
        <f t="shared" si="8"/>
        <v>Central</v>
      </c>
      <c r="J124" t="s">
        <v>27</v>
      </c>
      <c r="K124" t="s">
        <v>32</v>
      </c>
      <c r="L124">
        <v>1</v>
      </c>
      <c r="M124">
        <v>120</v>
      </c>
      <c r="N124">
        <f t="shared" si="12"/>
        <v>120</v>
      </c>
      <c r="O124">
        <f t="shared" si="13"/>
        <v>12</v>
      </c>
      <c r="P124" t="str">
        <f t="shared" si="14"/>
        <v>Standard Order</v>
      </c>
      <c r="Q124" t="str">
        <f t="shared" si="15"/>
        <v>Weekend</v>
      </c>
    </row>
    <row r="125" spans="1:17" x14ac:dyDescent="0.35">
      <c r="A125" t="s">
        <v>220</v>
      </c>
      <c r="B125" s="7">
        <v>45586</v>
      </c>
      <c r="C125" s="13">
        <f t="shared" si="9"/>
        <v>2024</v>
      </c>
      <c r="D125" s="7" t="str">
        <f t="shared" si="10"/>
        <v>Oct</v>
      </c>
      <c r="E125" s="7" t="str">
        <f t="shared" si="11"/>
        <v>Mon</v>
      </c>
      <c r="F125" t="s">
        <v>203</v>
      </c>
      <c r="G125" t="s">
        <v>10</v>
      </c>
      <c r="H125" t="s">
        <v>22</v>
      </c>
      <c r="I125" s="2" t="str">
        <f t="shared" si="8"/>
        <v>Central</v>
      </c>
      <c r="J125" t="s">
        <v>18</v>
      </c>
      <c r="K125" t="s">
        <v>13</v>
      </c>
      <c r="L125">
        <v>1</v>
      </c>
      <c r="M125">
        <v>120</v>
      </c>
      <c r="N125">
        <f t="shared" si="12"/>
        <v>120</v>
      </c>
      <c r="O125">
        <f t="shared" si="13"/>
        <v>12</v>
      </c>
      <c r="P125" t="str">
        <f t="shared" si="14"/>
        <v>Standard Order</v>
      </c>
      <c r="Q125" t="str">
        <f t="shared" si="15"/>
        <v>Weekday</v>
      </c>
    </row>
    <row r="126" spans="1:17" x14ac:dyDescent="0.35">
      <c r="A126" t="s">
        <v>221</v>
      </c>
      <c r="B126" s="7">
        <v>45532</v>
      </c>
      <c r="C126" s="13">
        <f t="shared" si="9"/>
        <v>2024</v>
      </c>
      <c r="D126" s="7" t="str">
        <f t="shared" si="10"/>
        <v>Aug</v>
      </c>
      <c r="E126" s="7" t="str">
        <f t="shared" si="11"/>
        <v>Wed</v>
      </c>
      <c r="F126" t="s">
        <v>78</v>
      </c>
      <c r="G126" t="s">
        <v>174</v>
      </c>
      <c r="H126" t="s">
        <v>11</v>
      </c>
      <c r="I126" s="2" t="str">
        <f t="shared" si="8"/>
        <v>West</v>
      </c>
      <c r="J126" t="s">
        <v>18</v>
      </c>
      <c r="K126" t="s">
        <v>36</v>
      </c>
      <c r="L126">
        <v>10</v>
      </c>
      <c r="M126">
        <v>120</v>
      </c>
      <c r="N126">
        <f t="shared" si="12"/>
        <v>1200</v>
      </c>
      <c r="O126">
        <f t="shared" si="13"/>
        <v>120</v>
      </c>
      <c r="P126" t="str">
        <f t="shared" si="14"/>
        <v>Large Order</v>
      </c>
      <c r="Q126" t="str">
        <f t="shared" si="15"/>
        <v>Weekday</v>
      </c>
    </row>
    <row r="127" spans="1:17" x14ac:dyDescent="0.35">
      <c r="A127" t="s">
        <v>222</v>
      </c>
      <c r="B127" s="7">
        <v>45338</v>
      </c>
      <c r="C127" s="13">
        <f t="shared" si="9"/>
        <v>2024</v>
      </c>
      <c r="D127" s="7" t="str">
        <f t="shared" si="10"/>
        <v>Feb</v>
      </c>
      <c r="E127" s="7" t="str">
        <f t="shared" si="11"/>
        <v>Fri</v>
      </c>
      <c r="F127" t="s">
        <v>81</v>
      </c>
      <c r="G127" t="s">
        <v>87</v>
      </c>
      <c r="H127" t="s">
        <v>17</v>
      </c>
      <c r="I127" s="2" t="str">
        <f t="shared" si="8"/>
        <v>West</v>
      </c>
      <c r="J127" t="s">
        <v>27</v>
      </c>
      <c r="K127" t="s">
        <v>32</v>
      </c>
      <c r="L127">
        <v>6</v>
      </c>
      <c r="M127">
        <v>120</v>
      </c>
      <c r="N127">
        <f t="shared" si="12"/>
        <v>720</v>
      </c>
      <c r="O127">
        <f t="shared" si="13"/>
        <v>72</v>
      </c>
      <c r="P127" t="str">
        <f t="shared" si="14"/>
        <v>Large Order</v>
      </c>
      <c r="Q127" t="str">
        <f t="shared" si="15"/>
        <v>Weekday</v>
      </c>
    </row>
    <row r="128" spans="1:17" x14ac:dyDescent="0.35">
      <c r="A128" t="s">
        <v>223</v>
      </c>
      <c r="B128" s="7">
        <v>45460</v>
      </c>
      <c r="C128" s="13">
        <f t="shared" si="9"/>
        <v>2024</v>
      </c>
      <c r="D128" s="7" t="str">
        <f t="shared" si="10"/>
        <v>Jun</v>
      </c>
      <c r="E128" s="7" t="str">
        <f t="shared" si="11"/>
        <v>Mon</v>
      </c>
      <c r="F128" t="s">
        <v>89</v>
      </c>
      <c r="G128" t="s">
        <v>174</v>
      </c>
      <c r="H128" t="s">
        <v>22</v>
      </c>
      <c r="I128" s="2" t="str">
        <f t="shared" si="8"/>
        <v>West</v>
      </c>
      <c r="J128" t="s">
        <v>27</v>
      </c>
      <c r="K128" t="s">
        <v>36</v>
      </c>
      <c r="L128">
        <v>7</v>
      </c>
      <c r="M128">
        <v>120</v>
      </c>
      <c r="N128">
        <f t="shared" si="12"/>
        <v>840</v>
      </c>
      <c r="O128">
        <f t="shared" si="13"/>
        <v>84</v>
      </c>
      <c r="P128" t="str">
        <f t="shared" si="14"/>
        <v>Large Order</v>
      </c>
      <c r="Q128" t="str">
        <f t="shared" si="15"/>
        <v>Weekday</v>
      </c>
    </row>
    <row r="129" spans="1:17" x14ac:dyDescent="0.35">
      <c r="A129" t="s">
        <v>224</v>
      </c>
      <c r="B129" s="7">
        <v>45310</v>
      </c>
      <c r="C129" s="13">
        <f t="shared" si="9"/>
        <v>2024</v>
      </c>
      <c r="D129" s="7" t="str">
        <f t="shared" si="10"/>
        <v>Jan</v>
      </c>
      <c r="E129" s="7" t="str">
        <f t="shared" si="11"/>
        <v>Fri</v>
      </c>
      <c r="F129" t="s">
        <v>53</v>
      </c>
      <c r="G129" t="s">
        <v>10</v>
      </c>
      <c r="H129" t="s">
        <v>17</v>
      </c>
      <c r="I129" s="2" t="str">
        <f t="shared" si="8"/>
        <v>Central</v>
      </c>
      <c r="J129" t="s">
        <v>27</v>
      </c>
      <c r="K129" t="s">
        <v>13</v>
      </c>
      <c r="L129">
        <v>6</v>
      </c>
      <c r="M129">
        <v>120</v>
      </c>
      <c r="N129">
        <f t="shared" si="12"/>
        <v>720</v>
      </c>
      <c r="O129">
        <f t="shared" si="13"/>
        <v>72</v>
      </c>
      <c r="P129" t="str">
        <f t="shared" si="14"/>
        <v>Large Order</v>
      </c>
      <c r="Q129" t="str">
        <f t="shared" si="15"/>
        <v>Weekday</v>
      </c>
    </row>
    <row r="130" spans="1:17" x14ac:dyDescent="0.35">
      <c r="A130" t="s">
        <v>225</v>
      </c>
      <c r="B130" s="7">
        <v>45498</v>
      </c>
      <c r="C130" s="13">
        <f t="shared" si="9"/>
        <v>2024</v>
      </c>
      <c r="D130" s="7" t="str">
        <f t="shared" si="10"/>
        <v>Jul</v>
      </c>
      <c r="E130" s="7" t="str">
        <f t="shared" si="11"/>
        <v>Thu</v>
      </c>
      <c r="F130" t="s">
        <v>86</v>
      </c>
      <c r="G130" t="s">
        <v>16</v>
      </c>
      <c r="H130" t="s">
        <v>17</v>
      </c>
      <c r="I130" s="2" t="str">
        <f t="shared" si="8"/>
        <v>Central</v>
      </c>
      <c r="J130" t="s">
        <v>18</v>
      </c>
      <c r="K130" t="s">
        <v>13</v>
      </c>
      <c r="L130">
        <v>7</v>
      </c>
      <c r="M130">
        <v>120</v>
      </c>
      <c r="N130">
        <f t="shared" si="12"/>
        <v>840</v>
      </c>
      <c r="O130">
        <f t="shared" si="13"/>
        <v>84</v>
      </c>
      <c r="P130" t="str">
        <f t="shared" si="14"/>
        <v>Large Order</v>
      </c>
      <c r="Q130" t="str">
        <f t="shared" si="15"/>
        <v>Weekday</v>
      </c>
    </row>
    <row r="131" spans="1:17" x14ac:dyDescent="0.35">
      <c r="A131" t="s">
        <v>226</v>
      </c>
      <c r="B131" s="7">
        <v>45477</v>
      </c>
      <c r="C131" s="13">
        <f t="shared" si="9"/>
        <v>2024</v>
      </c>
      <c r="D131" s="7" t="str">
        <f t="shared" si="10"/>
        <v>Jul</v>
      </c>
      <c r="E131" s="7" t="str">
        <f t="shared" si="11"/>
        <v>Thu</v>
      </c>
      <c r="F131" t="s">
        <v>58</v>
      </c>
      <c r="G131" t="s">
        <v>59</v>
      </c>
      <c r="H131" t="s">
        <v>11</v>
      </c>
      <c r="I131" s="2" t="str">
        <f t="shared" ref="I131:I194" si="16">TRIM(J132)</f>
        <v>West</v>
      </c>
      <c r="J131" t="s">
        <v>18</v>
      </c>
      <c r="K131" t="s">
        <v>36</v>
      </c>
      <c r="L131">
        <v>4</v>
      </c>
      <c r="M131">
        <v>120</v>
      </c>
      <c r="N131">
        <f t="shared" si="12"/>
        <v>480</v>
      </c>
      <c r="O131">
        <f t="shared" si="13"/>
        <v>48</v>
      </c>
      <c r="P131" t="str">
        <f t="shared" si="14"/>
        <v>Standard Order</v>
      </c>
      <c r="Q131" t="str">
        <f t="shared" si="15"/>
        <v>Weekday</v>
      </c>
    </row>
    <row r="132" spans="1:17" x14ac:dyDescent="0.35">
      <c r="A132" t="s">
        <v>227</v>
      </c>
      <c r="B132" s="7">
        <v>45439</v>
      </c>
      <c r="C132" s="13">
        <f t="shared" ref="C132:C195" si="17">YEAR(B132)</f>
        <v>2024</v>
      </c>
      <c r="D132" s="7" t="str">
        <f t="shared" ref="D132:D195" si="18">TEXT(B132,"mmm")</f>
        <v>May</v>
      </c>
      <c r="E132" s="7" t="str">
        <f t="shared" ref="E132:E195" si="19">TEXT(B132,"ddd")</f>
        <v>Mon</v>
      </c>
      <c r="F132" t="s">
        <v>114</v>
      </c>
      <c r="G132" t="s">
        <v>35</v>
      </c>
      <c r="H132" t="s">
        <v>11</v>
      </c>
      <c r="I132" s="2" t="str">
        <f t="shared" si="16"/>
        <v>South</v>
      </c>
      <c r="J132" t="s">
        <v>27</v>
      </c>
      <c r="K132" t="s">
        <v>36</v>
      </c>
      <c r="L132">
        <v>11</v>
      </c>
      <c r="M132">
        <v>120</v>
      </c>
      <c r="N132">
        <f t="shared" ref="N132:N195" si="20">M132*L132</f>
        <v>1320</v>
      </c>
      <c r="O132">
        <f t="shared" ref="O132:O195" si="21">N132*0.1</f>
        <v>132</v>
      </c>
      <c r="P132" t="str">
        <f t="shared" ref="P132:P195" si="22">IF(N132&gt;500,"Large Order","Standard Order")</f>
        <v>Large Order</v>
      </c>
      <c r="Q132" t="str">
        <f t="shared" ref="Q132:Q195" si="23">IF(OR(TRIM(E132)="Sat",TRIM(E132)="Sun"),"Weekend","Weekday")</f>
        <v>Weekday</v>
      </c>
    </row>
    <row r="133" spans="1:17" x14ac:dyDescent="0.35">
      <c r="A133" t="s">
        <v>228</v>
      </c>
      <c r="B133" s="7">
        <v>45655</v>
      </c>
      <c r="C133" s="13">
        <f t="shared" si="17"/>
        <v>2024</v>
      </c>
      <c r="D133" s="7" t="str">
        <f t="shared" si="18"/>
        <v>Dec</v>
      </c>
      <c r="E133" s="7" t="str">
        <f t="shared" si="19"/>
        <v>Sun</v>
      </c>
      <c r="F133" t="s">
        <v>40</v>
      </c>
      <c r="G133" t="s">
        <v>70</v>
      </c>
      <c r="H133" t="s">
        <v>11</v>
      </c>
      <c r="I133" s="2" t="str">
        <f t="shared" si="16"/>
        <v>West</v>
      </c>
      <c r="J133" t="s">
        <v>56</v>
      </c>
      <c r="K133" t="s">
        <v>32</v>
      </c>
      <c r="L133">
        <v>9</v>
      </c>
      <c r="M133">
        <v>120</v>
      </c>
      <c r="N133">
        <f t="shared" si="20"/>
        <v>1080</v>
      </c>
      <c r="O133">
        <f t="shared" si="21"/>
        <v>108</v>
      </c>
      <c r="P133" t="str">
        <f t="shared" si="22"/>
        <v>Large Order</v>
      </c>
      <c r="Q133" t="str">
        <f t="shared" si="23"/>
        <v>Weekend</v>
      </c>
    </row>
    <row r="134" spans="1:17" x14ac:dyDescent="0.35">
      <c r="A134" t="s">
        <v>229</v>
      </c>
      <c r="B134" s="7">
        <v>45350</v>
      </c>
      <c r="C134" s="13">
        <f t="shared" si="17"/>
        <v>2024</v>
      </c>
      <c r="D134" s="7" t="str">
        <f t="shared" si="18"/>
        <v>Feb</v>
      </c>
      <c r="E134" s="7" t="str">
        <f t="shared" si="19"/>
        <v>Wed</v>
      </c>
      <c r="F134" t="s">
        <v>230</v>
      </c>
      <c r="G134" t="s">
        <v>79</v>
      </c>
      <c r="H134" t="s">
        <v>17</v>
      </c>
      <c r="I134" s="2" t="str">
        <f t="shared" si="16"/>
        <v>East</v>
      </c>
      <c r="J134" t="s">
        <v>27</v>
      </c>
      <c r="K134" t="s">
        <v>13</v>
      </c>
      <c r="L134">
        <v>15</v>
      </c>
      <c r="M134">
        <v>120</v>
      </c>
      <c r="N134">
        <f t="shared" si="20"/>
        <v>1800</v>
      </c>
      <c r="O134">
        <f t="shared" si="21"/>
        <v>180</v>
      </c>
      <c r="P134" t="str">
        <f t="shared" si="22"/>
        <v>Large Order</v>
      </c>
      <c r="Q134" t="str">
        <f t="shared" si="23"/>
        <v>Weekday</v>
      </c>
    </row>
    <row r="135" spans="1:17" x14ac:dyDescent="0.35">
      <c r="A135" t="s">
        <v>231</v>
      </c>
      <c r="B135" s="7">
        <v>45653</v>
      </c>
      <c r="C135" s="13">
        <f t="shared" si="17"/>
        <v>2024</v>
      </c>
      <c r="D135" s="7" t="str">
        <f t="shared" si="18"/>
        <v>Dec</v>
      </c>
      <c r="E135" s="7" t="str">
        <f t="shared" si="19"/>
        <v>Fri</v>
      </c>
      <c r="F135" t="s">
        <v>208</v>
      </c>
      <c r="G135" t="s">
        <v>59</v>
      </c>
      <c r="H135" t="s">
        <v>17</v>
      </c>
      <c r="I135" s="2" t="str">
        <f t="shared" si="16"/>
        <v>South</v>
      </c>
      <c r="J135" t="s">
        <v>42</v>
      </c>
      <c r="K135" t="s">
        <v>163</v>
      </c>
      <c r="L135">
        <v>4</v>
      </c>
      <c r="M135">
        <v>120</v>
      </c>
      <c r="N135">
        <f t="shared" si="20"/>
        <v>480</v>
      </c>
      <c r="O135">
        <f t="shared" si="21"/>
        <v>48</v>
      </c>
      <c r="P135" t="str">
        <f t="shared" si="22"/>
        <v>Standard Order</v>
      </c>
      <c r="Q135" t="str">
        <f t="shared" si="23"/>
        <v>Weekday</v>
      </c>
    </row>
    <row r="136" spans="1:17" x14ac:dyDescent="0.35">
      <c r="A136" t="s">
        <v>232</v>
      </c>
      <c r="B136" s="7">
        <v>45488</v>
      </c>
      <c r="C136" s="13">
        <f t="shared" si="17"/>
        <v>2024</v>
      </c>
      <c r="D136" s="7" t="str">
        <f t="shared" si="18"/>
        <v>Jul</v>
      </c>
      <c r="E136" s="7" t="str">
        <f t="shared" si="19"/>
        <v>Mon</v>
      </c>
      <c r="F136" t="s">
        <v>122</v>
      </c>
      <c r="G136" t="s">
        <v>119</v>
      </c>
      <c r="H136" t="s">
        <v>22</v>
      </c>
      <c r="I136" s="2" t="str">
        <f t="shared" si="16"/>
        <v>West</v>
      </c>
      <c r="J136" t="s">
        <v>56</v>
      </c>
      <c r="K136" t="s">
        <v>23</v>
      </c>
      <c r="L136">
        <v>15</v>
      </c>
      <c r="M136">
        <v>120</v>
      </c>
      <c r="N136">
        <f t="shared" si="20"/>
        <v>1800</v>
      </c>
      <c r="O136">
        <f t="shared" si="21"/>
        <v>180</v>
      </c>
      <c r="P136" t="str">
        <f t="shared" si="22"/>
        <v>Large Order</v>
      </c>
      <c r="Q136" t="str">
        <f t="shared" si="23"/>
        <v>Weekday</v>
      </c>
    </row>
    <row r="137" spans="1:17" x14ac:dyDescent="0.35">
      <c r="A137" t="s">
        <v>233</v>
      </c>
      <c r="B137" s="7">
        <v>45433</v>
      </c>
      <c r="C137" s="13">
        <f t="shared" si="17"/>
        <v>2024</v>
      </c>
      <c r="D137" s="7" t="str">
        <f t="shared" si="18"/>
        <v>May</v>
      </c>
      <c r="E137" s="7" t="str">
        <f t="shared" si="19"/>
        <v>Tue</v>
      </c>
      <c r="F137" t="s">
        <v>83</v>
      </c>
      <c r="G137" t="s">
        <v>70</v>
      </c>
      <c r="H137" t="s">
        <v>17</v>
      </c>
      <c r="I137" s="2" t="str">
        <f t="shared" si="16"/>
        <v>Central</v>
      </c>
      <c r="J137" t="s">
        <v>27</v>
      </c>
      <c r="K137" t="s">
        <v>32</v>
      </c>
      <c r="L137">
        <v>14</v>
      </c>
      <c r="M137">
        <v>120</v>
      </c>
      <c r="N137">
        <f t="shared" si="20"/>
        <v>1680</v>
      </c>
      <c r="O137">
        <f t="shared" si="21"/>
        <v>168</v>
      </c>
      <c r="P137" t="str">
        <f t="shared" si="22"/>
        <v>Large Order</v>
      </c>
      <c r="Q137" t="str">
        <f t="shared" si="23"/>
        <v>Weekday</v>
      </c>
    </row>
    <row r="138" spans="1:17" x14ac:dyDescent="0.35">
      <c r="A138" t="s">
        <v>234</v>
      </c>
      <c r="B138" s="7">
        <v>45444</v>
      </c>
      <c r="C138" s="13">
        <f t="shared" si="17"/>
        <v>2024</v>
      </c>
      <c r="D138" s="7" t="str">
        <f t="shared" si="18"/>
        <v>Jun</v>
      </c>
      <c r="E138" s="7" t="str">
        <f t="shared" si="19"/>
        <v>Sat</v>
      </c>
      <c r="F138" t="s">
        <v>235</v>
      </c>
      <c r="G138" t="s">
        <v>84</v>
      </c>
      <c r="H138" t="s">
        <v>11</v>
      </c>
      <c r="I138" s="2" t="str">
        <f t="shared" si="16"/>
        <v>Central</v>
      </c>
      <c r="J138" t="s">
        <v>18</v>
      </c>
      <c r="K138" t="s">
        <v>23</v>
      </c>
      <c r="L138">
        <v>8</v>
      </c>
      <c r="M138">
        <v>120</v>
      </c>
      <c r="N138">
        <f t="shared" si="20"/>
        <v>960</v>
      </c>
      <c r="O138">
        <f t="shared" si="21"/>
        <v>96</v>
      </c>
      <c r="P138" t="str">
        <f t="shared" si="22"/>
        <v>Large Order</v>
      </c>
      <c r="Q138" t="str">
        <f t="shared" si="23"/>
        <v>Weekend</v>
      </c>
    </row>
    <row r="139" spans="1:17" x14ac:dyDescent="0.35">
      <c r="A139" t="s">
        <v>236</v>
      </c>
      <c r="B139" s="7">
        <v>45462</v>
      </c>
      <c r="C139" s="13">
        <f t="shared" si="17"/>
        <v>2024</v>
      </c>
      <c r="D139" s="7" t="str">
        <f t="shared" si="18"/>
        <v>Jun</v>
      </c>
      <c r="E139" s="7" t="str">
        <f t="shared" si="19"/>
        <v>Wed</v>
      </c>
      <c r="F139" t="s">
        <v>108</v>
      </c>
      <c r="G139" t="s">
        <v>84</v>
      </c>
      <c r="H139" t="s">
        <v>17</v>
      </c>
      <c r="I139" s="2" t="str">
        <f t="shared" si="16"/>
        <v>South</v>
      </c>
      <c r="J139" t="s">
        <v>18</v>
      </c>
      <c r="K139" t="s">
        <v>23</v>
      </c>
      <c r="L139">
        <v>15</v>
      </c>
      <c r="M139">
        <v>120</v>
      </c>
      <c r="N139">
        <f t="shared" si="20"/>
        <v>1800</v>
      </c>
      <c r="O139">
        <f t="shared" si="21"/>
        <v>180</v>
      </c>
      <c r="P139" t="str">
        <f t="shared" si="22"/>
        <v>Large Order</v>
      </c>
      <c r="Q139" t="str">
        <f t="shared" si="23"/>
        <v>Weekday</v>
      </c>
    </row>
    <row r="140" spans="1:17" x14ac:dyDescent="0.35">
      <c r="A140" t="s">
        <v>237</v>
      </c>
      <c r="B140" s="7">
        <v>45649</v>
      </c>
      <c r="C140" s="13">
        <f t="shared" si="17"/>
        <v>2024</v>
      </c>
      <c r="D140" s="7" t="str">
        <f t="shared" si="18"/>
        <v>Dec</v>
      </c>
      <c r="E140" s="7" t="str">
        <f t="shared" si="19"/>
        <v>Mon</v>
      </c>
      <c r="F140" t="s">
        <v>138</v>
      </c>
      <c r="G140" t="s">
        <v>84</v>
      </c>
      <c r="H140" t="s">
        <v>11</v>
      </c>
      <c r="I140" s="2" t="str">
        <f t="shared" si="16"/>
        <v>West</v>
      </c>
      <c r="J140" t="s">
        <v>56</v>
      </c>
      <c r="K140" t="s">
        <v>23</v>
      </c>
      <c r="L140">
        <v>14</v>
      </c>
      <c r="M140">
        <v>120</v>
      </c>
      <c r="N140">
        <f t="shared" si="20"/>
        <v>1680</v>
      </c>
      <c r="O140">
        <f t="shared" si="21"/>
        <v>168</v>
      </c>
      <c r="P140" t="str">
        <f t="shared" si="22"/>
        <v>Large Order</v>
      </c>
      <c r="Q140" t="str">
        <f t="shared" si="23"/>
        <v>Weekday</v>
      </c>
    </row>
    <row r="141" spans="1:17" x14ac:dyDescent="0.35">
      <c r="A141" t="s">
        <v>238</v>
      </c>
      <c r="B141" s="7">
        <v>45454</v>
      </c>
      <c r="C141" s="13">
        <f t="shared" si="17"/>
        <v>2024</v>
      </c>
      <c r="D141" s="7" t="str">
        <f t="shared" si="18"/>
        <v>Jun</v>
      </c>
      <c r="E141" s="7" t="str">
        <f t="shared" si="19"/>
        <v>Tue</v>
      </c>
      <c r="F141" t="s">
        <v>208</v>
      </c>
      <c r="G141" t="s">
        <v>59</v>
      </c>
      <c r="H141" t="s">
        <v>22</v>
      </c>
      <c r="I141" s="2" t="str">
        <f t="shared" si="16"/>
        <v>North</v>
      </c>
      <c r="J141" t="s">
        <v>27</v>
      </c>
      <c r="K141" t="s">
        <v>36</v>
      </c>
      <c r="L141">
        <v>13</v>
      </c>
      <c r="M141">
        <v>120</v>
      </c>
      <c r="N141">
        <f t="shared" si="20"/>
        <v>1560</v>
      </c>
      <c r="O141">
        <f t="shared" si="21"/>
        <v>156</v>
      </c>
      <c r="P141" t="str">
        <f t="shared" si="22"/>
        <v>Large Order</v>
      </c>
      <c r="Q141" t="str">
        <f t="shared" si="23"/>
        <v>Weekday</v>
      </c>
    </row>
    <row r="142" spans="1:17" x14ac:dyDescent="0.35">
      <c r="A142" t="s">
        <v>239</v>
      </c>
      <c r="B142" s="7">
        <v>45545</v>
      </c>
      <c r="C142" s="13">
        <f t="shared" si="17"/>
        <v>2024</v>
      </c>
      <c r="D142" s="7" t="str">
        <f t="shared" si="18"/>
        <v>Sep</v>
      </c>
      <c r="E142" s="7" t="str">
        <f t="shared" si="19"/>
        <v>Tue</v>
      </c>
      <c r="F142" t="s">
        <v>240</v>
      </c>
      <c r="G142" t="s">
        <v>74</v>
      </c>
      <c r="H142" t="s">
        <v>22</v>
      </c>
      <c r="I142" s="2" t="str">
        <f t="shared" si="16"/>
        <v>Central</v>
      </c>
      <c r="J142" t="s">
        <v>12</v>
      </c>
      <c r="K142" t="s">
        <v>28</v>
      </c>
      <c r="L142">
        <v>6</v>
      </c>
      <c r="M142">
        <v>120</v>
      </c>
      <c r="N142">
        <f t="shared" si="20"/>
        <v>720</v>
      </c>
      <c r="O142">
        <f t="shared" si="21"/>
        <v>72</v>
      </c>
      <c r="P142" t="str">
        <f t="shared" si="22"/>
        <v>Large Order</v>
      </c>
      <c r="Q142" t="str">
        <f t="shared" si="23"/>
        <v>Weekday</v>
      </c>
    </row>
    <row r="143" spans="1:17" x14ac:dyDescent="0.35">
      <c r="A143" t="s">
        <v>241</v>
      </c>
      <c r="B143" s="7">
        <v>45343</v>
      </c>
      <c r="C143" s="13">
        <f t="shared" si="17"/>
        <v>2024</v>
      </c>
      <c r="D143" s="7" t="str">
        <f t="shared" si="18"/>
        <v>Feb</v>
      </c>
      <c r="E143" s="7" t="str">
        <f t="shared" si="19"/>
        <v>Wed</v>
      </c>
      <c r="F143" t="s">
        <v>187</v>
      </c>
      <c r="G143" t="s">
        <v>35</v>
      </c>
      <c r="I143" s="2" t="str">
        <f t="shared" si="16"/>
        <v>North</v>
      </c>
      <c r="J143" t="s">
        <v>18</v>
      </c>
      <c r="K143" t="s">
        <v>36</v>
      </c>
      <c r="L143">
        <v>3</v>
      </c>
      <c r="M143">
        <v>120</v>
      </c>
      <c r="N143">
        <f t="shared" si="20"/>
        <v>360</v>
      </c>
      <c r="O143">
        <f t="shared" si="21"/>
        <v>36</v>
      </c>
      <c r="P143" t="str">
        <f t="shared" si="22"/>
        <v>Standard Order</v>
      </c>
      <c r="Q143" t="str">
        <f t="shared" si="23"/>
        <v>Weekday</v>
      </c>
    </row>
    <row r="144" spans="1:17" x14ac:dyDescent="0.35">
      <c r="A144" t="s">
        <v>242</v>
      </c>
      <c r="B144" s="7">
        <v>45371</v>
      </c>
      <c r="C144" s="13">
        <f t="shared" si="17"/>
        <v>2024</v>
      </c>
      <c r="D144" s="7" t="str">
        <f t="shared" si="18"/>
        <v>Mar</v>
      </c>
      <c r="E144" s="7" t="str">
        <f t="shared" si="19"/>
        <v>Wed</v>
      </c>
      <c r="F144" t="s">
        <v>187</v>
      </c>
      <c r="G144" t="s">
        <v>174</v>
      </c>
      <c r="H144" t="s">
        <v>17</v>
      </c>
      <c r="I144" s="2" t="str">
        <f t="shared" si="16"/>
        <v>East</v>
      </c>
      <c r="J144" t="s">
        <v>12</v>
      </c>
      <c r="K144" t="s">
        <v>36</v>
      </c>
      <c r="L144">
        <v>10</v>
      </c>
      <c r="M144">
        <v>120</v>
      </c>
      <c r="N144">
        <f t="shared" si="20"/>
        <v>1200</v>
      </c>
      <c r="O144">
        <f t="shared" si="21"/>
        <v>120</v>
      </c>
      <c r="P144" t="str">
        <f t="shared" si="22"/>
        <v>Large Order</v>
      </c>
      <c r="Q144" t="str">
        <f t="shared" si="23"/>
        <v>Weekday</v>
      </c>
    </row>
    <row r="145" spans="1:17" x14ac:dyDescent="0.35">
      <c r="A145" t="s">
        <v>243</v>
      </c>
      <c r="B145" s="7">
        <v>45333</v>
      </c>
      <c r="C145" s="13">
        <f t="shared" si="17"/>
        <v>2024</v>
      </c>
      <c r="D145" s="7" t="str">
        <f t="shared" si="18"/>
        <v>Feb</v>
      </c>
      <c r="E145" s="7" t="str">
        <f t="shared" si="19"/>
        <v>Sun</v>
      </c>
      <c r="F145" t="s">
        <v>159</v>
      </c>
      <c r="G145" t="s">
        <v>84</v>
      </c>
      <c r="H145" t="s">
        <v>17</v>
      </c>
      <c r="I145" s="2" t="str">
        <f t="shared" si="16"/>
        <v>Central</v>
      </c>
      <c r="J145" t="s">
        <v>42</v>
      </c>
      <c r="K145" t="s">
        <v>23</v>
      </c>
      <c r="L145">
        <v>11</v>
      </c>
      <c r="M145">
        <v>120</v>
      </c>
      <c r="N145">
        <f t="shared" si="20"/>
        <v>1320</v>
      </c>
      <c r="O145">
        <f t="shared" si="21"/>
        <v>132</v>
      </c>
      <c r="P145" t="str">
        <f t="shared" si="22"/>
        <v>Large Order</v>
      </c>
      <c r="Q145" t="str">
        <f t="shared" si="23"/>
        <v>Weekend</v>
      </c>
    </row>
    <row r="146" spans="1:17" x14ac:dyDescent="0.35">
      <c r="A146" t="s">
        <v>244</v>
      </c>
      <c r="B146" s="7">
        <v>45541</v>
      </c>
      <c r="C146" s="13">
        <f t="shared" si="17"/>
        <v>2024</v>
      </c>
      <c r="D146" s="7" t="str">
        <f t="shared" si="18"/>
        <v>Sep</v>
      </c>
      <c r="E146" s="7" t="str">
        <f t="shared" si="19"/>
        <v>Fri</v>
      </c>
      <c r="F146" t="s">
        <v>167</v>
      </c>
      <c r="G146" t="s">
        <v>16</v>
      </c>
      <c r="H146" t="s">
        <v>11</v>
      </c>
      <c r="I146" s="2" t="str">
        <f t="shared" si="16"/>
        <v>North</v>
      </c>
      <c r="J146" t="s">
        <v>18</v>
      </c>
      <c r="K146" t="s">
        <v>245</v>
      </c>
      <c r="L146">
        <v>4</v>
      </c>
      <c r="M146">
        <v>120</v>
      </c>
      <c r="N146">
        <f t="shared" si="20"/>
        <v>480</v>
      </c>
      <c r="O146">
        <f t="shared" si="21"/>
        <v>48</v>
      </c>
      <c r="P146" t="str">
        <f t="shared" si="22"/>
        <v>Standard Order</v>
      </c>
      <c r="Q146" t="str">
        <f t="shared" si="23"/>
        <v>Weekday</v>
      </c>
    </row>
    <row r="147" spans="1:17" x14ac:dyDescent="0.35">
      <c r="A147" t="s">
        <v>246</v>
      </c>
      <c r="B147" s="7">
        <v>45408</v>
      </c>
      <c r="C147" s="13">
        <f t="shared" si="17"/>
        <v>2024</v>
      </c>
      <c r="D147" s="7" t="str">
        <f t="shared" si="18"/>
        <v>Apr</v>
      </c>
      <c r="E147" s="7" t="str">
        <f t="shared" si="19"/>
        <v>Fri</v>
      </c>
      <c r="F147" t="s">
        <v>240</v>
      </c>
      <c r="G147" t="s">
        <v>35</v>
      </c>
      <c r="H147" t="s">
        <v>22</v>
      </c>
      <c r="I147" s="2" t="str">
        <f t="shared" si="16"/>
        <v>East</v>
      </c>
      <c r="J147" t="s">
        <v>12</v>
      </c>
      <c r="K147" t="s">
        <v>36</v>
      </c>
      <c r="L147">
        <v>12</v>
      </c>
      <c r="M147">
        <v>120</v>
      </c>
      <c r="N147">
        <f t="shared" si="20"/>
        <v>1440</v>
      </c>
      <c r="O147">
        <f t="shared" si="21"/>
        <v>144</v>
      </c>
      <c r="P147" t="str">
        <f t="shared" si="22"/>
        <v>Large Order</v>
      </c>
      <c r="Q147" t="str">
        <f t="shared" si="23"/>
        <v>Weekday</v>
      </c>
    </row>
    <row r="148" spans="1:17" x14ac:dyDescent="0.35">
      <c r="A148" t="s">
        <v>247</v>
      </c>
      <c r="B148" s="7">
        <v>45377</v>
      </c>
      <c r="C148" s="13">
        <f t="shared" si="17"/>
        <v>2024</v>
      </c>
      <c r="D148" s="7" t="str">
        <f t="shared" si="18"/>
        <v>Mar</v>
      </c>
      <c r="E148" s="7" t="str">
        <f t="shared" si="19"/>
        <v>Tue</v>
      </c>
      <c r="F148" t="s">
        <v>235</v>
      </c>
      <c r="G148" t="s">
        <v>96</v>
      </c>
      <c r="H148" t="s">
        <v>17</v>
      </c>
      <c r="I148" s="2" t="str">
        <f t="shared" si="16"/>
        <v>West</v>
      </c>
      <c r="J148" t="s">
        <v>42</v>
      </c>
      <c r="K148" t="s">
        <v>13</v>
      </c>
      <c r="L148">
        <v>13</v>
      </c>
      <c r="M148">
        <v>120</v>
      </c>
      <c r="N148">
        <f t="shared" si="20"/>
        <v>1560</v>
      </c>
      <c r="O148">
        <f t="shared" si="21"/>
        <v>156</v>
      </c>
      <c r="P148" t="str">
        <f t="shared" si="22"/>
        <v>Large Order</v>
      </c>
      <c r="Q148" t="str">
        <f t="shared" si="23"/>
        <v>Weekday</v>
      </c>
    </row>
    <row r="149" spans="1:17" x14ac:dyDescent="0.35">
      <c r="A149" t="s">
        <v>248</v>
      </c>
      <c r="B149" s="7">
        <v>45483</v>
      </c>
      <c r="C149" s="13">
        <f t="shared" si="17"/>
        <v>2024</v>
      </c>
      <c r="D149" s="7" t="str">
        <f t="shared" si="18"/>
        <v>Jul</v>
      </c>
      <c r="E149" s="7" t="str">
        <f t="shared" si="19"/>
        <v>Wed</v>
      </c>
      <c r="F149" t="s">
        <v>106</v>
      </c>
      <c r="G149" t="s">
        <v>65</v>
      </c>
      <c r="H149" t="s">
        <v>22</v>
      </c>
      <c r="I149" s="2" t="str">
        <f t="shared" si="16"/>
        <v>South</v>
      </c>
      <c r="J149" t="s">
        <v>27</v>
      </c>
      <c r="K149" t="s">
        <v>28</v>
      </c>
      <c r="L149">
        <v>7</v>
      </c>
      <c r="M149">
        <v>120</v>
      </c>
      <c r="N149">
        <f t="shared" si="20"/>
        <v>840</v>
      </c>
      <c r="O149">
        <f t="shared" si="21"/>
        <v>84</v>
      </c>
      <c r="P149" t="str">
        <f t="shared" si="22"/>
        <v>Large Order</v>
      </c>
      <c r="Q149" t="str">
        <f t="shared" si="23"/>
        <v>Weekday</v>
      </c>
    </row>
    <row r="150" spans="1:17" x14ac:dyDescent="0.35">
      <c r="A150" t="s">
        <v>249</v>
      </c>
      <c r="B150" s="7">
        <v>45384</v>
      </c>
      <c r="C150" s="13">
        <f t="shared" si="17"/>
        <v>2024</v>
      </c>
      <c r="D150" s="7" t="str">
        <f t="shared" si="18"/>
        <v>Apr</v>
      </c>
      <c r="E150" s="7" t="str">
        <f t="shared" si="19"/>
        <v>Tue</v>
      </c>
      <c r="F150" t="s">
        <v>47</v>
      </c>
      <c r="G150" t="s">
        <v>45</v>
      </c>
      <c r="H150" t="s">
        <v>22</v>
      </c>
      <c r="I150" s="2" t="str">
        <f t="shared" si="16"/>
        <v>West</v>
      </c>
      <c r="J150" t="s">
        <v>56</v>
      </c>
      <c r="K150" t="s">
        <v>66</v>
      </c>
      <c r="L150">
        <v>14</v>
      </c>
      <c r="M150">
        <v>120</v>
      </c>
      <c r="N150">
        <f t="shared" si="20"/>
        <v>1680</v>
      </c>
      <c r="O150">
        <f t="shared" si="21"/>
        <v>168</v>
      </c>
      <c r="P150" t="str">
        <f t="shared" si="22"/>
        <v>Large Order</v>
      </c>
      <c r="Q150" t="str">
        <f t="shared" si="23"/>
        <v>Weekday</v>
      </c>
    </row>
    <row r="151" spans="1:17" x14ac:dyDescent="0.35">
      <c r="A151" t="s">
        <v>250</v>
      </c>
      <c r="B151" s="7">
        <v>45415</v>
      </c>
      <c r="C151" s="13">
        <f t="shared" si="17"/>
        <v>2024</v>
      </c>
      <c r="D151" s="7" t="str">
        <f t="shared" si="18"/>
        <v>May</v>
      </c>
      <c r="E151" s="7" t="str">
        <f t="shared" si="19"/>
        <v>Fri</v>
      </c>
      <c r="F151" t="s">
        <v>51</v>
      </c>
      <c r="G151" t="s">
        <v>41</v>
      </c>
      <c r="H151" t="s">
        <v>11</v>
      </c>
      <c r="I151" s="2" t="str">
        <f t="shared" si="16"/>
        <v>North</v>
      </c>
      <c r="J151" t="s">
        <v>27</v>
      </c>
      <c r="K151" t="s">
        <v>23</v>
      </c>
      <c r="L151">
        <v>8</v>
      </c>
      <c r="M151">
        <v>120</v>
      </c>
      <c r="N151">
        <f t="shared" si="20"/>
        <v>960</v>
      </c>
      <c r="O151">
        <f t="shared" si="21"/>
        <v>96</v>
      </c>
      <c r="P151" t="str">
        <f t="shared" si="22"/>
        <v>Large Order</v>
      </c>
      <c r="Q151" t="str">
        <f t="shared" si="23"/>
        <v>Weekday</v>
      </c>
    </row>
    <row r="152" spans="1:17" x14ac:dyDescent="0.35">
      <c r="A152" t="s">
        <v>251</v>
      </c>
      <c r="B152" s="7">
        <v>45422</v>
      </c>
      <c r="C152" s="13">
        <f t="shared" si="17"/>
        <v>2024</v>
      </c>
      <c r="D152" s="7" t="str">
        <f t="shared" si="18"/>
        <v>May</v>
      </c>
      <c r="E152" s="7" t="str">
        <f t="shared" si="19"/>
        <v>Fri</v>
      </c>
      <c r="F152" t="s">
        <v>240</v>
      </c>
      <c r="G152" t="s">
        <v>174</v>
      </c>
      <c r="H152" t="s">
        <v>22</v>
      </c>
      <c r="I152" s="2" t="str">
        <f t="shared" si="16"/>
        <v>Central</v>
      </c>
      <c r="J152" t="s">
        <v>12</v>
      </c>
      <c r="K152" t="s">
        <v>36</v>
      </c>
      <c r="L152">
        <v>9</v>
      </c>
      <c r="M152">
        <v>120</v>
      </c>
      <c r="N152">
        <f t="shared" si="20"/>
        <v>1080</v>
      </c>
      <c r="O152">
        <f t="shared" si="21"/>
        <v>108</v>
      </c>
      <c r="P152" t="str">
        <f t="shared" si="22"/>
        <v>Large Order</v>
      </c>
      <c r="Q152" t="str">
        <f t="shared" si="23"/>
        <v>Weekday</v>
      </c>
    </row>
    <row r="153" spans="1:17" x14ac:dyDescent="0.35">
      <c r="A153" t="s">
        <v>252</v>
      </c>
      <c r="B153" s="7">
        <v>45468</v>
      </c>
      <c r="C153" s="13">
        <f t="shared" si="17"/>
        <v>2024</v>
      </c>
      <c r="D153" s="7" t="str">
        <f t="shared" si="18"/>
        <v>Jun</v>
      </c>
      <c r="E153" s="7" t="str">
        <f t="shared" si="19"/>
        <v>Tue</v>
      </c>
      <c r="F153" t="s">
        <v>125</v>
      </c>
      <c r="G153" t="s">
        <v>87</v>
      </c>
      <c r="H153" t="s">
        <v>22</v>
      </c>
      <c r="I153" s="2" t="str">
        <f t="shared" si="16"/>
        <v>West</v>
      </c>
      <c r="J153" t="s">
        <v>18</v>
      </c>
      <c r="K153" t="s">
        <v>32</v>
      </c>
      <c r="L153">
        <v>5</v>
      </c>
      <c r="M153">
        <v>120</v>
      </c>
      <c r="N153">
        <f t="shared" si="20"/>
        <v>600</v>
      </c>
      <c r="O153">
        <f t="shared" si="21"/>
        <v>60</v>
      </c>
      <c r="P153" t="str">
        <f t="shared" si="22"/>
        <v>Large Order</v>
      </c>
      <c r="Q153" t="str">
        <f t="shared" si="23"/>
        <v>Weekday</v>
      </c>
    </row>
    <row r="154" spans="1:17" x14ac:dyDescent="0.35">
      <c r="A154" t="s">
        <v>253</v>
      </c>
      <c r="B154" s="7">
        <v>45393</v>
      </c>
      <c r="C154" s="13">
        <f t="shared" si="17"/>
        <v>2024</v>
      </c>
      <c r="D154" s="7" t="str">
        <f t="shared" si="18"/>
        <v>Apr</v>
      </c>
      <c r="E154" s="7" t="str">
        <f t="shared" si="19"/>
        <v>Thu</v>
      </c>
      <c r="F154" t="s">
        <v>55</v>
      </c>
      <c r="G154" t="s">
        <v>35</v>
      </c>
      <c r="H154" t="s">
        <v>11</v>
      </c>
      <c r="I154" s="2" t="str">
        <f t="shared" si="16"/>
        <v>East</v>
      </c>
      <c r="J154" t="s">
        <v>27</v>
      </c>
      <c r="K154" t="s">
        <v>36</v>
      </c>
      <c r="L154">
        <v>7</v>
      </c>
      <c r="M154">
        <v>120</v>
      </c>
      <c r="N154">
        <f t="shared" si="20"/>
        <v>840</v>
      </c>
      <c r="O154">
        <f t="shared" si="21"/>
        <v>84</v>
      </c>
      <c r="P154" t="str">
        <f t="shared" si="22"/>
        <v>Large Order</v>
      </c>
      <c r="Q154" t="str">
        <f t="shared" si="23"/>
        <v>Weekday</v>
      </c>
    </row>
    <row r="155" spans="1:17" x14ac:dyDescent="0.35">
      <c r="A155" t="s">
        <v>254</v>
      </c>
      <c r="B155" s="7">
        <v>45443</v>
      </c>
      <c r="C155" s="13">
        <f t="shared" si="17"/>
        <v>2024</v>
      </c>
      <c r="D155" s="7" t="str">
        <f t="shared" si="18"/>
        <v>May</v>
      </c>
      <c r="E155" s="7" t="str">
        <f t="shared" si="19"/>
        <v>Fri</v>
      </c>
      <c r="F155" t="s">
        <v>47</v>
      </c>
      <c r="G155" t="s">
        <v>102</v>
      </c>
      <c r="H155" t="s">
        <v>17</v>
      </c>
      <c r="I155" s="2" t="str">
        <f t="shared" si="16"/>
        <v>Central</v>
      </c>
      <c r="J155" t="s">
        <v>42</v>
      </c>
      <c r="K155" t="s">
        <v>245</v>
      </c>
      <c r="L155">
        <v>1</v>
      </c>
      <c r="M155">
        <v>120</v>
      </c>
      <c r="N155">
        <f t="shared" si="20"/>
        <v>120</v>
      </c>
      <c r="O155">
        <f t="shared" si="21"/>
        <v>12</v>
      </c>
      <c r="P155" t="str">
        <f t="shared" si="22"/>
        <v>Standard Order</v>
      </c>
      <c r="Q155" t="str">
        <f t="shared" si="23"/>
        <v>Weekday</v>
      </c>
    </row>
    <row r="156" spans="1:17" x14ac:dyDescent="0.35">
      <c r="A156" t="s">
        <v>255</v>
      </c>
      <c r="B156" s="7">
        <v>45317</v>
      </c>
      <c r="C156" s="13">
        <f t="shared" si="17"/>
        <v>2024</v>
      </c>
      <c r="D156" s="7" t="str">
        <f t="shared" si="18"/>
        <v>Jan</v>
      </c>
      <c r="E156" s="7" t="str">
        <f t="shared" si="19"/>
        <v>Fri</v>
      </c>
      <c r="F156" t="s">
        <v>40</v>
      </c>
      <c r="G156" t="s">
        <v>174</v>
      </c>
      <c r="H156" t="s">
        <v>11</v>
      </c>
      <c r="I156" s="2" t="str">
        <f t="shared" si="16"/>
        <v>South</v>
      </c>
      <c r="J156" t="s">
        <v>18</v>
      </c>
      <c r="K156" t="s">
        <v>36</v>
      </c>
      <c r="L156">
        <v>10</v>
      </c>
      <c r="M156">
        <v>120</v>
      </c>
      <c r="N156">
        <f t="shared" si="20"/>
        <v>1200</v>
      </c>
      <c r="O156">
        <f t="shared" si="21"/>
        <v>120</v>
      </c>
      <c r="P156" t="str">
        <f t="shared" si="22"/>
        <v>Large Order</v>
      </c>
      <c r="Q156" t="str">
        <f t="shared" si="23"/>
        <v>Weekday</v>
      </c>
    </row>
    <row r="157" spans="1:17" x14ac:dyDescent="0.35">
      <c r="A157" t="s">
        <v>256</v>
      </c>
      <c r="B157" s="7">
        <v>45617</v>
      </c>
      <c r="C157" s="13">
        <f t="shared" si="17"/>
        <v>2024</v>
      </c>
      <c r="D157" s="7" t="str">
        <f t="shared" si="18"/>
        <v>Nov</v>
      </c>
      <c r="E157" s="7" t="str">
        <f t="shared" si="19"/>
        <v>Thu</v>
      </c>
      <c r="F157" t="s">
        <v>118</v>
      </c>
      <c r="G157" t="s">
        <v>62</v>
      </c>
      <c r="H157" t="s">
        <v>22</v>
      </c>
      <c r="I157" s="2" t="str">
        <f t="shared" si="16"/>
        <v>South</v>
      </c>
      <c r="J157" t="s">
        <v>56</v>
      </c>
      <c r="K157" t="s">
        <v>23</v>
      </c>
      <c r="L157">
        <v>13</v>
      </c>
      <c r="M157">
        <v>120</v>
      </c>
      <c r="N157">
        <f t="shared" si="20"/>
        <v>1560</v>
      </c>
      <c r="O157">
        <f t="shared" si="21"/>
        <v>156</v>
      </c>
      <c r="P157" t="str">
        <f t="shared" si="22"/>
        <v>Large Order</v>
      </c>
      <c r="Q157" t="str">
        <f t="shared" si="23"/>
        <v>Weekday</v>
      </c>
    </row>
    <row r="158" spans="1:17" x14ac:dyDescent="0.35">
      <c r="A158" t="s">
        <v>257</v>
      </c>
      <c r="B158" s="7">
        <v>45640</v>
      </c>
      <c r="C158" s="13">
        <f t="shared" si="17"/>
        <v>2024</v>
      </c>
      <c r="D158" s="7" t="str">
        <f t="shared" si="18"/>
        <v>Dec</v>
      </c>
      <c r="E158" s="7" t="str">
        <f t="shared" si="19"/>
        <v>Sat</v>
      </c>
      <c r="F158" t="s">
        <v>61</v>
      </c>
      <c r="G158" t="s">
        <v>96</v>
      </c>
      <c r="H158" t="s">
        <v>17</v>
      </c>
      <c r="I158" s="2" t="str">
        <f t="shared" si="16"/>
        <v>South</v>
      </c>
      <c r="J158" t="s">
        <v>56</v>
      </c>
      <c r="K158" t="s">
        <v>13</v>
      </c>
      <c r="L158">
        <v>13</v>
      </c>
      <c r="M158">
        <v>120</v>
      </c>
      <c r="N158">
        <f t="shared" si="20"/>
        <v>1560</v>
      </c>
      <c r="O158">
        <f t="shared" si="21"/>
        <v>156</v>
      </c>
      <c r="P158" t="str">
        <f t="shared" si="22"/>
        <v>Large Order</v>
      </c>
      <c r="Q158" t="str">
        <f t="shared" si="23"/>
        <v>Weekend</v>
      </c>
    </row>
    <row r="159" spans="1:17" x14ac:dyDescent="0.35">
      <c r="A159" t="s">
        <v>258</v>
      </c>
      <c r="B159" s="7">
        <v>45478</v>
      </c>
      <c r="C159" s="13">
        <f t="shared" si="17"/>
        <v>2024</v>
      </c>
      <c r="D159" s="7" t="str">
        <f t="shared" si="18"/>
        <v>Jul</v>
      </c>
      <c r="E159" s="7" t="str">
        <f t="shared" si="19"/>
        <v>Fri</v>
      </c>
      <c r="F159" t="s">
        <v>108</v>
      </c>
      <c r="G159" t="s">
        <v>10</v>
      </c>
      <c r="H159" t="s">
        <v>17</v>
      </c>
      <c r="I159" s="2" t="str">
        <f t="shared" si="16"/>
        <v>Central</v>
      </c>
      <c r="J159" t="s">
        <v>56</v>
      </c>
      <c r="K159" t="s">
        <v>13</v>
      </c>
      <c r="L159">
        <v>12</v>
      </c>
      <c r="M159">
        <v>120</v>
      </c>
      <c r="N159">
        <f t="shared" si="20"/>
        <v>1440</v>
      </c>
      <c r="O159">
        <f t="shared" si="21"/>
        <v>144</v>
      </c>
      <c r="P159" t="str">
        <f t="shared" si="22"/>
        <v>Large Order</v>
      </c>
      <c r="Q159" t="str">
        <f t="shared" si="23"/>
        <v>Weekday</v>
      </c>
    </row>
    <row r="160" spans="1:17" x14ac:dyDescent="0.35">
      <c r="A160" t="s">
        <v>259</v>
      </c>
      <c r="B160" s="7">
        <v>45359</v>
      </c>
      <c r="C160" s="13">
        <f t="shared" si="17"/>
        <v>2024</v>
      </c>
      <c r="D160" s="7" t="str">
        <f t="shared" si="18"/>
        <v>Mar</v>
      </c>
      <c r="E160" s="7" t="str">
        <f t="shared" si="19"/>
        <v>Fri</v>
      </c>
      <c r="F160" t="s">
        <v>81</v>
      </c>
      <c r="G160" t="s">
        <v>70</v>
      </c>
      <c r="H160" t="s">
        <v>22</v>
      </c>
      <c r="I160" s="2" t="str">
        <f t="shared" si="16"/>
        <v>West</v>
      </c>
      <c r="J160" t="s">
        <v>18</v>
      </c>
      <c r="K160" t="s">
        <v>32</v>
      </c>
      <c r="L160">
        <v>15</v>
      </c>
      <c r="M160">
        <v>120</v>
      </c>
      <c r="N160">
        <f t="shared" si="20"/>
        <v>1800</v>
      </c>
      <c r="O160">
        <f t="shared" si="21"/>
        <v>180</v>
      </c>
      <c r="P160" t="str">
        <f t="shared" si="22"/>
        <v>Large Order</v>
      </c>
      <c r="Q160" t="str">
        <f t="shared" si="23"/>
        <v>Weekday</v>
      </c>
    </row>
    <row r="161" spans="1:17" x14ac:dyDescent="0.35">
      <c r="A161" t="s">
        <v>260</v>
      </c>
      <c r="B161" s="7">
        <v>45423</v>
      </c>
      <c r="C161" s="13">
        <f t="shared" si="17"/>
        <v>2024</v>
      </c>
      <c r="D161" s="7" t="str">
        <f t="shared" si="18"/>
        <v>May</v>
      </c>
      <c r="E161" s="7" t="str">
        <f t="shared" si="19"/>
        <v>Sat</v>
      </c>
      <c r="F161" t="s">
        <v>208</v>
      </c>
      <c r="G161" t="s">
        <v>31</v>
      </c>
      <c r="H161" t="s">
        <v>11</v>
      </c>
      <c r="I161" s="2" t="str">
        <f t="shared" si="16"/>
        <v>West</v>
      </c>
      <c r="J161" t="s">
        <v>27</v>
      </c>
      <c r="K161" t="s">
        <v>32</v>
      </c>
      <c r="L161">
        <v>8</v>
      </c>
      <c r="M161">
        <v>120</v>
      </c>
      <c r="N161">
        <f t="shared" si="20"/>
        <v>960</v>
      </c>
      <c r="O161">
        <f t="shared" si="21"/>
        <v>96</v>
      </c>
      <c r="P161" t="str">
        <f t="shared" si="22"/>
        <v>Large Order</v>
      </c>
      <c r="Q161" t="str">
        <f t="shared" si="23"/>
        <v>Weekend</v>
      </c>
    </row>
    <row r="162" spans="1:17" x14ac:dyDescent="0.35">
      <c r="A162" t="s">
        <v>261</v>
      </c>
      <c r="B162" s="7">
        <v>45407</v>
      </c>
      <c r="C162" s="13">
        <f t="shared" si="17"/>
        <v>2024</v>
      </c>
      <c r="D162" s="7" t="str">
        <f t="shared" si="18"/>
        <v>Apr</v>
      </c>
      <c r="E162" s="7" t="str">
        <f t="shared" si="19"/>
        <v>Thu</v>
      </c>
      <c r="F162" t="s">
        <v>34</v>
      </c>
      <c r="G162" t="s">
        <v>62</v>
      </c>
      <c r="H162" t="s">
        <v>11</v>
      </c>
      <c r="I162" s="2" t="str">
        <f t="shared" si="16"/>
        <v>North</v>
      </c>
      <c r="J162" t="s">
        <v>27</v>
      </c>
      <c r="K162" t="s">
        <v>152</v>
      </c>
      <c r="L162">
        <v>13</v>
      </c>
      <c r="M162">
        <v>120</v>
      </c>
      <c r="N162">
        <f t="shared" si="20"/>
        <v>1560</v>
      </c>
      <c r="O162">
        <f t="shared" si="21"/>
        <v>156</v>
      </c>
      <c r="P162" t="str">
        <f t="shared" si="22"/>
        <v>Large Order</v>
      </c>
      <c r="Q162" t="str">
        <f t="shared" si="23"/>
        <v>Weekday</v>
      </c>
    </row>
    <row r="163" spans="1:17" x14ac:dyDescent="0.35">
      <c r="A163" t="s">
        <v>262</v>
      </c>
      <c r="B163" s="7">
        <v>45566</v>
      </c>
      <c r="C163" s="13">
        <f t="shared" si="17"/>
        <v>2024</v>
      </c>
      <c r="D163" s="7" t="str">
        <f t="shared" si="18"/>
        <v>Oct</v>
      </c>
      <c r="E163" s="7" t="str">
        <f t="shared" si="19"/>
        <v>Tue</v>
      </c>
      <c r="F163" t="s">
        <v>61</v>
      </c>
      <c r="G163" t="s">
        <v>174</v>
      </c>
      <c r="H163" t="s">
        <v>22</v>
      </c>
      <c r="I163" s="2" t="str">
        <f t="shared" si="16"/>
        <v>East</v>
      </c>
      <c r="J163" t="s">
        <v>12</v>
      </c>
      <c r="K163" t="s">
        <v>36</v>
      </c>
      <c r="L163">
        <v>12</v>
      </c>
      <c r="M163">
        <v>120</v>
      </c>
      <c r="N163">
        <f t="shared" si="20"/>
        <v>1440</v>
      </c>
      <c r="O163">
        <f t="shared" si="21"/>
        <v>144</v>
      </c>
      <c r="P163" t="str">
        <f t="shared" si="22"/>
        <v>Large Order</v>
      </c>
      <c r="Q163" t="str">
        <f t="shared" si="23"/>
        <v>Weekday</v>
      </c>
    </row>
    <row r="164" spans="1:17" x14ac:dyDescent="0.35">
      <c r="A164" t="s">
        <v>263</v>
      </c>
      <c r="B164" s="7">
        <v>45487</v>
      </c>
      <c r="C164" s="13">
        <f t="shared" si="17"/>
        <v>2024</v>
      </c>
      <c r="D164" s="7" t="str">
        <f t="shared" si="18"/>
        <v>Jul</v>
      </c>
      <c r="E164" s="7" t="str">
        <f t="shared" si="19"/>
        <v>Sun</v>
      </c>
      <c r="F164" t="s">
        <v>89</v>
      </c>
      <c r="G164" t="s">
        <v>79</v>
      </c>
      <c r="H164" t="s">
        <v>17</v>
      </c>
      <c r="I164" s="2" t="str">
        <f t="shared" si="16"/>
        <v>Central</v>
      </c>
      <c r="J164" t="s">
        <v>42</v>
      </c>
      <c r="K164" t="s">
        <v>13</v>
      </c>
      <c r="L164">
        <v>1</v>
      </c>
      <c r="M164">
        <v>120</v>
      </c>
      <c r="N164">
        <f t="shared" si="20"/>
        <v>120</v>
      </c>
      <c r="O164">
        <f t="shared" si="21"/>
        <v>12</v>
      </c>
      <c r="P164" t="str">
        <f t="shared" si="22"/>
        <v>Standard Order</v>
      </c>
      <c r="Q164" t="str">
        <f t="shared" si="23"/>
        <v>Weekend</v>
      </c>
    </row>
    <row r="165" spans="1:17" x14ac:dyDescent="0.35">
      <c r="A165" t="s">
        <v>264</v>
      </c>
      <c r="B165" s="7">
        <v>45459</v>
      </c>
      <c r="C165" s="13">
        <f t="shared" si="17"/>
        <v>2024</v>
      </c>
      <c r="D165" s="7" t="str">
        <f t="shared" si="18"/>
        <v>Jun</v>
      </c>
      <c r="E165" s="7" t="str">
        <f t="shared" si="19"/>
        <v>Sun</v>
      </c>
      <c r="F165" t="s">
        <v>20</v>
      </c>
      <c r="G165" t="s">
        <v>45</v>
      </c>
      <c r="H165" t="s">
        <v>22</v>
      </c>
      <c r="I165" s="2" t="str">
        <f t="shared" si="16"/>
        <v>West</v>
      </c>
      <c r="J165" t="s">
        <v>18</v>
      </c>
      <c r="K165" t="s">
        <v>66</v>
      </c>
      <c r="L165">
        <v>14</v>
      </c>
      <c r="M165">
        <v>120</v>
      </c>
      <c r="N165">
        <f t="shared" si="20"/>
        <v>1680</v>
      </c>
      <c r="O165">
        <f t="shared" si="21"/>
        <v>168</v>
      </c>
      <c r="P165" t="str">
        <f t="shared" si="22"/>
        <v>Large Order</v>
      </c>
      <c r="Q165" t="str">
        <f t="shared" si="23"/>
        <v>Weekend</v>
      </c>
    </row>
    <row r="166" spans="1:17" x14ac:dyDescent="0.35">
      <c r="A166" t="s">
        <v>265</v>
      </c>
      <c r="B166" s="7">
        <v>45446</v>
      </c>
      <c r="C166" s="13">
        <f t="shared" si="17"/>
        <v>2024</v>
      </c>
      <c r="D166" s="7" t="str">
        <f t="shared" si="18"/>
        <v>Jun</v>
      </c>
      <c r="E166" s="7" t="str">
        <f t="shared" si="19"/>
        <v>Mon</v>
      </c>
      <c r="F166" t="s">
        <v>78</v>
      </c>
      <c r="G166" t="s">
        <v>79</v>
      </c>
      <c r="H166" t="s">
        <v>11</v>
      </c>
      <c r="I166" s="2" t="str">
        <f t="shared" si="16"/>
        <v>North</v>
      </c>
      <c r="J166" t="s">
        <v>27</v>
      </c>
      <c r="K166" t="s">
        <v>13</v>
      </c>
      <c r="L166">
        <v>1</v>
      </c>
      <c r="M166">
        <v>120</v>
      </c>
      <c r="N166">
        <f t="shared" si="20"/>
        <v>120</v>
      </c>
      <c r="O166">
        <f t="shared" si="21"/>
        <v>12</v>
      </c>
      <c r="P166" t="str">
        <f t="shared" si="22"/>
        <v>Standard Order</v>
      </c>
      <c r="Q166" t="str">
        <f t="shared" si="23"/>
        <v>Weekday</v>
      </c>
    </row>
    <row r="167" spans="1:17" x14ac:dyDescent="0.35">
      <c r="A167" t="s">
        <v>266</v>
      </c>
      <c r="B167" s="7">
        <v>45351</v>
      </c>
      <c r="C167" s="13">
        <f t="shared" si="17"/>
        <v>2024</v>
      </c>
      <c r="D167" s="7" t="str">
        <f t="shared" si="18"/>
        <v>Feb</v>
      </c>
      <c r="E167" s="7" t="str">
        <f t="shared" si="19"/>
        <v>Thu</v>
      </c>
      <c r="F167" t="s">
        <v>118</v>
      </c>
      <c r="G167" t="s">
        <v>74</v>
      </c>
      <c r="H167" t="s">
        <v>11</v>
      </c>
      <c r="I167" s="2" t="str">
        <f t="shared" si="16"/>
        <v>Central</v>
      </c>
      <c r="J167" t="s">
        <v>12</v>
      </c>
      <c r="K167" t="s">
        <v>66</v>
      </c>
      <c r="L167">
        <v>7</v>
      </c>
      <c r="M167">
        <v>120</v>
      </c>
      <c r="N167">
        <f t="shared" si="20"/>
        <v>840</v>
      </c>
      <c r="O167">
        <f t="shared" si="21"/>
        <v>84</v>
      </c>
      <c r="P167" t="str">
        <f t="shared" si="22"/>
        <v>Large Order</v>
      </c>
      <c r="Q167" t="str">
        <f t="shared" si="23"/>
        <v>Weekday</v>
      </c>
    </row>
    <row r="168" spans="1:17" x14ac:dyDescent="0.35">
      <c r="A168" t="s">
        <v>267</v>
      </c>
      <c r="B168" s="7">
        <v>45648</v>
      </c>
      <c r="C168" s="13">
        <f t="shared" si="17"/>
        <v>2024</v>
      </c>
      <c r="D168" s="7" t="str">
        <f t="shared" si="18"/>
        <v>Dec</v>
      </c>
      <c r="E168" s="7" t="str">
        <f t="shared" si="19"/>
        <v>Sun</v>
      </c>
      <c r="F168" t="s">
        <v>95</v>
      </c>
      <c r="G168" t="s">
        <v>109</v>
      </c>
      <c r="H168" t="s">
        <v>22</v>
      </c>
      <c r="I168" s="2" t="str">
        <f t="shared" si="16"/>
        <v>North</v>
      </c>
      <c r="J168" t="s">
        <v>18</v>
      </c>
      <c r="K168" t="s">
        <v>36</v>
      </c>
      <c r="L168">
        <v>12</v>
      </c>
      <c r="M168">
        <v>120</v>
      </c>
      <c r="N168">
        <f t="shared" si="20"/>
        <v>1440</v>
      </c>
      <c r="O168">
        <f t="shared" si="21"/>
        <v>144</v>
      </c>
      <c r="P168" t="str">
        <f t="shared" si="22"/>
        <v>Large Order</v>
      </c>
      <c r="Q168" t="str">
        <f t="shared" si="23"/>
        <v>Weekend</v>
      </c>
    </row>
    <row r="169" spans="1:17" x14ac:dyDescent="0.35">
      <c r="A169" t="s">
        <v>268</v>
      </c>
      <c r="B169" s="7">
        <v>45627</v>
      </c>
      <c r="C169" s="13">
        <f t="shared" si="17"/>
        <v>2024</v>
      </c>
      <c r="D169" s="7" t="str">
        <f t="shared" si="18"/>
        <v>Dec</v>
      </c>
      <c r="E169" s="7" t="str">
        <f t="shared" si="19"/>
        <v>Sun</v>
      </c>
      <c r="F169" t="s">
        <v>44</v>
      </c>
      <c r="G169" t="s">
        <v>109</v>
      </c>
      <c r="H169" t="s">
        <v>17</v>
      </c>
      <c r="I169" s="2" t="str">
        <f t="shared" si="16"/>
        <v>West</v>
      </c>
      <c r="J169" t="s">
        <v>12</v>
      </c>
      <c r="K169" t="s">
        <v>36</v>
      </c>
      <c r="L169">
        <v>5</v>
      </c>
      <c r="M169">
        <v>120</v>
      </c>
      <c r="N169">
        <f t="shared" si="20"/>
        <v>600</v>
      </c>
      <c r="O169">
        <f t="shared" si="21"/>
        <v>60</v>
      </c>
      <c r="P169" t="str">
        <f t="shared" si="22"/>
        <v>Large Order</v>
      </c>
      <c r="Q169" t="str">
        <f t="shared" si="23"/>
        <v>Weekend</v>
      </c>
    </row>
    <row r="170" spans="1:17" x14ac:dyDescent="0.35">
      <c r="A170" t="s">
        <v>269</v>
      </c>
      <c r="B170" s="7">
        <v>45403</v>
      </c>
      <c r="C170" s="13">
        <f t="shared" si="17"/>
        <v>2024</v>
      </c>
      <c r="D170" s="7" t="str">
        <f t="shared" si="18"/>
        <v>Apr</v>
      </c>
      <c r="E170" s="7" t="str">
        <f t="shared" si="19"/>
        <v>Sun</v>
      </c>
      <c r="F170" t="s">
        <v>44</v>
      </c>
      <c r="G170" t="s">
        <v>160</v>
      </c>
      <c r="H170" t="s">
        <v>17</v>
      </c>
      <c r="I170" s="2" t="str">
        <f t="shared" si="16"/>
        <v>East</v>
      </c>
      <c r="J170" t="s">
        <v>27</v>
      </c>
      <c r="K170" t="s">
        <v>36</v>
      </c>
      <c r="L170">
        <v>2</v>
      </c>
      <c r="M170">
        <v>120</v>
      </c>
      <c r="N170">
        <f t="shared" si="20"/>
        <v>240</v>
      </c>
      <c r="O170">
        <f t="shared" si="21"/>
        <v>24</v>
      </c>
      <c r="P170" t="str">
        <f t="shared" si="22"/>
        <v>Standard Order</v>
      </c>
      <c r="Q170" t="str">
        <f t="shared" si="23"/>
        <v>Weekend</v>
      </c>
    </row>
    <row r="171" spans="1:17" x14ac:dyDescent="0.35">
      <c r="A171" t="s">
        <v>270</v>
      </c>
      <c r="B171" s="7">
        <v>45570</v>
      </c>
      <c r="C171" s="13">
        <f t="shared" si="17"/>
        <v>2024</v>
      </c>
      <c r="D171" s="7" t="str">
        <f t="shared" si="18"/>
        <v>Oct</v>
      </c>
      <c r="E171" s="7" t="str">
        <f t="shared" si="19"/>
        <v>Sat</v>
      </c>
      <c r="F171" t="s">
        <v>51</v>
      </c>
      <c r="G171" t="s">
        <v>102</v>
      </c>
      <c r="H171" t="s">
        <v>17</v>
      </c>
      <c r="I171" s="2" t="str">
        <f t="shared" si="16"/>
        <v>South</v>
      </c>
      <c r="J171" t="s">
        <v>42</v>
      </c>
      <c r="K171" t="s">
        <v>13</v>
      </c>
      <c r="L171">
        <v>4</v>
      </c>
      <c r="M171">
        <v>120</v>
      </c>
      <c r="N171">
        <f t="shared" si="20"/>
        <v>480</v>
      </c>
      <c r="O171">
        <f t="shared" si="21"/>
        <v>48</v>
      </c>
      <c r="P171" t="str">
        <f t="shared" si="22"/>
        <v>Standard Order</v>
      </c>
      <c r="Q171" t="str">
        <f t="shared" si="23"/>
        <v>Weekend</v>
      </c>
    </row>
    <row r="172" spans="1:17" x14ac:dyDescent="0.35">
      <c r="A172" t="s">
        <v>271</v>
      </c>
      <c r="B172" s="7">
        <v>45338</v>
      </c>
      <c r="C172" s="13">
        <f t="shared" si="17"/>
        <v>2024</v>
      </c>
      <c r="D172" s="7" t="str">
        <f t="shared" si="18"/>
        <v>Feb</v>
      </c>
      <c r="E172" s="7" t="str">
        <f t="shared" si="19"/>
        <v>Fri</v>
      </c>
      <c r="F172" t="s">
        <v>58</v>
      </c>
      <c r="G172" t="s">
        <v>21</v>
      </c>
      <c r="H172" t="s">
        <v>11</v>
      </c>
      <c r="I172" s="2" t="str">
        <f t="shared" si="16"/>
        <v>South</v>
      </c>
      <c r="J172" t="s">
        <v>56</v>
      </c>
      <c r="K172" t="s">
        <v>23</v>
      </c>
      <c r="L172">
        <v>13</v>
      </c>
      <c r="M172">
        <v>120</v>
      </c>
      <c r="N172">
        <f t="shared" si="20"/>
        <v>1560</v>
      </c>
      <c r="O172">
        <f t="shared" si="21"/>
        <v>156</v>
      </c>
      <c r="P172" t="str">
        <f t="shared" si="22"/>
        <v>Large Order</v>
      </c>
      <c r="Q172" t="str">
        <f t="shared" si="23"/>
        <v>Weekday</v>
      </c>
    </row>
    <row r="173" spans="1:17" x14ac:dyDescent="0.35">
      <c r="A173" t="s">
        <v>272</v>
      </c>
      <c r="B173" s="7">
        <v>45581</v>
      </c>
      <c r="C173" s="13">
        <f t="shared" si="17"/>
        <v>2024</v>
      </c>
      <c r="D173" s="7" t="str">
        <f t="shared" si="18"/>
        <v>Oct</v>
      </c>
      <c r="E173" s="7" t="str">
        <f t="shared" si="19"/>
        <v>Wed</v>
      </c>
      <c r="F173" t="s">
        <v>40</v>
      </c>
      <c r="G173" t="s">
        <v>16</v>
      </c>
      <c r="H173" t="s">
        <v>11</v>
      </c>
      <c r="I173" s="2" t="str">
        <f t="shared" si="16"/>
        <v>South</v>
      </c>
      <c r="J173" t="s">
        <v>56</v>
      </c>
      <c r="K173" t="s">
        <v>13</v>
      </c>
      <c r="L173">
        <v>10</v>
      </c>
      <c r="M173">
        <v>120</v>
      </c>
      <c r="N173">
        <f t="shared" si="20"/>
        <v>1200</v>
      </c>
      <c r="O173">
        <f t="shared" si="21"/>
        <v>120</v>
      </c>
      <c r="P173" t="str">
        <f t="shared" si="22"/>
        <v>Large Order</v>
      </c>
      <c r="Q173" t="str">
        <f t="shared" si="23"/>
        <v>Weekday</v>
      </c>
    </row>
    <row r="174" spans="1:17" x14ac:dyDescent="0.35">
      <c r="A174" t="s">
        <v>273</v>
      </c>
      <c r="B174" s="7">
        <v>45460</v>
      </c>
      <c r="C174" s="13">
        <f t="shared" si="17"/>
        <v>2024</v>
      </c>
      <c r="D174" s="7" t="str">
        <f t="shared" si="18"/>
        <v>Jun</v>
      </c>
      <c r="E174" s="7" t="str">
        <f t="shared" si="19"/>
        <v>Mon</v>
      </c>
      <c r="F174" t="s">
        <v>58</v>
      </c>
      <c r="G174" t="s">
        <v>21</v>
      </c>
      <c r="H174" t="s">
        <v>17</v>
      </c>
      <c r="I174" s="2" t="str">
        <f t="shared" si="16"/>
        <v>East</v>
      </c>
      <c r="J174" t="s">
        <v>56</v>
      </c>
      <c r="K174" t="s">
        <v>23</v>
      </c>
      <c r="L174">
        <v>14</v>
      </c>
      <c r="M174">
        <v>120</v>
      </c>
      <c r="N174">
        <f t="shared" si="20"/>
        <v>1680</v>
      </c>
      <c r="O174">
        <f t="shared" si="21"/>
        <v>168</v>
      </c>
      <c r="P174" t="str">
        <f t="shared" si="22"/>
        <v>Large Order</v>
      </c>
      <c r="Q174" t="str">
        <f t="shared" si="23"/>
        <v>Weekday</v>
      </c>
    </row>
    <row r="175" spans="1:17" x14ac:dyDescent="0.35">
      <c r="A175" t="s">
        <v>274</v>
      </c>
      <c r="B175" s="7">
        <v>45568</v>
      </c>
      <c r="C175" s="13">
        <f t="shared" si="17"/>
        <v>2024</v>
      </c>
      <c r="D175" s="7" t="str">
        <f t="shared" si="18"/>
        <v>Oct</v>
      </c>
      <c r="E175" s="7" t="str">
        <f t="shared" si="19"/>
        <v>Thu</v>
      </c>
      <c r="F175" t="s">
        <v>25</v>
      </c>
      <c r="G175" t="s">
        <v>45</v>
      </c>
      <c r="H175" t="s">
        <v>22</v>
      </c>
      <c r="I175" s="2" t="str">
        <f t="shared" si="16"/>
        <v>South</v>
      </c>
      <c r="J175" t="s">
        <v>42</v>
      </c>
      <c r="K175" t="s">
        <v>28</v>
      </c>
      <c r="L175">
        <v>14</v>
      </c>
      <c r="M175">
        <v>120</v>
      </c>
      <c r="N175">
        <f t="shared" si="20"/>
        <v>1680</v>
      </c>
      <c r="O175">
        <f t="shared" si="21"/>
        <v>168</v>
      </c>
      <c r="P175" t="str">
        <f t="shared" si="22"/>
        <v>Large Order</v>
      </c>
      <c r="Q175" t="str">
        <f t="shared" si="23"/>
        <v>Weekday</v>
      </c>
    </row>
    <row r="176" spans="1:17" x14ac:dyDescent="0.35">
      <c r="A176" t="s">
        <v>275</v>
      </c>
      <c r="B176" s="7">
        <v>45475</v>
      </c>
      <c r="C176" s="13">
        <f t="shared" si="17"/>
        <v>2024</v>
      </c>
      <c r="D176" s="7" t="str">
        <f t="shared" si="18"/>
        <v>Jul</v>
      </c>
      <c r="E176" s="7" t="str">
        <f t="shared" si="19"/>
        <v>Tue</v>
      </c>
      <c r="F176" t="s">
        <v>58</v>
      </c>
      <c r="G176" t="s">
        <v>62</v>
      </c>
      <c r="H176" t="s">
        <v>11</v>
      </c>
      <c r="I176" s="2" t="str">
        <f t="shared" si="16"/>
        <v>Central</v>
      </c>
      <c r="J176" t="s">
        <v>56</v>
      </c>
      <c r="K176" t="s">
        <v>23</v>
      </c>
      <c r="L176">
        <v>3</v>
      </c>
      <c r="M176">
        <v>120</v>
      </c>
      <c r="N176">
        <f t="shared" si="20"/>
        <v>360</v>
      </c>
      <c r="O176">
        <f t="shared" si="21"/>
        <v>36</v>
      </c>
      <c r="P176" t="str">
        <f t="shared" si="22"/>
        <v>Standard Order</v>
      </c>
      <c r="Q176" t="str">
        <f t="shared" si="23"/>
        <v>Weekday</v>
      </c>
    </row>
    <row r="177" spans="1:17" x14ac:dyDescent="0.35">
      <c r="A177" t="s">
        <v>276</v>
      </c>
      <c r="B177" s="7">
        <v>45507</v>
      </c>
      <c r="C177" s="13">
        <f t="shared" si="17"/>
        <v>2024</v>
      </c>
      <c r="D177" s="7" t="str">
        <f t="shared" si="18"/>
        <v>Aug</v>
      </c>
      <c r="E177" s="7" t="str">
        <f t="shared" si="19"/>
        <v>Sat</v>
      </c>
      <c r="F177" t="s">
        <v>230</v>
      </c>
      <c r="G177" t="s">
        <v>96</v>
      </c>
      <c r="I177" s="2" t="str">
        <f t="shared" si="16"/>
        <v>North</v>
      </c>
      <c r="J177" t="s">
        <v>18</v>
      </c>
      <c r="K177" t="s">
        <v>13</v>
      </c>
      <c r="L177">
        <v>8</v>
      </c>
      <c r="M177">
        <v>120</v>
      </c>
      <c r="N177">
        <f t="shared" si="20"/>
        <v>960</v>
      </c>
      <c r="O177">
        <f t="shared" si="21"/>
        <v>96</v>
      </c>
      <c r="P177" t="str">
        <f t="shared" si="22"/>
        <v>Large Order</v>
      </c>
      <c r="Q177" t="str">
        <f t="shared" si="23"/>
        <v>Weekend</v>
      </c>
    </row>
    <row r="178" spans="1:17" x14ac:dyDescent="0.35">
      <c r="A178" t="s">
        <v>277</v>
      </c>
      <c r="B178" s="7">
        <v>45595</v>
      </c>
      <c r="C178" s="13">
        <f t="shared" si="17"/>
        <v>2024</v>
      </c>
      <c r="D178" s="7" t="str">
        <f t="shared" si="18"/>
        <v>Oct</v>
      </c>
      <c r="E178" s="7" t="str">
        <f t="shared" si="19"/>
        <v>Wed</v>
      </c>
      <c r="F178" t="s">
        <v>106</v>
      </c>
      <c r="G178" t="s">
        <v>109</v>
      </c>
      <c r="I178" s="2" t="str">
        <f t="shared" si="16"/>
        <v>Central</v>
      </c>
      <c r="J178" t="s">
        <v>12</v>
      </c>
      <c r="K178" t="s">
        <v>163</v>
      </c>
      <c r="L178">
        <v>10</v>
      </c>
      <c r="M178">
        <v>120</v>
      </c>
      <c r="N178">
        <f t="shared" si="20"/>
        <v>1200</v>
      </c>
      <c r="O178">
        <f t="shared" si="21"/>
        <v>120</v>
      </c>
      <c r="P178" t="str">
        <f t="shared" si="22"/>
        <v>Large Order</v>
      </c>
      <c r="Q178" t="str">
        <f t="shared" si="23"/>
        <v>Weekday</v>
      </c>
    </row>
    <row r="179" spans="1:17" x14ac:dyDescent="0.35">
      <c r="A179" t="s">
        <v>278</v>
      </c>
      <c r="B179" s="7">
        <v>45629</v>
      </c>
      <c r="C179" s="13">
        <f t="shared" si="17"/>
        <v>2024</v>
      </c>
      <c r="D179" s="7" t="str">
        <f t="shared" si="18"/>
        <v>Dec</v>
      </c>
      <c r="E179" s="7" t="str">
        <f t="shared" si="19"/>
        <v>Tue</v>
      </c>
      <c r="F179" t="s">
        <v>93</v>
      </c>
      <c r="G179" t="s">
        <v>87</v>
      </c>
      <c r="I179" s="2" t="str">
        <f t="shared" si="16"/>
        <v>West</v>
      </c>
      <c r="J179" t="s">
        <v>18</v>
      </c>
      <c r="K179" t="s">
        <v>32</v>
      </c>
      <c r="L179">
        <v>1</v>
      </c>
      <c r="M179">
        <v>120</v>
      </c>
      <c r="N179">
        <f t="shared" si="20"/>
        <v>120</v>
      </c>
      <c r="O179">
        <f t="shared" si="21"/>
        <v>12</v>
      </c>
      <c r="P179" t="str">
        <f t="shared" si="22"/>
        <v>Standard Order</v>
      </c>
      <c r="Q179" t="str">
        <f t="shared" si="23"/>
        <v>Weekday</v>
      </c>
    </row>
    <row r="180" spans="1:17" x14ac:dyDescent="0.35">
      <c r="A180" t="s">
        <v>279</v>
      </c>
      <c r="B180" s="7">
        <v>45497</v>
      </c>
      <c r="C180" s="13">
        <f t="shared" si="17"/>
        <v>2024</v>
      </c>
      <c r="D180" s="7" t="str">
        <f t="shared" si="18"/>
        <v>Jul</v>
      </c>
      <c r="E180" s="7" t="str">
        <f t="shared" si="19"/>
        <v>Wed</v>
      </c>
      <c r="F180" t="s">
        <v>116</v>
      </c>
      <c r="G180" t="s">
        <v>102</v>
      </c>
      <c r="H180" t="s">
        <v>22</v>
      </c>
      <c r="I180" s="2" t="str">
        <f t="shared" si="16"/>
        <v>Central</v>
      </c>
      <c r="J180" t="s">
        <v>27</v>
      </c>
      <c r="K180" t="s">
        <v>13</v>
      </c>
      <c r="L180">
        <v>15</v>
      </c>
      <c r="M180">
        <v>120</v>
      </c>
      <c r="N180">
        <f t="shared" si="20"/>
        <v>1800</v>
      </c>
      <c r="O180">
        <f t="shared" si="21"/>
        <v>180</v>
      </c>
      <c r="P180" t="str">
        <f t="shared" si="22"/>
        <v>Large Order</v>
      </c>
      <c r="Q180" t="str">
        <f t="shared" si="23"/>
        <v>Weekday</v>
      </c>
    </row>
    <row r="181" spans="1:17" x14ac:dyDescent="0.35">
      <c r="A181" t="s">
        <v>280</v>
      </c>
      <c r="B181" s="7">
        <v>45456</v>
      </c>
      <c r="C181" s="13">
        <f t="shared" si="17"/>
        <v>2024</v>
      </c>
      <c r="D181" s="7" t="str">
        <f t="shared" si="18"/>
        <v>Jun</v>
      </c>
      <c r="E181" s="7" t="str">
        <f t="shared" si="19"/>
        <v>Thu</v>
      </c>
      <c r="F181" t="s">
        <v>61</v>
      </c>
      <c r="G181" t="s">
        <v>45</v>
      </c>
      <c r="H181" t="s">
        <v>11</v>
      </c>
      <c r="I181" s="2" t="str">
        <f t="shared" si="16"/>
        <v>East</v>
      </c>
      <c r="J181" t="s">
        <v>18</v>
      </c>
      <c r="K181" t="s">
        <v>28</v>
      </c>
      <c r="L181">
        <v>5</v>
      </c>
      <c r="M181">
        <v>120</v>
      </c>
      <c r="N181">
        <f t="shared" si="20"/>
        <v>600</v>
      </c>
      <c r="O181">
        <f t="shared" si="21"/>
        <v>60</v>
      </c>
      <c r="P181" t="str">
        <f t="shared" si="22"/>
        <v>Large Order</v>
      </c>
      <c r="Q181" t="str">
        <f t="shared" si="23"/>
        <v>Weekday</v>
      </c>
    </row>
    <row r="182" spans="1:17" x14ac:dyDescent="0.35">
      <c r="A182" t="s">
        <v>281</v>
      </c>
      <c r="B182" s="7">
        <v>45572</v>
      </c>
      <c r="C182" s="13">
        <f t="shared" si="17"/>
        <v>2024</v>
      </c>
      <c r="D182" s="7" t="str">
        <f t="shared" si="18"/>
        <v>Oct</v>
      </c>
      <c r="E182" s="7" t="str">
        <f t="shared" si="19"/>
        <v>Mon</v>
      </c>
      <c r="F182" t="s">
        <v>68</v>
      </c>
      <c r="G182" t="s">
        <v>109</v>
      </c>
      <c r="H182" t="s">
        <v>22</v>
      </c>
      <c r="I182" s="2" t="str">
        <f t="shared" si="16"/>
        <v>North</v>
      </c>
      <c r="J182" t="s">
        <v>42</v>
      </c>
      <c r="K182" t="s">
        <v>36</v>
      </c>
      <c r="L182">
        <v>5</v>
      </c>
      <c r="M182">
        <v>120</v>
      </c>
      <c r="N182">
        <f t="shared" si="20"/>
        <v>600</v>
      </c>
      <c r="O182">
        <f t="shared" si="21"/>
        <v>60</v>
      </c>
      <c r="P182" t="str">
        <f t="shared" si="22"/>
        <v>Large Order</v>
      </c>
      <c r="Q182" t="str">
        <f t="shared" si="23"/>
        <v>Weekday</v>
      </c>
    </row>
    <row r="183" spans="1:17" x14ac:dyDescent="0.35">
      <c r="A183" t="s">
        <v>282</v>
      </c>
      <c r="B183" s="7">
        <v>45512</v>
      </c>
      <c r="C183" s="13">
        <f t="shared" si="17"/>
        <v>2024</v>
      </c>
      <c r="D183" s="7" t="str">
        <f t="shared" si="18"/>
        <v>Aug</v>
      </c>
      <c r="E183" s="7" t="str">
        <f t="shared" si="19"/>
        <v>Thu</v>
      </c>
      <c r="F183" t="s">
        <v>240</v>
      </c>
      <c r="G183" t="s">
        <v>16</v>
      </c>
      <c r="H183" t="s">
        <v>22</v>
      </c>
      <c r="I183" s="2" t="str">
        <f t="shared" si="16"/>
        <v>West</v>
      </c>
      <c r="J183" t="s">
        <v>12</v>
      </c>
      <c r="K183" t="s">
        <v>13</v>
      </c>
      <c r="L183">
        <v>14</v>
      </c>
      <c r="M183">
        <v>120</v>
      </c>
      <c r="N183">
        <f t="shared" si="20"/>
        <v>1680</v>
      </c>
      <c r="O183">
        <f t="shared" si="21"/>
        <v>168</v>
      </c>
      <c r="P183" t="str">
        <f t="shared" si="22"/>
        <v>Large Order</v>
      </c>
      <c r="Q183" t="str">
        <f t="shared" si="23"/>
        <v>Weekday</v>
      </c>
    </row>
    <row r="184" spans="1:17" x14ac:dyDescent="0.35">
      <c r="A184" t="s">
        <v>283</v>
      </c>
      <c r="B184" s="7">
        <v>45408</v>
      </c>
      <c r="C184" s="13">
        <f t="shared" si="17"/>
        <v>2024</v>
      </c>
      <c r="D184" s="7" t="str">
        <f t="shared" si="18"/>
        <v>Apr</v>
      </c>
      <c r="E184" s="7" t="str">
        <f t="shared" si="19"/>
        <v>Fri</v>
      </c>
      <c r="F184" t="s">
        <v>111</v>
      </c>
      <c r="G184" t="s">
        <v>87</v>
      </c>
      <c r="H184" t="s">
        <v>17</v>
      </c>
      <c r="I184" s="2" t="str">
        <f t="shared" si="16"/>
        <v>East</v>
      </c>
      <c r="J184" t="s">
        <v>27</v>
      </c>
      <c r="K184" t="s">
        <v>32</v>
      </c>
      <c r="L184">
        <v>7</v>
      </c>
      <c r="M184">
        <v>120</v>
      </c>
      <c r="N184">
        <f t="shared" si="20"/>
        <v>840</v>
      </c>
      <c r="O184">
        <f t="shared" si="21"/>
        <v>84</v>
      </c>
      <c r="P184" t="str">
        <f t="shared" si="22"/>
        <v>Large Order</v>
      </c>
      <c r="Q184" t="str">
        <f t="shared" si="23"/>
        <v>Weekday</v>
      </c>
    </row>
    <row r="185" spans="1:17" x14ac:dyDescent="0.35">
      <c r="A185" t="s">
        <v>284</v>
      </c>
      <c r="B185" s="7">
        <v>45510</v>
      </c>
      <c r="C185" s="13">
        <f t="shared" si="17"/>
        <v>2024</v>
      </c>
      <c r="D185" s="7" t="str">
        <f t="shared" si="18"/>
        <v>Aug</v>
      </c>
      <c r="E185" s="7" t="str">
        <f t="shared" si="19"/>
        <v>Tue</v>
      </c>
      <c r="F185" t="s">
        <v>122</v>
      </c>
      <c r="G185" t="s">
        <v>31</v>
      </c>
      <c r="H185" t="s">
        <v>11</v>
      </c>
      <c r="I185" s="2" t="str">
        <f t="shared" si="16"/>
        <v>North</v>
      </c>
      <c r="J185" t="s">
        <v>42</v>
      </c>
      <c r="K185" t="s">
        <v>49</v>
      </c>
      <c r="L185">
        <v>11</v>
      </c>
      <c r="M185">
        <v>120</v>
      </c>
      <c r="N185">
        <f t="shared" si="20"/>
        <v>1320</v>
      </c>
      <c r="O185">
        <f t="shared" si="21"/>
        <v>132</v>
      </c>
      <c r="P185" t="str">
        <f t="shared" si="22"/>
        <v>Large Order</v>
      </c>
      <c r="Q185" t="str">
        <f t="shared" si="23"/>
        <v>Weekday</v>
      </c>
    </row>
    <row r="186" spans="1:17" x14ac:dyDescent="0.35">
      <c r="A186" t="s">
        <v>285</v>
      </c>
      <c r="B186" s="7">
        <v>45338</v>
      </c>
      <c r="C186" s="13">
        <f t="shared" si="17"/>
        <v>2024</v>
      </c>
      <c r="D186" s="7" t="str">
        <f t="shared" si="18"/>
        <v>Feb</v>
      </c>
      <c r="E186" s="7" t="str">
        <f t="shared" si="19"/>
        <v>Fri</v>
      </c>
      <c r="F186" t="s">
        <v>58</v>
      </c>
      <c r="G186" t="s">
        <v>102</v>
      </c>
      <c r="H186" t="s">
        <v>11</v>
      </c>
      <c r="I186" s="2" t="str">
        <f t="shared" si="16"/>
        <v>North</v>
      </c>
      <c r="J186" t="s">
        <v>12</v>
      </c>
      <c r="K186" t="s">
        <v>13</v>
      </c>
      <c r="L186">
        <v>12</v>
      </c>
      <c r="M186">
        <v>120</v>
      </c>
      <c r="N186">
        <f t="shared" si="20"/>
        <v>1440</v>
      </c>
      <c r="O186">
        <f t="shared" si="21"/>
        <v>144</v>
      </c>
      <c r="P186" t="str">
        <f t="shared" si="22"/>
        <v>Large Order</v>
      </c>
      <c r="Q186" t="str">
        <f t="shared" si="23"/>
        <v>Weekday</v>
      </c>
    </row>
    <row r="187" spans="1:17" x14ac:dyDescent="0.35">
      <c r="A187" t="s">
        <v>286</v>
      </c>
      <c r="B187" s="7">
        <v>45576</v>
      </c>
      <c r="C187" s="13">
        <f t="shared" si="17"/>
        <v>2024</v>
      </c>
      <c r="D187" s="7" t="str">
        <f t="shared" si="18"/>
        <v>Oct</v>
      </c>
      <c r="E187" s="7" t="str">
        <f t="shared" si="19"/>
        <v>Fri</v>
      </c>
      <c r="F187" t="s">
        <v>95</v>
      </c>
      <c r="G187" t="s">
        <v>119</v>
      </c>
      <c r="H187" t="s">
        <v>22</v>
      </c>
      <c r="I187" s="2" t="str">
        <f t="shared" si="16"/>
        <v>West</v>
      </c>
      <c r="J187" t="s">
        <v>12</v>
      </c>
      <c r="K187" t="s">
        <v>23</v>
      </c>
      <c r="L187">
        <v>6</v>
      </c>
      <c r="M187">
        <v>120</v>
      </c>
      <c r="N187">
        <f t="shared" si="20"/>
        <v>720</v>
      </c>
      <c r="O187">
        <f t="shared" si="21"/>
        <v>72</v>
      </c>
      <c r="P187" t="str">
        <f t="shared" si="22"/>
        <v>Large Order</v>
      </c>
      <c r="Q187" t="str">
        <f t="shared" si="23"/>
        <v>Weekday</v>
      </c>
    </row>
    <row r="188" spans="1:17" x14ac:dyDescent="0.35">
      <c r="A188" t="s">
        <v>287</v>
      </c>
      <c r="B188" s="7">
        <v>45473</v>
      </c>
      <c r="C188" s="13">
        <f t="shared" si="17"/>
        <v>2024</v>
      </c>
      <c r="D188" s="7" t="str">
        <f t="shared" si="18"/>
        <v>Jun</v>
      </c>
      <c r="E188" s="7" t="str">
        <f t="shared" si="19"/>
        <v>Sun</v>
      </c>
      <c r="F188" t="s">
        <v>55</v>
      </c>
      <c r="G188" t="s">
        <v>10</v>
      </c>
      <c r="H188" t="s">
        <v>22</v>
      </c>
      <c r="I188" s="2" t="str">
        <f t="shared" si="16"/>
        <v>South</v>
      </c>
      <c r="J188" t="s">
        <v>27</v>
      </c>
      <c r="K188" t="s">
        <v>13</v>
      </c>
      <c r="L188">
        <v>5</v>
      </c>
      <c r="M188">
        <v>120</v>
      </c>
      <c r="N188">
        <f t="shared" si="20"/>
        <v>600</v>
      </c>
      <c r="O188">
        <f t="shared" si="21"/>
        <v>60</v>
      </c>
      <c r="P188" t="str">
        <f t="shared" si="22"/>
        <v>Large Order</v>
      </c>
      <c r="Q188" t="str">
        <f t="shared" si="23"/>
        <v>Weekend</v>
      </c>
    </row>
    <row r="189" spans="1:17" x14ac:dyDescent="0.35">
      <c r="A189" t="s">
        <v>288</v>
      </c>
      <c r="B189" s="7">
        <v>45551</v>
      </c>
      <c r="C189" s="13">
        <f t="shared" si="17"/>
        <v>2024</v>
      </c>
      <c r="D189" s="7" t="str">
        <f t="shared" si="18"/>
        <v>Sep</v>
      </c>
      <c r="E189" s="7" t="str">
        <f t="shared" si="19"/>
        <v>Mon</v>
      </c>
      <c r="F189" t="s">
        <v>89</v>
      </c>
      <c r="G189" t="s">
        <v>26</v>
      </c>
      <c r="H189" t="s">
        <v>11</v>
      </c>
      <c r="I189" s="2" t="str">
        <f t="shared" si="16"/>
        <v>North</v>
      </c>
      <c r="J189" t="s">
        <v>56</v>
      </c>
      <c r="K189" t="s">
        <v>28</v>
      </c>
      <c r="L189">
        <v>14</v>
      </c>
      <c r="M189">
        <v>120</v>
      </c>
      <c r="N189">
        <f t="shared" si="20"/>
        <v>1680</v>
      </c>
      <c r="O189">
        <f t="shared" si="21"/>
        <v>168</v>
      </c>
      <c r="P189" t="str">
        <f t="shared" si="22"/>
        <v>Large Order</v>
      </c>
      <c r="Q189" t="str">
        <f t="shared" si="23"/>
        <v>Weekday</v>
      </c>
    </row>
    <row r="190" spans="1:17" x14ac:dyDescent="0.35">
      <c r="A190" t="s">
        <v>289</v>
      </c>
      <c r="B190" s="7">
        <v>45480</v>
      </c>
      <c r="C190" s="13">
        <f t="shared" si="17"/>
        <v>2024</v>
      </c>
      <c r="D190" s="7" t="str">
        <f t="shared" si="18"/>
        <v>Jul</v>
      </c>
      <c r="E190" s="7" t="str">
        <f t="shared" si="19"/>
        <v>Sun</v>
      </c>
      <c r="F190" t="s">
        <v>89</v>
      </c>
      <c r="G190" t="s">
        <v>70</v>
      </c>
      <c r="H190" t="s">
        <v>11</v>
      </c>
      <c r="I190" s="2" t="str">
        <f t="shared" si="16"/>
        <v>Central</v>
      </c>
      <c r="J190" t="s">
        <v>12</v>
      </c>
      <c r="K190" t="s">
        <v>32</v>
      </c>
      <c r="L190">
        <v>13</v>
      </c>
      <c r="M190">
        <v>120</v>
      </c>
      <c r="N190">
        <f t="shared" si="20"/>
        <v>1560</v>
      </c>
      <c r="O190">
        <f t="shared" si="21"/>
        <v>156</v>
      </c>
      <c r="P190" t="str">
        <f t="shared" si="22"/>
        <v>Large Order</v>
      </c>
      <c r="Q190" t="str">
        <f t="shared" si="23"/>
        <v>Weekend</v>
      </c>
    </row>
    <row r="191" spans="1:17" x14ac:dyDescent="0.35">
      <c r="A191" t="s">
        <v>290</v>
      </c>
      <c r="B191" s="7">
        <v>45610</v>
      </c>
      <c r="C191" s="13">
        <f t="shared" si="17"/>
        <v>2024</v>
      </c>
      <c r="D191" s="7" t="str">
        <f t="shared" si="18"/>
        <v>Nov</v>
      </c>
      <c r="E191" s="7" t="str">
        <f t="shared" si="19"/>
        <v>Thu</v>
      </c>
      <c r="F191" t="s">
        <v>20</v>
      </c>
      <c r="G191" t="s">
        <v>21</v>
      </c>
      <c r="H191" t="s">
        <v>22</v>
      </c>
      <c r="I191" s="2" t="str">
        <f t="shared" si="16"/>
        <v>North</v>
      </c>
      <c r="J191" t="s">
        <v>18</v>
      </c>
      <c r="K191" t="s">
        <v>23</v>
      </c>
      <c r="L191">
        <v>15</v>
      </c>
      <c r="M191">
        <v>120</v>
      </c>
      <c r="N191">
        <f t="shared" si="20"/>
        <v>1800</v>
      </c>
      <c r="O191">
        <f t="shared" si="21"/>
        <v>180</v>
      </c>
      <c r="P191" t="str">
        <f t="shared" si="22"/>
        <v>Large Order</v>
      </c>
      <c r="Q191" t="str">
        <f t="shared" si="23"/>
        <v>Weekday</v>
      </c>
    </row>
    <row r="192" spans="1:17" x14ac:dyDescent="0.35">
      <c r="A192" t="s">
        <v>291</v>
      </c>
      <c r="B192" s="7">
        <v>45428</v>
      </c>
      <c r="C192" s="13">
        <f t="shared" si="17"/>
        <v>2024</v>
      </c>
      <c r="D192" s="7" t="str">
        <f t="shared" si="18"/>
        <v>May</v>
      </c>
      <c r="E192" s="7" t="str">
        <f t="shared" si="19"/>
        <v>Thu</v>
      </c>
      <c r="F192" t="s">
        <v>30</v>
      </c>
      <c r="G192" t="s">
        <v>197</v>
      </c>
      <c r="H192" t="s">
        <v>22</v>
      </c>
      <c r="I192" s="2" t="str">
        <f t="shared" si="16"/>
        <v>North</v>
      </c>
      <c r="J192" t="s">
        <v>12</v>
      </c>
      <c r="K192" t="s">
        <v>28</v>
      </c>
      <c r="L192">
        <v>13</v>
      </c>
      <c r="M192">
        <v>120</v>
      </c>
      <c r="N192">
        <f t="shared" si="20"/>
        <v>1560</v>
      </c>
      <c r="O192">
        <f t="shared" si="21"/>
        <v>156</v>
      </c>
      <c r="P192" t="str">
        <f t="shared" si="22"/>
        <v>Large Order</v>
      </c>
      <c r="Q192" t="str">
        <f t="shared" si="23"/>
        <v>Weekday</v>
      </c>
    </row>
    <row r="193" spans="1:17" x14ac:dyDescent="0.35">
      <c r="A193" t="s">
        <v>292</v>
      </c>
      <c r="B193" s="7">
        <v>45471</v>
      </c>
      <c r="C193" s="13">
        <f t="shared" si="17"/>
        <v>2024</v>
      </c>
      <c r="D193" s="7" t="str">
        <f t="shared" si="18"/>
        <v>Jun</v>
      </c>
      <c r="E193" s="7" t="str">
        <f t="shared" si="19"/>
        <v>Fri</v>
      </c>
      <c r="F193" t="s">
        <v>208</v>
      </c>
      <c r="G193" t="s">
        <v>65</v>
      </c>
      <c r="H193" t="s">
        <v>22</v>
      </c>
      <c r="I193" s="2" t="str">
        <f t="shared" si="16"/>
        <v>North</v>
      </c>
      <c r="J193" t="s">
        <v>12</v>
      </c>
      <c r="K193" t="s">
        <v>28</v>
      </c>
      <c r="L193">
        <v>11</v>
      </c>
      <c r="M193">
        <v>120</v>
      </c>
      <c r="N193">
        <f t="shared" si="20"/>
        <v>1320</v>
      </c>
      <c r="O193">
        <f t="shared" si="21"/>
        <v>132</v>
      </c>
      <c r="P193" t="str">
        <f t="shared" si="22"/>
        <v>Large Order</v>
      </c>
      <c r="Q193" t="str">
        <f t="shared" si="23"/>
        <v>Weekday</v>
      </c>
    </row>
    <row r="194" spans="1:17" x14ac:dyDescent="0.35">
      <c r="A194" t="s">
        <v>293</v>
      </c>
      <c r="B194" s="7">
        <v>45616</v>
      </c>
      <c r="C194" s="13">
        <f t="shared" si="17"/>
        <v>2024</v>
      </c>
      <c r="D194" s="7" t="str">
        <f t="shared" si="18"/>
        <v>Nov</v>
      </c>
      <c r="E194" s="7" t="str">
        <f t="shared" si="19"/>
        <v>Wed</v>
      </c>
      <c r="F194" t="s">
        <v>30</v>
      </c>
      <c r="G194" t="s">
        <v>16</v>
      </c>
      <c r="H194" t="s">
        <v>11</v>
      </c>
      <c r="I194" s="2" t="str">
        <f t="shared" si="16"/>
        <v>East</v>
      </c>
      <c r="J194" t="s">
        <v>12</v>
      </c>
      <c r="K194" t="s">
        <v>245</v>
      </c>
      <c r="L194">
        <v>7</v>
      </c>
      <c r="M194">
        <v>120</v>
      </c>
      <c r="N194">
        <f t="shared" si="20"/>
        <v>840</v>
      </c>
      <c r="O194">
        <f t="shared" si="21"/>
        <v>84</v>
      </c>
      <c r="P194" t="str">
        <f t="shared" si="22"/>
        <v>Large Order</v>
      </c>
      <c r="Q194" t="str">
        <f t="shared" si="23"/>
        <v>Weekday</v>
      </c>
    </row>
    <row r="195" spans="1:17" x14ac:dyDescent="0.35">
      <c r="A195" t="s">
        <v>294</v>
      </c>
      <c r="B195" s="7">
        <v>45372</v>
      </c>
      <c r="C195" s="13">
        <f t="shared" si="17"/>
        <v>2024</v>
      </c>
      <c r="D195" s="7" t="str">
        <f t="shared" si="18"/>
        <v>Mar</v>
      </c>
      <c r="E195" s="7" t="str">
        <f t="shared" si="19"/>
        <v>Thu</v>
      </c>
      <c r="F195" t="s">
        <v>64</v>
      </c>
      <c r="G195" t="s">
        <v>31</v>
      </c>
      <c r="H195" t="s">
        <v>22</v>
      </c>
      <c r="I195" s="2" t="str">
        <f t="shared" ref="I195:I258" si="24">TRIM(J196)</f>
        <v>South</v>
      </c>
      <c r="J195" t="s">
        <v>42</v>
      </c>
      <c r="K195" t="s">
        <v>32</v>
      </c>
      <c r="L195">
        <v>10</v>
      </c>
      <c r="M195">
        <v>120</v>
      </c>
      <c r="N195">
        <f t="shared" si="20"/>
        <v>1200</v>
      </c>
      <c r="O195">
        <f t="shared" si="21"/>
        <v>120</v>
      </c>
      <c r="P195" t="str">
        <f t="shared" si="22"/>
        <v>Large Order</v>
      </c>
      <c r="Q195" t="str">
        <f t="shared" si="23"/>
        <v>Weekday</v>
      </c>
    </row>
    <row r="196" spans="1:17" x14ac:dyDescent="0.35">
      <c r="A196" t="s">
        <v>295</v>
      </c>
      <c r="B196" s="7">
        <v>45371</v>
      </c>
      <c r="C196" s="13">
        <f t="shared" ref="C196:C259" si="25">YEAR(B196)</f>
        <v>2024</v>
      </c>
      <c r="D196" s="7" t="str">
        <f t="shared" ref="D196:D259" si="26">TEXT(B196,"mmm")</f>
        <v>Mar</v>
      </c>
      <c r="E196" s="7" t="str">
        <f t="shared" ref="E196:E259" si="27">TEXT(B196,"ddd")</f>
        <v>Wed</v>
      </c>
      <c r="F196" t="s">
        <v>118</v>
      </c>
      <c r="G196" t="s">
        <v>21</v>
      </c>
      <c r="H196" t="s">
        <v>22</v>
      </c>
      <c r="I196" s="2" t="str">
        <f t="shared" si="24"/>
        <v>West</v>
      </c>
      <c r="J196" t="s">
        <v>56</v>
      </c>
      <c r="K196" t="s">
        <v>23</v>
      </c>
      <c r="L196">
        <v>2</v>
      </c>
      <c r="M196">
        <v>120</v>
      </c>
      <c r="N196">
        <f t="shared" ref="N196:N259" si="28">M196*L196</f>
        <v>240</v>
      </c>
      <c r="O196">
        <f t="shared" ref="O196:O259" si="29">N196*0.1</f>
        <v>24</v>
      </c>
      <c r="P196" t="str">
        <f t="shared" ref="P196:P259" si="30">IF(N196&gt;500,"Large Order","Standard Order")</f>
        <v>Standard Order</v>
      </c>
      <c r="Q196" t="str">
        <f t="shared" ref="Q196:Q259" si="31">IF(OR(TRIM(E196)="Sat",TRIM(E196)="Sun"),"Weekend","Weekday")</f>
        <v>Weekday</v>
      </c>
    </row>
    <row r="197" spans="1:17" x14ac:dyDescent="0.35">
      <c r="A197" t="s">
        <v>296</v>
      </c>
      <c r="B197" s="7">
        <v>45509</v>
      </c>
      <c r="C197" s="13">
        <f t="shared" si="25"/>
        <v>2024</v>
      </c>
      <c r="D197" s="7" t="str">
        <f t="shared" si="26"/>
        <v>Aug</v>
      </c>
      <c r="E197" s="7" t="str">
        <f t="shared" si="27"/>
        <v>Mon</v>
      </c>
      <c r="F197" t="s">
        <v>230</v>
      </c>
      <c r="G197" t="s">
        <v>84</v>
      </c>
      <c r="H197" t="s">
        <v>17</v>
      </c>
      <c r="I197" s="2" t="str">
        <f t="shared" si="24"/>
        <v>East</v>
      </c>
      <c r="J197" t="s">
        <v>27</v>
      </c>
      <c r="K197" t="s">
        <v>23</v>
      </c>
      <c r="L197">
        <v>5</v>
      </c>
      <c r="M197">
        <v>120</v>
      </c>
      <c r="N197">
        <f t="shared" si="28"/>
        <v>600</v>
      </c>
      <c r="O197">
        <f t="shared" si="29"/>
        <v>60</v>
      </c>
      <c r="P197" t="str">
        <f t="shared" si="30"/>
        <v>Large Order</v>
      </c>
      <c r="Q197" t="str">
        <f t="shared" si="31"/>
        <v>Weekday</v>
      </c>
    </row>
    <row r="198" spans="1:17" x14ac:dyDescent="0.35">
      <c r="A198" t="s">
        <v>297</v>
      </c>
      <c r="B198" s="7">
        <v>45350</v>
      </c>
      <c r="C198" s="13">
        <f t="shared" si="25"/>
        <v>2024</v>
      </c>
      <c r="D198" s="7" t="str">
        <f t="shared" si="26"/>
        <v>Feb</v>
      </c>
      <c r="E198" s="7" t="str">
        <f t="shared" si="27"/>
        <v>Wed</v>
      </c>
      <c r="F198" t="s">
        <v>78</v>
      </c>
      <c r="G198" t="s">
        <v>35</v>
      </c>
      <c r="H198" t="s">
        <v>17</v>
      </c>
      <c r="I198" s="2" t="str">
        <f t="shared" si="24"/>
        <v>East</v>
      </c>
      <c r="J198" t="s">
        <v>42</v>
      </c>
      <c r="K198" t="s">
        <v>36</v>
      </c>
      <c r="L198">
        <v>11</v>
      </c>
      <c r="M198">
        <v>120</v>
      </c>
      <c r="N198">
        <f t="shared" si="28"/>
        <v>1320</v>
      </c>
      <c r="O198">
        <f t="shared" si="29"/>
        <v>132</v>
      </c>
      <c r="P198" t="str">
        <f t="shared" si="30"/>
        <v>Large Order</v>
      </c>
      <c r="Q198" t="str">
        <f t="shared" si="31"/>
        <v>Weekday</v>
      </c>
    </row>
    <row r="199" spans="1:17" x14ac:dyDescent="0.35">
      <c r="A199" t="s">
        <v>298</v>
      </c>
      <c r="B199" s="7">
        <v>45561</v>
      </c>
      <c r="C199" s="13">
        <f t="shared" si="25"/>
        <v>2024</v>
      </c>
      <c r="D199" s="7" t="str">
        <f t="shared" si="26"/>
        <v>Sep</v>
      </c>
      <c r="E199" s="7" t="str">
        <f t="shared" si="27"/>
        <v>Thu</v>
      </c>
      <c r="F199" t="s">
        <v>15</v>
      </c>
      <c r="G199" t="s">
        <v>79</v>
      </c>
      <c r="H199" t="s">
        <v>17</v>
      </c>
      <c r="I199" s="2" t="str">
        <f t="shared" si="24"/>
        <v>South</v>
      </c>
      <c r="J199" t="s">
        <v>42</v>
      </c>
      <c r="K199" t="s">
        <v>13</v>
      </c>
      <c r="L199">
        <v>10</v>
      </c>
      <c r="M199">
        <v>120</v>
      </c>
      <c r="N199">
        <f t="shared" si="28"/>
        <v>1200</v>
      </c>
      <c r="O199">
        <f t="shared" si="29"/>
        <v>120</v>
      </c>
      <c r="P199" t="str">
        <f t="shared" si="30"/>
        <v>Large Order</v>
      </c>
      <c r="Q199" t="str">
        <f t="shared" si="31"/>
        <v>Weekday</v>
      </c>
    </row>
    <row r="200" spans="1:17" x14ac:dyDescent="0.35">
      <c r="A200" t="s">
        <v>299</v>
      </c>
      <c r="B200" s="7">
        <v>45446</v>
      </c>
      <c r="C200" s="13">
        <f t="shared" si="25"/>
        <v>2024</v>
      </c>
      <c r="D200" s="7" t="str">
        <f t="shared" si="26"/>
        <v>Jun</v>
      </c>
      <c r="E200" s="7" t="str">
        <f t="shared" si="27"/>
        <v>Mon</v>
      </c>
      <c r="F200" t="s">
        <v>78</v>
      </c>
      <c r="G200" t="s">
        <v>197</v>
      </c>
      <c r="H200" t="s">
        <v>17</v>
      </c>
      <c r="I200" s="2" t="str">
        <f t="shared" si="24"/>
        <v>South</v>
      </c>
      <c r="J200" t="s">
        <v>56</v>
      </c>
      <c r="K200" t="s">
        <v>28</v>
      </c>
      <c r="L200">
        <v>6</v>
      </c>
      <c r="M200">
        <v>120</v>
      </c>
      <c r="N200">
        <f t="shared" si="28"/>
        <v>720</v>
      </c>
      <c r="O200">
        <f t="shared" si="29"/>
        <v>72</v>
      </c>
      <c r="P200" t="str">
        <f t="shared" si="30"/>
        <v>Large Order</v>
      </c>
      <c r="Q200" t="str">
        <f t="shared" si="31"/>
        <v>Weekday</v>
      </c>
    </row>
    <row r="201" spans="1:17" x14ac:dyDescent="0.35">
      <c r="A201" t="s">
        <v>300</v>
      </c>
      <c r="B201" s="7">
        <v>45512</v>
      </c>
      <c r="C201" s="13">
        <f t="shared" si="25"/>
        <v>2024</v>
      </c>
      <c r="D201" s="7" t="str">
        <f t="shared" si="26"/>
        <v>Aug</v>
      </c>
      <c r="E201" s="7" t="str">
        <f t="shared" si="27"/>
        <v>Thu</v>
      </c>
      <c r="F201" t="s">
        <v>89</v>
      </c>
      <c r="G201" t="s">
        <v>26</v>
      </c>
      <c r="I201" s="2" t="str">
        <f t="shared" si="24"/>
        <v>East</v>
      </c>
      <c r="J201" t="s">
        <v>56</v>
      </c>
      <c r="K201" t="s">
        <v>28</v>
      </c>
      <c r="L201">
        <v>12</v>
      </c>
      <c r="M201">
        <v>120</v>
      </c>
      <c r="N201">
        <f t="shared" si="28"/>
        <v>1440</v>
      </c>
      <c r="O201">
        <f t="shared" si="29"/>
        <v>144</v>
      </c>
      <c r="P201" t="str">
        <f t="shared" si="30"/>
        <v>Large Order</v>
      </c>
      <c r="Q201" t="str">
        <f t="shared" si="31"/>
        <v>Weekday</v>
      </c>
    </row>
    <row r="202" spans="1:17" x14ac:dyDescent="0.35">
      <c r="A202" t="s">
        <v>301</v>
      </c>
      <c r="B202" s="7">
        <v>45634</v>
      </c>
      <c r="C202" s="13">
        <f t="shared" si="25"/>
        <v>2024</v>
      </c>
      <c r="D202" s="7" t="str">
        <f t="shared" si="26"/>
        <v>Dec</v>
      </c>
      <c r="E202" s="7" t="str">
        <f t="shared" si="27"/>
        <v>Sun</v>
      </c>
      <c r="F202" t="s">
        <v>51</v>
      </c>
      <c r="G202" t="s">
        <v>102</v>
      </c>
      <c r="H202" t="s">
        <v>22</v>
      </c>
      <c r="I202" s="2" t="str">
        <f t="shared" si="24"/>
        <v>East</v>
      </c>
      <c r="J202" t="s">
        <v>42</v>
      </c>
      <c r="K202" t="s">
        <v>13</v>
      </c>
      <c r="L202">
        <v>1</v>
      </c>
      <c r="M202">
        <v>120</v>
      </c>
      <c r="N202">
        <f t="shared" si="28"/>
        <v>120</v>
      </c>
      <c r="O202">
        <f t="shared" si="29"/>
        <v>12</v>
      </c>
      <c r="P202" t="str">
        <f t="shared" si="30"/>
        <v>Standard Order</v>
      </c>
      <c r="Q202" t="str">
        <f t="shared" si="31"/>
        <v>Weekend</v>
      </c>
    </row>
    <row r="203" spans="1:17" x14ac:dyDescent="0.35">
      <c r="A203" t="s">
        <v>302</v>
      </c>
      <c r="B203" s="7">
        <v>45619</v>
      </c>
      <c r="C203" s="13">
        <f t="shared" si="25"/>
        <v>2024</v>
      </c>
      <c r="D203" s="7" t="str">
        <f t="shared" si="26"/>
        <v>Nov</v>
      </c>
      <c r="E203" s="7" t="str">
        <f t="shared" si="27"/>
        <v>Sat</v>
      </c>
      <c r="F203" t="s">
        <v>40</v>
      </c>
      <c r="G203" t="s">
        <v>197</v>
      </c>
      <c r="H203" t="s">
        <v>11</v>
      </c>
      <c r="I203" s="2" t="str">
        <f t="shared" si="24"/>
        <v>North</v>
      </c>
      <c r="J203" t="s">
        <v>42</v>
      </c>
      <c r="K203" t="s">
        <v>13</v>
      </c>
      <c r="L203">
        <v>8</v>
      </c>
      <c r="M203">
        <v>120</v>
      </c>
      <c r="N203">
        <f t="shared" si="28"/>
        <v>960</v>
      </c>
      <c r="O203">
        <f t="shared" si="29"/>
        <v>96</v>
      </c>
      <c r="P203" t="str">
        <f t="shared" si="30"/>
        <v>Large Order</v>
      </c>
      <c r="Q203" t="str">
        <f t="shared" si="31"/>
        <v>Weekend</v>
      </c>
    </row>
    <row r="204" spans="1:17" x14ac:dyDescent="0.35">
      <c r="A204" t="s">
        <v>303</v>
      </c>
      <c r="B204" s="7">
        <v>45638</v>
      </c>
      <c r="C204" s="13">
        <f t="shared" si="25"/>
        <v>2024</v>
      </c>
      <c r="D204" s="7" t="str">
        <f t="shared" si="26"/>
        <v>Dec</v>
      </c>
      <c r="E204" s="7" t="str">
        <f t="shared" si="27"/>
        <v>Thu</v>
      </c>
      <c r="F204" t="s">
        <v>304</v>
      </c>
      <c r="G204" t="s">
        <v>59</v>
      </c>
      <c r="H204" t="s">
        <v>22</v>
      </c>
      <c r="I204" s="2" t="str">
        <f t="shared" si="24"/>
        <v>Central</v>
      </c>
      <c r="J204" t="s">
        <v>12</v>
      </c>
      <c r="K204" t="s">
        <v>13</v>
      </c>
      <c r="L204">
        <v>14</v>
      </c>
      <c r="M204">
        <v>120</v>
      </c>
      <c r="N204">
        <f t="shared" si="28"/>
        <v>1680</v>
      </c>
      <c r="O204">
        <f t="shared" si="29"/>
        <v>168</v>
      </c>
      <c r="P204" t="str">
        <f t="shared" si="30"/>
        <v>Large Order</v>
      </c>
      <c r="Q204" t="str">
        <f t="shared" si="31"/>
        <v>Weekday</v>
      </c>
    </row>
    <row r="205" spans="1:17" x14ac:dyDescent="0.35">
      <c r="A205" t="s">
        <v>305</v>
      </c>
      <c r="B205" s="7">
        <v>45403</v>
      </c>
      <c r="C205" s="13">
        <f t="shared" si="25"/>
        <v>2024</v>
      </c>
      <c r="D205" s="7" t="str">
        <f t="shared" si="26"/>
        <v>Apr</v>
      </c>
      <c r="E205" s="7" t="str">
        <f t="shared" si="27"/>
        <v>Sun</v>
      </c>
      <c r="F205" t="s">
        <v>51</v>
      </c>
      <c r="G205" t="s">
        <v>96</v>
      </c>
      <c r="H205" t="s">
        <v>22</v>
      </c>
      <c r="I205" s="2" t="str">
        <f t="shared" si="24"/>
        <v>Central</v>
      </c>
      <c r="J205" t="s">
        <v>306</v>
      </c>
      <c r="K205" t="s">
        <v>36</v>
      </c>
      <c r="L205">
        <v>18</v>
      </c>
      <c r="M205">
        <v>120</v>
      </c>
      <c r="N205">
        <f t="shared" si="28"/>
        <v>2160</v>
      </c>
      <c r="O205">
        <f t="shared" si="29"/>
        <v>216</v>
      </c>
      <c r="P205" t="str">
        <f t="shared" si="30"/>
        <v>Large Order</v>
      </c>
      <c r="Q205" t="str">
        <f t="shared" si="31"/>
        <v>Weekend</v>
      </c>
    </row>
    <row r="206" spans="1:17" x14ac:dyDescent="0.35">
      <c r="A206" t="s">
        <v>307</v>
      </c>
      <c r="B206" s="7">
        <v>45506</v>
      </c>
      <c r="C206" s="13">
        <f t="shared" si="25"/>
        <v>2024</v>
      </c>
      <c r="D206" s="7" t="str">
        <f t="shared" si="26"/>
        <v>Aug</v>
      </c>
      <c r="E206" s="7" t="str">
        <f t="shared" si="27"/>
        <v>Fri</v>
      </c>
      <c r="F206" t="s">
        <v>240</v>
      </c>
      <c r="G206" t="s">
        <v>26</v>
      </c>
      <c r="H206" t="s">
        <v>17</v>
      </c>
      <c r="I206" s="2" t="str">
        <f t="shared" si="24"/>
        <v>East</v>
      </c>
      <c r="J206" t="s">
        <v>306</v>
      </c>
      <c r="K206" t="s">
        <v>28</v>
      </c>
      <c r="L206">
        <v>1</v>
      </c>
      <c r="M206">
        <v>120</v>
      </c>
      <c r="N206">
        <f t="shared" si="28"/>
        <v>120</v>
      </c>
      <c r="O206">
        <f t="shared" si="29"/>
        <v>12</v>
      </c>
      <c r="P206" t="str">
        <f t="shared" si="30"/>
        <v>Standard Order</v>
      </c>
      <c r="Q206" t="str">
        <f t="shared" si="31"/>
        <v>Weekday</v>
      </c>
    </row>
    <row r="207" spans="1:17" x14ac:dyDescent="0.35">
      <c r="A207" t="s">
        <v>308</v>
      </c>
      <c r="B207" s="7">
        <v>45649</v>
      </c>
      <c r="C207" s="13">
        <f t="shared" si="25"/>
        <v>2024</v>
      </c>
      <c r="D207" s="7" t="str">
        <f t="shared" si="26"/>
        <v>Dec</v>
      </c>
      <c r="E207" s="7" t="str">
        <f t="shared" si="27"/>
        <v>Mon</v>
      </c>
      <c r="F207" t="s">
        <v>309</v>
      </c>
      <c r="G207" t="s">
        <v>16</v>
      </c>
      <c r="H207" t="s">
        <v>17</v>
      </c>
      <c r="I207" s="2" t="str">
        <f t="shared" si="24"/>
        <v>North</v>
      </c>
      <c r="J207" t="s">
        <v>42</v>
      </c>
      <c r="K207" t="s">
        <v>32</v>
      </c>
      <c r="L207">
        <v>7</v>
      </c>
      <c r="M207">
        <v>120</v>
      </c>
      <c r="N207">
        <f t="shared" si="28"/>
        <v>840</v>
      </c>
      <c r="O207">
        <f t="shared" si="29"/>
        <v>84</v>
      </c>
      <c r="P207" t="str">
        <f t="shared" si="30"/>
        <v>Large Order</v>
      </c>
      <c r="Q207" t="str">
        <f t="shared" si="31"/>
        <v>Weekday</v>
      </c>
    </row>
    <row r="208" spans="1:17" x14ac:dyDescent="0.35">
      <c r="A208" t="s">
        <v>310</v>
      </c>
      <c r="B208" s="7">
        <v>45344</v>
      </c>
      <c r="C208" s="13">
        <f t="shared" si="25"/>
        <v>2024</v>
      </c>
      <c r="D208" s="7" t="str">
        <f t="shared" si="26"/>
        <v>Feb</v>
      </c>
      <c r="E208" s="7" t="str">
        <f t="shared" si="27"/>
        <v>Thu</v>
      </c>
      <c r="F208" t="s">
        <v>203</v>
      </c>
      <c r="G208" t="s">
        <v>48</v>
      </c>
      <c r="H208" t="s">
        <v>17</v>
      </c>
      <c r="I208" s="2" t="str">
        <f t="shared" si="24"/>
        <v>West</v>
      </c>
      <c r="J208" t="s">
        <v>12</v>
      </c>
      <c r="K208" t="s">
        <v>13</v>
      </c>
      <c r="L208">
        <v>12</v>
      </c>
      <c r="M208">
        <v>120</v>
      </c>
      <c r="N208">
        <f t="shared" si="28"/>
        <v>1440</v>
      </c>
      <c r="O208">
        <f t="shared" si="29"/>
        <v>144</v>
      </c>
      <c r="P208" t="str">
        <f t="shared" si="30"/>
        <v>Large Order</v>
      </c>
      <c r="Q208" t="str">
        <f t="shared" si="31"/>
        <v>Weekday</v>
      </c>
    </row>
    <row r="209" spans="1:17" x14ac:dyDescent="0.35">
      <c r="A209" t="s">
        <v>311</v>
      </c>
      <c r="B209" s="7">
        <v>45527</v>
      </c>
      <c r="C209" s="13">
        <f t="shared" si="25"/>
        <v>2024</v>
      </c>
      <c r="D209" s="7" t="str">
        <f t="shared" si="26"/>
        <v>Aug</v>
      </c>
      <c r="E209" s="7" t="str">
        <f t="shared" si="27"/>
        <v>Fri</v>
      </c>
      <c r="F209" t="s">
        <v>312</v>
      </c>
      <c r="G209" t="s">
        <v>10</v>
      </c>
      <c r="H209" t="s">
        <v>11</v>
      </c>
      <c r="I209" s="2" t="str">
        <f t="shared" si="24"/>
        <v>North</v>
      </c>
      <c r="J209" t="s">
        <v>27</v>
      </c>
      <c r="K209" t="s">
        <v>36</v>
      </c>
      <c r="L209">
        <v>18</v>
      </c>
      <c r="M209">
        <v>120</v>
      </c>
      <c r="N209">
        <f t="shared" si="28"/>
        <v>2160</v>
      </c>
      <c r="O209">
        <f t="shared" si="29"/>
        <v>216</v>
      </c>
      <c r="P209" t="str">
        <f t="shared" si="30"/>
        <v>Large Order</v>
      </c>
      <c r="Q209" t="str">
        <f t="shared" si="31"/>
        <v>Weekday</v>
      </c>
    </row>
    <row r="210" spans="1:17" x14ac:dyDescent="0.35">
      <c r="A210" t="s">
        <v>313</v>
      </c>
      <c r="B210" s="7">
        <v>45477</v>
      </c>
      <c r="C210" s="13">
        <f t="shared" si="25"/>
        <v>2024</v>
      </c>
      <c r="D210" s="7" t="str">
        <f t="shared" si="26"/>
        <v>Jul</v>
      </c>
      <c r="E210" s="7" t="str">
        <f t="shared" si="27"/>
        <v>Thu</v>
      </c>
      <c r="F210" t="s">
        <v>314</v>
      </c>
      <c r="G210" t="s">
        <v>79</v>
      </c>
      <c r="H210" t="s">
        <v>11</v>
      </c>
      <c r="I210" s="2" t="str">
        <f t="shared" si="24"/>
        <v>East</v>
      </c>
      <c r="J210" t="s">
        <v>12</v>
      </c>
      <c r="K210" t="s">
        <v>13</v>
      </c>
      <c r="L210">
        <v>8</v>
      </c>
      <c r="M210">
        <v>120</v>
      </c>
      <c r="N210">
        <f t="shared" si="28"/>
        <v>960</v>
      </c>
      <c r="O210">
        <f t="shared" si="29"/>
        <v>96</v>
      </c>
      <c r="P210" t="str">
        <f t="shared" si="30"/>
        <v>Large Order</v>
      </c>
      <c r="Q210" t="str">
        <f t="shared" si="31"/>
        <v>Weekday</v>
      </c>
    </row>
    <row r="211" spans="1:17" x14ac:dyDescent="0.35">
      <c r="A211" t="s">
        <v>315</v>
      </c>
      <c r="B211" s="7">
        <v>45411</v>
      </c>
      <c r="C211" s="13">
        <f t="shared" si="25"/>
        <v>2024</v>
      </c>
      <c r="D211" s="7" t="str">
        <f t="shared" si="26"/>
        <v>Apr</v>
      </c>
      <c r="E211" s="7" t="str">
        <f t="shared" si="27"/>
        <v>Mon</v>
      </c>
      <c r="F211" t="s">
        <v>108</v>
      </c>
      <c r="G211" t="s">
        <v>70</v>
      </c>
      <c r="H211" t="s">
        <v>17</v>
      </c>
      <c r="I211" s="2" t="str">
        <f t="shared" si="24"/>
        <v>North</v>
      </c>
      <c r="J211" t="s">
        <v>42</v>
      </c>
      <c r="K211" t="s">
        <v>32</v>
      </c>
      <c r="L211">
        <v>12</v>
      </c>
      <c r="M211">
        <v>120</v>
      </c>
      <c r="N211">
        <f t="shared" si="28"/>
        <v>1440</v>
      </c>
      <c r="O211">
        <f t="shared" si="29"/>
        <v>144</v>
      </c>
      <c r="P211" t="str">
        <f t="shared" si="30"/>
        <v>Large Order</v>
      </c>
      <c r="Q211" t="str">
        <f t="shared" si="31"/>
        <v>Weekday</v>
      </c>
    </row>
    <row r="212" spans="1:17" x14ac:dyDescent="0.35">
      <c r="A212" t="s">
        <v>316</v>
      </c>
      <c r="B212" s="7">
        <v>45399</v>
      </c>
      <c r="C212" s="13">
        <f t="shared" si="25"/>
        <v>2024</v>
      </c>
      <c r="D212" s="7" t="str">
        <f t="shared" si="26"/>
        <v>Apr</v>
      </c>
      <c r="E212" s="7" t="str">
        <f t="shared" si="27"/>
        <v>Wed</v>
      </c>
      <c r="F212" t="s">
        <v>317</v>
      </c>
      <c r="G212" t="s">
        <v>109</v>
      </c>
      <c r="H212" t="s">
        <v>17</v>
      </c>
      <c r="I212" s="2" t="str">
        <f t="shared" si="24"/>
        <v>East</v>
      </c>
      <c r="J212" t="s">
        <v>12</v>
      </c>
      <c r="K212" t="s">
        <v>28</v>
      </c>
      <c r="L212">
        <v>6</v>
      </c>
      <c r="M212">
        <v>120</v>
      </c>
      <c r="N212">
        <f t="shared" si="28"/>
        <v>720</v>
      </c>
      <c r="O212">
        <f t="shared" si="29"/>
        <v>72</v>
      </c>
      <c r="P212" t="str">
        <f t="shared" si="30"/>
        <v>Large Order</v>
      </c>
      <c r="Q212" t="str">
        <f t="shared" si="31"/>
        <v>Weekday</v>
      </c>
    </row>
    <row r="213" spans="1:17" x14ac:dyDescent="0.35">
      <c r="A213" t="s">
        <v>318</v>
      </c>
      <c r="B213" s="7">
        <v>45375</v>
      </c>
      <c r="C213" s="13">
        <f t="shared" si="25"/>
        <v>2024</v>
      </c>
      <c r="D213" s="7" t="str">
        <f t="shared" si="26"/>
        <v>Mar</v>
      </c>
      <c r="E213" s="7" t="str">
        <f t="shared" si="27"/>
        <v>Sun</v>
      </c>
      <c r="F213" t="s">
        <v>319</v>
      </c>
      <c r="G213" t="s">
        <v>21</v>
      </c>
      <c r="H213" t="s">
        <v>17</v>
      </c>
      <c r="I213" s="2" t="str">
        <f t="shared" si="24"/>
        <v>East</v>
      </c>
      <c r="J213" t="s">
        <v>42</v>
      </c>
      <c r="K213" t="s">
        <v>32</v>
      </c>
      <c r="L213">
        <v>18</v>
      </c>
      <c r="M213">
        <v>120</v>
      </c>
      <c r="N213">
        <f t="shared" si="28"/>
        <v>2160</v>
      </c>
      <c r="O213">
        <f t="shared" si="29"/>
        <v>216</v>
      </c>
      <c r="P213" t="str">
        <f t="shared" si="30"/>
        <v>Large Order</v>
      </c>
      <c r="Q213" t="str">
        <f t="shared" si="31"/>
        <v>Weekend</v>
      </c>
    </row>
    <row r="214" spans="1:17" x14ac:dyDescent="0.35">
      <c r="A214" t="s">
        <v>320</v>
      </c>
      <c r="B214" s="7">
        <v>45320</v>
      </c>
      <c r="C214" s="13">
        <f t="shared" si="25"/>
        <v>2024</v>
      </c>
      <c r="D214" s="7" t="str">
        <f t="shared" si="26"/>
        <v>Jan</v>
      </c>
      <c r="E214" s="7" t="str">
        <f t="shared" si="27"/>
        <v>Mon</v>
      </c>
      <c r="F214" t="s">
        <v>51</v>
      </c>
      <c r="G214" t="s">
        <v>31</v>
      </c>
      <c r="H214" t="s">
        <v>11</v>
      </c>
      <c r="I214" s="2" t="str">
        <f t="shared" si="24"/>
        <v>West</v>
      </c>
      <c r="J214" t="s">
        <v>42</v>
      </c>
      <c r="K214" t="s">
        <v>36</v>
      </c>
      <c r="L214">
        <v>9</v>
      </c>
      <c r="M214">
        <v>120</v>
      </c>
      <c r="N214">
        <f t="shared" si="28"/>
        <v>1080</v>
      </c>
      <c r="O214">
        <f t="shared" si="29"/>
        <v>108</v>
      </c>
      <c r="P214" t="str">
        <f t="shared" si="30"/>
        <v>Large Order</v>
      </c>
      <c r="Q214" t="str">
        <f t="shared" si="31"/>
        <v>Weekday</v>
      </c>
    </row>
    <row r="215" spans="1:17" x14ac:dyDescent="0.35">
      <c r="A215" t="s">
        <v>321</v>
      </c>
      <c r="B215" s="7">
        <v>45453</v>
      </c>
      <c r="C215" s="13">
        <f t="shared" si="25"/>
        <v>2024</v>
      </c>
      <c r="D215" s="7" t="str">
        <f t="shared" si="26"/>
        <v>Jun</v>
      </c>
      <c r="E215" s="7" t="str">
        <f t="shared" si="27"/>
        <v>Mon</v>
      </c>
      <c r="F215" t="s">
        <v>133</v>
      </c>
      <c r="G215" t="s">
        <v>31</v>
      </c>
      <c r="H215" t="s">
        <v>22</v>
      </c>
      <c r="I215" s="2" t="str">
        <f t="shared" si="24"/>
        <v>Central</v>
      </c>
      <c r="J215" t="s">
        <v>27</v>
      </c>
      <c r="K215" t="s">
        <v>28</v>
      </c>
      <c r="L215">
        <v>15</v>
      </c>
      <c r="M215">
        <v>120</v>
      </c>
      <c r="N215">
        <f t="shared" si="28"/>
        <v>1800</v>
      </c>
      <c r="O215">
        <f t="shared" si="29"/>
        <v>180</v>
      </c>
      <c r="P215" t="str">
        <f t="shared" si="30"/>
        <v>Large Order</v>
      </c>
      <c r="Q215" t="str">
        <f t="shared" si="31"/>
        <v>Weekday</v>
      </c>
    </row>
    <row r="216" spans="1:17" x14ac:dyDescent="0.35">
      <c r="A216" t="s">
        <v>322</v>
      </c>
      <c r="B216" s="7">
        <v>45418</v>
      </c>
      <c r="C216" s="13">
        <f t="shared" si="25"/>
        <v>2024</v>
      </c>
      <c r="D216" s="7" t="str">
        <f t="shared" si="26"/>
        <v>May</v>
      </c>
      <c r="E216" s="7" t="str">
        <f t="shared" si="27"/>
        <v>Mon</v>
      </c>
      <c r="F216" t="s">
        <v>323</v>
      </c>
      <c r="G216" t="s">
        <v>26</v>
      </c>
      <c r="H216" t="s">
        <v>22</v>
      </c>
      <c r="I216" s="2" t="str">
        <f t="shared" si="24"/>
        <v>South</v>
      </c>
      <c r="J216" t="s">
        <v>306</v>
      </c>
      <c r="K216" t="s">
        <v>36</v>
      </c>
      <c r="L216">
        <v>19</v>
      </c>
      <c r="M216">
        <v>120</v>
      </c>
      <c r="N216">
        <f t="shared" si="28"/>
        <v>2280</v>
      </c>
      <c r="O216">
        <f t="shared" si="29"/>
        <v>228</v>
      </c>
      <c r="P216" t="str">
        <f t="shared" si="30"/>
        <v>Large Order</v>
      </c>
      <c r="Q216" t="str">
        <f t="shared" si="31"/>
        <v>Weekday</v>
      </c>
    </row>
    <row r="217" spans="1:17" x14ac:dyDescent="0.35">
      <c r="A217" t="s">
        <v>324</v>
      </c>
      <c r="B217" s="7">
        <v>45496</v>
      </c>
      <c r="C217" s="13">
        <f t="shared" si="25"/>
        <v>2024</v>
      </c>
      <c r="D217" s="7" t="str">
        <f t="shared" si="26"/>
        <v>Jul</v>
      </c>
      <c r="E217" s="7" t="str">
        <f t="shared" si="27"/>
        <v>Tue</v>
      </c>
      <c r="F217" t="s">
        <v>83</v>
      </c>
      <c r="G217" t="s">
        <v>160</v>
      </c>
      <c r="H217" t="s">
        <v>11</v>
      </c>
      <c r="I217" s="2" t="str">
        <f t="shared" si="24"/>
        <v>South</v>
      </c>
      <c r="J217" t="s">
        <v>56</v>
      </c>
      <c r="K217" t="s">
        <v>13</v>
      </c>
      <c r="L217">
        <v>16</v>
      </c>
      <c r="M217">
        <v>120</v>
      </c>
      <c r="N217">
        <f t="shared" si="28"/>
        <v>1920</v>
      </c>
      <c r="O217">
        <f t="shared" si="29"/>
        <v>192</v>
      </c>
      <c r="P217" t="str">
        <f t="shared" si="30"/>
        <v>Large Order</v>
      </c>
      <c r="Q217" t="str">
        <f t="shared" si="31"/>
        <v>Weekday</v>
      </c>
    </row>
    <row r="218" spans="1:17" x14ac:dyDescent="0.35">
      <c r="A218" t="s">
        <v>325</v>
      </c>
      <c r="B218" s="7">
        <v>45348</v>
      </c>
      <c r="C218" s="13">
        <f t="shared" si="25"/>
        <v>2024</v>
      </c>
      <c r="D218" s="7" t="str">
        <f t="shared" si="26"/>
        <v>Feb</v>
      </c>
      <c r="E218" s="7" t="str">
        <f t="shared" si="27"/>
        <v>Mon</v>
      </c>
      <c r="F218" t="s">
        <v>125</v>
      </c>
      <c r="G218" t="s">
        <v>41</v>
      </c>
      <c r="H218" t="s">
        <v>22</v>
      </c>
      <c r="I218" s="2" t="str">
        <f t="shared" si="24"/>
        <v>Central</v>
      </c>
      <c r="J218" t="s">
        <v>56</v>
      </c>
      <c r="K218" t="s">
        <v>23</v>
      </c>
      <c r="L218">
        <v>14</v>
      </c>
      <c r="M218">
        <v>120</v>
      </c>
      <c r="N218">
        <f t="shared" si="28"/>
        <v>1680</v>
      </c>
      <c r="O218">
        <f t="shared" si="29"/>
        <v>168</v>
      </c>
      <c r="P218" t="str">
        <f t="shared" si="30"/>
        <v>Large Order</v>
      </c>
      <c r="Q218" t="str">
        <f t="shared" si="31"/>
        <v>Weekday</v>
      </c>
    </row>
    <row r="219" spans="1:17" x14ac:dyDescent="0.35">
      <c r="A219" t="s">
        <v>326</v>
      </c>
      <c r="B219" s="7">
        <v>45487</v>
      </c>
      <c r="C219" s="13">
        <f t="shared" si="25"/>
        <v>2024</v>
      </c>
      <c r="D219" s="7" t="str">
        <f t="shared" si="26"/>
        <v>Jul</v>
      </c>
      <c r="E219" s="7" t="str">
        <f t="shared" si="27"/>
        <v>Sun</v>
      </c>
      <c r="F219" t="s">
        <v>327</v>
      </c>
      <c r="G219" t="s">
        <v>26</v>
      </c>
      <c r="H219" t="s">
        <v>17</v>
      </c>
      <c r="I219" s="2" t="str">
        <f t="shared" si="24"/>
        <v>Central</v>
      </c>
      <c r="J219" t="s">
        <v>306</v>
      </c>
      <c r="K219" t="s">
        <v>13</v>
      </c>
      <c r="L219">
        <v>18</v>
      </c>
      <c r="M219">
        <v>120</v>
      </c>
      <c r="N219">
        <f t="shared" si="28"/>
        <v>2160</v>
      </c>
      <c r="O219">
        <f t="shared" si="29"/>
        <v>216</v>
      </c>
      <c r="P219" t="str">
        <f t="shared" si="30"/>
        <v>Large Order</v>
      </c>
      <c r="Q219" t="str">
        <f t="shared" si="31"/>
        <v>Weekend</v>
      </c>
    </row>
    <row r="220" spans="1:17" x14ac:dyDescent="0.35">
      <c r="A220" t="s">
        <v>328</v>
      </c>
      <c r="B220" s="7">
        <v>45640</v>
      </c>
      <c r="C220" s="13">
        <f t="shared" si="25"/>
        <v>2024</v>
      </c>
      <c r="D220" s="7" t="str">
        <f t="shared" si="26"/>
        <v>Dec</v>
      </c>
      <c r="E220" s="7" t="str">
        <f t="shared" si="27"/>
        <v>Sat</v>
      </c>
      <c r="F220" t="s">
        <v>329</v>
      </c>
      <c r="G220" t="s">
        <v>119</v>
      </c>
      <c r="H220" t="s">
        <v>11</v>
      </c>
      <c r="I220" s="2" t="str">
        <f t="shared" si="24"/>
        <v>South</v>
      </c>
      <c r="J220" t="s">
        <v>306</v>
      </c>
      <c r="K220" t="s">
        <v>32</v>
      </c>
      <c r="L220">
        <v>9</v>
      </c>
      <c r="M220">
        <v>120</v>
      </c>
      <c r="N220">
        <f t="shared" si="28"/>
        <v>1080</v>
      </c>
      <c r="O220">
        <f t="shared" si="29"/>
        <v>108</v>
      </c>
      <c r="P220" t="str">
        <f t="shared" si="30"/>
        <v>Large Order</v>
      </c>
      <c r="Q220" t="str">
        <f t="shared" si="31"/>
        <v>Weekend</v>
      </c>
    </row>
    <row r="221" spans="1:17" x14ac:dyDescent="0.35">
      <c r="A221" t="s">
        <v>330</v>
      </c>
      <c r="B221" s="7">
        <v>45349</v>
      </c>
      <c r="C221" s="13">
        <f t="shared" si="25"/>
        <v>2024</v>
      </c>
      <c r="D221" s="7" t="str">
        <f t="shared" si="26"/>
        <v>Feb</v>
      </c>
      <c r="E221" s="7" t="str">
        <f t="shared" si="27"/>
        <v>Tue</v>
      </c>
      <c r="F221" t="s">
        <v>61</v>
      </c>
      <c r="G221" t="s">
        <v>70</v>
      </c>
      <c r="H221" t="s">
        <v>17</v>
      </c>
      <c r="I221" s="2" t="str">
        <f t="shared" si="24"/>
        <v>Central</v>
      </c>
      <c r="J221" t="s">
        <v>56</v>
      </c>
      <c r="K221" t="s">
        <v>32</v>
      </c>
      <c r="L221">
        <v>1</v>
      </c>
      <c r="M221">
        <v>120</v>
      </c>
      <c r="N221">
        <f t="shared" si="28"/>
        <v>120</v>
      </c>
      <c r="O221">
        <f t="shared" si="29"/>
        <v>12</v>
      </c>
      <c r="P221" t="str">
        <f t="shared" si="30"/>
        <v>Standard Order</v>
      </c>
      <c r="Q221" t="str">
        <f t="shared" si="31"/>
        <v>Weekday</v>
      </c>
    </row>
    <row r="222" spans="1:17" x14ac:dyDescent="0.35">
      <c r="A222" t="s">
        <v>331</v>
      </c>
      <c r="B222" s="7">
        <v>45548</v>
      </c>
      <c r="C222" s="13">
        <f t="shared" si="25"/>
        <v>2024</v>
      </c>
      <c r="D222" s="7" t="str">
        <f t="shared" si="26"/>
        <v>Sep</v>
      </c>
      <c r="E222" s="7" t="str">
        <f t="shared" si="27"/>
        <v>Fri</v>
      </c>
      <c r="F222" t="s">
        <v>332</v>
      </c>
      <c r="G222" t="s">
        <v>102</v>
      </c>
      <c r="H222" t="s">
        <v>11</v>
      </c>
      <c r="I222" s="2" t="str">
        <f t="shared" si="24"/>
        <v>East</v>
      </c>
      <c r="J222" t="s">
        <v>306</v>
      </c>
      <c r="K222" t="s">
        <v>36</v>
      </c>
      <c r="L222">
        <v>10</v>
      </c>
      <c r="M222">
        <v>120</v>
      </c>
      <c r="N222">
        <f t="shared" si="28"/>
        <v>1200</v>
      </c>
      <c r="O222">
        <f t="shared" si="29"/>
        <v>120</v>
      </c>
      <c r="P222" t="str">
        <f t="shared" si="30"/>
        <v>Large Order</v>
      </c>
      <c r="Q222" t="str">
        <f t="shared" si="31"/>
        <v>Weekday</v>
      </c>
    </row>
    <row r="223" spans="1:17" x14ac:dyDescent="0.35">
      <c r="A223" t="s">
        <v>333</v>
      </c>
      <c r="B223" s="7">
        <v>45603</v>
      </c>
      <c r="C223" s="13">
        <f t="shared" si="25"/>
        <v>2024</v>
      </c>
      <c r="D223" s="7" t="str">
        <f t="shared" si="26"/>
        <v>Nov</v>
      </c>
      <c r="E223" s="7" t="str">
        <f t="shared" si="27"/>
        <v>Thu</v>
      </c>
      <c r="F223" t="s">
        <v>104</v>
      </c>
      <c r="G223" t="s">
        <v>119</v>
      </c>
      <c r="H223" t="s">
        <v>11</v>
      </c>
      <c r="I223" s="2" t="str">
        <f t="shared" si="24"/>
        <v>West</v>
      </c>
      <c r="J223" t="s">
        <v>42</v>
      </c>
      <c r="K223" t="s">
        <v>36</v>
      </c>
      <c r="L223">
        <v>6</v>
      </c>
      <c r="M223">
        <v>120</v>
      </c>
      <c r="N223">
        <f t="shared" si="28"/>
        <v>720</v>
      </c>
      <c r="O223">
        <f t="shared" si="29"/>
        <v>72</v>
      </c>
      <c r="P223" t="str">
        <f t="shared" si="30"/>
        <v>Large Order</v>
      </c>
      <c r="Q223" t="str">
        <f t="shared" si="31"/>
        <v>Weekday</v>
      </c>
    </row>
    <row r="224" spans="1:17" x14ac:dyDescent="0.35">
      <c r="A224" t="s">
        <v>334</v>
      </c>
      <c r="B224" s="7">
        <v>45292</v>
      </c>
      <c r="C224" s="13">
        <f t="shared" si="25"/>
        <v>2024</v>
      </c>
      <c r="D224" s="7" t="str">
        <f t="shared" si="26"/>
        <v>Jan</v>
      </c>
      <c r="E224" s="7" t="str">
        <f t="shared" si="27"/>
        <v>Mon</v>
      </c>
      <c r="F224" t="s">
        <v>327</v>
      </c>
      <c r="G224" t="s">
        <v>96</v>
      </c>
      <c r="H224" t="s">
        <v>17</v>
      </c>
      <c r="I224" s="2" t="str">
        <f t="shared" si="24"/>
        <v>Central</v>
      </c>
      <c r="J224" t="s">
        <v>27</v>
      </c>
      <c r="K224" t="s">
        <v>32</v>
      </c>
      <c r="L224">
        <v>4</v>
      </c>
      <c r="M224">
        <v>120</v>
      </c>
      <c r="N224">
        <f t="shared" si="28"/>
        <v>480</v>
      </c>
      <c r="O224">
        <f t="shared" si="29"/>
        <v>48</v>
      </c>
      <c r="P224" t="str">
        <f t="shared" si="30"/>
        <v>Standard Order</v>
      </c>
      <c r="Q224" t="str">
        <f t="shared" si="31"/>
        <v>Weekday</v>
      </c>
    </row>
    <row r="225" spans="1:17" x14ac:dyDescent="0.35">
      <c r="A225" t="s">
        <v>335</v>
      </c>
      <c r="B225" s="7">
        <v>45414</v>
      </c>
      <c r="C225" s="13">
        <f t="shared" si="25"/>
        <v>2024</v>
      </c>
      <c r="D225" s="7" t="str">
        <f t="shared" si="26"/>
        <v>May</v>
      </c>
      <c r="E225" s="7" t="str">
        <f t="shared" si="27"/>
        <v>Thu</v>
      </c>
      <c r="F225" t="s">
        <v>131</v>
      </c>
      <c r="G225" t="s">
        <v>10</v>
      </c>
      <c r="H225" t="s">
        <v>11</v>
      </c>
      <c r="I225" s="2" t="str">
        <f t="shared" si="24"/>
        <v>South</v>
      </c>
      <c r="J225" t="s">
        <v>306</v>
      </c>
      <c r="K225" t="s">
        <v>13</v>
      </c>
      <c r="L225">
        <v>3</v>
      </c>
      <c r="M225">
        <v>120</v>
      </c>
      <c r="N225">
        <f t="shared" si="28"/>
        <v>360</v>
      </c>
      <c r="O225">
        <f t="shared" si="29"/>
        <v>36</v>
      </c>
      <c r="P225" t="str">
        <f t="shared" si="30"/>
        <v>Standard Order</v>
      </c>
      <c r="Q225" t="str">
        <f t="shared" si="31"/>
        <v>Weekday</v>
      </c>
    </row>
    <row r="226" spans="1:17" x14ac:dyDescent="0.35">
      <c r="A226" t="s">
        <v>336</v>
      </c>
      <c r="B226" s="7">
        <v>45564</v>
      </c>
      <c r="C226" s="13">
        <f t="shared" si="25"/>
        <v>2024</v>
      </c>
      <c r="D226" s="7" t="str">
        <f t="shared" si="26"/>
        <v>Sep</v>
      </c>
      <c r="E226" s="7" t="str">
        <f t="shared" si="27"/>
        <v>Sun</v>
      </c>
      <c r="F226" t="s">
        <v>337</v>
      </c>
      <c r="G226" t="s">
        <v>41</v>
      </c>
      <c r="H226" t="s">
        <v>11</v>
      </c>
      <c r="I226" s="2" t="str">
        <f t="shared" si="24"/>
        <v>West</v>
      </c>
      <c r="J226" t="s">
        <v>56</v>
      </c>
      <c r="K226" t="s">
        <v>28</v>
      </c>
      <c r="L226">
        <v>16</v>
      </c>
      <c r="M226">
        <v>120</v>
      </c>
      <c r="N226">
        <f t="shared" si="28"/>
        <v>1920</v>
      </c>
      <c r="O226">
        <f t="shared" si="29"/>
        <v>192</v>
      </c>
      <c r="P226" t="str">
        <f t="shared" si="30"/>
        <v>Large Order</v>
      </c>
      <c r="Q226" t="str">
        <f t="shared" si="31"/>
        <v>Weekend</v>
      </c>
    </row>
    <row r="227" spans="1:17" x14ac:dyDescent="0.35">
      <c r="A227" t="s">
        <v>338</v>
      </c>
      <c r="B227" s="7">
        <v>45427</v>
      </c>
      <c r="C227" s="13">
        <f t="shared" si="25"/>
        <v>2024</v>
      </c>
      <c r="D227" s="7" t="str">
        <f t="shared" si="26"/>
        <v>May</v>
      </c>
      <c r="E227" s="7" t="str">
        <f t="shared" si="27"/>
        <v>Wed</v>
      </c>
      <c r="F227" t="s">
        <v>339</v>
      </c>
      <c r="G227" t="s">
        <v>65</v>
      </c>
      <c r="H227" t="s">
        <v>22</v>
      </c>
      <c r="I227" s="2" t="str">
        <f t="shared" si="24"/>
        <v>East</v>
      </c>
      <c r="J227" t="s">
        <v>27</v>
      </c>
      <c r="K227" t="s">
        <v>28</v>
      </c>
      <c r="L227">
        <v>18</v>
      </c>
      <c r="M227">
        <v>120</v>
      </c>
      <c r="N227">
        <f t="shared" si="28"/>
        <v>2160</v>
      </c>
      <c r="O227">
        <f t="shared" si="29"/>
        <v>216</v>
      </c>
      <c r="P227" t="str">
        <f t="shared" si="30"/>
        <v>Large Order</v>
      </c>
      <c r="Q227" t="str">
        <f t="shared" si="31"/>
        <v>Weekday</v>
      </c>
    </row>
    <row r="228" spans="1:17" x14ac:dyDescent="0.35">
      <c r="A228" t="s">
        <v>340</v>
      </c>
      <c r="B228" s="7">
        <v>45451</v>
      </c>
      <c r="C228" s="13">
        <f t="shared" si="25"/>
        <v>2024</v>
      </c>
      <c r="D228" s="7" t="str">
        <f t="shared" si="26"/>
        <v>Jun</v>
      </c>
      <c r="E228" s="7" t="str">
        <f t="shared" si="27"/>
        <v>Sat</v>
      </c>
      <c r="F228" t="s">
        <v>341</v>
      </c>
      <c r="G228" t="s">
        <v>70</v>
      </c>
      <c r="H228" t="s">
        <v>22</v>
      </c>
      <c r="I228" s="2" t="str">
        <f t="shared" si="24"/>
        <v>North</v>
      </c>
      <c r="J228" t="s">
        <v>42</v>
      </c>
      <c r="K228" t="s">
        <v>28</v>
      </c>
      <c r="L228">
        <v>17</v>
      </c>
      <c r="M228">
        <v>120</v>
      </c>
      <c r="N228">
        <f t="shared" si="28"/>
        <v>2040</v>
      </c>
      <c r="O228">
        <f t="shared" si="29"/>
        <v>204</v>
      </c>
      <c r="P228" t="str">
        <f t="shared" si="30"/>
        <v>Large Order</v>
      </c>
      <c r="Q228" t="str">
        <f t="shared" si="31"/>
        <v>Weekend</v>
      </c>
    </row>
    <row r="229" spans="1:17" x14ac:dyDescent="0.35">
      <c r="A229" t="s">
        <v>342</v>
      </c>
      <c r="B229" s="7">
        <v>45407</v>
      </c>
      <c r="C229" s="13">
        <f t="shared" si="25"/>
        <v>2024</v>
      </c>
      <c r="D229" s="7" t="str">
        <f t="shared" si="26"/>
        <v>Apr</v>
      </c>
      <c r="E229" s="7" t="str">
        <f t="shared" si="27"/>
        <v>Thu</v>
      </c>
      <c r="F229" t="s">
        <v>58</v>
      </c>
      <c r="G229" t="s">
        <v>59</v>
      </c>
      <c r="H229" t="s">
        <v>17</v>
      </c>
      <c r="I229" s="2" t="str">
        <f t="shared" si="24"/>
        <v>North</v>
      </c>
      <c r="J229" t="s">
        <v>12</v>
      </c>
      <c r="K229" t="s">
        <v>28</v>
      </c>
      <c r="L229">
        <v>18</v>
      </c>
      <c r="M229">
        <v>120</v>
      </c>
      <c r="N229">
        <f t="shared" si="28"/>
        <v>2160</v>
      </c>
      <c r="O229">
        <f t="shared" si="29"/>
        <v>216</v>
      </c>
      <c r="P229" t="str">
        <f t="shared" si="30"/>
        <v>Large Order</v>
      </c>
      <c r="Q229" t="str">
        <f t="shared" si="31"/>
        <v>Weekday</v>
      </c>
    </row>
    <row r="230" spans="1:17" x14ac:dyDescent="0.35">
      <c r="A230" t="s">
        <v>343</v>
      </c>
      <c r="B230" s="7">
        <v>45295</v>
      </c>
      <c r="C230" s="13">
        <f t="shared" si="25"/>
        <v>2024</v>
      </c>
      <c r="D230" s="7" t="str">
        <f t="shared" si="26"/>
        <v>Jan</v>
      </c>
      <c r="E230" s="7" t="str">
        <f t="shared" si="27"/>
        <v>Thu</v>
      </c>
      <c r="F230" t="s">
        <v>208</v>
      </c>
      <c r="G230" t="s">
        <v>197</v>
      </c>
      <c r="H230" t="s">
        <v>22</v>
      </c>
      <c r="I230" s="2" t="str">
        <f t="shared" si="24"/>
        <v>East</v>
      </c>
      <c r="J230" t="s">
        <v>12</v>
      </c>
      <c r="K230" t="s">
        <v>32</v>
      </c>
      <c r="L230">
        <v>3</v>
      </c>
      <c r="M230">
        <v>120</v>
      </c>
      <c r="N230">
        <f t="shared" si="28"/>
        <v>360</v>
      </c>
      <c r="O230">
        <f t="shared" si="29"/>
        <v>36</v>
      </c>
      <c r="P230" t="str">
        <f t="shared" si="30"/>
        <v>Standard Order</v>
      </c>
      <c r="Q230" t="str">
        <f t="shared" si="31"/>
        <v>Weekday</v>
      </c>
    </row>
    <row r="231" spans="1:17" x14ac:dyDescent="0.35">
      <c r="A231" t="s">
        <v>344</v>
      </c>
      <c r="B231" s="7">
        <v>45328</v>
      </c>
      <c r="C231" s="13">
        <f t="shared" si="25"/>
        <v>2024</v>
      </c>
      <c r="D231" s="7" t="str">
        <f t="shared" si="26"/>
        <v>Feb</v>
      </c>
      <c r="E231" s="7" t="str">
        <f t="shared" si="27"/>
        <v>Tue</v>
      </c>
      <c r="F231" t="s">
        <v>345</v>
      </c>
      <c r="G231" t="s">
        <v>41</v>
      </c>
      <c r="H231" t="s">
        <v>11</v>
      </c>
      <c r="I231" s="2" t="str">
        <f t="shared" si="24"/>
        <v>South</v>
      </c>
      <c r="J231" t="s">
        <v>42</v>
      </c>
      <c r="K231" t="s">
        <v>28</v>
      </c>
      <c r="L231">
        <v>16</v>
      </c>
      <c r="M231">
        <v>120</v>
      </c>
      <c r="N231">
        <f t="shared" si="28"/>
        <v>1920</v>
      </c>
      <c r="O231">
        <f t="shared" si="29"/>
        <v>192</v>
      </c>
      <c r="P231" t="str">
        <f t="shared" si="30"/>
        <v>Large Order</v>
      </c>
      <c r="Q231" t="str">
        <f t="shared" si="31"/>
        <v>Weekday</v>
      </c>
    </row>
    <row r="232" spans="1:17" x14ac:dyDescent="0.35">
      <c r="A232" t="s">
        <v>346</v>
      </c>
      <c r="B232" s="7">
        <v>45584</v>
      </c>
      <c r="C232" s="13">
        <f t="shared" si="25"/>
        <v>2024</v>
      </c>
      <c r="D232" s="7" t="str">
        <f t="shared" si="26"/>
        <v>Oct</v>
      </c>
      <c r="E232" s="7" t="str">
        <f t="shared" si="27"/>
        <v>Sat</v>
      </c>
      <c r="F232" t="s">
        <v>314</v>
      </c>
      <c r="G232" t="s">
        <v>35</v>
      </c>
      <c r="H232" t="s">
        <v>17</v>
      </c>
      <c r="I232" s="2" t="str">
        <f t="shared" si="24"/>
        <v>West</v>
      </c>
      <c r="J232" t="s">
        <v>56</v>
      </c>
      <c r="K232" t="s">
        <v>13</v>
      </c>
      <c r="L232">
        <v>14</v>
      </c>
      <c r="M232">
        <v>120</v>
      </c>
      <c r="N232">
        <f t="shared" si="28"/>
        <v>1680</v>
      </c>
      <c r="O232">
        <f t="shared" si="29"/>
        <v>168</v>
      </c>
      <c r="P232" t="str">
        <f t="shared" si="30"/>
        <v>Large Order</v>
      </c>
      <c r="Q232" t="str">
        <f t="shared" si="31"/>
        <v>Weekend</v>
      </c>
    </row>
    <row r="233" spans="1:17" x14ac:dyDescent="0.35">
      <c r="A233" t="s">
        <v>347</v>
      </c>
      <c r="B233" s="7">
        <v>45629</v>
      </c>
      <c r="C233" s="13">
        <f t="shared" si="25"/>
        <v>2024</v>
      </c>
      <c r="D233" s="7" t="str">
        <f t="shared" si="26"/>
        <v>Dec</v>
      </c>
      <c r="E233" s="7" t="str">
        <f t="shared" si="27"/>
        <v>Tue</v>
      </c>
      <c r="F233" t="s">
        <v>348</v>
      </c>
      <c r="G233" t="s">
        <v>87</v>
      </c>
      <c r="H233" t="s">
        <v>17</v>
      </c>
      <c r="I233" s="2" t="str">
        <f t="shared" si="24"/>
        <v>North</v>
      </c>
      <c r="J233" t="s">
        <v>27</v>
      </c>
      <c r="K233" t="s">
        <v>13</v>
      </c>
      <c r="L233">
        <v>15</v>
      </c>
      <c r="M233">
        <v>120</v>
      </c>
      <c r="N233">
        <f t="shared" si="28"/>
        <v>1800</v>
      </c>
      <c r="O233">
        <f t="shared" si="29"/>
        <v>180</v>
      </c>
      <c r="P233" t="str">
        <f t="shared" si="30"/>
        <v>Large Order</v>
      </c>
      <c r="Q233" t="str">
        <f t="shared" si="31"/>
        <v>Weekday</v>
      </c>
    </row>
    <row r="234" spans="1:17" x14ac:dyDescent="0.35">
      <c r="A234" t="s">
        <v>349</v>
      </c>
      <c r="B234" s="7">
        <v>45636</v>
      </c>
      <c r="C234" s="13">
        <f t="shared" si="25"/>
        <v>2024</v>
      </c>
      <c r="D234" s="7" t="str">
        <f t="shared" si="26"/>
        <v>Dec</v>
      </c>
      <c r="E234" s="7" t="str">
        <f t="shared" si="27"/>
        <v>Tue</v>
      </c>
      <c r="F234" t="s">
        <v>350</v>
      </c>
      <c r="G234" t="s">
        <v>79</v>
      </c>
      <c r="H234" t="s">
        <v>22</v>
      </c>
      <c r="I234" s="2" t="str">
        <f t="shared" si="24"/>
        <v>Central</v>
      </c>
      <c r="J234" t="s">
        <v>12</v>
      </c>
      <c r="K234" t="s">
        <v>13</v>
      </c>
      <c r="L234">
        <v>13</v>
      </c>
      <c r="M234">
        <v>120</v>
      </c>
      <c r="N234">
        <f t="shared" si="28"/>
        <v>1560</v>
      </c>
      <c r="O234">
        <f t="shared" si="29"/>
        <v>156</v>
      </c>
      <c r="P234" t="str">
        <f t="shared" si="30"/>
        <v>Large Order</v>
      </c>
      <c r="Q234" t="str">
        <f t="shared" si="31"/>
        <v>Weekday</v>
      </c>
    </row>
    <row r="235" spans="1:17" x14ac:dyDescent="0.35">
      <c r="A235" t="s">
        <v>351</v>
      </c>
      <c r="B235" s="7">
        <v>45419</v>
      </c>
      <c r="C235" s="13">
        <f t="shared" si="25"/>
        <v>2024</v>
      </c>
      <c r="D235" s="7" t="str">
        <f t="shared" si="26"/>
        <v>May</v>
      </c>
      <c r="E235" s="7" t="str">
        <f t="shared" si="27"/>
        <v>Tue</v>
      </c>
      <c r="F235" t="s">
        <v>150</v>
      </c>
      <c r="G235" t="s">
        <v>70</v>
      </c>
      <c r="H235" t="s">
        <v>11</v>
      </c>
      <c r="I235" s="2" t="str">
        <f t="shared" si="24"/>
        <v>West</v>
      </c>
      <c r="J235" t="s">
        <v>306</v>
      </c>
      <c r="K235" t="s">
        <v>32</v>
      </c>
      <c r="L235">
        <v>5</v>
      </c>
      <c r="M235">
        <v>120</v>
      </c>
      <c r="N235">
        <f t="shared" si="28"/>
        <v>600</v>
      </c>
      <c r="O235">
        <f t="shared" si="29"/>
        <v>60</v>
      </c>
      <c r="P235" t="str">
        <f t="shared" si="30"/>
        <v>Large Order</v>
      </c>
      <c r="Q235" t="str">
        <f t="shared" si="31"/>
        <v>Weekday</v>
      </c>
    </row>
    <row r="236" spans="1:17" x14ac:dyDescent="0.35">
      <c r="A236" t="s">
        <v>352</v>
      </c>
      <c r="B236" s="7">
        <v>45528</v>
      </c>
      <c r="C236" s="13">
        <f t="shared" si="25"/>
        <v>2024</v>
      </c>
      <c r="D236" s="7" t="str">
        <f t="shared" si="26"/>
        <v>Aug</v>
      </c>
      <c r="E236" s="7" t="str">
        <f t="shared" si="27"/>
        <v>Sat</v>
      </c>
      <c r="F236" t="s">
        <v>78</v>
      </c>
      <c r="G236" t="s">
        <v>174</v>
      </c>
      <c r="H236" t="s">
        <v>11</v>
      </c>
      <c r="I236" s="2" t="str">
        <f t="shared" si="24"/>
        <v>South</v>
      </c>
      <c r="J236" t="s">
        <v>27</v>
      </c>
      <c r="K236" t="s">
        <v>36</v>
      </c>
      <c r="L236">
        <v>4</v>
      </c>
      <c r="M236">
        <v>120</v>
      </c>
      <c r="N236">
        <f t="shared" si="28"/>
        <v>480</v>
      </c>
      <c r="O236">
        <f t="shared" si="29"/>
        <v>48</v>
      </c>
      <c r="P236" t="str">
        <f t="shared" si="30"/>
        <v>Standard Order</v>
      </c>
      <c r="Q236" t="str">
        <f t="shared" si="31"/>
        <v>Weekend</v>
      </c>
    </row>
    <row r="237" spans="1:17" x14ac:dyDescent="0.35">
      <c r="A237" t="s">
        <v>353</v>
      </c>
      <c r="B237" s="7">
        <v>45299</v>
      </c>
      <c r="C237" s="13">
        <f t="shared" si="25"/>
        <v>2024</v>
      </c>
      <c r="D237" s="7" t="str">
        <f t="shared" si="26"/>
        <v>Jan</v>
      </c>
      <c r="E237" s="7" t="str">
        <f t="shared" si="27"/>
        <v>Mon</v>
      </c>
      <c r="F237" t="s">
        <v>203</v>
      </c>
      <c r="G237" t="s">
        <v>87</v>
      </c>
      <c r="H237" t="s">
        <v>11</v>
      </c>
      <c r="I237" s="2" t="str">
        <f t="shared" si="24"/>
        <v>North</v>
      </c>
      <c r="J237" t="s">
        <v>56</v>
      </c>
      <c r="K237" t="s">
        <v>23</v>
      </c>
      <c r="L237">
        <v>16</v>
      </c>
      <c r="M237">
        <v>120</v>
      </c>
      <c r="N237">
        <f t="shared" si="28"/>
        <v>1920</v>
      </c>
      <c r="O237">
        <f t="shared" si="29"/>
        <v>192</v>
      </c>
      <c r="P237" t="str">
        <f t="shared" si="30"/>
        <v>Large Order</v>
      </c>
      <c r="Q237" t="str">
        <f t="shared" si="31"/>
        <v>Weekday</v>
      </c>
    </row>
    <row r="238" spans="1:17" x14ac:dyDescent="0.35">
      <c r="A238" t="s">
        <v>354</v>
      </c>
      <c r="B238" s="7">
        <v>45322</v>
      </c>
      <c r="C238" s="13">
        <f t="shared" si="25"/>
        <v>2024</v>
      </c>
      <c r="D238" s="7" t="str">
        <f t="shared" si="26"/>
        <v>Jan</v>
      </c>
      <c r="E238" s="7" t="str">
        <f t="shared" si="27"/>
        <v>Wed</v>
      </c>
      <c r="F238" t="s">
        <v>30</v>
      </c>
      <c r="G238" t="s">
        <v>31</v>
      </c>
      <c r="H238" t="s">
        <v>17</v>
      </c>
      <c r="I238" s="2" t="str">
        <f t="shared" si="24"/>
        <v>Central</v>
      </c>
      <c r="J238" t="s">
        <v>12</v>
      </c>
      <c r="K238" t="s">
        <v>23</v>
      </c>
      <c r="L238">
        <v>9</v>
      </c>
      <c r="M238">
        <v>120</v>
      </c>
      <c r="N238">
        <f t="shared" si="28"/>
        <v>1080</v>
      </c>
      <c r="O238">
        <f t="shared" si="29"/>
        <v>108</v>
      </c>
      <c r="P238" t="str">
        <f t="shared" si="30"/>
        <v>Large Order</v>
      </c>
      <c r="Q238" t="str">
        <f t="shared" si="31"/>
        <v>Weekday</v>
      </c>
    </row>
    <row r="239" spans="1:17" x14ac:dyDescent="0.35">
      <c r="A239" t="s">
        <v>355</v>
      </c>
      <c r="B239" s="7">
        <v>45438</v>
      </c>
      <c r="C239" s="13">
        <f t="shared" si="25"/>
        <v>2024</v>
      </c>
      <c r="D239" s="7" t="str">
        <f t="shared" si="26"/>
        <v>May</v>
      </c>
      <c r="E239" s="7" t="str">
        <f t="shared" si="27"/>
        <v>Sun</v>
      </c>
      <c r="F239" t="s">
        <v>309</v>
      </c>
      <c r="G239" t="s">
        <v>41</v>
      </c>
      <c r="H239" t="s">
        <v>22</v>
      </c>
      <c r="I239" s="2" t="str">
        <f t="shared" si="24"/>
        <v>Central</v>
      </c>
      <c r="J239" t="s">
        <v>306</v>
      </c>
      <c r="K239" t="s">
        <v>32</v>
      </c>
      <c r="L239">
        <v>16</v>
      </c>
      <c r="M239">
        <v>120</v>
      </c>
      <c r="N239">
        <f t="shared" si="28"/>
        <v>1920</v>
      </c>
      <c r="O239">
        <f t="shared" si="29"/>
        <v>192</v>
      </c>
      <c r="P239" t="str">
        <f t="shared" si="30"/>
        <v>Large Order</v>
      </c>
      <c r="Q239" t="str">
        <f t="shared" si="31"/>
        <v>Weekend</v>
      </c>
    </row>
    <row r="240" spans="1:17" x14ac:dyDescent="0.35">
      <c r="A240" t="s">
        <v>356</v>
      </c>
      <c r="B240" s="7">
        <v>45403</v>
      </c>
      <c r="C240" s="13">
        <f t="shared" si="25"/>
        <v>2024</v>
      </c>
      <c r="D240" s="7" t="str">
        <f t="shared" si="26"/>
        <v>Apr</v>
      </c>
      <c r="E240" s="7" t="str">
        <f t="shared" si="27"/>
        <v>Sun</v>
      </c>
      <c r="F240" t="s">
        <v>131</v>
      </c>
      <c r="G240" t="s">
        <v>79</v>
      </c>
      <c r="H240" t="s">
        <v>22</v>
      </c>
      <c r="I240" s="2" t="str">
        <f t="shared" si="24"/>
        <v>South</v>
      </c>
      <c r="J240" t="s">
        <v>306</v>
      </c>
      <c r="K240" t="s">
        <v>36</v>
      </c>
      <c r="L240">
        <v>11</v>
      </c>
      <c r="M240">
        <v>120</v>
      </c>
      <c r="N240">
        <f t="shared" si="28"/>
        <v>1320</v>
      </c>
      <c r="O240">
        <f t="shared" si="29"/>
        <v>132</v>
      </c>
      <c r="P240" t="str">
        <f t="shared" si="30"/>
        <v>Large Order</v>
      </c>
      <c r="Q240" t="str">
        <f t="shared" si="31"/>
        <v>Weekend</v>
      </c>
    </row>
    <row r="241" spans="1:17" x14ac:dyDescent="0.35">
      <c r="A241" t="s">
        <v>357</v>
      </c>
      <c r="B241" s="7">
        <v>45536</v>
      </c>
      <c r="C241" s="13">
        <f t="shared" si="25"/>
        <v>2024</v>
      </c>
      <c r="D241" s="7" t="str">
        <f t="shared" si="26"/>
        <v>Sep</v>
      </c>
      <c r="E241" s="7" t="str">
        <f t="shared" si="27"/>
        <v>Sun</v>
      </c>
      <c r="F241" t="s">
        <v>358</v>
      </c>
      <c r="G241" t="s">
        <v>79</v>
      </c>
      <c r="H241" t="s">
        <v>22</v>
      </c>
      <c r="I241" s="2" t="str">
        <f t="shared" si="24"/>
        <v>South</v>
      </c>
      <c r="J241" t="s">
        <v>56</v>
      </c>
      <c r="K241" t="s">
        <v>28</v>
      </c>
      <c r="L241">
        <v>17</v>
      </c>
      <c r="M241">
        <v>120</v>
      </c>
      <c r="N241">
        <f t="shared" si="28"/>
        <v>2040</v>
      </c>
      <c r="O241">
        <f t="shared" si="29"/>
        <v>204</v>
      </c>
      <c r="P241" t="str">
        <f t="shared" si="30"/>
        <v>Large Order</v>
      </c>
      <c r="Q241" t="str">
        <f t="shared" si="31"/>
        <v>Weekend</v>
      </c>
    </row>
    <row r="242" spans="1:17" x14ac:dyDescent="0.35">
      <c r="A242" t="s">
        <v>359</v>
      </c>
      <c r="B242" s="7">
        <v>45327</v>
      </c>
      <c r="C242" s="13">
        <f t="shared" si="25"/>
        <v>2024</v>
      </c>
      <c r="D242" s="7" t="str">
        <f t="shared" si="26"/>
        <v>Feb</v>
      </c>
      <c r="E242" s="7" t="str">
        <f t="shared" si="27"/>
        <v>Mon</v>
      </c>
      <c r="F242" t="s">
        <v>327</v>
      </c>
      <c r="G242" t="s">
        <v>31</v>
      </c>
      <c r="H242" t="s">
        <v>11</v>
      </c>
      <c r="I242" s="2" t="str">
        <f t="shared" si="24"/>
        <v>North</v>
      </c>
      <c r="J242" t="s">
        <v>56</v>
      </c>
      <c r="K242" t="s">
        <v>36</v>
      </c>
      <c r="L242">
        <v>4</v>
      </c>
      <c r="M242">
        <v>120</v>
      </c>
      <c r="N242">
        <f t="shared" si="28"/>
        <v>480</v>
      </c>
      <c r="O242">
        <f t="shared" si="29"/>
        <v>48</v>
      </c>
      <c r="P242" t="str">
        <f t="shared" si="30"/>
        <v>Standard Order</v>
      </c>
      <c r="Q242" t="str">
        <f t="shared" si="31"/>
        <v>Weekday</v>
      </c>
    </row>
    <row r="243" spans="1:17" x14ac:dyDescent="0.35">
      <c r="A243" t="s">
        <v>360</v>
      </c>
      <c r="B243" s="7">
        <v>45418</v>
      </c>
      <c r="C243" s="13">
        <f t="shared" si="25"/>
        <v>2024</v>
      </c>
      <c r="D243" s="7" t="str">
        <f t="shared" si="26"/>
        <v>May</v>
      </c>
      <c r="E243" s="7" t="str">
        <f t="shared" si="27"/>
        <v>Mon</v>
      </c>
      <c r="F243" t="s">
        <v>361</v>
      </c>
      <c r="G243" t="s">
        <v>109</v>
      </c>
      <c r="H243" t="s">
        <v>22</v>
      </c>
      <c r="I243" s="2" t="str">
        <f t="shared" si="24"/>
        <v>East</v>
      </c>
      <c r="J243" t="s">
        <v>12</v>
      </c>
      <c r="K243" t="s">
        <v>36</v>
      </c>
      <c r="L243">
        <v>3</v>
      </c>
      <c r="M243">
        <v>120</v>
      </c>
      <c r="N243">
        <f t="shared" si="28"/>
        <v>360</v>
      </c>
      <c r="O243">
        <f t="shared" si="29"/>
        <v>36</v>
      </c>
      <c r="P243" t="str">
        <f t="shared" si="30"/>
        <v>Standard Order</v>
      </c>
      <c r="Q243" t="str">
        <f t="shared" si="31"/>
        <v>Weekday</v>
      </c>
    </row>
    <row r="244" spans="1:17" x14ac:dyDescent="0.35">
      <c r="A244" t="s">
        <v>362</v>
      </c>
      <c r="B244" s="7">
        <v>45581</v>
      </c>
      <c r="C244" s="13">
        <f t="shared" si="25"/>
        <v>2024</v>
      </c>
      <c r="D244" s="7" t="str">
        <f t="shared" si="26"/>
        <v>Oct</v>
      </c>
      <c r="E244" s="7" t="str">
        <f t="shared" si="27"/>
        <v>Wed</v>
      </c>
      <c r="F244" t="s">
        <v>363</v>
      </c>
      <c r="G244" t="s">
        <v>65</v>
      </c>
      <c r="H244" t="s">
        <v>17</v>
      </c>
      <c r="I244" s="2" t="str">
        <f t="shared" si="24"/>
        <v>East</v>
      </c>
      <c r="J244" t="s">
        <v>42</v>
      </c>
      <c r="K244" t="s">
        <v>23</v>
      </c>
      <c r="L244">
        <v>11</v>
      </c>
      <c r="M244">
        <v>120</v>
      </c>
      <c r="N244">
        <f t="shared" si="28"/>
        <v>1320</v>
      </c>
      <c r="O244">
        <f t="shared" si="29"/>
        <v>132</v>
      </c>
      <c r="P244" t="str">
        <f t="shared" si="30"/>
        <v>Large Order</v>
      </c>
      <c r="Q244" t="str">
        <f t="shared" si="31"/>
        <v>Weekday</v>
      </c>
    </row>
    <row r="245" spans="1:17" x14ac:dyDescent="0.35">
      <c r="A245" t="s">
        <v>364</v>
      </c>
      <c r="B245" s="7">
        <v>45359</v>
      </c>
      <c r="C245" s="13">
        <f t="shared" si="25"/>
        <v>2024</v>
      </c>
      <c r="D245" s="7" t="str">
        <f t="shared" si="26"/>
        <v>Mar</v>
      </c>
      <c r="E245" s="7" t="str">
        <f t="shared" si="27"/>
        <v>Fri</v>
      </c>
      <c r="F245" t="s">
        <v>317</v>
      </c>
      <c r="G245" t="s">
        <v>70</v>
      </c>
      <c r="H245" t="s">
        <v>22</v>
      </c>
      <c r="I245" s="2" t="str">
        <f t="shared" si="24"/>
        <v>Central</v>
      </c>
      <c r="J245" t="s">
        <v>42</v>
      </c>
      <c r="K245" t="s">
        <v>13</v>
      </c>
      <c r="L245">
        <v>11</v>
      </c>
      <c r="M245">
        <v>120</v>
      </c>
      <c r="N245">
        <f t="shared" si="28"/>
        <v>1320</v>
      </c>
      <c r="O245">
        <f t="shared" si="29"/>
        <v>132</v>
      </c>
      <c r="P245" t="str">
        <f t="shared" si="30"/>
        <v>Large Order</v>
      </c>
      <c r="Q245" t="str">
        <f t="shared" si="31"/>
        <v>Weekday</v>
      </c>
    </row>
    <row r="246" spans="1:17" x14ac:dyDescent="0.35">
      <c r="A246" t="s">
        <v>365</v>
      </c>
      <c r="B246" s="7">
        <v>45296</v>
      </c>
      <c r="C246" s="13">
        <f t="shared" si="25"/>
        <v>2024</v>
      </c>
      <c r="D246" s="7" t="str">
        <f t="shared" si="26"/>
        <v>Jan</v>
      </c>
      <c r="E246" s="7" t="str">
        <f t="shared" si="27"/>
        <v>Fri</v>
      </c>
      <c r="F246" t="s">
        <v>366</v>
      </c>
      <c r="G246" t="s">
        <v>102</v>
      </c>
      <c r="H246" t="s">
        <v>22</v>
      </c>
      <c r="I246" s="2" t="str">
        <f t="shared" si="24"/>
        <v>North</v>
      </c>
      <c r="J246" t="s">
        <v>306</v>
      </c>
      <c r="K246" t="s">
        <v>36</v>
      </c>
      <c r="L246">
        <v>3</v>
      </c>
      <c r="M246">
        <v>120</v>
      </c>
      <c r="N246">
        <f t="shared" si="28"/>
        <v>360</v>
      </c>
      <c r="O246">
        <f t="shared" si="29"/>
        <v>36</v>
      </c>
      <c r="P246" t="str">
        <f t="shared" si="30"/>
        <v>Standard Order</v>
      </c>
      <c r="Q246" t="str">
        <f t="shared" si="31"/>
        <v>Weekday</v>
      </c>
    </row>
    <row r="247" spans="1:17" x14ac:dyDescent="0.35">
      <c r="A247" t="s">
        <v>367</v>
      </c>
      <c r="B247" s="7">
        <v>45427</v>
      </c>
      <c r="C247" s="13">
        <f t="shared" si="25"/>
        <v>2024</v>
      </c>
      <c r="D247" s="7" t="str">
        <f t="shared" si="26"/>
        <v>May</v>
      </c>
      <c r="E247" s="7" t="str">
        <f t="shared" si="27"/>
        <v>Wed</v>
      </c>
      <c r="F247" t="s">
        <v>34</v>
      </c>
      <c r="G247" t="s">
        <v>197</v>
      </c>
      <c r="H247" t="s">
        <v>17</v>
      </c>
      <c r="I247" s="2" t="str">
        <f t="shared" si="24"/>
        <v>Central</v>
      </c>
      <c r="J247" t="s">
        <v>12</v>
      </c>
      <c r="K247" t="s">
        <v>23</v>
      </c>
      <c r="L247">
        <v>12</v>
      </c>
      <c r="M247">
        <v>120</v>
      </c>
      <c r="N247">
        <f t="shared" si="28"/>
        <v>1440</v>
      </c>
      <c r="O247">
        <f t="shared" si="29"/>
        <v>144</v>
      </c>
      <c r="P247" t="str">
        <f t="shared" si="30"/>
        <v>Large Order</v>
      </c>
      <c r="Q247" t="str">
        <f t="shared" si="31"/>
        <v>Weekday</v>
      </c>
    </row>
    <row r="248" spans="1:17" x14ac:dyDescent="0.35">
      <c r="A248" t="s">
        <v>368</v>
      </c>
      <c r="B248" s="7">
        <v>45570</v>
      </c>
      <c r="C248" s="13">
        <f t="shared" si="25"/>
        <v>2024</v>
      </c>
      <c r="D248" s="7" t="str">
        <f t="shared" si="26"/>
        <v>Oct</v>
      </c>
      <c r="E248" s="7" t="str">
        <f t="shared" si="27"/>
        <v>Sat</v>
      </c>
      <c r="F248" t="s">
        <v>369</v>
      </c>
      <c r="G248" t="s">
        <v>21</v>
      </c>
      <c r="H248" t="s">
        <v>17</v>
      </c>
      <c r="I248" s="2" t="str">
        <f t="shared" si="24"/>
        <v>South</v>
      </c>
      <c r="J248" t="s">
        <v>306</v>
      </c>
      <c r="K248" t="s">
        <v>36</v>
      </c>
      <c r="L248">
        <v>17</v>
      </c>
      <c r="M248">
        <v>120</v>
      </c>
      <c r="N248">
        <f t="shared" si="28"/>
        <v>2040</v>
      </c>
      <c r="O248">
        <f t="shared" si="29"/>
        <v>204</v>
      </c>
      <c r="P248" t="str">
        <f t="shared" si="30"/>
        <v>Large Order</v>
      </c>
      <c r="Q248" t="str">
        <f t="shared" si="31"/>
        <v>Weekend</v>
      </c>
    </row>
    <row r="249" spans="1:17" x14ac:dyDescent="0.35">
      <c r="A249" t="s">
        <v>370</v>
      </c>
      <c r="B249" s="7">
        <v>45445</v>
      </c>
      <c r="C249" s="13">
        <f t="shared" si="25"/>
        <v>2024</v>
      </c>
      <c r="D249" s="7" t="str">
        <f t="shared" si="26"/>
        <v>Jun</v>
      </c>
      <c r="E249" s="7" t="str">
        <f t="shared" si="27"/>
        <v>Sun</v>
      </c>
      <c r="F249" t="s">
        <v>371</v>
      </c>
      <c r="G249" t="s">
        <v>26</v>
      </c>
      <c r="H249" t="s">
        <v>11</v>
      </c>
      <c r="I249" s="2" t="str">
        <f t="shared" si="24"/>
        <v>Central</v>
      </c>
      <c r="J249" t="s">
        <v>56</v>
      </c>
      <c r="K249" t="s">
        <v>36</v>
      </c>
      <c r="L249">
        <v>4</v>
      </c>
      <c r="M249">
        <v>120</v>
      </c>
      <c r="N249">
        <f t="shared" si="28"/>
        <v>480</v>
      </c>
      <c r="O249">
        <f t="shared" si="29"/>
        <v>48</v>
      </c>
      <c r="P249" t="str">
        <f t="shared" si="30"/>
        <v>Standard Order</v>
      </c>
      <c r="Q249" t="str">
        <f t="shared" si="31"/>
        <v>Weekend</v>
      </c>
    </row>
    <row r="250" spans="1:17" x14ac:dyDescent="0.35">
      <c r="A250" t="s">
        <v>372</v>
      </c>
      <c r="B250" s="7">
        <v>45371</v>
      </c>
      <c r="C250" s="13">
        <f t="shared" si="25"/>
        <v>2024</v>
      </c>
      <c r="D250" s="7" t="str">
        <f t="shared" si="26"/>
        <v>Mar</v>
      </c>
      <c r="E250" s="7" t="str">
        <f t="shared" si="27"/>
        <v>Wed</v>
      </c>
      <c r="F250" t="s">
        <v>101</v>
      </c>
      <c r="G250" t="s">
        <v>65</v>
      </c>
      <c r="H250" t="s">
        <v>17</v>
      </c>
      <c r="I250" s="2" t="str">
        <f t="shared" si="24"/>
        <v>North</v>
      </c>
      <c r="J250" t="s">
        <v>306</v>
      </c>
      <c r="K250" t="s">
        <v>32</v>
      </c>
      <c r="L250">
        <v>11</v>
      </c>
      <c r="M250">
        <v>120</v>
      </c>
      <c r="N250">
        <f t="shared" si="28"/>
        <v>1320</v>
      </c>
      <c r="O250">
        <f t="shared" si="29"/>
        <v>132</v>
      </c>
      <c r="P250" t="str">
        <f t="shared" si="30"/>
        <v>Large Order</v>
      </c>
      <c r="Q250" t="str">
        <f t="shared" si="31"/>
        <v>Weekday</v>
      </c>
    </row>
    <row r="251" spans="1:17" x14ac:dyDescent="0.35">
      <c r="A251" t="s">
        <v>373</v>
      </c>
      <c r="B251" s="7">
        <v>45550</v>
      </c>
      <c r="C251" s="13">
        <f t="shared" si="25"/>
        <v>2024</v>
      </c>
      <c r="D251" s="7" t="str">
        <f t="shared" si="26"/>
        <v>Sep</v>
      </c>
      <c r="E251" s="7" t="str">
        <f t="shared" si="27"/>
        <v>Sun</v>
      </c>
      <c r="F251" t="s">
        <v>374</v>
      </c>
      <c r="G251" t="s">
        <v>10</v>
      </c>
      <c r="H251" t="s">
        <v>17</v>
      </c>
      <c r="I251" s="2" t="str">
        <f t="shared" si="24"/>
        <v>East</v>
      </c>
      <c r="J251" t="s">
        <v>12</v>
      </c>
      <c r="K251" t="s">
        <v>13</v>
      </c>
      <c r="L251">
        <v>14</v>
      </c>
      <c r="M251">
        <v>120</v>
      </c>
      <c r="N251">
        <f t="shared" si="28"/>
        <v>1680</v>
      </c>
      <c r="O251">
        <f t="shared" si="29"/>
        <v>168</v>
      </c>
      <c r="P251" t="str">
        <f t="shared" si="30"/>
        <v>Large Order</v>
      </c>
      <c r="Q251" t="str">
        <f t="shared" si="31"/>
        <v>Weekend</v>
      </c>
    </row>
    <row r="252" spans="1:17" x14ac:dyDescent="0.35">
      <c r="A252" t="s">
        <v>375</v>
      </c>
      <c r="B252" s="7">
        <v>45293</v>
      </c>
      <c r="C252" s="13">
        <f t="shared" si="25"/>
        <v>2024</v>
      </c>
      <c r="D252" s="7" t="str">
        <f t="shared" si="26"/>
        <v>Jan</v>
      </c>
      <c r="E252" s="7" t="str">
        <f t="shared" si="27"/>
        <v>Tue</v>
      </c>
      <c r="F252" t="s">
        <v>118</v>
      </c>
      <c r="G252" t="s">
        <v>45</v>
      </c>
      <c r="H252" t="s">
        <v>11</v>
      </c>
      <c r="I252" s="2" t="str">
        <f t="shared" si="24"/>
        <v>North</v>
      </c>
      <c r="J252" t="s">
        <v>42</v>
      </c>
      <c r="K252" t="s">
        <v>23</v>
      </c>
      <c r="L252">
        <v>15</v>
      </c>
      <c r="M252">
        <v>120</v>
      </c>
      <c r="N252">
        <f t="shared" si="28"/>
        <v>1800</v>
      </c>
      <c r="O252">
        <f t="shared" si="29"/>
        <v>180</v>
      </c>
      <c r="P252" t="str">
        <f t="shared" si="30"/>
        <v>Large Order</v>
      </c>
      <c r="Q252" t="str">
        <f t="shared" si="31"/>
        <v>Weekday</v>
      </c>
    </row>
    <row r="253" spans="1:17" x14ac:dyDescent="0.35">
      <c r="A253" t="s">
        <v>376</v>
      </c>
      <c r="B253" s="7">
        <v>45579</v>
      </c>
      <c r="C253" s="13">
        <f t="shared" si="25"/>
        <v>2024</v>
      </c>
      <c r="D253" s="7" t="str">
        <f t="shared" si="26"/>
        <v>Oct</v>
      </c>
      <c r="E253" s="7" t="str">
        <f t="shared" si="27"/>
        <v>Mon</v>
      </c>
      <c r="F253" t="s">
        <v>142</v>
      </c>
      <c r="G253" t="s">
        <v>62</v>
      </c>
      <c r="H253" t="s">
        <v>11</v>
      </c>
      <c r="I253" s="2" t="str">
        <f t="shared" si="24"/>
        <v>West</v>
      </c>
      <c r="J253" t="s">
        <v>12</v>
      </c>
      <c r="K253" t="s">
        <v>32</v>
      </c>
      <c r="L253">
        <v>5</v>
      </c>
      <c r="M253">
        <v>120</v>
      </c>
      <c r="N253">
        <f t="shared" si="28"/>
        <v>600</v>
      </c>
      <c r="O253">
        <f t="shared" si="29"/>
        <v>60</v>
      </c>
      <c r="P253" t="str">
        <f t="shared" si="30"/>
        <v>Large Order</v>
      </c>
      <c r="Q253" t="str">
        <f t="shared" si="31"/>
        <v>Weekday</v>
      </c>
    </row>
    <row r="254" spans="1:17" x14ac:dyDescent="0.35">
      <c r="A254" t="s">
        <v>377</v>
      </c>
      <c r="B254" s="7">
        <v>45590</v>
      </c>
      <c r="C254" s="13">
        <f t="shared" si="25"/>
        <v>2024</v>
      </c>
      <c r="D254" s="7" t="str">
        <f t="shared" si="26"/>
        <v>Oct</v>
      </c>
      <c r="E254" s="7" t="str">
        <f t="shared" si="27"/>
        <v>Fri</v>
      </c>
      <c r="F254" t="s">
        <v>378</v>
      </c>
      <c r="G254" t="s">
        <v>16</v>
      </c>
      <c r="H254" t="s">
        <v>11</v>
      </c>
      <c r="I254" s="2" t="str">
        <f t="shared" si="24"/>
        <v>South</v>
      </c>
      <c r="J254" t="s">
        <v>27</v>
      </c>
      <c r="K254" t="s">
        <v>13</v>
      </c>
      <c r="L254">
        <v>2</v>
      </c>
      <c r="M254">
        <v>120</v>
      </c>
      <c r="N254">
        <f t="shared" si="28"/>
        <v>240</v>
      </c>
      <c r="O254">
        <f t="shared" si="29"/>
        <v>24</v>
      </c>
      <c r="P254" t="str">
        <f t="shared" si="30"/>
        <v>Standard Order</v>
      </c>
      <c r="Q254" t="str">
        <f t="shared" si="31"/>
        <v>Weekday</v>
      </c>
    </row>
    <row r="255" spans="1:17" x14ac:dyDescent="0.35">
      <c r="A255" t="s">
        <v>379</v>
      </c>
      <c r="B255" s="7">
        <v>45475</v>
      </c>
      <c r="C255" s="13">
        <f t="shared" si="25"/>
        <v>2024</v>
      </c>
      <c r="D255" s="7" t="str">
        <f t="shared" si="26"/>
        <v>Jul</v>
      </c>
      <c r="E255" s="7" t="str">
        <f t="shared" si="27"/>
        <v>Tue</v>
      </c>
      <c r="F255" t="s">
        <v>95</v>
      </c>
      <c r="G255" t="s">
        <v>41</v>
      </c>
      <c r="H255" t="s">
        <v>22</v>
      </c>
      <c r="I255" s="2" t="str">
        <f t="shared" si="24"/>
        <v>South</v>
      </c>
      <c r="J255" t="s">
        <v>56</v>
      </c>
      <c r="K255" t="s">
        <v>36</v>
      </c>
      <c r="L255">
        <v>4</v>
      </c>
      <c r="M255">
        <v>120</v>
      </c>
      <c r="N255">
        <f t="shared" si="28"/>
        <v>480</v>
      </c>
      <c r="O255">
        <f t="shared" si="29"/>
        <v>48</v>
      </c>
      <c r="P255" t="str">
        <f t="shared" si="30"/>
        <v>Standard Order</v>
      </c>
      <c r="Q255" t="str">
        <f t="shared" si="31"/>
        <v>Weekday</v>
      </c>
    </row>
    <row r="256" spans="1:17" x14ac:dyDescent="0.35">
      <c r="A256" t="s">
        <v>380</v>
      </c>
      <c r="B256" s="7">
        <v>45500</v>
      </c>
      <c r="C256" s="13">
        <f t="shared" si="25"/>
        <v>2024</v>
      </c>
      <c r="D256" s="7" t="str">
        <f t="shared" si="26"/>
        <v>Jul</v>
      </c>
      <c r="E256" s="7" t="str">
        <f t="shared" si="27"/>
        <v>Sat</v>
      </c>
      <c r="F256" t="s">
        <v>381</v>
      </c>
      <c r="G256" t="s">
        <v>197</v>
      </c>
      <c r="H256" t="s">
        <v>22</v>
      </c>
      <c r="I256" s="2" t="str">
        <f t="shared" si="24"/>
        <v>East</v>
      </c>
      <c r="J256" t="s">
        <v>56</v>
      </c>
      <c r="K256" t="s">
        <v>28</v>
      </c>
      <c r="L256">
        <v>6</v>
      </c>
      <c r="M256">
        <v>120</v>
      </c>
      <c r="N256">
        <f t="shared" si="28"/>
        <v>720</v>
      </c>
      <c r="O256">
        <f t="shared" si="29"/>
        <v>72</v>
      </c>
      <c r="P256" t="str">
        <f t="shared" si="30"/>
        <v>Large Order</v>
      </c>
      <c r="Q256" t="str">
        <f t="shared" si="31"/>
        <v>Weekend</v>
      </c>
    </row>
    <row r="257" spans="1:17" x14ac:dyDescent="0.35">
      <c r="A257" t="s">
        <v>382</v>
      </c>
      <c r="B257" s="7">
        <v>45503</v>
      </c>
      <c r="C257" s="13">
        <f t="shared" si="25"/>
        <v>2024</v>
      </c>
      <c r="D257" s="7" t="str">
        <f t="shared" si="26"/>
        <v>Jul</v>
      </c>
      <c r="E257" s="7" t="str">
        <f t="shared" si="27"/>
        <v>Tue</v>
      </c>
      <c r="F257" t="s">
        <v>64</v>
      </c>
      <c r="G257" t="s">
        <v>87</v>
      </c>
      <c r="H257" t="s">
        <v>11</v>
      </c>
      <c r="I257" s="2" t="str">
        <f t="shared" si="24"/>
        <v>South</v>
      </c>
      <c r="J257" t="s">
        <v>42</v>
      </c>
      <c r="K257" t="s">
        <v>13</v>
      </c>
      <c r="L257">
        <v>8</v>
      </c>
      <c r="M257">
        <v>120</v>
      </c>
      <c r="N257">
        <f t="shared" si="28"/>
        <v>960</v>
      </c>
      <c r="O257">
        <f t="shared" si="29"/>
        <v>96</v>
      </c>
      <c r="P257" t="str">
        <f t="shared" si="30"/>
        <v>Large Order</v>
      </c>
      <c r="Q257" t="str">
        <f t="shared" si="31"/>
        <v>Weekday</v>
      </c>
    </row>
    <row r="258" spans="1:17" x14ac:dyDescent="0.35">
      <c r="A258" t="s">
        <v>383</v>
      </c>
      <c r="B258" s="7">
        <v>45487</v>
      </c>
      <c r="C258" s="13">
        <f t="shared" si="25"/>
        <v>2024</v>
      </c>
      <c r="D258" s="7" t="str">
        <f t="shared" si="26"/>
        <v>Jul</v>
      </c>
      <c r="E258" s="7" t="str">
        <f t="shared" si="27"/>
        <v>Sun</v>
      </c>
      <c r="F258" t="s">
        <v>122</v>
      </c>
      <c r="G258" t="s">
        <v>65</v>
      </c>
      <c r="H258" t="s">
        <v>17</v>
      </c>
      <c r="I258" s="2" t="str">
        <f t="shared" si="24"/>
        <v>South</v>
      </c>
      <c r="J258" t="s">
        <v>56</v>
      </c>
      <c r="K258" t="s">
        <v>28</v>
      </c>
      <c r="L258">
        <v>15</v>
      </c>
      <c r="M258">
        <v>120</v>
      </c>
      <c r="N258">
        <f t="shared" si="28"/>
        <v>1800</v>
      </c>
      <c r="O258">
        <f t="shared" si="29"/>
        <v>180</v>
      </c>
      <c r="P258" t="str">
        <f t="shared" si="30"/>
        <v>Large Order</v>
      </c>
      <c r="Q258" t="str">
        <f t="shared" si="31"/>
        <v>Weekend</v>
      </c>
    </row>
    <row r="259" spans="1:17" x14ac:dyDescent="0.35">
      <c r="A259" t="s">
        <v>384</v>
      </c>
      <c r="B259" s="7">
        <v>45406</v>
      </c>
      <c r="C259" s="13">
        <f t="shared" si="25"/>
        <v>2024</v>
      </c>
      <c r="D259" s="7" t="str">
        <f t="shared" si="26"/>
        <v>Apr</v>
      </c>
      <c r="E259" s="7" t="str">
        <f t="shared" si="27"/>
        <v>Wed</v>
      </c>
      <c r="F259" t="s">
        <v>64</v>
      </c>
      <c r="G259" t="s">
        <v>31</v>
      </c>
      <c r="H259" t="s">
        <v>22</v>
      </c>
      <c r="I259" s="2" t="str">
        <f t="shared" ref="I259:I322" si="32">TRIM(J260)</f>
        <v>Central</v>
      </c>
      <c r="J259" t="s">
        <v>56</v>
      </c>
      <c r="K259" t="s">
        <v>13</v>
      </c>
      <c r="L259">
        <v>11</v>
      </c>
      <c r="M259">
        <v>120</v>
      </c>
      <c r="N259">
        <f t="shared" si="28"/>
        <v>1320</v>
      </c>
      <c r="O259">
        <f t="shared" si="29"/>
        <v>132</v>
      </c>
      <c r="P259" t="str">
        <f t="shared" si="30"/>
        <v>Large Order</v>
      </c>
      <c r="Q259" t="str">
        <f t="shared" si="31"/>
        <v>Weekday</v>
      </c>
    </row>
    <row r="260" spans="1:17" x14ac:dyDescent="0.35">
      <c r="A260" t="s">
        <v>385</v>
      </c>
      <c r="B260" s="7">
        <v>45434</v>
      </c>
      <c r="C260" s="13">
        <f t="shared" ref="C260:C323" si="33">YEAR(B260)</f>
        <v>2024</v>
      </c>
      <c r="D260" s="7" t="str">
        <f t="shared" ref="D260:D323" si="34">TEXT(B260,"mmm")</f>
        <v>May</v>
      </c>
      <c r="E260" s="7" t="str">
        <f t="shared" ref="E260:E323" si="35">TEXT(B260,"ddd")</f>
        <v>Wed</v>
      </c>
      <c r="F260" t="s">
        <v>20</v>
      </c>
      <c r="G260" t="s">
        <v>31</v>
      </c>
      <c r="H260" t="s">
        <v>22</v>
      </c>
      <c r="I260" s="2" t="str">
        <f t="shared" si="32"/>
        <v>Central</v>
      </c>
      <c r="J260" t="s">
        <v>306</v>
      </c>
      <c r="K260" t="s">
        <v>13</v>
      </c>
      <c r="L260">
        <v>18</v>
      </c>
      <c r="M260">
        <v>120</v>
      </c>
      <c r="N260">
        <f t="shared" ref="N260:N323" si="36">M260*L260</f>
        <v>2160</v>
      </c>
      <c r="O260">
        <f t="shared" ref="O260:O323" si="37">N260*0.1</f>
        <v>216</v>
      </c>
      <c r="P260" t="str">
        <f t="shared" ref="P260:P323" si="38">IF(N260&gt;500,"Large Order","Standard Order")</f>
        <v>Large Order</v>
      </c>
      <c r="Q260" t="str">
        <f t="shared" ref="Q260:Q323" si="39">IF(OR(TRIM(E260)="Sat",TRIM(E260)="Sun"),"Weekend","Weekday")</f>
        <v>Weekday</v>
      </c>
    </row>
    <row r="261" spans="1:17" x14ac:dyDescent="0.35">
      <c r="A261" t="s">
        <v>386</v>
      </c>
      <c r="B261" s="7">
        <v>45351</v>
      </c>
      <c r="C261" s="13">
        <f t="shared" si="33"/>
        <v>2024</v>
      </c>
      <c r="D261" s="7" t="str">
        <f t="shared" si="34"/>
        <v>Feb</v>
      </c>
      <c r="E261" s="7" t="str">
        <f t="shared" si="35"/>
        <v>Thu</v>
      </c>
      <c r="F261" t="s">
        <v>86</v>
      </c>
      <c r="G261" t="s">
        <v>26</v>
      </c>
      <c r="H261" t="s">
        <v>11</v>
      </c>
      <c r="I261" s="2" t="str">
        <f t="shared" si="32"/>
        <v>West</v>
      </c>
      <c r="J261" t="s">
        <v>306</v>
      </c>
      <c r="K261" t="s">
        <v>23</v>
      </c>
      <c r="L261">
        <v>2</v>
      </c>
      <c r="M261">
        <v>120</v>
      </c>
      <c r="N261">
        <f t="shared" si="36"/>
        <v>240</v>
      </c>
      <c r="O261">
        <f t="shared" si="37"/>
        <v>24</v>
      </c>
      <c r="P261" t="str">
        <f t="shared" si="38"/>
        <v>Standard Order</v>
      </c>
      <c r="Q261" t="str">
        <f t="shared" si="39"/>
        <v>Weekday</v>
      </c>
    </row>
    <row r="262" spans="1:17" x14ac:dyDescent="0.35">
      <c r="A262" t="s">
        <v>387</v>
      </c>
      <c r="B262" s="7">
        <v>45468</v>
      </c>
      <c r="C262" s="13">
        <f t="shared" si="33"/>
        <v>2024</v>
      </c>
      <c r="D262" s="7" t="str">
        <f t="shared" si="34"/>
        <v>Jun</v>
      </c>
      <c r="E262" s="7" t="str">
        <f t="shared" si="35"/>
        <v>Tue</v>
      </c>
      <c r="F262" t="s">
        <v>388</v>
      </c>
      <c r="G262" t="s">
        <v>109</v>
      </c>
      <c r="H262" t="s">
        <v>17</v>
      </c>
      <c r="I262" s="2" t="str">
        <f t="shared" si="32"/>
        <v>West</v>
      </c>
      <c r="J262" t="s">
        <v>27</v>
      </c>
      <c r="K262" t="s">
        <v>36</v>
      </c>
      <c r="L262">
        <v>17</v>
      </c>
      <c r="M262">
        <v>120</v>
      </c>
      <c r="N262">
        <f t="shared" si="36"/>
        <v>2040</v>
      </c>
      <c r="O262">
        <f t="shared" si="37"/>
        <v>204</v>
      </c>
      <c r="P262" t="str">
        <f t="shared" si="38"/>
        <v>Large Order</v>
      </c>
      <c r="Q262" t="str">
        <f t="shared" si="39"/>
        <v>Weekday</v>
      </c>
    </row>
    <row r="263" spans="1:17" x14ac:dyDescent="0.35">
      <c r="A263" t="s">
        <v>389</v>
      </c>
      <c r="B263" s="7">
        <v>45389</v>
      </c>
      <c r="C263" s="13">
        <f t="shared" si="33"/>
        <v>2024</v>
      </c>
      <c r="D263" s="7" t="str">
        <f t="shared" si="34"/>
        <v>Apr</v>
      </c>
      <c r="E263" s="7" t="str">
        <f t="shared" si="35"/>
        <v>Sun</v>
      </c>
      <c r="F263" t="s">
        <v>230</v>
      </c>
      <c r="G263" t="s">
        <v>96</v>
      </c>
      <c r="H263" t="s">
        <v>11</v>
      </c>
      <c r="I263" s="2" t="str">
        <f t="shared" si="32"/>
        <v>South</v>
      </c>
      <c r="J263" t="s">
        <v>27</v>
      </c>
      <c r="K263" t="s">
        <v>36</v>
      </c>
      <c r="L263">
        <v>17</v>
      </c>
      <c r="M263">
        <v>120</v>
      </c>
      <c r="N263">
        <f t="shared" si="36"/>
        <v>2040</v>
      </c>
      <c r="O263">
        <f t="shared" si="37"/>
        <v>204</v>
      </c>
      <c r="P263" t="str">
        <f t="shared" si="38"/>
        <v>Large Order</v>
      </c>
      <c r="Q263" t="str">
        <f t="shared" si="39"/>
        <v>Weekend</v>
      </c>
    </row>
    <row r="264" spans="1:17" x14ac:dyDescent="0.35">
      <c r="A264" t="s">
        <v>390</v>
      </c>
      <c r="B264" s="7">
        <v>45643</v>
      </c>
      <c r="C264" s="13">
        <f t="shared" si="33"/>
        <v>2024</v>
      </c>
      <c r="D264" s="7" t="str">
        <f t="shared" si="34"/>
        <v>Dec</v>
      </c>
      <c r="E264" s="7" t="str">
        <f t="shared" si="35"/>
        <v>Tue</v>
      </c>
      <c r="F264" t="s">
        <v>329</v>
      </c>
      <c r="G264" t="s">
        <v>48</v>
      </c>
      <c r="H264" t="s">
        <v>22</v>
      </c>
      <c r="I264" s="2" t="str">
        <f t="shared" si="32"/>
        <v>North</v>
      </c>
      <c r="J264" t="s">
        <v>56</v>
      </c>
      <c r="K264" t="s">
        <v>32</v>
      </c>
      <c r="L264">
        <v>14</v>
      </c>
      <c r="M264">
        <v>120</v>
      </c>
      <c r="N264">
        <f t="shared" si="36"/>
        <v>1680</v>
      </c>
      <c r="O264">
        <f t="shared" si="37"/>
        <v>168</v>
      </c>
      <c r="P264" t="str">
        <f t="shared" si="38"/>
        <v>Large Order</v>
      </c>
      <c r="Q264" t="str">
        <f t="shared" si="39"/>
        <v>Weekday</v>
      </c>
    </row>
    <row r="265" spans="1:17" x14ac:dyDescent="0.35">
      <c r="A265" t="s">
        <v>391</v>
      </c>
      <c r="B265" s="7">
        <v>45611</v>
      </c>
      <c r="C265" s="13">
        <f t="shared" si="33"/>
        <v>2024</v>
      </c>
      <c r="D265" s="7" t="str">
        <f t="shared" si="34"/>
        <v>Nov</v>
      </c>
      <c r="E265" s="7" t="str">
        <f t="shared" si="35"/>
        <v>Fri</v>
      </c>
      <c r="F265" t="s">
        <v>38</v>
      </c>
      <c r="G265" t="s">
        <v>84</v>
      </c>
      <c r="H265" t="s">
        <v>22</v>
      </c>
      <c r="I265" s="2" t="str">
        <f t="shared" si="32"/>
        <v>East</v>
      </c>
      <c r="J265" t="s">
        <v>12</v>
      </c>
      <c r="K265" t="s">
        <v>23</v>
      </c>
      <c r="L265">
        <v>10</v>
      </c>
      <c r="M265">
        <v>120</v>
      </c>
      <c r="N265">
        <f t="shared" si="36"/>
        <v>1200</v>
      </c>
      <c r="O265">
        <f t="shared" si="37"/>
        <v>120</v>
      </c>
      <c r="P265" t="str">
        <f t="shared" si="38"/>
        <v>Large Order</v>
      </c>
      <c r="Q265" t="str">
        <f t="shared" si="39"/>
        <v>Weekday</v>
      </c>
    </row>
    <row r="266" spans="1:17" x14ac:dyDescent="0.35">
      <c r="A266" t="s">
        <v>392</v>
      </c>
      <c r="B266" s="7">
        <v>45459</v>
      </c>
      <c r="C266" s="13">
        <f t="shared" si="33"/>
        <v>2024</v>
      </c>
      <c r="D266" s="7" t="str">
        <f t="shared" si="34"/>
        <v>Jun</v>
      </c>
      <c r="E266" s="7" t="str">
        <f t="shared" si="35"/>
        <v>Sun</v>
      </c>
      <c r="F266" t="s">
        <v>341</v>
      </c>
      <c r="G266" t="s">
        <v>174</v>
      </c>
      <c r="H266" t="s">
        <v>22</v>
      </c>
      <c r="I266" s="2" t="str">
        <f t="shared" si="32"/>
        <v>Central</v>
      </c>
      <c r="J266" t="s">
        <v>42</v>
      </c>
      <c r="K266" t="s">
        <v>23</v>
      </c>
      <c r="L266">
        <v>5</v>
      </c>
      <c r="M266">
        <v>120</v>
      </c>
      <c r="N266">
        <f t="shared" si="36"/>
        <v>600</v>
      </c>
      <c r="O266">
        <f t="shared" si="37"/>
        <v>60</v>
      </c>
      <c r="P266" t="str">
        <f t="shared" si="38"/>
        <v>Large Order</v>
      </c>
      <c r="Q266" t="str">
        <f t="shared" si="39"/>
        <v>Weekend</v>
      </c>
    </row>
    <row r="267" spans="1:17" x14ac:dyDescent="0.35">
      <c r="A267" t="s">
        <v>393</v>
      </c>
      <c r="B267" s="7">
        <v>45638</v>
      </c>
      <c r="C267" s="13">
        <f t="shared" si="33"/>
        <v>2024</v>
      </c>
      <c r="D267" s="7" t="str">
        <f t="shared" si="34"/>
        <v>Dec</v>
      </c>
      <c r="E267" s="7" t="str">
        <f t="shared" si="35"/>
        <v>Thu</v>
      </c>
      <c r="F267" t="s">
        <v>323</v>
      </c>
      <c r="G267" t="s">
        <v>59</v>
      </c>
      <c r="H267" t="s">
        <v>11</v>
      </c>
      <c r="I267" s="2" t="str">
        <f t="shared" si="32"/>
        <v>West</v>
      </c>
      <c r="J267" t="s">
        <v>306</v>
      </c>
      <c r="K267" t="s">
        <v>13</v>
      </c>
      <c r="L267">
        <v>10</v>
      </c>
      <c r="M267">
        <v>120</v>
      </c>
      <c r="N267">
        <f t="shared" si="36"/>
        <v>1200</v>
      </c>
      <c r="O267">
        <f t="shared" si="37"/>
        <v>120</v>
      </c>
      <c r="P267" t="str">
        <f t="shared" si="38"/>
        <v>Large Order</v>
      </c>
      <c r="Q267" t="str">
        <f t="shared" si="39"/>
        <v>Weekday</v>
      </c>
    </row>
    <row r="268" spans="1:17" x14ac:dyDescent="0.35">
      <c r="A268" t="s">
        <v>394</v>
      </c>
      <c r="B268" s="7">
        <v>45447</v>
      </c>
      <c r="C268" s="13">
        <f t="shared" si="33"/>
        <v>2024</v>
      </c>
      <c r="D268" s="7" t="str">
        <f t="shared" si="34"/>
        <v>Jun</v>
      </c>
      <c r="E268" s="7" t="str">
        <f t="shared" si="35"/>
        <v>Tue</v>
      </c>
      <c r="F268" t="s">
        <v>55</v>
      </c>
      <c r="G268" t="s">
        <v>59</v>
      </c>
      <c r="H268" t="s">
        <v>11</v>
      </c>
      <c r="I268" s="2" t="str">
        <f t="shared" si="32"/>
        <v>South</v>
      </c>
      <c r="J268" t="s">
        <v>27</v>
      </c>
      <c r="K268" t="s">
        <v>23</v>
      </c>
      <c r="L268">
        <v>20</v>
      </c>
      <c r="M268">
        <v>120</v>
      </c>
      <c r="N268">
        <f t="shared" si="36"/>
        <v>2400</v>
      </c>
      <c r="O268">
        <f t="shared" si="37"/>
        <v>240</v>
      </c>
      <c r="P268" t="str">
        <f t="shared" si="38"/>
        <v>Large Order</v>
      </c>
      <c r="Q268" t="str">
        <f t="shared" si="39"/>
        <v>Weekday</v>
      </c>
    </row>
    <row r="269" spans="1:17" x14ac:dyDescent="0.35">
      <c r="A269" t="s">
        <v>395</v>
      </c>
      <c r="B269" s="7">
        <v>45518</v>
      </c>
      <c r="C269" s="13">
        <f t="shared" si="33"/>
        <v>2024</v>
      </c>
      <c r="D269" s="7" t="str">
        <f t="shared" si="34"/>
        <v>Aug</v>
      </c>
      <c r="E269" s="7" t="str">
        <f t="shared" si="35"/>
        <v>Wed</v>
      </c>
      <c r="F269" t="s">
        <v>396</v>
      </c>
      <c r="G269" t="s">
        <v>160</v>
      </c>
      <c r="H269" t="s">
        <v>22</v>
      </c>
      <c r="I269" s="2" t="str">
        <f t="shared" si="32"/>
        <v>Central</v>
      </c>
      <c r="J269" t="s">
        <v>56</v>
      </c>
      <c r="K269" t="s">
        <v>28</v>
      </c>
      <c r="L269">
        <v>16</v>
      </c>
      <c r="M269">
        <v>120</v>
      </c>
      <c r="N269">
        <f t="shared" si="36"/>
        <v>1920</v>
      </c>
      <c r="O269">
        <f t="shared" si="37"/>
        <v>192</v>
      </c>
      <c r="P269" t="str">
        <f t="shared" si="38"/>
        <v>Large Order</v>
      </c>
      <c r="Q269" t="str">
        <f t="shared" si="39"/>
        <v>Weekday</v>
      </c>
    </row>
    <row r="270" spans="1:17" x14ac:dyDescent="0.35">
      <c r="A270" t="s">
        <v>397</v>
      </c>
      <c r="B270" s="7">
        <v>45629</v>
      </c>
      <c r="C270" s="13">
        <f t="shared" si="33"/>
        <v>2024</v>
      </c>
      <c r="D270" s="7" t="str">
        <f t="shared" si="34"/>
        <v>Dec</v>
      </c>
      <c r="E270" s="7" t="str">
        <f t="shared" si="35"/>
        <v>Tue</v>
      </c>
      <c r="F270" t="s">
        <v>81</v>
      </c>
      <c r="G270" t="s">
        <v>41</v>
      </c>
      <c r="H270" t="s">
        <v>17</v>
      </c>
      <c r="I270" s="2" t="str">
        <f t="shared" si="32"/>
        <v>South</v>
      </c>
      <c r="J270" t="s">
        <v>306</v>
      </c>
      <c r="K270" t="s">
        <v>28</v>
      </c>
      <c r="L270">
        <v>20</v>
      </c>
      <c r="M270">
        <v>120</v>
      </c>
      <c r="N270">
        <f t="shared" si="36"/>
        <v>2400</v>
      </c>
      <c r="O270">
        <f t="shared" si="37"/>
        <v>240</v>
      </c>
      <c r="P270" t="str">
        <f t="shared" si="38"/>
        <v>Large Order</v>
      </c>
      <c r="Q270" t="str">
        <f t="shared" si="39"/>
        <v>Weekday</v>
      </c>
    </row>
    <row r="271" spans="1:17" x14ac:dyDescent="0.35">
      <c r="A271" t="s">
        <v>398</v>
      </c>
      <c r="B271" s="7">
        <v>45636</v>
      </c>
      <c r="C271" s="13">
        <f t="shared" si="33"/>
        <v>2024</v>
      </c>
      <c r="D271" s="7" t="str">
        <f t="shared" si="34"/>
        <v>Dec</v>
      </c>
      <c r="E271" s="7" t="str">
        <f t="shared" si="35"/>
        <v>Tue</v>
      </c>
      <c r="F271" t="s">
        <v>147</v>
      </c>
      <c r="G271" t="s">
        <v>16</v>
      </c>
      <c r="H271" t="s">
        <v>11</v>
      </c>
      <c r="I271" s="2" t="str">
        <f t="shared" si="32"/>
        <v>West</v>
      </c>
      <c r="J271" t="s">
        <v>56</v>
      </c>
      <c r="K271" t="s">
        <v>23</v>
      </c>
      <c r="L271">
        <v>1</v>
      </c>
      <c r="M271">
        <v>120</v>
      </c>
      <c r="N271">
        <f t="shared" si="36"/>
        <v>120</v>
      </c>
      <c r="O271">
        <f t="shared" si="37"/>
        <v>12</v>
      </c>
      <c r="P271" t="str">
        <f t="shared" si="38"/>
        <v>Standard Order</v>
      </c>
      <c r="Q271" t="str">
        <f t="shared" si="39"/>
        <v>Weekday</v>
      </c>
    </row>
    <row r="272" spans="1:17" x14ac:dyDescent="0.35">
      <c r="A272" t="s">
        <v>399</v>
      </c>
      <c r="B272" s="7">
        <v>45604</v>
      </c>
      <c r="C272" s="13">
        <f t="shared" si="33"/>
        <v>2024</v>
      </c>
      <c r="D272" s="7" t="str">
        <f t="shared" si="34"/>
        <v>Nov</v>
      </c>
      <c r="E272" s="7" t="str">
        <f t="shared" si="35"/>
        <v>Fri</v>
      </c>
      <c r="F272" t="s">
        <v>337</v>
      </c>
      <c r="G272" t="s">
        <v>87</v>
      </c>
      <c r="H272" t="s">
        <v>11</v>
      </c>
      <c r="I272" s="2" t="str">
        <f t="shared" si="32"/>
        <v>South</v>
      </c>
      <c r="J272" t="s">
        <v>27</v>
      </c>
      <c r="K272" t="s">
        <v>23</v>
      </c>
      <c r="L272">
        <v>19</v>
      </c>
      <c r="M272">
        <v>120</v>
      </c>
      <c r="N272">
        <f t="shared" si="36"/>
        <v>2280</v>
      </c>
      <c r="O272">
        <f t="shared" si="37"/>
        <v>228</v>
      </c>
      <c r="P272" t="str">
        <f t="shared" si="38"/>
        <v>Large Order</v>
      </c>
      <c r="Q272" t="str">
        <f t="shared" si="39"/>
        <v>Weekday</v>
      </c>
    </row>
    <row r="273" spans="1:17" x14ac:dyDescent="0.35">
      <c r="A273" t="s">
        <v>400</v>
      </c>
      <c r="B273" s="7">
        <v>45545</v>
      </c>
      <c r="C273" s="13">
        <f t="shared" si="33"/>
        <v>2024</v>
      </c>
      <c r="D273" s="7" t="str">
        <f t="shared" si="34"/>
        <v>Sep</v>
      </c>
      <c r="E273" s="7" t="str">
        <f t="shared" si="35"/>
        <v>Tue</v>
      </c>
      <c r="F273" t="s">
        <v>341</v>
      </c>
      <c r="G273" t="s">
        <v>21</v>
      </c>
      <c r="H273" t="s">
        <v>11</v>
      </c>
      <c r="I273" s="2" t="str">
        <f t="shared" si="32"/>
        <v>Central</v>
      </c>
      <c r="J273" t="s">
        <v>56</v>
      </c>
      <c r="K273" t="s">
        <v>13</v>
      </c>
      <c r="L273">
        <v>1</v>
      </c>
      <c r="M273">
        <v>120</v>
      </c>
      <c r="N273">
        <f t="shared" si="36"/>
        <v>120</v>
      </c>
      <c r="O273">
        <f t="shared" si="37"/>
        <v>12</v>
      </c>
      <c r="P273" t="str">
        <f t="shared" si="38"/>
        <v>Standard Order</v>
      </c>
      <c r="Q273" t="str">
        <f t="shared" si="39"/>
        <v>Weekday</v>
      </c>
    </row>
    <row r="274" spans="1:17" x14ac:dyDescent="0.35">
      <c r="A274" t="s">
        <v>401</v>
      </c>
      <c r="B274" s="7">
        <v>45509</v>
      </c>
      <c r="C274" s="13">
        <f t="shared" si="33"/>
        <v>2024</v>
      </c>
      <c r="D274" s="7" t="str">
        <f t="shared" si="34"/>
        <v>Aug</v>
      </c>
      <c r="E274" s="7" t="str">
        <f t="shared" si="35"/>
        <v>Mon</v>
      </c>
      <c r="F274" t="s">
        <v>240</v>
      </c>
      <c r="G274" t="s">
        <v>70</v>
      </c>
      <c r="H274" t="s">
        <v>11</v>
      </c>
      <c r="I274" s="2" t="str">
        <f t="shared" si="32"/>
        <v>Central</v>
      </c>
      <c r="J274" t="s">
        <v>306</v>
      </c>
      <c r="K274" t="s">
        <v>13</v>
      </c>
      <c r="L274">
        <v>2</v>
      </c>
      <c r="M274">
        <v>120</v>
      </c>
      <c r="N274">
        <f t="shared" si="36"/>
        <v>240</v>
      </c>
      <c r="O274">
        <f t="shared" si="37"/>
        <v>24</v>
      </c>
      <c r="P274" t="str">
        <f t="shared" si="38"/>
        <v>Standard Order</v>
      </c>
      <c r="Q274" t="str">
        <f t="shared" si="39"/>
        <v>Weekday</v>
      </c>
    </row>
    <row r="275" spans="1:17" x14ac:dyDescent="0.35">
      <c r="A275" t="s">
        <v>402</v>
      </c>
      <c r="B275" s="7">
        <v>45525</v>
      </c>
      <c r="C275" s="13">
        <f t="shared" si="33"/>
        <v>2024</v>
      </c>
      <c r="D275" s="7" t="str">
        <f t="shared" si="34"/>
        <v>Aug</v>
      </c>
      <c r="E275" s="7" t="str">
        <f t="shared" si="35"/>
        <v>Wed</v>
      </c>
      <c r="F275" t="s">
        <v>99</v>
      </c>
      <c r="G275" t="s">
        <v>174</v>
      </c>
      <c r="H275" t="s">
        <v>17</v>
      </c>
      <c r="I275" s="2" t="str">
        <f t="shared" si="32"/>
        <v>West</v>
      </c>
      <c r="J275" t="s">
        <v>306</v>
      </c>
      <c r="K275" t="s">
        <v>23</v>
      </c>
      <c r="L275">
        <v>20</v>
      </c>
      <c r="M275">
        <v>120</v>
      </c>
      <c r="N275">
        <f t="shared" si="36"/>
        <v>2400</v>
      </c>
      <c r="O275">
        <f t="shared" si="37"/>
        <v>240</v>
      </c>
      <c r="P275" t="str">
        <f t="shared" si="38"/>
        <v>Large Order</v>
      </c>
      <c r="Q275" t="str">
        <f t="shared" si="39"/>
        <v>Weekday</v>
      </c>
    </row>
    <row r="276" spans="1:17" x14ac:dyDescent="0.35">
      <c r="A276" t="s">
        <v>403</v>
      </c>
      <c r="B276" s="7">
        <v>45605</v>
      </c>
      <c r="C276" s="13">
        <f t="shared" si="33"/>
        <v>2024</v>
      </c>
      <c r="D276" s="7" t="str">
        <f t="shared" si="34"/>
        <v>Nov</v>
      </c>
      <c r="E276" s="7" t="str">
        <f t="shared" si="35"/>
        <v>Sat</v>
      </c>
      <c r="F276" t="s">
        <v>329</v>
      </c>
      <c r="G276" t="s">
        <v>174</v>
      </c>
      <c r="H276" t="s">
        <v>22</v>
      </c>
      <c r="I276" s="2" t="str">
        <f t="shared" si="32"/>
        <v>East</v>
      </c>
      <c r="J276" t="s">
        <v>27</v>
      </c>
      <c r="K276" t="s">
        <v>23</v>
      </c>
      <c r="L276">
        <v>15</v>
      </c>
      <c r="M276">
        <v>120</v>
      </c>
      <c r="N276">
        <f t="shared" si="36"/>
        <v>1800</v>
      </c>
      <c r="O276">
        <f t="shared" si="37"/>
        <v>180</v>
      </c>
      <c r="P276" t="str">
        <f t="shared" si="38"/>
        <v>Large Order</v>
      </c>
      <c r="Q276" t="str">
        <f t="shared" si="39"/>
        <v>Weekend</v>
      </c>
    </row>
    <row r="277" spans="1:17" x14ac:dyDescent="0.35">
      <c r="A277" t="s">
        <v>404</v>
      </c>
      <c r="B277" s="7">
        <v>45522</v>
      </c>
      <c r="C277" s="13">
        <f t="shared" si="33"/>
        <v>2024</v>
      </c>
      <c r="D277" s="7" t="str">
        <f t="shared" si="34"/>
        <v>Aug</v>
      </c>
      <c r="E277" s="7" t="str">
        <f t="shared" si="35"/>
        <v>Sun</v>
      </c>
      <c r="F277" t="s">
        <v>86</v>
      </c>
      <c r="G277" t="s">
        <v>119</v>
      </c>
      <c r="H277" t="s">
        <v>11</v>
      </c>
      <c r="I277" s="2" t="str">
        <f t="shared" si="32"/>
        <v>East</v>
      </c>
      <c r="J277" t="s">
        <v>42</v>
      </c>
      <c r="K277" t="s">
        <v>28</v>
      </c>
      <c r="L277">
        <v>17</v>
      </c>
      <c r="M277">
        <v>120</v>
      </c>
      <c r="N277">
        <f t="shared" si="36"/>
        <v>2040</v>
      </c>
      <c r="O277">
        <f t="shared" si="37"/>
        <v>204</v>
      </c>
      <c r="P277" t="str">
        <f t="shared" si="38"/>
        <v>Large Order</v>
      </c>
      <c r="Q277" t="str">
        <f t="shared" si="39"/>
        <v>Weekend</v>
      </c>
    </row>
    <row r="278" spans="1:17" x14ac:dyDescent="0.35">
      <c r="A278" t="s">
        <v>405</v>
      </c>
      <c r="B278" s="7">
        <v>45432</v>
      </c>
      <c r="C278" s="13">
        <f t="shared" si="33"/>
        <v>2024</v>
      </c>
      <c r="D278" s="7" t="str">
        <f t="shared" si="34"/>
        <v>May</v>
      </c>
      <c r="E278" s="7" t="str">
        <f t="shared" si="35"/>
        <v>Mon</v>
      </c>
      <c r="F278" t="s">
        <v>396</v>
      </c>
      <c r="G278" t="s">
        <v>197</v>
      </c>
      <c r="H278" t="s">
        <v>11</v>
      </c>
      <c r="I278" s="2" t="str">
        <f t="shared" si="32"/>
        <v>South</v>
      </c>
      <c r="J278" t="s">
        <v>42</v>
      </c>
      <c r="K278" t="s">
        <v>36</v>
      </c>
      <c r="L278">
        <v>9</v>
      </c>
      <c r="M278">
        <v>120</v>
      </c>
      <c r="N278">
        <f t="shared" si="36"/>
        <v>1080</v>
      </c>
      <c r="O278">
        <f t="shared" si="37"/>
        <v>108</v>
      </c>
      <c r="P278" t="str">
        <f t="shared" si="38"/>
        <v>Large Order</v>
      </c>
      <c r="Q278" t="str">
        <f t="shared" si="39"/>
        <v>Weekday</v>
      </c>
    </row>
    <row r="279" spans="1:17" x14ac:dyDescent="0.35">
      <c r="A279" t="s">
        <v>406</v>
      </c>
      <c r="B279" s="7">
        <v>45333</v>
      </c>
      <c r="C279" s="13">
        <f t="shared" si="33"/>
        <v>2024</v>
      </c>
      <c r="D279" s="7" t="str">
        <f t="shared" si="34"/>
        <v>Feb</v>
      </c>
      <c r="E279" s="7" t="str">
        <f t="shared" si="35"/>
        <v>Sun</v>
      </c>
      <c r="F279" t="s">
        <v>99</v>
      </c>
      <c r="G279" t="s">
        <v>31</v>
      </c>
      <c r="H279" t="s">
        <v>11</v>
      </c>
      <c r="I279" s="2" t="str">
        <f t="shared" si="32"/>
        <v>Central</v>
      </c>
      <c r="J279" t="s">
        <v>56</v>
      </c>
      <c r="K279" t="s">
        <v>13</v>
      </c>
      <c r="L279">
        <v>5</v>
      </c>
      <c r="M279">
        <v>120</v>
      </c>
      <c r="N279">
        <f t="shared" si="36"/>
        <v>600</v>
      </c>
      <c r="O279">
        <f t="shared" si="37"/>
        <v>60</v>
      </c>
      <c r="P279" t="str">
        <f t="shared" si="38"/>
        <v>Large Order</v>
      </c>
      <c r="Q279" t="str">
        <f t="shared" si="39"/>
        <v>Weekend</v>
      </c>
    </row>
    <row r="280" spans="1:17" x14ac:dyDescent="0.35">
      <c r="A280" t="s">
        <v>407</v>
      </c>
      <c r="B280" s="7">
        <v>45504</v>
      </c>
      <c r="C280" s="13">
        <f t="shared" si="33"/>
        <v>2024</v>
      </c>
      <c r="D280" s="7" t="str">
        <f t="shared" si="34"/>
        <v>Jul</v>
      </c>
      <c r="E280" s="7" t="str">
        <f t="shared" si="35"/>
        <v>Wed</v>
      </c>
      <c r="F280" t="s">
        <v>408</v>
      </c>
      <c r="G280" t="s">
        <v>70</v>
      </c>
      <c r="H280" t="s">
        <v>17</v>
      </c>
      <c r="I280" s="2" t="str">
        <f t="shared" si="32"/>
        <v>North</v>
      </c>
      <c r="J280" t="s">
        <v>306</v>
      </c>
      <c r="K280" t="s">
        <v>23</v>
      </c>
      <c r="L280">
        <v>14</v>
      </c>
      <c r="M280">
        <v>120</v>
      </c>
      <c r="N280">
        <f t="shared" si="36"/>
        <v>1680</v>
      </c>
      <c r="O280">
        <f t="shared" si="37"/>
        <v>168</v>
      </c>
      <c r="P280" t="str">
        <f t="shared" si="38"/>
        <v>Large Order</v>
      </c>
      <c r="Q280" t="str">
        <f t="shared" si="39"/>
        <v>Weekday</v>
      </c>
    </row>
    <row r="281" spans="1:17" x14ac:dyDescent="0.35">
      <c r="A281" t="s">
        <v>409</v>
      </c>
      <c r="B281" s="7">
        <v>45491</v>
      </c>
      <c r="C281" s="13">
        <f t="shared" si="33"/>
        <v>2024</v>
      </c>
      <c r="D281" s="7" t="str">
        <f t="shared" si="34"/>
        <v>Jul</v>
      </c>
      <c r="E281" s="7" t="str">
        <f t="shared" si="35"/>
        <v>Thu</v>
      </c>
      <c r="F281" t="s">
        <v>337</v>
      </c>
      <c r="G281" t="s">
        <v>119</v>
      </c>
      <c r="H281" t="s">
        <v>22</v>
      </c>
      <c r="I281" s="2" t="str">
        <f t="shared" si="32"/>
        <v>West</v>
      </c>
      <c r="J281" t="s">
        <v>12</v>
      </c>
      <c r="K281" t="s">
        <v>13</v>
      </c>
      <c r="L281">
        <v>19</v>
      </c>
      <c r="M281">
        <v>120</v>
      </c>
      <c r="N281">
        <f t="shared" si="36"/>
        <v>2280</v>
      </c>
      <c r="O281">
        <f t="shared" si="37"/>
        <v>228</v>
      </c>
      <c r="P281" t="str">
        <f t="shared" si="38"/>
        <v>Large Order</v>
      </c>
      <c r="Q281" t="str">
        <f t="shared" si="39"/>
        <v>Weekday</v>
      </c>
    </row>
    <row r="282" spans="1:17" x14ac:dyDescent="0.35">
      <c r="A282" t="s">
        <v>410</v>
      </c>
      <c r="B282" s="7">
        <v>45472</v>
      </c>
      <c r="C282" s="13">
        <f t="shared" si="33"/>
        <v>2024</v>
      </c>
      <c r="D282" s="7" t="str">
        <f t="shared" si="34"/>
        <v>Jun</v>
      </c>
      <c r="E282" s="7" t="str">
        <f t="shared" si="35"/>
        <v>Sat</v>
      </c>
      <c r="F282" t="s">
        <v>68</v>
      </c>
      <c r="G282" t="s">
        <v>174</v>
      </c>
      <c r="H282" t="s">
        <v>17</v>
      </c>
      <c r="I282" s="2" t="str">
        <f t="shared" si="32"/>
        <v>West</v>
      </c>
      <c r="J282" t="s">
        <v>27</v>
      </c>
      <c r="K282" t="s">
        <v>28</v>
      </c>
      <c r="L282">
        <v>18</v>
      </c>
      <c r="M282">
        <v>120</v>
      </c>
      <c r="N282">
        <f t="shared" si="36"/>
        <v>2160</v>
      </c>
      <c r="O282">
        <f t="shared" si="37"/>
        <v>216</v>
      </c>
      <c r="P282" t="str">
        <f t="shared" si="38"/>
        <v>Large Order</v>
      </c>
      <c r="Q282" t="str">
        <f t="shared" si="39"/>
        <v>Weekend</v>
      </c>
    </row>
    <row r="283" spans="1:17" x14ac:dyDescent="0.35">
      <c r="A283" t="s">
        <v>411</v>
      </c>
      <c r="B283" s="7">
        <v>45541</v>
      </c>
      <c r="C283" s="13">
        <f t="shared" si="33"/>
        <v>2024</v>
      </c>
      <c r="D283" s="7" t="str">
        <f t="shared" si="34"/>
        <v>Sep</v>
      </c>
      <c r="E283" s="7" t="str">
        <f t="shared" si="35"/>
        <v>Fri</v>
      </c>
      <c r="F283" t="s">
        <v>240</v>
      </c>
      <c r="G283" t="s">
        <v>35</v>
      </c>
      <c r="H283" t="s">
        <v>17</v>
      </c>
      <c r="I283" s="2" t="str">
        <f t="shared" si="32"/>
        <v>Central</v>
      </c>
      <c r="J283" t="s">
        <v>27</v>
      </c>
      <c r="K283" t="s">
        <v>23</v>
      </c>
      <c r="L283">
        <v>1</v>
      </c>
      <c r="M283">
        <v>120</v>
      </c>
      <c r="N283">
        <f t="shared" si="36"/>
        <v>120</v>
      </c>
      <c r="O283">
        <f t="shared" si="37"/>
        <v>12</v>
      </c>
      <c r="P283" t="str">
        <f t="shared" si="38"/>
        <v>Standard Order</v>
      </c>
      <c r="Q283" t="str">
        <f t="shared" si="39"/>
        <v>Weekday</v>
      </c>
    </row>
    <row r="284" spans="1:17" x14ac:dyDescent="0.35">
      <c r="A284" t="s">
        <v>412</v>
      </c>
      <c r="B284" s="7">
        <v>45376</v>
      </c>
      <c r="C284" s="13">
        <f t="shared" si="33"/>
        <v>2024</v>
      </c>
      <c r="D284" s="7" t="str">
        <f t="shared" si="34"/>
        <v>Mar</v>
      </c>
      <c r="E284" s="7" t="str">
        <f t="shared" si="35"/>
        <v>Mon</v>
      </c>
      <c r="F284" t="s">
        <v>319</v>
      </c>
      <c r="G284" t="s">
        <v>174</v>
      </c>
      <c r="H284" t="s">
        <v>11</v>
      </c>
      <c r="I284" s="2" t="str">
        <f t="shared" si="32"/>
        <v>North</v>
      </c>
      <c r="J284" t="s">
        <v>306</v>
      </c>
      <c r="K284" t="s">
        <v>36</v>
      </c>
      <c r="L284">
        <v>1</v>
      </c>
      <c r="M284">
        <v>120</v>
      </c>
      <c r="N284">
        <f t="shared" si="36"/>
        <v>120</v>
      </c>
      <c r="O284">
        <f t="shared" si="37"/>
        <v>12</v>
      </c>
      <c r="P284" t="str">
        <f t="shared" si="38"/>
        <v>Standard Order</v>
      </c>
      <c r="Q284" t="str">
        <f t="shared" si="39"/>
        <v>Weekday</v>
      </c>
    </row>
    <row r="285" spans="1:17" x14ac:dyDescent="0.35">
      <c r="A285" t="s">
        <v>413</v>
      </c>
      <c r="B285" s="7">
        <v>45580</v>
      </c>
      <c r="C285" s="13">
        <f t="shared" si="33"/>
        <v>2024</v>
      </c>
      <c r="D285" s="7" t="str">
        <f t="shared" si="34"/>
        <v>Oct</v>
      </c>
      <c r="E285" s="7" t="str">
        <f t="shared" si="35"/>
        <v>Tue</v>
      </c>
      <c r="F285" t="s">
        <v>371</v>
      </c>
      <c r="G285" t="s">
        <v>21</v>
      </c>
      <c r="H285" t="s">
        <v>11</v>
      </c>
      <c r="I285" s="2" t="str">
        <f t="shared" si="32"/>
        <v>West</v>
      </c>
      <c r="J285" t="s">
        <v>12</v>
      </c>
      <c r="K285" t="s">
        <v>23</v>
      </c>
      <c r="L285">
        <v>14</v>
      </c>
      <c r="M285">
        <v>120</v>
      </c>
      <c r="N285">
        <f t="shared" si="36"/>
        <v>1680</v>
      </c>
      <c r="O285">
        <f t="shared" si="37"/>
        <v>168</v>
      </c>
      <c r="P285" t="str">
        <f t="shared" si="38"/>
        <v>Large Order</v>
      </c>
      <c r="Q285" t="str">
        <f t="shared" si="39"/>
        <v>Weekday</v>
      </c>
    </row>
    <row r="286" spans="1:17" x14ac:dyDescent="0.35">
      <c r="A286" t="s">
        <v>414</v>
      </c>
      <c r="B286" s="7">
        <v>45385</v>
      </c>
      <c r="C286" s="13">
        <f t="shared" si="33"/>
        <v>2024</v>
      </c>
      <c r="D286" s="7" t="str">
        <f t="shared" si="34"/>
        <v>Apr</v>
      </c>
      <c r="E286" s="7" t="str">
        <f t="shared" si="35"/>
        <v>Wed</v>
      </c>
      <c r="F286" t="s">
        <v>9</v>
      </c>
      <c r="G286" t="s">
        <v>72</v>
      </c>
      <c r="H286" t="s">
        <v>17</v>
      </c>
      <c r="I286" s="2" t="str">
        <f t="shared" si="32"/>
        <v>East</v>
      </c>
      <c r="J286" t="s">
        <v>27</v>
      </c>
      <c r="K286" t="s">
        <v>32</v>
      </c>
      <c r="L286">
        <v>7</v>
      </c>
      <c r="M286">
        <v>120</v>
      </c>
      <c r="N286">
        <f t="shared" si="36"/>
        <v>840</v>
      </c>
      <c r="O286">
        <f t="shared" si="37"/>
        <v>84</v>
      </c>
      <c r="P286" t="str">
        <f t="shared" si="38"/>
        <v>Large Order</v>
      </c>
      <c r="Q286" t="str">
        <f t="shared" si="39"/>
        <v>Weekday</v>
      </c>
    </row>
    <row r="287" spans="1:17" x14ac:dyDescent="0.35">
      <c r="A287" t="s">
        <v>415</v>
      </c>
      <c r="B287" s="7">
        <v>45486</v>
      </c>
      <c r="C287" s="13">
        <f t="shared" si="33"/>
        <v>2024</v>
      </c>
      <c r="D287" s="7" t="str">
        <f t="shared" si="34"/>
        <v>Jul</v>
      </c>
      <c r="E287" s="7" t="str">
        <f t="shared" si="35"/>
        <v>Sat</v>
      </c>
      <c r="F287" t="s">
        <v>89</v>
      </c>
      <c r="G287" t="s">
        <v>10</v>
      </c>
      <c r="H287" t="s">
        <v>17</v>
      </c>
      <c r="I287" s="2" t="str">
        <f t="shared" si="32"/>
        <v>North</v>
      </c>
      <c r="J287" t="s">
        <v>42</v>
      </c>
      <c r="K287" t="s">
        <v>36</v>
      </c>
      <c r="L287">
        <v>16</v>
      </c>
      <c r="M287">
        <v>120</v>
      </c>
      <c r="N287">
        <f t="shared" si="36"/>
        <v>1920</v>
      </c>
      <c r="O287">
        <f t="shared" si="37"/>
        <v>192</v>
      </c>
      <c r="P287" t="str">
        <f t="shared" si="38"/>
        <v>Large Order</v>
      </c>
      <c r="Q287" t="str">
        <f t="shared" si="39"/>
        <v>Weekend</v>
      </c>
    </row>
    <row r="288" spans="1:17" x14ac:dyDescent="0.35">
      <c r="A288" t="s">
        <v>416</v>
      </c>
      <c r="B288" s="7">
        <v>45318</v>
      </c>
      <c r="C288" s="13">
        <f t="shared" si="33"/>
        <v>2024</v>
      </c>
      <c r="D288" s="7" t="str">
        <f t="shared" si="34"/>
        <v>Jan</v>
      </c>
      <c r="E288" s="7" t="str">
        <f t="shared" si="35"/>
        <v>Sat</v>
      </c>
      <c r="F288" t="s">
        <v>20</v>
      </c>
      <c r="G288" t="s">
        <v>119</v>
      </c>
      <c r="H288" t="s">
        <v>11</v>
      </c>
      <c r="I288" s="2" t="str">
        <f t="shared" si="32"/>
        <v>South</v>
      </c>
      <c r="J288" t="s">
        <v>12</v>
      </c>
      <c r="K288" t="s">
        <v>28</v>
      </c>
      <c r="L288">
        <v>2</v>
      </c>
      <c r="M288">
        <v>120</v>
      </c>
      <c r="N288">
        <f t="shared" si="36"/>
        <v>240</v>
      </c>
      <c r="O288">
        <f t="shared" si="37"/>
        <v>24</v>
      </c>
      <c r="P288" t="str">
        <f t="shared" si="38"/>
        <v>Standard Order</v>
      </c>
      <c r="Q288" t="str">
        <f t="shared" si="39"/>
        <v>Weekend</v>
      </c>
    </row>
    <row r="289" spans="1:17" x14ac:dyDescent="0.35">
      <c r="A289" t="s">
        <v>417</v>
      </c>
      <c r="B289" s="7">
        <v>45394</v>
      </c>
      <c r="C289" s="13">
        <f t="shared" si="33"/>
        <v>2024</v>
      </c>
      <c r="D289" s="7" t="str">
        <f t="shared" si="34"/>
        <v>Apr</v>
      </c>
      <c r="E289" s="7" t="str">
        <f t="shared" si="35"/>
        <v>Fri</v>
      </c>
      <c r="F289" t="s">
        <v>138</v>
      </c>
      <c r="G289" t="s">
        <v>197</v>
      </c>
      <c r="H289" t="s">
        <v>22</v>
      </c>
      <c r="I289" s="2" t="str">
        <f t="shared" si="32"/>
        <v>East</v>
      </c>
      <c r="J289" t="s">
        <v>56</v>
      </c>
      <c r="K289" t="s">
        <v>13</v>
      </c>
      <c r="L289">
        <v>5</v>
      </c>
      <c r="M289">
        <v>120</v>
      </c>
      <c r="N289">
        <f t="shared" si="36"/>
        <v>600</v>
      </c>
      <c r="O289">
        <f t="shared" si="37"/>
        <v>60</v>
      </c>
      <c r="P289" t="str">
        <f t="shared" si="38"/>
        <v>Large Order</v>
      </c>
      <c r="Q289" t="str">
        <f t="shared" si="39"/>
        <v>Weekday</v>
      </c>
    </row>
    <row r="290" spans="1:17" x14ac:dyDescent="0.35">
      <c r="A290" t="s">
        <v>418</v>
      </c>
      <c r="B290" s="7">
        <v>45580</v>
      </c>
      <c r="C290" s="13">
        <f t="shared" si="33"/>
        <v>2024</v>
      </c>
      <c r="D290" s="7" t="str">
        <f t="shared" si="34"/>
        <v>Oct</v>
      </c>
      <c r="E290" s="7" t="str">
        <f t="shared" si="35"/>
        <v>Tue</v>
      </c>
      <c r="F290" t="s">
        <v>133</v>
      </c>
      <c r="G290" t="s">
        <v>119</v>
      </c>
      <c r="H290" t="s">
        <v>17</v>
      </c>
      <c r="I290" s="2" t="str">
        <f t="shared" si="32"/>
        <v>East</v>
      </c>
      <c r="J290" t="s">
        <v>42</v>
      </c>
      <c r="K290" t="s">
        <v>36</v>
      </c>
      <c r="L290">
        <v>12</v>
      </c>
      <c r="M290">
        <v>120</v>
      </c>
      <c r="N290">
        <f t="shared" si="36"/>
        <v>1440</v>
      </c>
      <c r="O290">
        <f t="shared" si="37"/>
        <v>144</v>
      </c>
      <c r="P290" t="str">
        <f t="shared" si="38"/>
        <v>Large Order</v>
      </c>
      <c r="Q290" t="str">
        <f t="shared" si="39"/>
        <v>Weekday</v>
      </c>
    </row>
    <row r="291" spans="1:17" x14ac:dyDescent="0.35">
      <c r="A291" t="s">
        <v>419</v>
      </c>
      <c r="B291" s="7">
        <v>45350</v>
      </c>
      <c r="C291" s="13">
        <f t="shared" si="33"/>
        <v>2024</v>
      </c>
      <c r="D291" s="7" t="str">
        <f t="shared" si="34"/>
        <v>Feb</v>
      </c>
      <c r="E291" s="7" t="str">
        <f t="shared" si="35"/>
        <v>Wed</v>
      </c>
      <c r="F291" t="s">
        <v>420</v>
      </c>
      <c r="G291" t="s">
        <v>102</v>
      </c>
      <c r="H291" t="s">
        <v>11</v>
      </c>
      <c r="I291" s="2" t="str">
        <f t="shared" si="32"/>
        <v>West</v>
      </c>
      <c r="J291" t="s">
        <v>42</v>
      </c>
      <c r="K291" t="s">
        <v>32</v>
      </c>
      <c r="L291">
        <v>19</v>
      </c>
      <c r="M291">
        <v>120</v>
      </c>
      <c r="N291">
        <f t="shared" si="36"/>
        <v>2280</v>
      </c>
      <c r="O291">
        <f t="shared" si="37"/>
        <v>228</v>
      </c>
      <c r="P291" t="str">
        <f t="shared" si="38"/>
        <v>Large Order</v>
      </c>
      <c r="Q291" t="str">
        <f t="shared" si="39"/>
        <v>Weekday</v>
      </c>
    </row>
    <row r="292" spans="1:17" x14ac:dyDescent="0.35">
      <c r="A292" t="s">
        <v>421</v>
      </c>
      <c r="B292" s="7">
        <v>45586</v>
      </c>
      <c r="C292" s="13">
        <f t="shared" si="33"/>
        <v>2024</v>
      </c>
      <c r="D292" s="7" t="str">
        <f t="shared" si="34"/>
        <v>Oct</v>
      </c>
      <c r="E292" s="7" t="str">
        <f t="shared" si="35"/>
        <v>Mon</v>
      </c>
      <c r="F292" t="s">
        <v>422</v>
      </c>
      <c r="G292" t="s">
        <v>62</v>
      </c>
      <c r="H292" t="s">
        <v>17</v>
      </c>
      <c r="I292" s="2" t="str">
        <f t="shared" si="32"/>
        <v>Central</v>
      </c>
      <c r="J292" t="s">
        <v>27</v>
      </c>
      <c r="K292" t="s">
        <v>28</v>
      </c>
      <c r="L292">
        <v>7</v>
      </c>
      <c r="M292">
        <v>120</v>
      </c>
      <c r="N292">
        <f t="shared" si="36"/>
        <v>840</v>
      </c>
      <c r="O292">
        <f t="shared" si="37"/>
        <v>84</v>
      </c>
      <c r="P292" t="str">
        <f t="shared" si="38"/>
        <v>Large Order</v>
      </c>
      <c r="Q292" t="str">
        <f t="shared" si="39"/>
        <v>Weekday</v>
      </c>
    </row>
    <row r="293" spans="1:17" x14ac:dyDescent="0.35">
      <c r="A293" t="s">
        <v>423</v>
      </c>
      <c r="B293" s="7">
        <v>45344</v>
      </c>
      <c r="C293" s="13">
        <f t="shared" si="33"/>
        <v>2024</v>
      </c>
      <c r="D293" s="7" t="str">
        <f t="shared" si="34"/>
        <v>Feb</v>
      </c>
      <c r="E293" s="7" t="str">
        <f t="shared" si="35"/>
        <v>Thu</v>
      </c>
      <c r="F293" t="s">
        <v>424</v>
      </c>
      <c r="G293" t="s">
        <v>102</v>
      </c>
      <c r="H293" t="s">
        <v>17</v>
      </c>
      <c r="I293" s="2" t="str">
        <f t="shared" si="32"/>
        <v>East</v>
      </c>
      <c r="J293" t="s">
        <v>306</v>
      </c>
      <c r="K293" t="s">
        <v>32</v>
      </c>
      <c r="L293">
        <v>19</v>
      </c>
      <c r="M293">
        <v>120</v>
      </c>
      <c r="N293">
        <f t="shared" si="36"/>
        <v>2280</v>
      </c>
      <c r="O293">
        <f t="shared" si="37"/>
        <v>228</v>
      </c>
      <c r="P293" t="str">
        <f t="shared" si="38"/>
        <v>Large Order</v>
      </c>
      <c r="Q293" t="str">
        <f t="shared" si="39"/>
        <v>Weekday</v>
      </c>
    </row>
    <row r="294" spans="1:17" x14ac:dyDescent="0.35">
      <c r="A294" t="s">
        <v>425</v>
      </c>
      <c r="B294" s="7">
        <v>45564</v>
      </c>
      <c r="C294" s="13">
        <f t="shared" si="33"/>
        <v>2024</v>
      </c>
      <c r="D294" s="7" t="str">
        <f t="shared" si="34"/>
        <v>Sep</v>
      </c>
      <c r="E294" s="7" t="str">
        <f t="shared" si="35"/>
        <v>Sun</v>
      </c>
      <c r="F294" t="s">
        <v>309</v>
      </c>
      <c r="G294" t="s">
        <v>10</v>
      </c>
      <c r="H294" t="s">
        <v>22</v>
      </c>
      <c r="I294" s="2" t="str">
        <f t="shared" si="32"/>
        <v>West</v>
      </c>
      <c r="J294" t="s">
        <v>42</v>
      </c>
      <c r="K294" t="s">
        <v>13</v>
      </c>
      <c r="L294">
        <v>17</v>
      </c>
      <c r="M294">
        <v>120</v>
      </c>
      <c r="N294">
        <f t="shared" si="36"/>
        <v>2040</v>
      </c>
      <c r="O294">
        <f t="shared" si="37"/>
        <v>204</v>
      </c>
      <c r="P294" t="str">
        <f t="shared" si="38"/>
        <v>Large Order</v>
      </c>
      <c r="Q294" t="str">
        <f t="shared" si="39"/>
        <v>Weekend</v>
      </c>
    </row>
    <row r="295" spans="1:17" x14ac:dyDescent="0.35">
      <c r="A295" t="s">
        <v>426</v>
      </c>
      <c r="B295" s="7">
        <v>45507</v>
      </c>
      <c r="C295" s="13">
        <f t="shared" si="33"/>
        <v>2024</v>
      </c>
      <c r="D295" s="7" t="str">
        <f t="shared" si="34"/>
        <v>Aug</v>
      </c>
      <c r="E295" s="7" t="str">
        <f t="shared" si="35"/>
        <v>Sat</v>
      </c>
      <c r="F295" t="s">
        <v>374</v>
      </c>
      <c r="G295" t="s">
        <v>48</v>
      </c>
      <c r="H295" t="s">
        <v>11</v>
      </c>
      <c r="I295" s="2" t="str">
        <f t="shared" si="32"/>
        <v>East</v>
      </c>
      <c r="J295" t="s">
        <v>27</v>
      </c>
      <c r="K295" t="s">
        <v>23</v>
      </c>
      <c r="L295">
        <v>15</v>
      </c>
      <c r="M295">
        <v>120</v>
      </c>
      <c r="N295">
        <f t="shared" si="36"/>
        <v>1800</v>
      </c>
      <c r="O295">
        <f t="shared" si="37"/>
        <v>180</v>
      </c>
      <c r="P295" t="str">
        <f t="shared" si="38"/>
        <v>Large Order</v>
      </c>
      <c r="Q295" t="str">
        <f t="shared" si="39"/>
        <v>Weekend</v>
      </c>
    </row>
    <row r="296" spans="1:17" x14ac:dyDescent="0.35">
      <c r="A296" t="s">
        <v>427</v>
      </c>
      <c r="B296" s="7">
        <v>45382</v>
      </c>
      <c r="C296" s="13">
        <f t="shared" si="33"/>
        <v>2024</v>
      </c>
      <c r="D296" s="7" t="str">
        <f t="shared" si="34"/>
        <v>Mar</v>
      </c>
      <c r="E296" s="7" t="str">
        <f t="shared" si="35"/>
        <v>Sun</v>
      </c>
      <c r="F296" t="s">
        <v>388</v>
      </c>
      <c r="G296" t="s">
        <v>109</v>
      </c>
      <c r="H296" t="s">
        <v>22</v>
      </c>
      <c r="I296" s="2" t="str">
        <f t="shared" si="32"/>
        <v>East</v>
      </c>
      <c r="J296" t="s">
        <v>42</v>
      </c>
      <c r="K296" t="s">
        <v>23</v>
      </c>
      <c r="L296">
        <v>18</v>
      </c>
      <c r="M296">
        <v>120</v>
      </c>
      <c r="N296">
        <f t="shared" si="36"/>
        <v>2160</v>
      </c>
      <c r="O296">
        <f t="shared" si="37"/>
        <v>216</v>
      </c>
      <c r="P296" t="str">
        <f t="shared" si="38"/>
        <v>Large Order</v>
      </c>
      <c r="Q296" t="str">
        <f t="shared" si="39"/>
        <v>Weekend</v>
      </c>
    </row>
    <row r="297" spans="1:17" x14ac:dyDescent="0.35">
      <c r="A297" t="s">
        <v>428</v>
      </c>
      <c r="B297" s="7">
        <v>45515</v>
      </c>
      <c r="C297" s="13">
        <f t="shared" si="33"/>
        <v>2024</v>
      </c>
      <c r="D297" s="7" t="str">
        <f t="shared" si="34"/>
        <v>Aug</v>
      </c>
      <c r="E297" s="7" t="str">
        <f t="shared" si="35"/>
        <v>Sun</v>
      </c>
      <c r="F297" t="s">
        <v>388</v>
      </c>
      <c r="G297" t="s">
        <v>72</v>
      </c>
      <c r="H297" t="s">
        <v>22</v>
      </c>
      <c r="I297" s="2" t="str">
        <f t="shared" si="32"/>
        <v>West</v>
      </c>
      <c r="J297" t="s">
        <v>42</v>
      </c>
      <c r="K297" t="s">
        <v>13</v>
      </c>
      <c r="L297">
        <v>8</v>
      </c>
      <c r="M297">
        <v>120</v>
      </c>
      <c r="N297">
        <f t="shared" si="36"/>
        <v>960</v>
      </c>
      <c r="O297">
        <f t="shared" si="37"/>
        <v>96</v>
      </c>
      <c r="P297" t="str">
        <f t="shared" si="38"/>
        <v>Large Order</v>
      </c>
      <c r="Q297" t="str">
        <f t="shared" si="39"/>
        <v>Weekend</v>
      </c>
    </row>
    <row r="298" spans="1:17" x14ac:dyDescent="0.35">
      <c r="A298" t="s">
        <v>429</v>
      </c>
      <c r="B298" s="7">
        <v>45434</v>
      </c>
      <c r="C298" s="13">
        <f t="shared" si="33"/>
        <v>2024</v>
      </c>
      <c r="D298" s="7" t="str">
        <f t="shared" si="34"/>
        <v>May</v>
      </c>
      <c r="E298" s="7" t="str">
        <f t="shared" si="35"/>
        <v>Wed</v>
      </c>
      <c r="F298" t="s">
        <v>430</v>
      </c>
      <c r="G298" t="s">
        <v>59</v>
      </c>
      <c r="H298" t="s">
        <v>11</v>
      </c>
      <c r="I298" s="2" t="str">
        <f t="shared" si="32"/>
        <v>South</v>
      </c>
      <c r="J298" t="s">
        <v>27</v>
      </c>
      <c r="K298" t="s">
        <v>32</v>
      </c>
      <c r="L298">
        <v>20</v>
      </c>
      <c r="M298">
        <v>120</v>
      </c>
      <c r="N298">
        <f t="shared" si="36"/>
        <v>2400</v>
      </c>
      <c r="O298">
        <f t="shared" si="37"/>
        <v>240</v>
      </c>
      <c r="P298" t="str">
        <f t="shared" si="38"/>
        <v>Large Order</v>
      </c>
      <c r="Q298" t="str">
        <f t="shared" si="39"/>
        <v>Weekday</v>
      </c>
    </row>
    <row r="299" spans="1:17" x14ac:dyDescent="0.35">
      <c r="A299" t="s">
        <v>431</v>
      </c>
      <c r="B299" s="7">
        <v>45306</v>
      </c>
      <c r="C299" s="13">
        <f t="shared" si="33"/>
        <v>2024</v>
      </c>
      <c r="D299" s="7" t="str">
        <f t="shared" si="34"/>
        <v>Jan</v>
      </c>
      <c r="E299" s="7" t="str">
        <f t="shared" si="35"/>
        <v>Mon</v>
      </c>
      <c r="F299" t="s">
        <v>432</v>
      </c>
      <c r="G299" t="s">
        <v>35</v>
      </c>
      <c r="H299" t="s">
        <v>17</v>
      </c>
      <c r="I299" s="2" t="str">
        <f t="shared" si="32"/>
        <v>East</v>
      </c>
      <c r="J299" t="s">
        <v>56</v>
      </c>
      <c r="K299" t="s">
        <v>32</v>
      </c>
      <c r="L299">
        <v>7</v>
      </c>
      <c r="M299">
        <v>120</v>
      </c>
      <c r="N299">
        <f t="shared" si="36"/>
        <v>840</v>
      </c>
      <c r="O299">
        <f t="shared" si="37"/>
        <v>84</v>
      </c>
      <c r="P299" t="str">
        <f t="shared" si="38"/>
        <v>Large Order</v>
      </c>
      <c r="Q299" t="str">
        <f t="shared" si="39"/>
        <v>Weekday</v>
      </c>
    </row>
    <row r="300" spans="1:17" x14ac:dyDescent="0.35">
      <c r="A300" t="s">
        <v>433</v>
      </c>
      <c r="B300" s="7">
        <v>45466</v>
      </c>
      <c r="C300" s="13">
        <f t="shared" si="33"/>
        <v>2024</v>
      </c>
      <c r="D300" s="7" t="str">
        <f t="shared" si="34"/>
        <v>Jun</v>
      </c>
      <c r="E300" s="7" t="str">
        <f t="shared" si="35"/>
        <v>Sun</v>
      </c>
      <c r="F300" t="s">
        <v>89</v>
      </c>
      <c r="G300" t="s">
        <v>174</v>
      </c>
      <c r="H300" t="s">
        <v>22</v>
      </c>
      <c r="I300" s="2" t="str">
        <f t="shared" si="32"/>
        <v>West</v>
      </c>
      <c r="J300" t="s">
        <v>42</v>
      </c>
      <c r="K300" t="s">
        <v>28</v>
      </c>
      <c r="L300">
        <v>1</v>
      </c>
      <c r="M300">
        <v>120</v>
      </c>
      <c r="N300">
        <f t="shared" si="36"/>
        <v>120</v>
      </c>
      <c r="O300">
        <f t="shared" si="37"/>
        <v>12</v>
      </c>
      <c r="P300" t="str">
        <f t="shared" si="38"/>
        <v>Standard Order</v>
      </c>
      <c r="Q300" t="str">
        <f t="shared" si="39"/>
        <v>Weekend</v>
      </c>
    </row>
    <row r="301" spans="1:17" x14ac:dyDescent="0.35">
      <c r="A301" t="s">
        <v>434</v>
      </c>
      <c r="B301" s="7">
        <v>45335</v>
      </c>
      <c r="C301" s="13">
        <f t="shared" si="33"/>
        <v>2024</v>
      </c>
      <c r="D301" s="7" t="str">
        <f t="shared" si="34"/>
        <v>Feb</v>
      </c>
      <c r="E301" s="7" t="str">
        <f t="shared" si="35"/>
        <v>Tue</v>
      </c>
      <c r="F301" t="s">
        <v>93</v>
      </c>
      <c r="G301" t="s">
        <v>35</v>
      </c>
      <c r="H301" t="s">
        <v>22</v>
      </c>
      <c r="I301" s="2" t="str">
        <f t="shared" si="32"/>
        <v>West</v>
      </c>
      <c r="J301" t="s">
        <v>27</v>
      </c>
      <c r="K301" t="s">
        <v>23</v>
      </c>
      <c r="L301">
        <v>18</v>
      </c>
      <c r="M301">
        <v>120</v>
      </c>
      <c r="N301">
        <f t="shared" si="36"/>
        <v>2160</v>
      </c>
      <c r="O301">
        <f t="shared" si="37"/>
        <v>216</v>
      </c>
      <c r="P301" t="str">
        <f t="shared" si="38"/>
        <v>Large Order</v>
      </c>
      <c r="Q301" t="str">
        <f t="shared" si="39"/>
        <v>Weekday</v>
      </c>
    </row>
    <row r="302" spans="1:17" x14ac:dyDescent="0.35">
      <c r="A302" t="s">
        <v>435</v>
      </c>
      <c r="B302" s="7">
        <v>45622</v>
      </c>
      <c r="C302" s="13">
        <f t="shared" si="33"/>
        <v>2024</v>
      </c>
      <c r="D302" s="7" t="str">
        <f t="shared" si="34"/>
        <v>Nov</v>
      </c>
      <c r="E302" s="7" t="str">
        <f t="shared" si="35"/>
        <v>Tue</v>
      </c>
      <c r="F302" t="s">
        <v>436</v>
      </c>
      <c r="G302" t="s">
        <v>96</v>
      </c>
      <c r="H302" t="s">
        <v>17</v>
      </c>
      <c r="I302" s="2" t="str">
        <f t="shared" si="32"/>
        <v>Central</v>
      </c>
      <c r="J302" t="s">
        <v>27</v>
      </c>
      <c r="K302" t="s">
        <v>23</v>
      </c>
      <c r="L302">
        <v>3</v>
      </c>
      <c r="M302">
        <v>120</v>
      </c>
      <c r="N302">
        <f t="shared" si="36"/>
        <v>360</v>
      </c>
      <c r="O302">
        <f t="shared" si="37"/>
        <v>36</v>
      </c>
      <c r="P302" t="str">
        <f t="shared" si="38"/>
        <v>Standard Order</v>
      </c>
      <c r="Q302" t="str">
        <f t="shared" si="39"/>
        <v>Weekday</v>
      </c>
    </row>
    <row r="303" spans="1:17" x14ac:dyDescent="0.35">
      <c r="A303" t="s">
        <v>437</v>
      </c>
      <c r="B303" s="7">
        <v>45646</v>
      </c>
      <c r="C303" s="13">
        <f t="shared" si="33"/>
        <v>2024</v>
      </c>
      <c r="D303" s="7" t="str">
        <f t="shared" si="34"/>
        <v>Dec</v>
      </c>
      <c r="E303" s="7" t="str">
        <f t="shared" si="35"/>
        <v>Fri</v>
      </c>
      <c r="F303" t="s">
        <v>78</v>
      </c>
      <c r="G303" t="s">
        <v>48</v>
      </c>
      <c r="H303" t="s">
        <v>17</v>
      </c>
      <c r="I303" s="2" t="str">
        <f t="shared" si="32"/>
        <v>East</v>
      </c>
      <c r="J303" t="s">
        <v>306</v>
      </c>
      <c r="K303" t="s">
        <v>32</v>
      </c>
      <c r="L303">
        <v>16</v>
      </c>
      <c r="M303">
        <v>120</v>
      </c>
      <c r="N303">
        <f t="shared" si="36"/>
        <v>1920</v>
      </c>
      <c r="O303">
        <f t="shared" si="37"/>
        <v>192</v>
      </c>
      <c r="P303" t="str">
        <f t="shared" si="38"/>
        <v>Large Order</v>
      </c>
      <c r="Q303" t="str">
        <f t="shared" si="39"/>
        <v>Weekday</v>
      </c>
    </row>
    <row r="304" spans="1:17" x14ac:dyDescent="0.35">
      <c r="A304" t="s">
        <v>438</v>
      </c>
      <c r="B304" s="7">
        <v>45509</v>
      </c>
      <c r="C304" s="13">
        <f t="shared" si="33"/>
        <v>2024</v>
      </c>
      <c r="D304" s="7" t="str">
        <f t="shared" si="34"/>
        <v>Aug</v>
      </c>
      <c r="E304" s="7" t="str">
        <f t="shared" si="35"/>
        <v>Mon</v>
      </c>
      <c r="F304" t="s">
        <v>323</v>
      </c>
      <c r="G304" t="s">
        <v>48</v>
      </c>
      <c r="H304" t="s">
        <v>22</v>
      </c>
      <c r="I304" s="2" t="str">
        <f t="shared" si="32"/>
        <v>South</v>
      </c>
      <c r="J304" t="s">
        <v>42</v>
      </c>
      <c r="K304" t="s">
        <v>32</v>
      </c>
      <c r="L304">
        <v>15</v>
      </c>
      <c r="M304">
        <v>120</v>
      </c>
      <c r="N304">
        <f t="shared" si="36"/>
        <v>1800</v>
      </c>
      <c r="O304">
        <f t="shared" si="37"/>
        <v>180</v>
      </c>
      <c r="P304" t="str">
        <f t="shared" si="38"/>
        <v>Large Order</v>
      </c>
      <c r="Q304" t="str">
        <f t="shared" si="39"/>
        <v>Weekday</v>
      </c>
    </row>
    <row r="305" spans="1:17" x14ac:dyDescent="0.35">
      <c r="A305" t="s">
        <v>439</v>
      </c>
      <c r="B305" s="7">
        <v>45410</v>
      </c>
      <c r="C305" s="13">
        <f t="shared" si="33"/>
        <v>2024</v>
      </c>
      <c r="D305" s="7" t="str">
        <f t="shared" si="34"/>
        <v>Apr</v>
      </c>
      <c r="E305" s="7" t="str">
        <f t="shared" si="35"/>
        <v>Sun</v>
      </c>
      <c r="F305" t="s">
        <v>114</v>
      </c>
      <c r="G305" t="s">
        <v>72</v>
      </c>
      <c r="H305" t="s">
        <v>22</v>
      </c>
      <c r="I305" s="2" t="str">
        <f t="shared" si="32"/>
        <v>West</v>
      </c>
      <c r="J305" t="s">
        <v>56</v>
      </c>
      <c r="K305" t="s">
        <v>28</v>
      </c>
      <c r="L305">
        <v>4</v>
      </c>
      <c r="M305">
        <v>120</v>
      </c>
      <c r="N305">
        <f t="shared" si="36"/>
        <v>480</v>
      </c>
      <c r="O305">
        <f t="shared" si="37"/>
        <v>48</v>
      </c>
      <c r="P305" t="str">
        <f t="shared" si="38"/>
        <v>Standard Order</v>
      </c>
      <c r="Q305" t="str">
        <f t="shared" si="39"/>
        <v>Weekend</v>
      </c>
    </row>
    <row r="306" spans="1:17" x14ac:dyDescent="0.35">
      <c r="A306" t="s">
        <v>440</v>
      </c>
      <c r="B306" s="7">
        <v>45390</v>
      </c>
      <c r="C306" s="13">
        <f t="shared" si="33"/>
        <v>2024</v>
      </c>
      <c r="D306" s="7" t="str">
        <f t="shared" si="34"/>
        <v>Apr</v>
      </c>
      <c r="E306" s="7" t="str">
        <f t="shared" si="35"/>
        <v>Mon</v>
      </c>
      <c r="F306" t="s">
        <v>133</v>
      </c>
      <c r="G306" t="s">
        <v>26</v>
      </c>
      <c r="H306" t="s">
        <v>22</v>
      </c>
      <c r="I306" s="2" t="str">
        <f t="shared" si="32"/>
        <v>South</v>
      </c>
      <c r="J306" t="s">
        <v>27</v>
      </c>
      <c r="K306" t="s">
        <v>36</v>
      </c>
      <c r="L306">
        <v>19</v>
      </c>
      <c r="M306">
        <v>120</v>
      </c>
      <c r="N306">
        <f t="shared" si="36"/>
        <v>2280</v>
      </c>
      <c r="O306">
        <f t="shared" si="37"/>
        <v>228</v>
      </c>
      <c r="P306" t="str">
        <f t="shared" si="38"/>
        <v>Large Order</v>
      </c>
      <c r="Q306" t="str">
        <f t="shared" si="39"/>
        <v>Weekday</v>
      </c>
    </row>
    <row r="307" spans="1:17" x14ac:dyDescent="0.35">
      <c r="A307" t="s">
        <v>441</v>
      </c>
      <c r="B307" s="7">
        <v>45597</v>
      </c>
      <c r="C307" s="13">
        <f t="shared" si="33"/>
        <v>2024</v>
      </c>
      <c r="D307" s="7" t="str">
        <f t="shared" si="34"/>
        <v>Nov</v>
      </c>
      <c r="E307" s="7" t="str">
        <f t="shared" si="35"/>
        <v>Fri</v>
      </c>
      <c r="F307" t="s">
        <v>55</v>
      </c>
      <c r="G307" t="s">
        <v>74</v>
      </c>
      <c r="H307" t="s">
        <v>11</v>
      </c>
      <c r="I307" s="2" t="str">
        <f t="shared" si="32"/>
        <v>South</v>
      </c>
      <c r="J307" t="s">
        <v>56</v>
      </c>
      <c r="K307" t="s">
        <v>32</v>
      </c>
      <c r="L307">
        <v>8</v>
      </c>
      <c r="M307">
        <v>120</v>
      </c>
      <c r="N307">
        <f t="shared" si="36"/>
        <v>960</v>
      </c>
      <c r="O307">
        <f t="shared" si="37"/>
        <v>96</v>
      </c>
      <c r="P307" t="str">
        <f t="shared" si="38"/>
        <v>Large Order</v>
      </c>
      <c r="Q307" t="str">
        <f t="shared" si="39"/>
        <v>Weekday</v>
      </c>
    </row>
    <row r="308" spans="1:17" x14ac:dyDescent="0.35">
      <c r="A308" t="s">
        <v>442</v>
      </c>
      <c r="B308" s="7">
        <v>45299</v>
      </c>
      <c r="C308" s="13">
        <f t="shared" si="33"/>
        <v>2024</v>
      </c>
      <c r="D308" s="7" t="str">
        <f t="shared" si="34"/>
        <v>Jan</v>
      </c>
      <c r="E308" s="7" t="str">
        <f t="shared" si="35"/>
        <v>Mon</v>
      </c>
      <c r="F308" t="s">
        <v>369</v>
      </c>
      <c r="G308" t="s">
        <v>26</v>
      </c>
      <c r="H308" t="s">
        <v>22</v>
      </c>
      <c r="I308" s="2" t="str">
        <f t="shared" si="32"/>
        <v>West</v>
      </c>
      <c r="J308" t="s">
        <v>56</v>
      </c>
      <c r="K308" t="s">
        <v>36</v>
      </c>
      <c r="L308">
        <v>2</v>
      </c>
      <c r="M308">
        <v>120</v>
      </c>
      <c r="N308">
        <f t="shared" si="36"/>
        <v>240</v>
      </c>
      <c r="O308">
        <f t="shared" si="37"/>
        <v>24</v>
      </c>
      <c r="P308" t="str">
        <f t="shared" si="38"/>
        <v>Standard Order</v>
      </c>
      <c r="Q308" t="str">
        <f t="shared" si="39"/>
        <v>Weekday</v>
      </c>
    </row>
    <row r="309" spans="1:17" x14ac:dyDescent="0.35">
      <c r="A309" t="s">
        <v>443</v>
      </c>
      <c r="B309" s="7">
        <v>45441</v>
      </c>
      <c r="C309" s="13">
        <f t="shared" si="33"/>
        <v>2024</v>
      </c>
      <c r="D309" s="7" t="str">
        <f t="shared" si="34"/>
        <v>May</v>
      </c>
      <c r="E309" s="7" t="str">
        <f t="shared" si="35"/>
        <v>Wed</v>
      </c>
      <c r="F309" t="s">
        <v>424</v>
      </c>
      <c r="G309" t="s">
        <v>102</v>
      </c>
      <c r="H309" t="s">
        <v>11</v>
      </c>
      <c r="I309" s="2" t="str">
        <f t="shared" si="32"/>
        <v>South</v>
      </c>
      <c r="J309" t="s">
        <v>27</v>
      </c>
      <c r="K309" t="s">
        <v>23</v>
      </c>
      <c r="L309">
        <v>1</v>
      </c>
      <c r="M309">
        <v>120</v>
      </c>
      <c r="N309">
        <f t="shared" si="36"/>
        <v>120</v>
      </c>
      <c r="O309">
        <f t="shared" si="37"/>
        <v>12</v>
      </c>
      <c r="P309" t="str">
        <f t="shared" si="38"/>
        <v>Standard Order</v>
      </c>
      <c r="Q309" t="str">
        <f t="shared" si="39"/>
        <v>Weekday</v>
      </c>
    </row>
    <row r="310" spans="1:17" x14ac:dyDescent="0.35">
      <c r="A310" t="s">
        <v>444</v>
      </c>
      <c r="B310" s="7">
        <v>45537</v>
      </c>
      <c r="C310" s="13">
        <f t="shared" si="33"/>
        <v>2024</v>
      </c>
      <c r="D310" s="7" t="str">
        <f t="shared" si="34"/>
        <v>Sep</v>
      </c>
      <c r="E310" s="7" t="str">
        <f t="shared" si="35"/>
        <v>Mon</v>
      </c>
      <c r="F310" t="s">
        <v>396</v>
      </c>
      <c r="G310" t="s">
        <v>79</v>
      </c>
      <c r="H310" t="s">
        <v>17</v>
      </c>
      <c r="I310" s="2" t="str">
        <f t="shared" si="32"/>
        <v>West</v>
      </c>
      <c r="J310" t="s">
        <v>56</v>
      </c>
      <c r="K310" t="s">
        <v>23</v>
      </c>
      <c r="L310">
        <v>9</v>
      </c>
      <c r="M310">
        <v>120</v>
      </c>
      <c r="N310">
        <f t="shared" si="36"/>
        <v>1080</v>
      </c>
      <c r="O310">
        <f t="shared" si="37"/>
        <v>108</v>
      </c>
      <c r="P310" t="str">
        <f t="shared" si="38"/>
        <v>Large Order</v>
      </c>
      <c r="Q310" t="str">
        <f t="shared" si="39"/>
        <v>Weekday</v>
      </c>
    </row>
    <row r="311" spans="1:17" x14ac:dyDescent="0.35">
      <c r="A311" t="s">
        <v>445</v>
      </c>
      <c r="B311" s="7">
        <v>45350</v>
      </c>
      <c r="C311" s="13">
        <f t="shared" si="33"/>
        <v>2024</v>
      </c>
      <c r="D311" s="7" t="str">
        <f t="shared" si="34"/>
        <v>Feb</v>
      </c>
      <c r="E311" s="7" t="str">
        <f t="shared" si="35"/>
        <v>Wed</v>
      </c>
      <c r="F311" t="s">
        <v>58</v>
      </c>
      <c r="G311" t="s">
        <v>10</v>
      </c>
      <c r="H311" t="s">
        <v>17</v>
      </c>
      <c r="I311" s="2" t="str">
        <f t="shared" si="32"/>
        <v>East</v>
      </c>
      <c r="J311" t="s">
        <v>27</v>
      </c>
      <c r="K311" t="s">
        <v>13</v>
      </c>
      <c r="L311">
        <v>19</v>
      </c>
      <c r="M311">
        <v>120</v>
      </c>
      <c r="N311">
        <f t="shared" si="36"/>
        <v>2280</v>
      </c>
      <c r="O311">
        <f t="shared" si="37"/>
        <v>228</v>
      </c>
      <c r="P311" t="str">
        <f t="shared" si="38"/>
        <v>Large Order</v>
      </c>
      <c r="Q311" t="str">
        <f t="shared" si="39"/>
        <v>Weekday</v>
      </c>
    </row>
    <row r="312" spans="1:17" x14ac:dyDescent="0.35">
      <c r="A312" t="s">
        <v>446</v>
      </c>
      <c r="B312" s="7">
        <v>45369</v>
      </c>
      <c r="C312" s="13">
        <f t="shared" si="33"/>
        <v>2024</v>
      </c>
      <c r="D312" s="7" t="str">
        <f t="shared" si="34"/>
        <v>Mar</v>
      </c>
      <c r="E312" s="7" t="str">
        <f t="shared" si="35"/>
        <v>Mon</v>
      </c>
      <c r="F312" t="s">
        <v>125</v>
      </c>
      <c r="G312" t="s">
        <v>10</v>
      </c>
      <c r="H312" t="s">
        <v>22</v>
      </c>
      <c r="I312" s="2" t="str">
        <f t="shared" si="32"/>
        <v>South</v>
      </c>
      <c r="J312" t="s">
        <v>42</v>
      </c>
      <c r="K312" t="s">
        <v>23</v>
      </c>
      <c r="L312">
        <v>8</v>
      </c>
      <c r="M312">
        <v>120</v>
      </c>
      <c r="N312">
        <f t="shared" si="36"/>
        <v>960</v>
      </c>
      <c r="O312">
        <f t="shared" si="37"/>
        <v>96</v>
      </c>
      <c r="P312" t="str">
        <f t="shared" si="38"/>
        <v>Large Order</v>
      </c>
      <c r="Q312" t="str">
        <f t="shared" si="39"/>
        <v>Weekday</v>
      </c>
    </row>
    <row r="313" spans="1:17" x14ac:dyDescent="0.35">
      <c r="A313" t="s">
        <v>447</v>
      </c>
      <c r="B313" s="7">
        <v>45602</v>
      </c>
      <c r="C313" s="13">
        <f t="shared" si="33"/>
        <v>2024</v>
      </c>
      <c r="D313" s="7" t="str">
        <f t="shared" si="34"/>
        <v>Nov</v>
      </c>
      <c r="E313" s="7" t="str">
        <f t="shared" si="35"/>
        <v>Wed</v>
      </c>
      <c r="F313" t="s">
        <v>327</v>
      </c>
      <c r="G313" t="s">
        <v>119</v>
      </c>
      <c r="H313" t="s">
        <v>22</v>
      </c>
      <c r="I313" s="2" t="str">
        <f t="shared" si="32"/>
        <v>East</v>
      </c>
      <c r="J313" t="s">
        <v>56</v>
      </c>
      <c r="K313" t="s">
        <v>23</v>
      </c>
      <c r="L313">
        <v>17</v>
      </c>
      <c r="M313">
        <v>120</v>
      </c>
      <c r="N313">
        <f t="shared" si="36"/>
        <v>2040</v>
      </c>
      <c r="O313">
        <f t="shared" si="37"/>
        <v>204</v>
      </c>
      <c r="P313" t="str">
        <f t="shared" si="38"/>
        <v>Large Order</v>
      </c>
      <c r="Q313" t="str">
        <f t="shared" si="39"/>
        <v>Weekday</v>
      </c>
    </row>
    <row r="314" spans="1:17" x14ac:dyDescent="0.35">
      <c r="A314" t="s">
        <v>448</v>
      </c>
      <c r="B314" s="7">
        <v>45444</v>
      </c>
      <c r="C314" s="13">
        <f t="shared" si="33"/>
        <v>2024</v>
      </c>
      <c r="D314" s="7" t="str">
        <f t="shared" si="34"/>
        <v>Jun</v>
      </c>
      <c r="E314" s="7" t="str">
        <f t="shared" si="35"/>
        <v>Sat</v>
      </c>
      <c r="F314" t="s">
        <v>449</v>
      </c>
      <c r="G314" t="s">
        <v>59</v>
      </c>
      <c r="H314" t="s">
        <v>17</v>
      </c>
      <c r="I314" s="2" t="str">
        <f t="shared" si="32"/>
        <v>East</v>
      </c>
      <c r="J314" t="s">
        <v>42</v>
      </c>
      <c r="K314" t="s">
        <v>13</v>
      </c>
      <c r="L314">
        <v>20</v>
      </c>
      <c r="M314">
        <v>120</v>
      </c>
      <c r="N314">
        <f t="shared" si="36"/>
        <v>2400</v>
      </c>
      <c r="O314">
        <f t="shared" si="37"/>
        <v>240</v>
      </c>
      <c r="P314" t="str">
        <f t="shared" si="38"/>
        <v>Large Order</v>
      </c>
      <c r="Q314" t="str">
        <f t="shared" si="39"/>
        <v>Weekend</v>
      </c>
    </row>
    <row r="315" spans="1:17" x14ac:dyDescent="0.35">
      <c r="A315" t="s">
        <v>450</v>
      </c>
      <c r="B315" s="7">
        <v>45398</v>
      </c>
      <c r="C315" s="13">
        <f t="shared" si="33"/>
        <v>2024</v>
      </c>
      <c r="D315" s="7" t="str">
        <f t="shared" si="34"/>
        <v>Apr</v>
      </c>
      <c r="E315" s="7" t="str">
        <f t="shared" si="35"/>
        <v>Tue</v>
      </c>
      <c r="F315" t="s">
        <v>451</v>
      </c>
      <c r="G315" t="s">
        <v>41</v>
      </c>
      <c r="H315" t="s">
        <v>11</v>
      </c>
      <c r="I315" s="2" t="str">
        <f t="shared" si="32"/>
        <v>North</v>
      </c>
      <c r="J315" t="s">
        <v>42</v>
      </c>
      <c r="K315" t="s">
        <v>28</v>
      </c>
      <c r="L315">
        <v>3</v>
      </c>
      <c r="M315">
        <v>120</v>
      </c>
      <c r="N315">
        <f t="shared" si="36"/>
        <v>360</v>
      </c>
      <c r="O315">
        <f t="shared" si="37"/>
        <v>36</v>
      </c>
      <c r="P315" t="str">
        <f t="shared" si="38"/>
        <v>Standard Order</v>
      </c>
      <c r="Q315" t="str">
        <f t="shared" si="39"/>
        <v>Weekday</v>
      </c>
    </row>
    <row r="316" spans="1:17" x14ac:dyDescent="0.35">
      <c r="A316" t="s">
        <v>452</v>
      </c>
      <c r="B316" s="7">
        <v>45574</v>
      </c>
      <c r="C316" s="13">
        <f t="shared" si="33"/>
        <v>2024</v>
      </c>
      <c r="D316" s="7" t="str">
        <f t="shared" si="34"/>
        <v>Oct</v>
      </c>
      <c r="E316" s="7" t="str">
        <f t="shared" si="35"/>
        <v>Wed</v>
      </c>
      <c r="F316" t="s">
        <v>208</v>
      </c>
      <c r="G316" t="s">
        <v>87</v>
      </c>
      <c r="H316" t="s">
        <v>11</v>
      </c>
      <c r="I316" s="2" t="str">
        <f t="shared" si="32"/>
        <v>East</v>
      </c>
      <c r="J316" t="s">
        <v>12</v>
      </c>
      <c r="K316" t="s">
        <v>23</v>
      </c>
      <c r="L316">
        <v>15</v>
      </c>
      <c r="M316">
        <v>120</v>
      </c>
      <c r="N316">
        <f t="shared" si="36"/>
        <v>1800</v>
      </c>
      <c r="O316">
        <f t="shared" si="37"/>
        <v>180</v>
      </c>
      <c r="P316" t="str">
        <f t="shared" si="38"/>
        <v>Large Order</v>
      </c>
      <c r="Q316" t="str">
        <f t="shared" si="39"/>
        <v>Weekday</v>
      </c>
    </row>
    <row r="317" spans="1:17" x14ac:dyDescent="0.35">
      <c r="A317" t="s">
        <v>453</v>
      </c>
      <c r="B317" s="7">
        <v>45441</v>
      </c>
      <c r="C317" s="13">
        <f t="shared" si="33"/>
        <v>2024</v>
      </c>
      <c r="D317" s="7" t="str">
        <f t="shared" si="34"/>
        <v>May</v>
      </c>
      <c r="E317" s="7" t="str">
        <f t="shared" si="35"/>
        <v>Wed</v>
      </c>
      <c r="F317" t="s">
        <v>122</v>
      </c>
      <c r="G317" t="s">
        <v>62</v>
      </c>
      <c r="H317" t="s">
        <v>11</v>
      </c>
      <c r="I317" s="2" t="str">
        <f t="shared" si="32"/>
        <v>East</v>
      </c>
      <c r="J317" t="s">
        <v>42</v>
      </c>
      <c r="K317" t="s">
        <v>23</v>
      </c>
      <c r="L317">
        <v>10</v>
      </c>
      <c r="M317">
        <v>120</v>
      </c>
      <c r="N317">
        <f t="shared" si="36"/>
        <v>1200</v>
      </c>
      <c r="O317">
        <f t="shared" si="37"/>
        <v>120</v>
      </c>
      <c r="P317" t="str">
        <f t="shared" si="38"/>
        <v>Large Order</v>
      </c>
      <c r="Q317" t="str">
        <f t="shared" si="39"/>
        <v>Weekday</v>
      </c>
    </row>
    <row r="318" spans="1:17" x14ac:dyDescent="0.35">
      <c r="A318" t="s">
        <v>454</v>
      </c>
      <c r="B318" s="7">
        <v>45328</v>
      </c>
      <c r="C318" s="13">
        <f t="shared" si="33"/>
        <v>2024</v>
      </c>
      <c r="D318" s="7" t="str">
        <f t="shared" si="34"/>
        <v>Feb</v>
      </c>
      <c r="E318" s="7" t="str">
        <f t="shared" si="35"/>
        <v>Tue</v>
      </c>
      <c r="F318" t="s">
        <v>455</v>
      </c>
      <c r="G318" t="s">
        <v>21</v>
      </c>
      <c r="H318" t="s">
        <v>11</v>
      </c>
      <c r="I318" s="2" t="str">
        <f t="shared" si="32"/>
        <v>South</v>
      </c>
      <c r="J318" t="s">
        <v>42</v>
      </c>
      <c r="K318" t="s">
        <v>28</v>
      </c>
      <c r="L318">
        <v>19</v>
      </c>
      <c r="M318">
        <v>120</v>
      </c>
      <c r="N318">
        <f t="shared" si="36"/>
        <v>2280</v>
      </c>
      <c r="O318">
        <f t="shared" si="37"/>
        <v>228</v>
      </c>
      <c r="P318" t="str">
        <f t="shared" si="38"/>
        <v>Large Order</v>
      </c>
      <c r="Q318" t="str">
        <f t="shared" si="39"/>
        <v>Weekday</v>
      </c>
    </row>
    <row r="319" spans="1:17" x14ac:dyDescent="0.35">
      <c r="A319" t="s">
        <v>456</v>
      </c>
      <c r="B319" s="7">
        <v>45509</v>
      </c>
      <c r="C319" s="13">
        <f t="shared" si="33"/>
        <v>2024</v>
      </c>
      <c r="D319" s="7" t="str">
        <f t="shared" si="34"/>
        <v>Aug</v>
      </c>
      <c r="E319" s="7" t="str">
        <f t="shared" si="35"/>
        <v>Mon</v>
      </c>
      <c r="F319" t="s">
        <v>40</v>
      </c>
      <c r="G319" t="s">
        <v>21</v>
      </c>
      <c r="H319" t="s">
        <v>22</v>
      </c>
      <c r="I319" s="2" t="str">
        <f t="shared" si="32"/>
        <v>East</v>
      </c>
      <c r="J319" t="s">
        <v>56</v>
      </c>
      <c r="K319" t="s">
        <v>28</v>
      </c>
      <c r="L319">
        <v>5</v>
      </c>
      <c r="M319">
        <v>120</v>
      </c>
      <c r="N319">
        <f t="shared" si="36"/>
        <v>600</v>
      </c>
      <c r="O319">
        <f t="shared" si="37"/>
        <v>60</v>
      </c>
      <c r="P319" t="str">
        <f t="shared" si="38"/>
        <v>Large Order</v>
      </c>
      <c r="Q319" t="str">
        <f t="shared" si="39"/>
        <v>Weekday</v>
      </c>
    </row>
    <row r="320" spans="1:17" x14ac:dyDescent="0.35">
      <c r="A320" t="s">
        <v>457</v>
      </c>
      <c r="B320" s="7">
        <v>45328</v>
      </c>
      <c r="C320" s="13">
        <f t="shared" si="33"/>
        <v>2024</v>
      </c>
      <c r="D320" s="7" t="str">
        <f t="shared" si="34"/>
        <v>Feb</v>
      </c>
      <c r="E320" s="7" t="str">
        <f t="shared" si="35"/>
        <v>Tue</v>
      </c>
      <c r="F320" t="s">
        <v>131</v>
      </c>
      <c r="G320" t="s">
        <v>109</v>
      </c>
      <c r="H320" t="s">
        <v>11</v>
      </c>
      <c r="I320" s="2" t="str">
        <f t="shared" si="32"/>
        <v>East</v>
      </c>
      <c r="J320" t="s">
        <v>42</v>
      </c>
      <c r="K320" t="s">
        <v>23</v>
      </c>
      <c r="L320">
        <v>19</v>
      </c>
      <c r="M320">
        <v>120</v>
      </c>
      <c r="N320">
        <f t="shared" si="36"/>
        <v>2280</v>
      </c>
      <c r="O320">
        <f t="shared" si="37"/>
        <v>228</v>
      </c>
      <c r="P320" t="str">
        <f t="shared" si="38"/>
        <v>Large Order</v>
      </c>
      <c r="Q320" t="str">
        <f t="shared" si="39"/>
        <v>Weekday</v>
      </c>
    </row>
    <row r="321" spans="1:17" x14ac:dyDescent="0.35">
      <c r="A321" t="s">
        <v>458</v>
      </c>
      <c r="B321" s="7">
        <v>45355</v>
      </c>
      <c r="C321" s="13">
        <f t="shared" si="33"/>
        <v>2024</v>
      </c>
      <c r="D321" s="7" t="str">
        <f t="shared" si="34"/>
        <v>Mar</v>
      </c>
      <c r="E321" s="7" t="str">
        <f t="shared" si="35"/>
        <v>Mon</v>
      </c>
      <c r="F321" t="s">
        <v>319</v>
      </c>
      <c r="G321" t="s">
        <v>62</v>
      </c>
      <c r="H321" t="s">
        <v>22</v>
      </c>
      <c r="I321" s="2" t="str">
        <f t="shared" si="32"/>
        <v>North</v>
      </c>
      <c r="J321" t="s">
        <v>42</v>
      </c>
      <c r="K321" t="s">
        <v>36</v>
      </c>
      <c r="L321">
        <v>13</v>
      </c>
      <c r="M321">
        <v>120</v>
      </c>
      <c r="N321">
        <f t="shared" si="36"/>
        <v>1560</v>
      </c>
      <c r="O321">
        <f t="shared" si="37"/>
        <v>156</v>
      </c>
      <c r="P321" t="str">
        <f t="shared" si="38"/>
        <v>Large Order</v>
      </c>
      <c r="Q321" t="str">
        <f t="shared" si="39"/>
        <v>Weekday</v>
      </c>
    </row>
    <row r="322" spans="1:17" x14ac:dyDescent="0.35">
      <c r="A322" t="s">
        <v>459</v>
      </c>
      <c r="B322" s="7">
        <v>45568</v>
      </c>
      <c r="C322" s="13">
        <f t="shared" si="33"/>
        <v>2024</v>
      </c>
      <c r="D322" s="7" t="str">
        <f t="shared" si="34"/>
        <v>Oct</v>
      </c>
      <c r="E322" s="7" t="str">
        <f t="shared" si="35"/>
        <v>Thu</v>
      </c>
      <c r="F322" t="s">
        <v>432</v>
      </c>
      <c r="G322" t="s">
        <v>109</v>
      </c>
      <c r="H322" t="s">
        <v>17</v>
      </c>
      <c r="I322" s="2" t="str">
        <f t="shared" si="32"/>
        <v>North</v>
      </c>
      <c r="J322" t="s">
        <v>12</v>
      </c>
      <c r="K322" t="s">
        <v>32</v>
      </c>
      <c r="L322">
        <v>2</v>
      </c>
      <c r="M322">
        <v>120</v>
      </c>
      <c r="N322">
        <f t="shared" si="36"/>
        <v>240</v>
      </c>
      <c r="O322">
        <f t="shared" si="37"/>
        <v>24</v>
      </c>
      <c r="P322" t="str">
        <f t="shared" si="38"/>
        <v>Standard Order</v>
      </c>
      <c r="Q322" t="str">
        <f t="shared" si="39"/>
        <v>Weekday</v>
      </c>
    </row>
    <row r="323" spans="1:17" x14ac:dyDescent="0.35">
      <c r="A323" t="s">
        <v>460</v>
      </c>
      <c r="B323" s="7">
        <v>45601</v>
      </c>
      <c r="C323" s="13">
        <f t="shared" si="33"/>
        <v>2024</v>
      </c>
      <c r="D323" s="7" t="str">
        <f t="shared" si="34"/>
        <v>Nov</v>
      </c>
      <c r="E323" s="7" t="str">
        <f t="shared" si="35"/>
        <v>Tue</v>
      </c>
      <c r="F323" t="s">
        <v>230</v>
      </c>
      <c r="G323" t="s">
        <v>197</v>
      </c>
      <c r="H323" t="s">
        <v>11</v>
      </c>
      <c r="I323" s="2" t="str">
        <f t="shared" ref="I323:I386" si="40">TRIM(J324)</f>
        <v>North</v>
      </c>
      <c r="J323" t="s">
        <v>12</v>
      </c>
      <c r="K323" t="s">
        <v>13</v>
      </c>
      <c r="L323">
        <v>19</v>
      </c>
      <c r="M323">
        <v>120</v>
      </c>
      <c r="N323">
        <f t="shared" si="36"/>
        <v>2280</v>
      </c>
      <c r="O323">
        <f t="shared" si="37"/>
        <v>228</v>
      </c>
      <c r="P323" t="str">
        <f t="shared" si="38"/>
        <v>Large Order</v>
      </c>
      <c r="Q323" t="str">
        <f t="shared" si="39"/>
        <v>Weekday</v>
      </c>
    </row>
    <row r="324" spans="1:17" x14ac:dyDescent="0.35">
      <c r="A324" t="s">
        <v>461</v>
      </c>
      <c r="B324" s="7">
        <v>45636</v>
      </c>
      <c r="C324" s="13">
        <f t="shared" ref="C324:C387" si="41">YEAR(B324)</f>
        <v>2024</v>
      </c>
      <c r="D324" s="7" t="str">
        <f t="shared" ref="D324:D387" si="42">TEXT(B324,"mmm")</f>
        <v>Dec</v>
      </c>
      <c r="E324" s="7" t="str">
        <f t="shared" ref="E324:E387" si="43">TEXT(B324,"ddd")</f>
        <v>Tue</v>
      </c>
      <c r="F324" t="s">
        <v>101</v>
      </c>
      <c r="G324" t="s">
        <v>119</v>
      </c>
      <c r="H324" t="s">
        <v>22</v>
      </c>
      <c r="I324" s="2" t="str">
        <f t="shared" si="40"/>
        <v>West</v>
      </c>
      <c r="J324" t="s">
        <v>12</v>
      </c>
      <c r="K324" t="s">
        <v>23</v>
      </c>
      <c r="L324">
        <v>6</v>
      </c>
      <c r="M324">
        <v>120</v>
      </c>
      <c r="N324">
        <f t="shared" ref="N324:N387" si="44">M324*L324</f>
        <v>720</v>
      </c>
      <c r="O324">
        <f t="shared" ref="O324:O387" si="45">N324*0.1</f>
        <v>72</v>
      </c>
      <c r="P324" t="str">
        <f t="shared" ref="P324:P387" si="46">IF(N324&gt;500,"Large Order","Standard Order")</f>
        <v>Large Order</v>
      </c>
      <c r="Q324" t="str">
        <f t="shared" ref="Q324:Q387" si="47">IF(OR(TRIM(E324)="Sat",TRIM(E324)="Sun"),"Weekend","Weekday")</f>
        <v>Weekday</v>
      </c>
    </row>
    <row r="325" spans="1:17" x14ac:dyDescent="0.35">
      <c r="A325" t="s">
        <v>462</v>
      </c>
      <c r="B325" s="7">
        <v>45434</v>
      </c>
      <c r="C325" s="13">
        <f t="shared" si="41"/>
        <v>2024</v>
      </c>
      <c r="D325" s="7" t="str">
        <f t="shared" si="42"/>
        <v>May</v>
      </c>
      <c r="E325" s="7" t="str">
        <f t="shared" si="43"/>
        <v>Wed</v>
      </c>
      <c r="F325" t="s">
        <v>44</v>
      </c>
      <c r="G325" t="s">
        <v>21</v>
      </c>
      <c r="H325" t="s">
        <v>22</v>
      </c>
      <c r="I325" s="2" t="str">
        <f t="shared" si="40"/>
        <v>East</v>
      </c>
      <c r="J325" t="s">
        <v>27</v>
      </c>
      <c r="K325" t="s">
        <v>23</v>
      </c>
      <c r="L325">
        <v>16</v>
      </c>
      <c r="M325">
        <v>120</v>
      </c>
      <c r="N325">
        <f t="shared" si="44"/>
        <v>1920</v>
      </c>
      <c r="O325">
        <f t="shared" si="45"/>
        <v>192</v>
      </c>
      <c r="P325" t="str">
        <f t="shared" si="46"/>
        <v>Large Order</v>
      </c>
      <c r="Q325" t="str">
        <f t="shared" si="47"/>
        <v>Weekday</v>
      </c>
    </row>
    <row r="326" spans="1:17" x14ac:dyDescent="0.35">
      <c r="A326" t="s">
        <v>463</v>
      </c>
      <c r="B326" s="7">
        <v>45470</v>
      </c>
      <c r="C326" s="13">
        <f t="shared" si="41"/>
        <v>2024</v>
      </c>
      <c r="D326" s="7" t="str">
        <f t="shared" si="42"/>
        <v>Jun</v>
      </c>
      <c r="E326" s="7" t="str">
        <f t="shared" si="43"/>
        <v>Thu</v>
      </c>
      <c r="F326" t="s">
        <v>408</v>
      </c>
      <c r="G326" t="s">
        <v>41</v>
      </c>
      <c r="H326" t="s">
        <v>17</v>
      </c>
      <c r="I326" s="2" t="str">
        <f t="shared" si="40"/>
        <v>East</v>
      </c>
      <c r="J326" t="s">
        <v>42</v>
      </c>
      <c r="K326" t="s">
        <v>32</v>
      </c>
      <c r="L326">
        <v>4</v>
      </c>
      <c r="M326">
        <v>120</v>
      </c>
      <c r="N326">
        <f t="shared" si="44"/>
        <v>480</v>
      </c>
      <c r="O326">
        <f t="shared" si="45"/>
        <v>48</v>
      </c>
      <c r="P326" t="str">
        <f t="shared" si="46"/>
        <v>Standard Order</v>
      </c>
      <c r="Q326" t="str">
        <f t="shared" si="47"/>
        <v>Weekday</v>
      </c>
    </row>
    <row r="327" spans="1:17" x14ac:dyDescent="0.35">
      <c r="A327" t="s">
        <v>464</v>
      </c>
      <c r="B327" s="7">
        <v>45502</v>
      </c>
      <c r="C327" s="13">
        <f t="shared" si="41"/>
        <v>2024</v>
      </c>
      <c r="D327" s="7" t="str">
        <f t="shared" si="42"/>
        <v>Jul</v>
      </c>
      <c r="E327" s="7" t="str">
        <f t="shared" si="43"/>
        <v>Mon</v>
      </c>
      <c r="F327" t="s">
        <v>465</v>
      </c>
      <c r="G327" t="s">
        <v>41</v>
      </c>
      <c r="H327" t="s">
        <v>17</v>
      </c>
      <c r="I327" s="2" t="str">
        <f t="shared" si="40"/>
        <v>East</v>
      </c>
      <c r="J327" t="s">
        <v>42</v>
      </c>
      <c r="K327" t="s">
        <v>36</v>
      </c>
      <c r="L327">
        <v>13</v>
      </c>
      <c r="M327">
        <v>120</v>
      </c>
      <c r="N327">
        <f t="shared" si="44"/>
        <v>1560</v>
      </c>
      <c r="O327">
        <f t="shared" si="45"/>
        <v>156</v>
      </c>
      <c r="P327" t="str">
        <f t="shared" si="46"/>
        <v>Large Order</v>
      </c>
      <c r="Q327" t="str">
        <f t="shared" si="47"/>
        <v>Weekday</v>
      </c>
    </row>
    <row r="328" spans="1:17" x14ac:dyDescent="0.35">
      <c r="A328" t="s">
        <v>466</v>
      </c>
      <c r="B328" s="7">
        <v>45310</v>
      </c>
      <c r="C328" s="13">
        <f t="shared" si="41"/>
        <v>2024</v>
      </c>
      <c r="D328" s="7" t="str">
        <f t="shared" si="42"/>
        <v>Jan</v>
      </c>
      <c r="E328" s="7" t="str">
        <f t="shared" si="43"/>
        <v>Fri</v>
      </c>
      <c r="F328" t="s">
        <v>366</v>
      </c>
      <c r="G328" t="s">
        <v>26</v>
      </c>
      <c r="H328" t="s">
        <v>11</v>
      </c>
      <c r="I328" s="2" t="str">
        <f t="shared" si="40"/>
        <v>Central</v>
      </c>
      <c r="J328" t="s">
        <v>42</v>
      </c>
      <c r="K328" t="s">
        <v>23</v>
      </c>
      <c r="L328">
        <v>11</v>
      </c>
      <c r="M328">
        <v>120</v>
      </c>
      <c r="N328">
        <f t="shared" si="44"/>
        <v>1320</v>
      </c>
      <c r="O328">
        <f t="shared" si="45"/>
        <v>132</v>
      </c>
      <c r="P328" t="str">
        <f t="shared" si="46"/>
        <v>Large Order</v>
      </c>
      <c r="Q328" t="str">
        <f t="shared" si="47"/>
        <v>Weekday</v>
      </c>
    </row>
    <row r="329" spans="1:17" x14ac:dyDescent="0.35">
      <c r="A329" t="s">
        <v>467</v>
      </c>
      <c r="B329" s="7">
        <v>45555</v>
      </c>
      <c r="C329" s="13">
        <f t="shared" si="41"/>
        <v>2024</v>
      </c>
      <c r="D329" s="7" t="str">
        <f t="shared" si="42"/>
        <v>Sep</v>
      </c>
      <c r="E329" s="7" t="str">
        <f t="shared" si="43"/>
        <v>Fri</v>
      </c>
      <c r="F329" t="s">
        <v>25</v>
      </c>
      <c r="G329" t="s">
        <v>70</v>
      </c>
      <c r="H329" t="s">
        <v>22</v>
      </c>
      <c r="I329" s="2" t="str">
        <f t="shared" si="40"/>
        <v>West</v>
      </c>
      <c r="J329" t="s">
        <v>306</v>
      </c>
      <c r="K329" t="s">
        <v>36</v>
      </c>
      <c r="L329">
        <v>14</v>
      </c>
      <c r="M329">
        <v>120</v>
      </c>
      <c r="N329">
        <f t="shared" si="44"/>
        <v>1680</v>
      </c>
      <c r="O329">
        <f t="shared" si="45"/>
        <v>168</v>
      </c>
      <c r="P329" t="str">
        <f t="shared" si="46"/>
        <v>Large Order</v>
      </c>
      <c r="Q329" t="str">
        <f t="shared" si="47"/>
        <v>Weekday</v>
      </c>
    </row>
    <row r="330" spans="1:17" x14ac:dyDescent="0.35">
      <c r="A330" t="s">
        <v>468</v>
      </c>
      <c r="B330" s="7">
        <v>45477</v>
      </c>
      <c r="C330" s="13">
        <f t="shared" si="41"/>
        <v>2024</v>
      </c>
      <c r="D330" s="7" t="str">
        <f t="shared" si="42"/>
        <v>Jul</v>
      </c>
      <c r="E330" s="7" t="str">
        <f t="shared" si="43"/>
        <v>Thu</v>
      </c>
      <c r="F330" t="s">
        <v>381</v>
      </c>
      <c r="G330" t="s">
        <v>119</v>
      </c>
      <c r="H330" t="s">
        <v>17</v>
      </c>
      <c r="I330" s="2" t="str">
        <f t="shared" si="40"/>
        <v>West</v>
      </c>
      <c r="J330" t="s">
        <v>27</v>
      </c>
      <c r="K330" t="s">
        <v>36</v>
      </c>
      <c r="L330">
        <v>2</v>
      </c>
      <c r="M330">
        <v>120</v>
      </c>
      <c r="N330">
        <f t="shared" si="44"/>
        <v>240</v>
      </c>
      <c r="O330">
        <f t="shared" si="45"/>
        <v>24</v>
      </c>
      <c r="P330" t="str">
        <f t="shared" si="46"/>
        <v>Standard Order</v>
      </c>
      <c r="Q330" t="str">
        <f t="shared" si="47"/>
        <v>Weekday</v>
      </c>
    </row>
    <row r="331" spans="1:17" x14ac:dyDescent="0.35">
      <c r="A331" t="s">
        <v>469</v>
      </c>
      <c r="B331" s="7">
        <v>45359</v>
      </c>
      <c r="C331" s="13">
        <f t="shared" si="41"/>
        <v>2024</v>
      </c>
      <c r="D331" s="7" t="str">
        <f t="shared" si="42"/>
        <v>Mar</v>
      </c>
      <c r="E331" s="7" t="str">
        <f t="shared" si="43"/>
        <v>Fri</v>
      </c>
      <c r="F331" t="s">
        <v>55</v>
      </c>
      <c r="G331" t="s">
        <v>102</v>
      </c>
      <c r="H331" t="s">
        <v>17</v>
      </c>
      <c r="I331" s="2" t="str">
        <f t="shared" si="40"/>
        <v>East</v>
      </c>
      <c r="J331" t="s">
        <v>27</v>
      </c>
      <c r="K331" t="s">
        <v>36</v>
      </c>
      <c r="L331">
        <v>1</v>
      </c>
      <c r="M331">
        <v>120</v>
      </c>
      <c r="N331">
        <f t="shared" si="44"/>
        <v>120</v>
      </c>
      <c r="O331">
        <f t="shared" si="45"/>
        <v>12</v>
      </c>
      <c r="P331" t="str">
        <f t="shared" si="46"/>
        <v>Standard Order</v>
      </c>
      <c r="Q331" t="str">
        <f t="shared" si="47"/>
        <v>Weekday</v>
      </c>
    </row>
    <row r="332" spans="1:17" x14ac:dyDescent="0.35">
      <c r="A332" t="s">
        <v>470</v>
      </c>
      <c r="B332" s="7">
        <v>45414</v>
      </c>
      <c r="C332" s="13">
        <f t="shared" si="41"/>
        <v>2024</v>
      </c>
      <c r="D332" s="7" t="str">
        <f t="shared" si="42"/>
        <v>May</v>
      </c>
      <c r="E332" s="7" t="str">
        <f t="shared" si="43"/>
        <v>Thu</v>
      </c>
      <c r="F332" t="s">
        <v>369</v>
      </c>
      <c r="G332" t="s">
        <v>174</v>
      </c>
      <c r="H332" t="s">
        <v>11</v>
      </c>
      <c r="I332" s="2" t="str">
        <f t="shared" si="40"/>
        <v>North</v>
      </c>
      <c r="J332" t="s">
        <v>42</v>
      </c>
      <c r="K332" t="s">
        <v>13</v>
      </c>
      <c r="L332">
        <v>1</v>
      </c>
      <c r="M332">
        <v>120</v>
      </c>
      <c r="N332">
        <f t="shared" si="44"/>
        <v>120</v>
      </c>
      <c r="O332">
        <f t="shared" si="45"/>
        <v>12</v>
      </c>
      <c r="P332" t="str">
        <f t="shared" si="46"/>
        <v>Standard Order</v>
      </c>
      <c r="Q332" t="str">
        <f t="shared" si="47"/>
        <v>Weekday</v>
      </c>
    </row>
    <row r="333" spans="1:17" x14ac:dyDescent="0.35">
      <c r="A333" t="s">
        <v>471</v>
      </c>
      <c r="B333" s="7">
        <v>45407</v>
      </c>
      <c r="C333" s="13">
        <f t="shared" si="41"/>
        <v>2024</v>
      </c>
      <c r="D333" s="7" t="str">
        <f t="shared" si="42"/>
        <v>Apr</v>
      </c>
      <c r="E333" s="7" t="str">
        <f t="shared" si="43"/>
        <v>Thu</v>
      </c>
      <c r="F333" t="s">
        <v>40</v>
      </c>
      <c r="G333" t="s">
        <v>21</v>
      </c>
      <c r="H333" t="s">
        <v>17</v>
      </c>
      <c r="I333" s="2" t="str">
        <f t="shared" si="40"/>
        <v>West</v>
      </c>
      <c r="J333" t="s">
        <v>12</v>
      </c>
      <c r="K333" t="s">
        <v>32</v>
      </c>
      <c r="L333">
        <v>5</v>
      </c>
      <c r="M333">
        <v>120</v>
      </c>
      <c r="N333">
        <f t="shared" si="44"/>
        <v>600</v>
      </c>
      <c r="O333">
        <f t="shared" si="45"/>
        <v>60</v>
      </c>
      <c r="P333" t="str">
        <f t="shared" si="46"/>
        <v>Large Order</v>
      </c>
      <c r="Q333" t="str">
        <f t="shared" si="47"/>
        <v>Weekday</v>
      </c>
    </row>
    <row r="334" spans="1:17" x14ac:dyDescent="0.35">
      <c r="A334" t="s">
        <v>472</v>
      </c>
      <c r="B334" s="7">
        <v>45552</v>
      </c>
      <c r="C334" s="13">
        <f t="shared" si="41"/>
        <v>2024</v>
      </c>
      <c r="D334" s="7" t="str">
        <f t="shared" si="42"/>
        <v>Sep</v>
      </c>
      <c r="E334" s="7" t="str">
        <f t="shared" si="43"/>
        <v>Tue</v>
      </c>
      <c r="F334" t="s">
        <v>369</v>
      </c>
      <c r="G334" t="s">
        <v>35</v>
      </c>
      <c r="H334" t="s">
        <v>17</v>
      </c>
      <c r="I334" s="2" t="str">
        <f t="shared" si="40"/>
        <v>Central</v>
      </c>
      <c r="J334" t="s">
        <v>27</v>
      </c>
      <c r="K334" t="s">
        <v>36</v>
      </c>
      <c r="L334">
        <v>16</v>
      </c>
      <c r="M334">
        <v>120</v>
      </c>
      <c r="N334">
        <f t="shared" si="44"/>
        <v>1920</v>
      </c>
      <c r="O334">
        <f t="shared" si="45"/>
        <v>192</v>
      </c>
      <c r="P334" t="str">
        <f t="shared" si="46"/>
        <v>Large Order</v>
      </c>
      <c r="Q334" t="str">
        <f t="shared" si="47"/>
        <v>Weekday</v>
      </c>
    </row>
    <row r="335" spans="1:17" x14ac:dyDescent="0.35">
      <c r="A335" t="s">
        <v>473</v>
      </c>
      <c r="B335" s="7">
        <v>45366</v>
      </c>
      <c r="C335" s="13">
        <f t="shared" si="41"/>
        <v>2024</v>
      </c>
      <c r="D335" s="7" t="str">
        <f t="shared" si="42"/>
        <v>Mar</v>
      </c>
      <c r="E335" s="7" t="str">
        <f t="shared" si="43"/>
        <v>Fri</v>
      </c>
      <c r="F335" t="s">
        <v>53</v>
      </c>
      <c r="G335" t="s">
        <v>160</v>
      </c>
      <c r="H335" t="s">
        <v>11</v>
      </c>
      <c r="I335" s="2" t="str">
        <f t="shared" si="40"/>
        <v>East</v>
      </c>
      <c r="J335" t="s">
        <v>306</v>
      </c>
      <c r="K335" t="s">
        <v>32</v>
      </c>
      <c r="L335">
        <v>5</v>
      </c>
      <c r="M335">
        <v>120</v>
      </c>
      <c r="N335">
        <f t="shared" si="44"/>
        <v>600</v>
      </c>
      <c r="O335">
        <f t="shared" si="45"/>
        <v>60</v>
      </c>
      <c r="P335" t="str">
        <f t="shared" si="46"/>
        <v>Large Order</v>
      </c>
      <c r="Q335" t="str">
        <f t="shared" si="47"/>
        <v>Weekday</v>
      </c>
    </row>
    <row r="336" spans="1:17" x14ac:dyDescent="0.35">
      <c r="A336" t="s">
        <v>474</v>
      </c>
      <c r="B336" s="7">
        <v>45504</v>
      </c>
      <c r="C336" s="13">
        <f t="shared" si="41"/>
        <v>2024</v>
      </c>
      <c r="D336" s="7" t="str">
        <f t="shared" si="42"/>
        <v>Jul</v>
      </c>
      <c r="E336" s="7" t="str">
        <f t="shared" si="43"/>
        <v>Wed</v>
      </c>
      <c r="F336" t="s">
        <v>47</v>
      </c>
      <c r="G336" t="s">
        <v>96</v>
      </c>
      <c r="H336" t="s">
        <v>22</v>
      </c>
      <c r="I336" s="2" t="str">
        <f t="shared" si="40"/>
        <v>South</v>
      </c>
      <c r="J336" t="s">
        <v>42</v>
      </c>
      <c r="K336" t="s">
        <v>36</v>
      </c>
      <c r="L336">
        <v>10</v>
      </c>
      <c r="M336">
        <v>120</v>
      </c>
      <c r="N336">
        <f t="shared" si="44"/>
        <v>1200</v>
      </c>
      <c r="O336">
        <f t="shared" si="45"/>
        <v>120</v>
      </c>
      <c r="P336" t="str">
        <f t="shared" si="46"/>
        <v>Large Order</v>
      </c>
      <c r="Q336" t="str">
        <f t="shared" si="47"/>
        <v>Weekday</v>
      </c>
    </row>
    <row r="337" spans="1:17" x14ac:dyDescent="0.35">
      <c r="A337" t="s">
        <v>475</v>
      </c>
      <c r="B337" s="7">
        <v>45588</v>
      </c>
      <c r="C337" s="13">
        <f t="shared" si="41"/>
        <v>2024</v>
      </c>
      <c r="D337" s="7" t="str">
        <f t="shared" si="42"/>
        <v>Oct</v>
      </c>
      <c r="E337" s="7" t="str">
        <f t="shared" si="43"/>
        <v>Wed</v>
      </c>
      <c r="F337" t="s">
        <v>371</v>
      </c>
      <c r="G337" t="s">
        <v>70</v>
      </c>
      <c r="H337" t="s">
        <v>17</v>
      </c>
      <c r="I337" s="2" t="str">
        <f t="shared" si="40"/>
        <v>West</v>
      </c>
      <c r="J337" t="s">
        <v>56</v>
      </c>
      <c r="K337" t="s">
        <v>32</v>
      </c>
      <c r="L337">
        <v>18</v>
      </c>
      <c r="M337">
        <v>120</v>
      </c>
      <c r="N337">
        <f t="shared" si="44"/>
        <v>2160</v>
      </c>
      <c r="O337">
        <f t="shared" si="45"/>
        <v>216</v>
      </c>
      <c r="P337" t="str">
        <f t="shared" si="46"/>
        <v>Large Order</v>
      </c>
      <c r="Q337" t="str">
        <f t="shared" si="47"/>
        <v>Weekday</v>
      </c>
    </row>
    <row r="338" spans="1:17" x14ac:dyDescent="0.35">
      <c r="A338" t="s">
        <v>476</v>
      </c>
      <c r="B338" s="7">
        <v>45574</v>
      </c>
      <c r="C338" s="13">
        <f t="shared" si="41"/>
        <v>2024</v>
      </c>
      <c r="D338" s="7" t="str">
        <f t="shared" si="42"/>
        <v>Oct</v>
      </c>
      <c r="E338" s="7" t="str">
        <f t="shared" si="43"/>
        <v>Wed</v>
      </c>
      <c r="F338" t="s">
        <v>332</v>
      </c>
      <c r="G338" t="s">
        <v>70</v>
      </c>
      <c r="H338" t="s">
        <v>22</v>
      </c>
      <c r="I338" s="2" t="str">
        <f t="shared" si="40"/>
        <v>West</v>
      </c>
      <c r="J338" t="s">
        <v>27</v>
      </c>
      <c r="K338" t="s">
        <v>28</v>
      </c>
      <c r="L338">
        <v>11</v>
      </c>
      <c r="M338">
        <v>120</v>
      </c>
      <c r="N338">
        <f t="shared" si="44"/>
        <v>1320</v>
      </c>
      <c r="O338">
        <f t="shared" si="45"/>
        <v>132</v>
      </c>
      <c r="P338" t="str">
        <f t="shared" si="46"/>
        <v>Large Order</v>
      </c>
      <c r="Q338" t="str">
        <f t="shared" si="47"/>
        <v>Weekday</v>
      </c>
    </row>
    <row r="339" spans="1:17" x14ac:dyDescent="0.35">
      <c r="A339" t="s">
        <v>477</v>
      </c>
      <c r="B339" s="7">
        <v>45584</v>
      </c>
      <c r="C339" s="13">
        <f t="shared" si="41"/>
        <v>2024</v>
      </c>
      <c r="D339" s="7" t="str">
        <f t="shared" si="42"/>
        <v>Oct</v>
      </c>
      <c r="E339" s="7" t="str">
        <f t="shared" si="43"/>
        <v>Sat</v>
      </c>
      <c r="F339" t="s">
        <v>53</v>
      </c>
      <c r="G339" t="s">
        <v>79</v>
      </c>
      <c r="H339" t="s">
        <v>11</v>
      </c>
      <c r="I339" s="2" t="str">
        <f t="shared" si="40"/>
        <v>South</v>
      </c>
      <c r="J339" t="s">
        <v>27</v>
      </c>
      <c r="K339" t="s">
        <v>23</v>
      </c>
      <c r="L339">
        <v>11</v>
      </c>
      <c r="M339">
        <v>120</v>
      </c>
      <c r="N339">
        <f t="shared" si="44"/>
        <v>1320</v>
      </c>
      <c r="O339">
        <f t="shared" si="45"/>
        <v>132</v>
      </c>
      <c r="P339" t="str">
        <f t="shared" si="46"/>
        <v>Large Order</v>
      </c>
      <c r="Q339" t="str">
        <f t="shared" si="47"/>
        <v>Weekend</v>
      </c>
    </row>
    <row r="340" spans="1:17" x14ac:dyDescent="0.35">
      <c r="A340" t="s">
        <v>478</v>
      </c>
      <c r="B340" s="7">
        <v>45489</v>
      </c>
      <c r="C340" s="13">
        <f t="shared" si="41"/>
        <v>2024</v>
      </c>
      <c r="D340" s="7" t="str">
        <f t="shared" si="42"/>
        <v>Jul</v>
      </c>
      <c r="E340" s="7" t="str">
        <f t="shared" si="43"/>
        <v>Tue</v>
      </c>
      <c r="F340" t="s">
        <v>371</v>
      </c>
      <c r="G340" t="s">
        <v>35</v>
      </c>
      <c r="H340" t="s">
        <v>22</v>
      </c>
      <c r="I340" s="2" t="str">
        <f t="shared" si="40"/>
        <v>North</v>
      </c>
      <c r="J340" t="s">
        <v>56</v>
      </c>
      <c r="K340" t="s">
        <v>36</v>
      </c>
      <c r="L340">
        <v>2</v>
      </c>
      <c r="M340">
        <v>120</v>
      </c>
      <c r="N340">
        <f t="shared" si="44"/>
        <v>240</v>
      </c>
      <c r="O340">
        <f t="shared" si="45"/>
        <v>24</v>
      </c>
      <c r="P340" t="str">
        <f t="shared" si="46"/>
        <v>Standard Order</v>
      </c>
      <c r="Q340" t="str">
        <f t="shared" si="47"/>
        <v>Weekday</v>
      </c>
    </row>
    <row r="341" spans="1:17" x14ac:dyDescent="0.35">
      <c r="A341" t="s">
        <v>479</v>
      </c>
      <c r="B341" s="7">
        <v>45461</v>
      </c>
      <c r="C341" s="13">
        <f t="shared" si="41"/>
        <v>2024</v>
      </c>
      <c r="D341" s="7" t="str">
        <f t="shared" si="42"/>
        <v>Jun</v>
      </c>
      <c r="E341" s="7" t="str">
        <f t="shared" si="43"/>
        <v>Tue</v>
      </c>
      <c r="F341" t="s">
        <v>108</v>
      </c>
      <c r="G341" t="s">
        <v>160</v>
      </c>
      <c r="H341" t="s">
        <v>17</v>
      </c>
      <c r="I341" s="2" t="str">
        <f t="shared" si="40"/>
        <v>North</v>
      </c>
      <c r="J341" t="s">
        <v>12</v>
      </c>
      <c r="K341" t="s">
        <v>28</v>
      </c>
      <c r="L341">
        <v>15</v>
      </c>
      <c r="M341">
        <v>120</v>
      </c>
      <c r="N341">
        <f t="shared" si="44"/>
        <v>1800</v>
      </c>
      <c r="O341">
        <f t="shared" si="45"/>
        <v>180</v>
      </c>
      <c r="P341" t="str">
        <f t="shared" si="46"/>
        <v>Large Order</v>
      </c>
      <c r="Q341" t="str">
        <f t="shared" si="47"/>
        <v>Weekday</v>
      </c>
    </row>
    <row r="342" spans="1:17" x14ac:dyDescent="0.35">
      <c r="A342" t="s">
        <v>480</v>
      </c>
      <c r="B342" s="7">
        <v>45501</v>
      </c>
      <c r="C342" s="13">
        <f t="shared" si="41"/>
        <v>2024</v>
      </c>
      <c r="D342" s="7" t="str">
        <f t="shared" si="42"/>
        <v>Jul</v>
      </c>
      <c r="E342" s="7" t="str">
        <f t="shared" si="43"/>
        <v>Sun</v>
      </c>
      <c r="F342" t="s">
        <v>350</v>
      </c>
      <c r="G342" t="s">
        <v>35</v>
      </c>
      <c r="H342" t="s">
        <v>11</v>
      </c>
      <c r="I342" s="2" t="str">
        <f t="shared" si="40"/>
        <v>Central</v>
      </c>
      <c r="J342" t="s">
        <v>12</v>
      </c>
      <c r="K342" t="s">
        <v>23</v>
      </c>
      <c r="L342">
        <v>9</v>
      </c>
      <c r="M342">
        <v>120</v>
      </c>
      <c r="N342">
        <f t="shared" si="44"/>
        <v>1080</v>
      </c>
      <c r="O342">
        <f t="shared" si="45"/>
        <v>108</v>
      </c>
      <c r="P342" t="str">
        <f t="shared" si="46"/>
        <v>Large Order</v>
      </c>
      <c r="Q342" t="str">
        <f t="shared" si="47"/>
        <v>Weekend</v>
      </c>
    </row>
    <row r="343" spans="1:17" x14ac:dyDescent="0.35">
      <c r="A343" t="s">
        <v>481</v>
      </c>
      <c r="B343" s="7">
        <v>45624</v>
      </c>
      <c r="C343" s="13">
        <f t="shared" si="41"/>
        <v>2024</v>
      </c>
      <c r="D343" s="7" t="str">
        <f t="shared" si="42"/>
        <v>Nov</v>
      </c>
      <c r="E343" s="7" t="str">
        <f t="shared" si="43"/>
        <v>Thu</v>
      </c>
      <c r="F343" t="s">
        <v>81</v>
      </c>
      <c r="G343" t="s">
        <v>31</v>
      </c>
      <c r="H343" t="s">
        <v>17</v>
      </c>
      <c r="I343" s="2" t="str">
        <f t="shared" si="40"/>
        <v>North</v>
      </c>
      <c r="J343" t="s">
        <v>306</v>
      </c>
      <c r="K343" t="s">
        <v>23</v>
      </c>
      <c r="L343">
        <v>11</v>
      </c>
      <c r="M343">
        <v>120</v>
      </c>
      <c r="N343">
        <f t="shared" si="44"/>
        <v>1320</v>
      </c>
      <c r="O343">
        <f t="shared" si="45"/>
        <v>132</v>
      </c>
      <c r="P343" t="str">
        <f t="shared" si="46"/>
        <v>Large Order</v>
      </c>
      <c r="Q343" t="str">
        <f t="shared" si="47"/>
        <v>Weekday</v>
      </c>
    </row>
    <row r="344" spans="1:17" x14ac:dyDescent="0.35">
      <c r="A344" t="s">
        <v>482</v>
      </c>
      <c r="B344" s="7">
        <v>45569</v>
      </c>
      <c r="C344" s="13">
        <f t="shared" si="41"/>
        <v>2024</v>
      </c>
      <c r="D344" s="7" t="str">
        <f t="shared" si="42"/>
        <v>Oct</v>
      </c>
      <c r="E344" s="7" t="str">
        <f t="shared" si="43"/>
        <v>Fri</v>
      </c>
      <c r="F344" t="s">
        <v>122</v>
      </c>
      <c r="G344" t="s">
        <v>197</v>
      </c>
      <c r="H344" t="s">
        <v>22</v>
      </c>
      <c r="I344" s="2" t="str">
        <f t="shared" si="40"/>
        <v>North</v>
      </c>
      <c r="J344" t="s">
        <v>12</v>
      </c>
      <c r="K344" t="s">
        <v>13</v>
      </c>
      <c r="L344">
        <v>10</v>
      </c>
      <c r="M344">
        <v>120</v>
      </c>
      <c r="N344">
        <f t="shared" si="44"/>
        <v>1200</v>
      </c>
      <c r="O344">
        <f t="shared" si="45"/>
        <v>120</v>
      </c>
      <c r="P344" t="str">
        <f t="shared" si="46"/>
        <v>Large Order</v>
      </c>
      <c r="Q344" t="str">
        <f t="shared" si="47"/>
        <v>Weekday</v>
      </c>
    </row>
    <row r="345" spans="1:17" x14ac:dyDescent="0.35">
      <c r="A345" t="s">
        <v>483</v>
      </c>
      <c r="B345" s="7">
        <v>45514</v>
      </c>
      <c r="C345" s="13">
        <f t="shared" si="41"/>
        <v>2024</v>
      </c>
      <c r="D345" s="7" t="str">
        <f t="shared" si="42"/>
        <v>Aug</v>
      </c>
      <c r="E345" s="7" t="str">
        <f t="shared" si="43"/>
        <v>Sat</v>
      </c>
      <c r="F345" t="s">
        <v>108</v>
      </c>
      <c r="G345" t="s">
        <v>70</v>
      </c>
      <c r="H345" t="s">
        <v>22</v>
      </c>
      <c r="I345" s="2" t="str">
        <f t="shared" si="40"/>
        <v>East</v>
      </c>
      <c r="J345" t="s">
        <v>12</v>
      </c>
      <c r="K345" t="s">
        <v>13</v>
      </c>
      <c r="L345">
        <v>6</v>
      </c>
      <c r="M345">
        <v>120</v>
      </c>
      <c r="N345">
        <f t="shared" si="44"/>
        <v>720</v>
      </c>
      <c r="O345">
        <f t="shared" si="45"/>
        <v>72</v>
      </c>
      <c r="P345" t="str">
        <f t="shared" si="46"/>
        <v>Large Order</v>
      </c>
      <c r="Q345" t="str">
        <f t="shared" si="47"/>
        <v>Weekend</v>
      </c>
    </row>
    <row r="346" spans="1:17" x14ac:dyDescent="0.35">
      <c r="A346" t="s">
        <v>484</v>
      </c>
      <c r="B346" s="7">
        <v>45315</v>
      </c>
      <c r="C346" s="13">
        <f t="shared" si="41"/>
        <v>2024</v>
      </c>
      <c r="D346" s="7" t="str">
        <f t="shared" si="42"/>
        <v>Jan</v>
      </c>
      <c r="E346" s="7" t="str">
        <f t="shared" si="43"/>
        <v>Wed</v>
      </c>
      <c r="F346" t="s">
        <v>187</v>
      </c>
      <c r="G346" t="s">
        <v>48</v>
      </c>
      <c r="H346" t="s">
        <v>11</v>
      </c>
      <c r="I346" s="2" t="str">
        <f t="shared" si="40"/>
        <v>South</v>
      </c>
      <c r="J346" t="s">
        <v>42</v>
      </c>
      <c r="K346" t="s">
        <v>28</v>
      </c>
      <c r="L346">
        <v>12</v>
      </c>
      <c r="M346">
        <v>120</v>
      </c>
      <c r="N346">
        <f t="shared" si="44"/>
        <v>1440</v>
      </c>
      <c r="O346">
        <f t="shared" si="45"/>
        <v>144</v>
      </c>
      <c r="P346" t="str">
        <f t="shared" si="46"/>
        <v>Large Order</v>
      </c>
      <c r="Q346" t="str">
        <f t="shared" si="47"/>
        <v>Weekday</v>
      </c>
    </row>
    <row r="347" spans="1:17" x14ac:dyDescent="0.35">
      <c r="A347" t="s">
        <v>485</v>
      </c>
      <c r="B347" s="7">
        <v>45563</v>
      </c>
      <c r="C347" s="13">
        <f t="shared" si="41"/>
        <v>2024</v>
      </c>
      <c r="D347" s="7" t="str">
        <f t="shared" si="42"/>
        <v>Sep</v>
      </c>
      <c r="E347" s="7" t="str">
        <f t="shared" si="43"/>
        <v>Sat</v>
      </c>
      <c r="F347" t="s">
        <v>408</v>
      </c>
      <c r="G347" t="s">
        <v>45</v>
      </c>
      <c r="H347" t="s">
        <v>22</v>
      </c>
      <c r="I347" s="2" t="str">
        <f t="shared" si="40"/>
        <v>West</v>
      </c>
      <c r="J347" t="s">
        <v>56</v>
      </c>
      <c r="K347" t="s">
        <v>23</v>
      </c>
      <c r="L347">
        <v>6</v>
      </c>
      <c r="M347">
        <v>120</v>
      </c>
      <c r="N347">
        <f t="shared" si="44"/>
        <v>720</v>
      </c>
      <c r="O347">
        <f t="shared" si="45"/>
        <v>72</v>
      </c>
      <c r="P347" t="str">
        <f t="shared" si="46"/>
        <v>Large Order</v>
      </c>
      <c r="Q347" t="str">
        <f t="shared" si="47"/>
        <v>Weekend</v>
      </c>
    </row>
    <row r="348" spans="1:17" x14ac:dyDescent="0.35">
      <c r="A348" t="s">
        <v>486</v>
      </c>
      <c r="B348" s="7">
        <v>45609</v>
      </c>
      <c r="C348" s="13">
        <f t="shared" si="41"/>
        <v>2024</v>
      </c>
      <c r="D348" s="7" t="str">
        <f t="shared" si="42"/>
        <v>Nov</v>
      </c>
      <c r="E348" s="7" t="str">
        <f t="shared" si="43"/>
        <v>Wed</v>
      </c>
      <c r="F348" t="s">
        <v>455</v>
      </c>
      <c r="G348" t="s">
        <v>59</v>
      </c>
      <c r="H348" t="s">
        <v>11</v>
      </c>
      <c r="I348" s="2" t="str">
        <f t="shared" si="40"/>
        <v>North</v>
      </c>
      <c r="J348" t="s">
        <v>27</v>
      </c>
      <c r="K348" t="s">
        <v>32</v>
      </c>
      <c r="L348">
        <v>5</v>
      </c>
      <c r="M348">
        <v>120</v>
      </c>
      <c r="N348">
        <f t="shared" si="44"/>
        <v>600</v>
      </c>
      <c r="O348">
        <f t="shared" si="45"/>
        <v>60</v>
      </c>
      <c r="P348" t="str">
        <f t="shared" si="46"/>
        <v>Large Order</v>
      </c>
      <c r="Q348" t="str">
        <f t="shared" si="47"/>
        <v>Weekday</v>
      </c>
    </row>
    <row r="349" spans="1:17" x14ac:dyDescent="0.35">
      <c r="A349" t="s">
        <v>487</v>
      </c>
      <c r="B349" s="7">
        <v>45527</v>
      </c>
      <c r="C349" s="13">
        <f t="shared" si="41"/>
        <v>2024</v>
      </c>
      <c r="D349" s="7" t="str">
        <f t="shared" si="42"/>
        <v>Aug</v>
      </c>
      <c r="E349" s="7" t="str">
        <f t="shared" si="43"/>
        <v>Fri</v>
      </c>
      <c r="F349" t="s">
        <v>230</v>
      </c>
      <c r="G349" t="s">
        <v>70</v>
      </c>
      <c r="H349" t="s">
        <v>22</v>
      </c>
      <c r="I349" s="2" t="str">
        <f t="shared" si="40"/>
        <v>Central</v>
      </c>
      <c r="J349" t="s">
        <v>12</v>
      </c>
      <c r="K349" t="s">
        <v>28</v>
      </c>
      <c r="L349">
        <v>10</v>
      </c>
      <c r="M349">
        <v>120</v>
      </c>
      <c r="N349">
        <f t="shared" si="44"/>
        <v>1200</v>
      </c>
      <c r="O349">
        <f t="shared" si="45"/>
        <v>120</v>
      </c>
      <c r="P349" t="str">
        <f t="shared" si="46"/>
        <v>Large Order</v>
      </c>
      <c r="Q349" t="str">
        <f t="shared" si="47"/>
        <v>Weekday</v>
      </c>
    </row>
    <row r="350" spans="1:17" x14ac:dyDescent="0.35">
      <c r="A350" t="s">
        <v>488</v>
      </c>
      <c r="B350" s="7">
        <v>45329</v>
      </c>
      <c r="C350" s="13">
        <f t="shared" si="41"/>
        <v>2024</v>
      </c>
      <c r="D350" s="7" t="str">
        <f t="shared" si="42"/>
        <v>Feb</v>
      </c>
      <c r="E350" s="7" t="str">
        <f t="shared" si="43"/>
        <v>Wed</v>
      </c>
      <c r="F350" t="s">
        <v>396</v>
      </c>
      <c r="G350" t="s">
        <v>74</v>
      </c>
      <c r="H350" t="s">
        <v>17</v>
      </c>
      <c r="I350" s="2" t="str">
        <f t="shared" si="40"/>
        <v>West</v>
      </c>
      <c r="J350" t="s">
        <v>306</v>
      </c>
      <c r="K350" t="s">
        <v>23</v>
      </c>
      <c r="L350">
        <v>14</v>
      </c>
      <c r="M350">
        <v>120</v>
      </c>
      <c r="N350">
        <f t="shared" si="44"/>
        <v>1680</v>
      </c>
      <c r="O350">
        <f t="shared" si="45"/>
        <v>168</v>
      </c>
      <c r="P350" t="str">
        <f t="shared" si="46"/>
        <v>Large Order</v>
      </c>
      <c r="Q350" t="str">
        <f t="shared" si="47"/>
        <v>Weekday</v>
      </c>
    </row>
    <row r="351" spans="1:17" x14ac:dyDescent="0.35">
      <c r="A351" t="s">
        <v>489</v>
      </c>
      <c r="B351" s="7">
        <v>45446</v>
      </c>
      <c r="C351" s="13">
        <f t="shared" si="41"/>
        <v>2024</v>
      </c>
      <c r="D351" s="7" t="str">
        <f t="shared" si="42"/>
        <v>Jun</v>
      </c>
      <c r="E351" s="7" t="str">
        <f t="shared" si="43"/>
        <v>Mon</v>
      </c>
      <c r="F351" t="s">
        <v>104</v>
      </c>
      <c r="G351" t="s">
        <v>102</v>
      </c>
      <c r="H351" t="s">
        <v>17</v>
      </c>
      <c r="I351" s="2" t="str">
        <f t="shared" si="40"/>
        <v>East</v>
      </c>
      <c r="J351" t="s">
        <v>27</v>
      </c>
      <c r="K351" t="s">
        <v>32</v>
      </c>
      <c r="L351">
        <v>8</v>
      </c>
      <c r="M351">
        <v>120</v>
      </c>
      <c r="N351">
        <f t="shared" si="44"/>
        <v>960</v>
      </c>
      <c r="O351">
        <f t="shared" si="45"/>
        <v>96</v>
      </c>
      <c r="P351" t="str">
        <f t="shared" si="46"/>
        <v>Large Order</v>
      </c>
      <c r="Q351" t="str">
        <f t="shared" si="47"/>
        <v>Weekday</v>
      </c>
    </row>
    <row r="352" spans="1:17" x14ac:dyDescent="0.35">
      <c r="A352" t="s">
        <v>490</v>
      </c>
      <c r="B352" s="7">
        <v>45586</v>
      </c>
      <c r="C352" s="13">
        <f t="shared" si="41"/>
        <v>2024</v>
      </c>
      <c r="D352" s="7" t="str">
        <f t="shared" si="42"/>
        <v>Oct</v>
      </c>
      <c r="E352" s="7" t="str">
        <f t="shared" si="43"/>
        <v>Mon</v>
      </c>
      <c r="F352" t="s">
        <v>61</v>
      </c>
      <c r="G352" t="s">
        <v>96</v>
      </c>
      <c r="H352" t="s">
        <v>22</v>
      </c>
      <c r="I352" s="2" t="str">
        <f t="shared" si="40"/>
        <v>North</v>
      </c>
      <c r="J352" t="s">
        <v>42</v>
      </c>
      <c r="K352" t="s">
        <v>36</v>
      </c>
      <c r="L352">
        <v>13</v>
      </c>
      <c r="M352">
        <v>120</v>
      </c>
      <c r="N352">
        <f t="shared" si="44"/>
        <v>1560</v>
      </c>
      <c r="O352">
        <f t="shared" si="45"/>
        <v>156</v>
      </c>
      <c r="P352" t="str">
        <f t="shared" si="46"/>
        <v>Large Order</v>
      </c>
      <c r="Q352" t="str">
        <f t="shared" si="47"/>
        <v>Weekday</v>
      </c>
    </row>
    <row r="353" spans="1:17" x14ac:dyDescent="0.35">
      <c r="A353" t="s">
        <v>491</v>
      </c>
      <c r="B353" s="7">
        <v>45643</v>
      </c>
      <c r="C353" s="13">
        <f t="shared" si="41"/>
        <v>2024</v>
      </c>
      <c r="D353" s="7" t="str">
        <f t="shared" si="42"/>
        <v>Dec</v>
      </c>
      <c r="E353" s="7" t="str">
        <f t="shared" si="43"/>
        <v>Tue</v>
      </c>
      <c r="F353" t="s">
        <v>420</v>
      </c>
      <c r="G353" t="s">
        <v>109</v>
      </c>
      <c r="H353" t="s">
        <v>22</v>
      </c>
      <c r="I353" s="2" t="str">
        <f t="shared" si="40"/>
        <v>South</v>
      </c>
      <c r="J353" t="s">
        <v>12</v>
      </c>
      <c r="K353" t="s">
        <v>32</v>
      </c>
      <c r="L353">
        <v>16</v>
      </c>
      <c r="M353">
        <v>120</v>
      </c>
      <c r="N353">
        <f t="shared" si="44"/>
        <v>1920</v>
      </c>
      <c r="O353">
        <f t="shared" si="45"/>
        <v>192</v>
      </c>
      <c r="P353" t="str">
        <f t="shared" si="46"/>
        <v>Large Order</v>
      </c>
      <c r="Q353" t="str">
        <f t="shared" si="47"/>
        <v>Weekday</v>
      </c>
    </row>
    <row r="354" spans="1:17" x14ac:dyDescent="0.35">
      <c r="A354" t="s">
        <v>492</v>
      </c>
      <c r="B354" s="7">
        <v>45409</v>
      </c>
      <c r="C354" s="13">
        <f t="shared" si="41"/>
        <v>2024</v>
      </c>
      <c r="D354" s="7" t="str">
        <f t="shared" si="42"/>
        <v>Apr</v>
      </c>
      <c r="E354" s="7" t="str">
        <f t="shared" si="43"/>
        <v>Sat</v>
      </c>
      <c r="F354" t="s">
        <v>493</v>
      </c>
      <c r="G354" t="s">
        <v>21</v>
      </c>
      <c r="H354" t="s">
        <v>17</v>
      </c>
      <c r="I354" s="2" t="str">
        <f t="shared" si="40"/>
        <v>North</v>
      </c>
      <c r="J354" t="s">
        <v>56</v>
      </c>
      <c r="K354" t="s">
        <v>28</v>
      </c>
      <c r="L354">
        <v>7</v>
      </c>
      <c r="M354">
        <v>120</v>
      </c>
      <c r="N354">
        <f t="shared" si="44"/>
        <v>840</v>
      </c>
      <c r="O354">
        <f t="shared" si="45"/>
        <v>84</v>
      </c>
      <c r="P354" t="str">
        <f t="shared" si="46"/>
        <v>Large Order</v>
      </c>
      <c r="Q354" t="str">
        <f t="shared" si="47"/>
        <v>Weekend</v>
      </c>
    </row>
    <row r="355" spans="1:17" x14ac:dyDescent="0.35">
      <c r="A355" t="s">
        <v>494</v>
      </c>
      <c r="B355" s="7">
        <v>45613</v>
      </c>
      <c r="C355" s="13">
        <f t="shared" si="41"/>
        <v>2024</v>
      </c>
      <c r="D355" s="7" t="str">
        <f t="shared" si="42"/>
        <v>Nov</v>
      </c>
      <c r="E355" s="7" t="str">
        <f t="shared" si="43"/>
        <v>Sun</v>
      </c>
      <c r="F355" t="s">
        <v>108</v>
      </c>
      <c r="G355" t="s">
        <v>74</v>
      </c>
      <c r="H355" t="s">
        <v>22</v>
      </c>
      <c r="I355" s="2" t="str">
        <f t="shared" si="40"/>
        <v>East</v>
      </c>
      <c r="J355" t="s">
        <v>12</v>
      </c>
      <c r="K355" t="s">
        <v>32</v>
      </c>
      <c r="L355">
        <v>15</v>
      </c>
      <c r="M355">
        <v>120</v>
      </c>
      <c r="N355">
        <f t="shared" si="44"/>
        <v>1800</v>
      </c>
      <c r="O355">
        <f t="shared" si="45"/>
        <v>180</v>
      </c>
      <c r="P355" t="str">
        <f t="shared" si="46"/>
        <v>Large Order</v>
      </c>
      <c r="Q355" t="str">
        <f t="shared" si="47"/>
        <v>Weekend</v>
      </c>
    </row>
    <row r="356" spans="1:17" x14ac:dyDescent="0.35">
      <c r="A356" t="s">
        <v>495</v>
      </c>
      <c r="B356" s="7">
        <v>45359</v>
      </c>
      <c r="C356" s="13">
        <f t="shared" si="41"/>
        <v>2024</v>
      </c>
      <c r="D356" s="7" t="str">
        <f t="shared" si="42"/>
        <v>Mar</v>
      </c>
      <c r="E356" s="7" t="str">
        <f t="shared" si="43"/>
        <v>Fri</v>
      </c>
      <c r="F356" t="s">
        <v>203</v>
      </c>
      <c r="G356" t="s">
        <v>84</v>
      </c>
      <c r="H356" t="s">
        <v>17</v>
      </c>
      <c r="I356" s="2" t="str">
        <f t="shared" si="40"/>
        <v>Central</v>
      </c>
      <c r="J356" t="s">
        <v>42</v>
      </c>
      <c r="K356" t="s">
        <v>28</v>
      </c>
      <c r="L356">
        <v>14</v>
      </c>
      <c r="M356">
        <v>120</v>
      </c>
      <c r="N356">
        <f t="shared" si="44"/>
        <v>1680</v>
      </c>
      <c r="O356">
        <f t="shared" si="45"/>
        <v>168</v>
      </c>
      <c r="P356" t="str">
        <f t="shared" si="46"/>
        <v>Large Order</v>
      </c>
      <c r="Q356" t="str">
        <f t="shared" si="47"/>
        <v>Weekday</v>
      </c>
    </row>
    <row r="357" spans="1:17" x14ac:dyDescent="0.35">
      <c r="A357" t="s">
        <v>496</v>
      </c>
      <c r="B357" s="7">
        <v>45568</v>
      </c>
      <c r="C357" s="13">
        <f t="shared" si="41"/>
        <v>2024</v>
      </c>
      <c r="D357" s="7" t="str">
        <f t="shared" si="42"/>
        <v>Oct</v>
      </c>
      <c r="E357" s="7" t="str">
        <f t="shared" si="43"/>
        <v>Thu</v>
      </c>
      <c r="F357" t="s">
        <v>83</v>
      </c>
      <c r="G357" t="s">
        <v>26</v>
      </c>
      <c r="H357" t="s">
        <v>22</v>
      </c>
      <c r="I357" s="2" t="str">
        <f t="shared" si="40"/>
        <v>North</v>
      </c>
      <c r="J357" t="s">
        <v>306</v>
      </c>
      <c r="K357" t="s">
        <v>23</v>
      </c>
      <c r="L357">
        <v>6</v>
      </c>
      <c r="M357">
        <v>120</v>
      </c>
      <c r="N357">
        <f t="shared" si="44"/>
        <v>720</v>
      </c>
      <c r="O357">
        <f t="shared" si="45"/>
        <v>72</v>
      </c>
      <c r="P357" t="str">
        <f t="shared" si="46"/>
        <v>Large Order</v>
      </c>
      <c r="Q357" t="str">
        <f t="shared" si="47"/>
        <v>Weekday</v>
      </c>
    </row>
    <row r="358" spans="1:17" x14ac:dyDescent="0.35">
      <c r="A358" t="s">
        <v>497</v>
      </c>
      <c r="B358" s="7">
        <v>45443</v>
      </c>
      <c r="C358" s="13">
        <f t="shared" si="41"/>
        <v>2024</v>
      </c>
      <c r="D358" s="7" t="str">
        <f t="shared" si="42"/>
        <v>May</v>
      </c>
      <c r="E358" s="7" t="str">
        <f t="shared" si="43"/>
        <v>Fri</v>
      </c>
      <c r="F358" t="s">
        <v>323</v>
      </c>
      <c r="G358" t="s">
        <v>70</v>
      </c>
      <c r="H358" t="s">
        <v>17</v>
      </c>
      <c r="I358" s="2" t="str">
        <f t="shared" si="40"/>
        <v>West</v>
      </c>
      <c r="J358" t="s">
        <v>12</v>
      </c>
      <c r="K358" t="s">
        <v>28</v>
      </c>
      <c r="L358">
        <v>3</v>
      </c>
      <c r="M358">
        <v>120</v>
      </c>
      <c r="N358">
        <f t="shared" si="44"/>
        <v>360</v>
      </c>
      <c r="O358">
        <f t="shared" si="45"/>
        <v>36</v>
      </c>
      <c r="P358" t="str">
        <f t="shared" si="46"/>
        <v>Standard Order</v>
      </c>
      <c r="Q358" t="str">
        <f t="shared" si="47"/>
        <v>Weekday</v>
      </c>
    </row>
    <row r="359" spans="1:17" x14ac:dyDescent="0.35">
      <c r="A359" t="s">
        <v>498</v>
      </c>
      <c r="B359" s="7">
        <v>45638</v>
      </c>
      <c r="C359" s="13">
        <f t="shared" si="41"/>
        <v>2024</v>
      </c>
      <c r="D359" s="7" t="str">
        <f t="shared" si="42"/>
        <v>Dec</v>
      </c>
      <c r="E359" s="7" t="str">
        <f t="shared" si="43"/>
        <v>Thu</v>
      </c>
      <c r="F359" t="s">
        <v>329</v>
      </c>
      <c r="G359" t="s">
        <v>174</v>
      </c>
      <c r="H359" t="s">
        <v>22</v>
      </c>
      <c r="I359" s="2" t="str">
        <f t="shared" si="40"/>
        <v>North</v>
      </c>
      <c r="J359" t="s">
        <v>27</v>
      </c>
      <c r="K359" t="s">
        <v>23</v>
      </c>
      <c r="L359">
        <v>12</v>
      </c>
      <c r="M359">
        <v>120</v>
      </c>
      <c r="N359">
        <f t="shared" si="44"/>
        <v>1440</v>
      </c>
      <c r="O359">
        <f t="shared" si="45"/>
        <v>144</v>
      </c>
      <c r="P359" t="str">
        <f t="shared" si="46"/>
        <v>Large Order</v>
      </c>
      <c r="Q359" t="str">
        <f t="shared" si="47"/>
        <v>Weekday</v>
      </c>
    </row>
    <row r="360" spans="1:17" x14ac:dyDescent="0.35">
      <c r="A360" t="s">
        <v>499</v>
      </c>
      <c r="B360" s="7">
        <v>45299</v>
      </c>
      <c r="C360" s="13">
        <f t="shared" si="41"/>
        <v>2024</v>
      </c>
      <c r="D360" s="7" t="str">
        <f t="shared" si="42"/>
        <v>Jan</v>
      </c>
      <c r="E360" s="7" t="str">
        <f t="shared" si="43"/>
        <v>Mon</v>
      </c>
      <c r="F360" t="s">
        <v>86</v>
      </c>
      <c r="G360" t="s">
        <v>70</v>
      </c>
      <c r="H360" t="s">
        <v>22</v>
      </c>
      <c r="I360" s="2" t="str">
        <f t="shared" si="40"/>
        <v>East</v>
      </c>
      <c r="J360" t="s">
        <v>12</v>
      </c>
      <c r="K360" t="s">
        <v>32</v>
      </c>
      <c r="L360">
        <v>12</v>
      </c>
      <c r="M360">
        <v>120</v>
      </c>
      <c r="N360">
        <f t="shared" si="44"/>
        <v>1440</v>
      </c>
      <c r="O360">
        <f t="shared" si="45"/>
        <v>144</v>
      </c>
      <c r="P360" t="str">
        <f t="shared" si="46"/>
        <v>Large Order</v>
      </c>
      <c r="Q360" t="str">
        <f t="shared" si="47"/>
        <v>Weekday</v>
      </c>
    </row>
    <row r="361" spans="1:17" x14ac:dyDescent="0.35">
      <c r="A361" t="s">
        <v>500</v>
      </c>
      <c r="B361" s="7">
        <v>45591</v>
      </c>
      <c r="C361" s="13">
        <f t="shared" si="41"/>
        <v>2024</v>
      </c>
      <c r="D361" s="7" t="str">
        <f t="shared" si="42"/>
        <v>Oct</v>
      </c>
      <c r="E361" s="7" t="str">
        <f t="shared" si="43"/>
        <v>Sat</v>
      </c>
      <c r="F361" t="s">
        <v>159</v>
      </c>
      <c r="G361" t="s">
        <v>102</v>
      </c>
      <c r="H361" t="s">
        <v>22</v>
      </c>
      <c r="I361" s="2" t="str">
        <f t="shared" si="40"/>
        <v>South</v>
      </c>
      <c r="J361" t="s">
        <v>42</v>
      </c>
      <c r="K361" t="s">
        <v>36</v>
      </c>
      <c r="L361">
        <v>8</v>
      </c>
      <c r="M361">
        <v>120</v>
      </c>
      <c r="N361">
        <f t="shared" si="44"/>
        <v>960</v>
      </c>
      <c r="O361">
        <f t="shared" si="45"/>
        <v>96</v>
      </c>
      <c r="P361" t="str">
        <f t="shared" si="46"/>
        <v>Large Order</v>
      </c>
      <c r="Q361" t="str">
        <f t="shared" si="47"/>
        <v>Weekend</v>
      </c>
    </row>
    <row r="362" spans="1:17" x14ac:dyDescent="0.35">
      <c r="A362" t="s">
        <v>501</v>
      </c>
      <c r="B362" s="7">
        <v>45579</v>
      </c>
      <c r="C362" s="13">
        <f t="shared" si="41"/>
        <v>2024</v>
      </c>
      <c r="D362" s="7" t="str">
        <f t="shared" si="42"/>
        <v>Oct</v>
      </c>
      <c r="E362" s="7" t="str">
        <f t="shared" si="43"/>
        <v>Mon</v>
      </c>
      <c r="F362" t="s">
        <v>187</v>
      </c>
      <c r="G362" t="s">
        <v>21</v>
      </c>
      <c r="H362" t="s">
        <v>22</v>
      </c>
      <c r="I362" s="2" t="str">
        <f t="shared" si="40"/>
        <v>West</v>
      </c>
      <c r="J362" t="s">
        <v>56</v>
      </c>
      <c r="K362" t="s">
        <v>23</v>
      </c>
      <c r="L362">
        <v>3</v>
      </c>
      <c r="M362">
        <v>120</v>
      </c>
      <c r="N362">
        <f t="shared" si="44"/>
        <v>360</v>
      </c>
      <c r="O362">
        <f t="shared" si="45"/>
        <v>36</v>
      </c>
      <c r="P362" t="str">
        <f t="shared" si="46"/>
        <v>Standard Order</v>
      </c>
      <c r="Q362" t="str">
        <f t="shared" si="47"/>
        <v>Weekday</v>
      </c>
    </row>
    <row r="363" spans="1:17" x14ac:dyDescent="0.35">
      <c r="A363" t="s">
        <v>502</v>
      </c>
      <c r="B363" s="7">
        <v>45650</v>
      </c>
      <c r="C363" s="13">
        <f t="shared" si="41"/>
        <v>2024</v>
      </c>
      <c r="D363" s="7" t="str">
        <f t="shared" si="42"/>
        <v>Dec</v>
      </c>
      <c r="E363" s="7" t="str">
        <f t="shared" si="43"/>
        <v>Tue</v>
      </c>
      <c r="F363" t="s">
        <v>68</v>
      </c>
      <c r="G363" t="s">
        <v>102</v>
      </c>
      <c r="H363" t="s">
        <v>22</v>
      </c>
      <c r="I363" s="2" t="str">
        <f t="shared" si="40"/>
        <v>North</v>
      </c>
      <c r="J363" t="s">
        <v>27</v>
      </c>
      <c r="K363" t="s">
        <v>13</v>
      </c>
      <c r="L363">
        <v>5</v>
      </c>
      <c r="M363">
        <v>120</v>
      </c>
      <c r="N363">
        <f t="shared" si="44"/>
        <v>600</v>
      </c>
      <c r="O363">
        <f t="shared" si="45"/>
        <v>60</v>
      </c>
      <c r="P363" t="str">
        <f t="shared" si="46"/>
        <v>Large Order</v>
      </c>
      <c r="Q363" t="str">
        <f t="shared" si="47"/>
        <v>Weekday</v>
      </c>
    </row>
    <row r="364" spans="1:17" x14ac:dyDescent="0.35">
      <c r="A364" t="s">
        <v>503</v>
      </c>
      <c r="B364" s="7">
        <v>45447</v>
      </c>
      <c r="C364" s="13">
        <f t="shared" si="41"/>
        <v>2024</v>
      </c>
      <c r="D364" s="7" t="str">
        <f t="shared" si="42"/>
        <v>Jun</v>
      </c>
      <c r="E364" s="7" t="str">
        <f t="shared" si="43"/>
        <v>Tue</v>
      </c>
      <c r="F364" t="s">
        <v>432</v>
      </c>
      <c r="G364" t="s">
        <v>197</v>
      </c>
      <c r="H364" t="s">
        <v>11</v>
      </c>
      <c r="I364" s="2" t="str">
        <f t="shared" si="40"/>
        <v>Central</v>
      </c>
      <c r="J364" t="s">
        <v>12</v>
      </c>
      <c r="K364" t="s">
        <v>23</v>
      </c>
      <c r="L364">
        <v>18</v>
      </c>
      <c r="M364">
        <v>120</v>
      </c>
      <c r="N364">
        <f t="shared" si="44"/>
        <v>2160</v>
      </c>
      <c r="O364">
        <f t="shared" si="45"/>
        <v>216</v>
      </c>
      <c r="P364" t="str">
        <f t="shared" si="46"/>
        <v>Large Order</v>
      </c>
      <c r="Q364" t="str">
        <f t="shared" si="47"/>
        <v>Weekday</v>
      </c>
    </row>
    <row r="365" spans="1:17" x14ac:dyDescent="0.35">
      <c r="A365" t="s">
        <v>504</v>
      </c>
      <c r="B365" s="7">
        <v>45481</v>
      </c>
      <c r="C365" s="13">
        <f t="shared" si="41"/>
        <v>2024</v>
      </c>
      <c r="D365" s="7" t="str">
        <f t="shared" si="42"/>
        <v>Jul</v>
      </c>
      <c r="E365" s="7" t="str">
        <f t="shared" si="43"/>
        <v>Mon</v>
      </c>
      <c r="F365" t="s">
        <v>317</v>
      </c>
      <c r="G365" t="s">
        <v>87</v>
      </c>
      <c r="H365" t="s">
        <v>22</v>
      </c>
      <c r="I365" s="2" t="str">
        <f t="shared" si="40"/>
        <v>West</v>
      </c>
      <c r="J365" t="s">
        <v>306</v>
      </c>
      <c r="K365" t="s">
        <v>28</v>
      </c>
      <c r="L365">
        <v>19</v>
      </c>
      <c r="M365">
        <v>120</v>
      </c>
      <c r="N365">
        <f t="shared" si="44"/>
        <v>2280</v>
      </c>
      <c r="O365">
        <f t="shared" si="45"/>
        <v>228</v>
      </c>
      <c r="P365" t="str">
        <f t="shared" si="46"/>
        <v>Large Order</v>
      </c>
      <c r="Q365" t="str">
        <f t="shared" si="47"/>
        <v>Weekday</v>
      </c>
    </row>
    <row r="366" spans="1:17" x14ac:dyDescent="0.35">
      <c r="A366" t="s">
        <v>505</v>
      </c>
      <c r="B366" s="7">
        <v>45504</v>
      </c>
      <c r="C366" s="13">
        <f t="shared" si="41"/>
        <v>2024</v>
      </c>
      <c r="D366" s="7" t="str">
        <f t="shared" si="42"/>
        <v>Jul</v>
      </c>
      <c r="E366" s="7" t="str">
        <f t="shared" si="43"/>
        <v>Wed</v>
      </c>
      <c r="F366" t="s">
        <v>350</v>
      </c>
      <c r="G366" t="s">
        <v>109</v>
      </c>
      <c r="H366" t="s">
        <v>11</v>
      </c>
      <c r="I366" s="2" t="str">
        <f t="shared" si="40"/>
        <v>South</v>
      </c>
      <c r="J366" t="s">
        <v>27</v>
      </c>
      <c r="K366" t="s">
        <v>32</v>
      </c>
      <c r="L366">
        <v>14</v>
      </c>
      <c r="M366">
        <v>120</v>
      </c>
      <c r="N366">
        <f t="shared" si="44"/>
        <v>1680</v>
      </c>
      <c r="O366">
        <f t="shared" si="45"/>
        <v>168</v>
      </c>
      <c r="P366" t="str">
        <f t="shared" si="46"/>
        <v>Large Order</v>
      </c>
      <c r="Q366" t="str">
        <f t="shared" si="47"/>
        <v>Weekday</v>
      </c>
    </row>
    <row r="367" spans="1:17" x14ac:dyDescent="0.35">
      <c r="A367" t="s">
        <v>506</v>
      </c>
      <c r="B367" s="7">
        <v>45308</v>
      </c>
      <c r="C367" s="13">
        <f t="shared" si="41"/>
        <v>2024</v>
      </c>
      <c r="D367" s="7" t="str">
        <f t="shared" si="42"/>
        <v>Jan</v>
      </c>
      <c r="E367" s="7" t="str">
        <f t="shared" si="43"/>
        <v>Wed</v>
      </c>
      <c r="F367" t="s">
        <v>465</v>
      </c>
      <c r="G367" t="s">
        <v>70</v>
      </c>
      <c r="H367" t="s">
        <v>17</v>
      </c>
      <c r="I367" s="2" t="str">
        <f t="shared" si="40"/>
        <v>Central</v>
      </c>
      <c r="J367" t="s">
        <v>56</v>
      </c>
      <c r="K367" t="s">
        <v>32</v>
      </c>
      <c r="L367">
        <v>15</v>
      </c>
      <c r="M367">
        <v>120</v>
      </c>
      <c r="N367">
        <f t="shared" si="44"/>
        <v>1800</v>
      </c>
      <c r="O367">
        <f t="shared" si="45"/>
        <v>180</v>
      </c>
      <c r="P367" t="str">
        <f t="shared" si="46"/>
        <v>Large Order</v>
      </c>
      <c r="Q367" t="str">
        <f t="shared" si="47"/>
        <v>Weekday</v>
      </c>
    </row>
    <row r="368" spans="1:17" x14ac:dyDescent="0.35">
      <c r="A368" t="s">
        <v>507</v>
      </c>
      <c r="B368" s="7">
        <v>45342</v>
      </c>
      <c r="C368" s="13">
        <f t="shared" si="41"/>
        <v>2024</v>
      </c>
      <c r="D368" s="7" t="str">
        <f t="shared" si="42"/>
        <v>Feb</v>
      </c>
      <c r="E368" s="7" t="str">
        <f t="shared" si="43"/>
        <v>Tue</v>
      </c>
      <c r="F368" t="s">
        <v>455</v>
      </c>
      <c r="G368" t="s">
        <v>21</v>
      </c>
      <c r="H368" t="s">
        <v>17</v>
      </c>
      <c r="I368" s="2" t="str">
        <f t="shared" si="40"/>
        <v>North</v>
      </c>
      <c r="J368" t="s">
        <v>306</v>
      </c>
      <c r="K368" t="s">
        <v>32</v>
      </c>
      <c r="L368">
        <v>12</v>
      </c>
      <c r="M368">
        <v>120</v>
      </c>
      <c r="N368">
        <f t="shared" si="44"/>
        <v>1440</v>
      </c>
      <c r="O368">
        <f t="shared" si="45"/>
        <v>144</v>
      </c>
      <c r="P368" t="str">
        <f t="shared" si="46"/>
        <v>Large Order</v>
      </c>
      <c r="Q368" t="str">
        <f t="shared" si="47"/>
        <v>Weekday</v>
      </c>
    </row>
    <row r="369" spans="1:17" x14ac:dyDescent="0.35">
      <c r="A369" t="s">
        <v>508</v>
      </c>
      <c r="B369" s="7">
        <v>45389</v>
      </c>
      <c r="C369" s="13">
        <f t="shared" si="41"/>
        <v>2024</v>
      </c>
      <c r="D369" s="7" t="str">
        <f t="shared" si="42"/>
        <v>Apr</v>
      </c>
      <c r="E369" s="7" t="str">
        <f t="shared" si="43"/>
        <v>Sun</v>
      </c>
      <c r="F369" t="s">
        <v>114</v>
      </c>
      <c r="G369" t="s">
        <v>41</v>
      </c>
      <c r="H369" t="s">
        <v>17</v>
      </c>
      <c r="I369" s="2" t="str">
        <f t="shared" si="40"/>
        <v>South</v>
      </c>
      <c r="J369" t="s">
        <v>12</v>
      </c>
      <c r="K369" t="s">
        <v>36</v>
      </c>
      <c r="L369">
        <v>7</v>
      </c>
      <c r="M369">
        <v>120</v>
      </c>
      <c r="N369">
        <f t="shared" si="44"/>
        <v>840</v>
      </c>
      <c r="O369">
        <f t="shared" si="45"/>
        <v>84</v>
      </c>
      <c r="P369" t="str">
        <f t="shared" si="46"/>
        <v>Large Order</v>
      </c>
      <c r="Q369" t="str">
        <f t="shared" si="47"/>
        <v>Weekend</v>
      </c>
    </row>
    <row r="370" spans="1:17" x14ac:dyDescent="0.35">
      <c r="A370" t="s">
        <v>509</v>
      </c>
      <c r="B370" s="7">
        <v>45302</v>
      </c>
      <c r="C370" s="13">
        <f t="shared" si="41"/>
        <v>2024</v>
      </c>
      <c r="D370" s="7" t="str">
        <f t="shared" si="42"/>
        <v>Jan</v>
      </c>
      <c r="E370" s="7" t="str">
        <f t="shared" si="43"/>
        <v>Thu</v>
      </c>
      <c r="F370" t="s">
        <v>9</v>
      </c>
      <c r="G370" t="s">
        <v>16</v>
      </c>
      <c r="H370" t="s">
        <v>17</v>
      </c>
      <c r="I370" s="2" t="str">
        <f t="shared" si="40"/>
        <v>South</v>
      </c>
      <c r="J370" t="s">
        <v>56</v>
      </c>
      <c r="K370" t="s">
        <v>36</v>
      </c>
      <c r="L370">
        <v>19</v>
      </c>
      <c r="M370">
        <v>120</v>
      </c>
      <c r="N370">
        <f t="shared" si="44"/>
        <v>2280</v>
      </c>
      <c r="O370">
        <f t="shared" si="45"/>
        <v>228</v>
      </c>
      <c r="P370" t="str">
        <f t="shared" si="46"/>
        <v>Large Order</v>
      </c>
      <c r="Q370" t="str">
        <f t="shared" si="47"/>
        <v>Weekday</v>
      </c>
    </row>
    <row r="371" spans="1:17" x14ac:dyDescent="0.35">
      <c r="A371" t="s">
        <v>510</v>
      </c>
      <c r="B371" s="7">
        <v>45398</v>
      </c>
      <c r="C371" s="13">
        <f t="shared" si="41"/>
        <v>2024</v>
      </c>
      <c r="D371" s="7" t="str">
        <f t="shared" si="42"/>
        <v>Apr</v>
      </c>
      <c r="E371" s="7" t="str">
        <f t="shared" si="43"/>
        <v>Tue</v>
      </c>
      <c r="F371" t="s">
        <v>449</v>
      </c>
      <c r="G371" t="s">
        <v>72</v>
      </c>
      <c r="H371" t="s">
        <v>11</v>
      </c>
      <c r="I371" s="2" t="str">
        <f t="shared" si="40"/>
        <v>South</v>
      </c>
      <c r="J371" t="s">
        <v>56</v>
      </c>
      <c r="K371" t="s">
        <v>36</v>
      </c>
      <c r="L371">
        <v>5</v>
      </c>
      <c r="M371">
        <v>120</v>
      </c>
      <c r="N371">
        <f t="shared" si="44"/>
        <v>600</v>
      </c>
      <c r="O371">
        <f t="shared" si="45"/>
        <v>60</v>
      </c>
      <c r="P371" t="str">
        <f t="shared" si="46"/>
        <v>Large Order</v>
      </c>
      <c r="Q371" t="str">
        <f t="shared" si="47"/>
        <v>Weekday</v>
      </c>
    </row>
    <row r="372" spans="1:17" x14ac:dyDescent="0.35">
      <c r="A372" t="s">
        <v>511</v>
      </c>
      <c r="B372" s="7">
        <v>45293</v>
      </c>
      <c r="C372" s="13">
        <f t="shared" si="41"/>
        <v>2024</v>
      </c>
      <c r="D372" s="7" t="str">
        <f t="shared" si="42"/>
        <v>Jan</v>
      </c>
      <c r="E372" s="7" t="str">
        <f t="shared" si="43"/>
        <v>Tue</v>
      </c>
      <c r="F372" t="s">
        <v>89</v>
      </c>
      <c r="G372" t="s">
        <v>174</v>
      </c>
      <c r="H372" t="s">
        <v>11</v>
      </c>
      <c r="I372" s="2" t="str">
        <f t="shared" si="40"/>
        <v>North</v>
      </c>
      <c r="J372" t="s">
        <v>56</v>
      </c>
      <c r="K372" t="s">
        <v>13</v>
      </c>
      <c r="L372">
        <v>9</v>
      </c>
      <c r="M372">
        <v>120</v>
      </c>
      <c r="N372">
        <f t="shared" si="44"/>
        <v>1080</v>
      </c>
      <c r="O372">
        <f t="shared" si="45"/>
        <v>108</v>
      </c>
      <c r="P372" t="str">
        <f t="shared" si="46"/>
        <v>Large Order</v>
      </c>
      <c r="Q372" t="str">
        <f t="shared" si="47"/>
        <v>Weekday</v>
      </c>
    </row>
    <row r="373" spans="1:17" x14ac:dyDescent="0.35">
      <c r="A373" t="s">
        <v>512</v>
      </c>
      <c r="B373" s="7">
        <v>45630</v>
      </c>
      <c r="C373" s="13">
        <f t="shared" si="41"/>
        <v>2024</v>
      </c>
      <c r="D373" s="7" t="str">
        <f t="shared" si="42"/>
        <v>Dec</v>
      </c>
      <c r="E373" s="7" t="str">
        <f t="shared" si="43"/>
        <v>Wed</v>
      </c>
      <c r="F373" t="s">
        <v>64</v>
      </c>
      <c r="G373" t="s">
        <v>48</v>
      </c>
      <c r="H373" t="s">
        <v>11</v>
      </c>
      <c r="I373" s="2" t="str">
        <f t="shared" si="40"/>
        <v>South</v>
      </c>
      <c r="J373" t="s">
        <v>12</v>
      </c>
      <c r="K373" t="s">
        <v>13</v>
      </c>
      <c r="L373">
        <v>8</v>
      </c>
      <c r="M373">
        <v>120</v>
      </c>
      <c r="N373">
        <f t="shared" si="44"/>
        <v>960</v>
      </c>
      <c r="O373">
        <f t="shared" si="45"/>
        <v>96</v>
      </c>
      <c r="P373" t="str">
        <f t="shared" si="46"/>
        <v>Large Order</v>
      </c>
      <c r="Q373" t="str">
        <f t="shared" si="47"/>
        <v>Weekday</v>
      </c>
    </row>
    <row r="374" spans="1:17" x14ac:dyDescent="0.35">
      <c r="A374" t="s">
        <v>513</v>
      </c>
      <c r="B374" s="7">
        <v>45381</v>
      </c>
      <c r="C374" s="13">
        <f t="shared" si="41"/>
        <v>2024</v>
      </c>
      <c r="D374" s="7" t="str">
        <f t="shared" si="42"/>
        <v>Mar</v>
      </c>
      <c r="E374" s="7" t="str">
        <f t="shared" si="43"/>
        <v>Sat</v>
      </c>
      <c r="F374" t="s">
        <v>86</v>
      </c>
      <c r="G374" t="s">
        <v>84</v>
      </c>
      <c r="H374" t="s">
        <v>11</v>
      </c>
      <c r="I374" s="2" t="str">
        <f t="shared" si="40"/>
        <v>Central</v>
      </c>
      <c r="J374" t="s">
        <v>56</v>
      </c>
      <c r="K374" t="s">
        <v>13</v>
      </c>
      <c r="L374">
        <v>14</v>
      </c>
      <c r="M374">
        <v>120</v>
      </c>
      <c r="N374">
        <f t="shared" si="44"/>
        <v>1680</v>
      </c>
      <c r="O374">
        <f t="shared" si="45"/>
        <v>168</v>
      </c>
      <c r="P374" t="str">
        <f t="shared" si="46"/>
        <v>Large Order</v>
      </c>
      <c r="Q374" t="str">
        <f t="shared" si="47"/>
        <v>Weekend</v>
      </c>
    </row>
    <row r="375" spans="1:17" x14ac:dyDescent="0.35">
      <c r="A375" t="s">
        <v>514</v>
      </c>
      <c r="B375" s="7">
        <v>45535</v>
      </c>
      <c r="C375" s="13">
        <f t="shared" si="41"/>
        <v>2024</v>
      </c>
      <c r="D375" s="7" t="str">
        <f t="shared" si="42"/>
        <v>Aug</v>
      </c>
      <c r="E375" s="7" t="str">
        <f t="shared" si="43"/>
        <v>Sat</v>
      </c>
      <c r="F375" t="s">
        <v>430</v>
      </c>
      <c r="G375" t="s">
        <v>59</v>
      </c>
      <c r="H375" t="s">
        <v>17</v>
      </c>
      <c r="I375" s="2" t="str">
        <f t="shared" si="40"/>
        <v>Central</v>
      </c>
      <c r="J375" t="s">
        <v>306</v>
      </c>
      <c r="K375" t="s">
        <v>28</v>
      </c>
      <c r="L375">
        <v>4</v>
      </c>
      <c r="M375">
        <v>120</v>
      </c>
      <c r="N375">
        <f t="shared" si="44"/>
        <v>480</v>
      </c>
      <c r="O375">
        <f t="shared" si="45"/>
        <v>48</v>
      </c>
      <c r="P375" t="str">
        <f t="shared" si="46"/>
        <v>Standard Order</v>
      </c>
      <c r="Q375" t="str">
        <f t="shared" si="47"/>
        <v>Weekend</v>
      </c>
    </row>
    <row r="376" spans="1:17" x14ac:dyDescent="0.35">
      <c r="A376" t="s">
        <v>515</v>
      </c>
      <c r="B376" s="7">
        <v>45606</v>
      </c>
      <c r="C376" s="13">
        <f t="shared" si="41"/>
        <v>2024</v>
      </c>
      <c r="D376" s="7" t="str">
        <f t="shared" si="42"/>
        <v>Nov</v>
      </c>
      <c r="E376" s="7" t="str">
        <f t="shared" si="43"/>
        <v>Sun</v>
      </c>
      <c r="F376" t="s">
        <v>116</v>
      </c>
      <c r="G376" t="s">
        <v>74</v>
      </c>
      <c r="H376" t="s">
        <v>22</v>
      </c>
      <c r="I376" s="2" t="str">
        <f t="shared" si="40"/>
        <v>West</v>
      </c>
      <c r="J376" t="s">
        <v>306</v>
      </c>
      <c r="K376" t="s">
        <v>13</v>
      </c>
      <c r="L376">
        <v>15</v>
      </c>
      <c r="M376">
        <v>120</v>
      </c>
      <c r="N376">
        <f t="shared" si="44"/>
        <v>1800</v>
      </c>
      <c r="O376">
        <f t="shared" si="45"/>
        <v>180</v>
      </c>
      <c r="P376" t="str">
        <f t="shared" si="46"/>
        <v>Large Order</v>
      </c>
      <c r="Q376" t="str">
        <f t="shared" si="47"/>
        <v>Weekend</v>
      </c>
    </row>
    <row r="377" spans="1:17" x14ac:dyDescent="0.35">
      <c r="A377" t="s">
        <v>516</v>
      </c>
      <c r="B377" s="7">
        <v>45323</v>
      </c>
      <c r="C377" s="13">
        <f t="shared" si="41"/>
        <v>2024</v>
      </c>
      <c r="D377" s="7" t="str">
        <f t="shared" si="42"/>
        <v>Feb</v>
      </c>
      <c r="E377" s="7" t="str">
        <f t="shared" si="43"/>
        <v>Thu</v>
      </c>
      <c r="F377" t="s">
        <v>517</v>
      </c>
      <c r="G377" t="s">
        <v>41</v>
      </c>
      <c r="H377" t="s">
        <v>17</v>
      </c>
      <c r="I377" s="2" t="str">
        <f t="shared" si="40"/>
        <v>Central</v>
      </c>
      <c r="J377" t="s">
        <v>27</v>
      </c>
      <c r="K377" t="s">
        <v>23</v>
      </c>
      <c r="L377">
        <v>4</v>
      </c>
      <c r="M377">
        <v>120</v>
      </c>
      <c r="N377">
        <f t="shared" si="44"/>
        <v>480</v>
      </c>
      <c r="O377">
        <f t="shared" si="45"/>
        <v>48</v>
      </c>
      <c r="P377" t="str">
        <f t="shared" si="46"/>
        <v>Standard Order</v>
      </c>
      <c r="Q377" t="str">
        <f t="shared" si="47"/>
        <v>Weekday</v>
      </c>
    </row>
    <row r="378" spans="1:17" x14ac:dyDescent="0.35">
      <c r="A378" t="s">
        <v>518</v>
      </c>
      <c r="B378" s="7">
        <v>45329</v>
      </c>
      <c r="C378" s="13">
        <f t="shared" si="41"/>
        <v>2024</v>
      </c>
      <c r="D378" s="7" t="str">
        <f t="shared" si="42"/>
        <v>Feb</v>
      </c>
      <c r="E378" s="7" t="str">
        <f t="shared" si="43"/>
        <v>Wed</v>
      </c>
      <c r="F378" t="s">
        <v>81</v>
      </c>
      <c r="G378" t="s">
        <v>16</v>
      </c>
      <c r="H378" t="s">
        <v>17</v>
      </c>
      <c r="I378" s="2" t="str">
        <f t="shared" si="40"/>
        <v>East</v>
      </c>
      <c r="J378" t="s">
        <v>306</v>
      </c>
      <c r="K378" t="s">
        <v>36</v>
      </c>
      <c r="L378">
        <v>3</v>
      </c>
      <c r="M378">
        <v>120</v>
      </c>
      <c r="N378">
        <f t="shared" si="44"/>
        <v>360</v>
      </c>
      <c r="O378">
        <f t="shared" si="45"/>
        <v>36</v>
      </c>
      <c r="P378" t="str">
        <f t="shared" si="46"/>
        <v>Standard Order</v>
      </c>
      <c r="Q378" t="str">
        <f t="shared" si="47"/>
        <v>Weekday</v>
      </c>
    </row>
    <row r="379" spans="1:17" x14ac:dyDescent="0.35">
      <c r="A379" t="s">
        <v>519</v>
      </c>
      <c r="B379" s="7">
        <v>45616</v>
      </c>
      <c r="C379" s="13">
        <f t="shared" si="41"/>
        <v>2024</v>
      </c>
      <c r="D379" s="7" t="str">
        <f t="shared" si="42"/>
        <v>Nov</v>
      </c>
      <c r="E379" s="7" t="str">
        <f t="shared" si="43"/>
        <v>Wed</v>
      </c>
      <c r="F379" t="s">
        <v>361</v>
      </c>
      <c r="G379" t="s">
        <v>31</v>
      </c>
      <c r="H379" t="s">
        <v>22</v>
      </c>
      <c r="I379" s="2" t="str">
        <f t="shared" si="40"/>
        <v>North</v>
      </c>
      <c r="J379" t="s">
        <v>42</v>
      </c>
      <c r="K379" t="s">
        <v>23</v>
      </c>
      <c r="L379">
        <v>20</v>
      </c>
      <c r="M379">
        <v>120</v>
      </c>
      <c r="N379">
        <f t="shared" si="44"/>
        <v>2400</v>
      </c>
      <c r="O379">
        <f t="shared" si="45"/>
        <v>240</v>
      </c>
      <c r="P379" t="str">
        <f t="shared" si="46"/>
        <v>Large Order</v>
      </c>
      <c r="Q379" t="str">
        <f t="shared" si="47"/>
        <v>Weekday</v>
      </c>
    </row>
    <row r="380" spans="1:17" x14ac:dyDescent="0.35">
      <c r="A380" t="s">
        <v>520</v>
      </c>
      <c r="B380" s="7">
        <v>45550</v>
      </c>
      <c r="C380" s="13">
        <f t="shared" si="41"/>
        <v>2024</v>
      </c>
      <c r="D380" s="7" t="str">
        <f t="shared" si="42"/>
        <v>Sep</v>
      </c>
      <c r="E380" s="7" t="str">
        <f t="shared" si="43"/>
        <v>Sun</v>
      </c>
      <c r="F380" t="s">
        <v>493</v>
      </c>
      <c r="G380" t="s">
        <v>62</v>
      </c>
      <c r="H380" t="s">
        <v>17</v>
      </c>
      <c r="I380" s="2" t="str">
        <f t="shared" si="40"/>
        <v>South</v>
      </c>
      <c r="J380" t="s">
        <v>12</v>
      </c>
      <c r="K380" t="s">
        <v>36</v>
      </c>
      <c r="L380">
        <v>4</v>
      </c>
      <c r="M380">
        <v>120</v>
      </c>
      <c r="N380">
        <f t="shared" si="44"/>
        <v>480</v>
      </c>
      <c r="O380">
        <f t="shared" si="45"/>
        <v>48</v>
      </c>
      <c r="P380" t="str">
        <f t="shared" si="46"/>
        <v>Standard Order</v>
      </c>
      <c r="Q380" t="str">
        <f t="shared" si="47"/>
        <v>Weekend</v>
      </c>
    </row>
    <row r="381" spans="1:17" x14ac:dyDescent="0.35">
      <c r="A381" t="s">
        <v>521</v>
      </c>
      <c r="B381" s="7">
        <v>45402</v>
      </c>
      <c r="C381" s="13">
        <f t="shared" si="41"/>
        <v>2024</v>
      </c>
      <c r="D381" s="7" t="str">
        <f t="shared" si="42"/>
        <v>Apr</v>
      </c>
      <c r="E381" s="7" t="str">
        <f t="shared" si="43"/>
        <v>Sat</v>
      </c>
      <c r="F381" t="s">
        <v>348</v>
      </c>
      <c r="G381" t="s">
        <v>87</v>
      </c>
      <c r="H381" t="s">
        <v>17</v>
      </c>
      <c r="I381" s="2" t="str">
        <f t="shared" si="40"/>
        <v>East</v>
      </c>
      <c r="J381" t="s">
        <v>56</v>
      </c>
      <c r="K381" t="s">
        <v>23</v>
      </c>
      <c r="L381">
        <v>11</v>
      </c>
      <c r="M381">
        <v>120</v>
      </c>
      <c r="N381">
        <f t="shared" si="44"/>
        <v>1320</v>
      </c>
      <c r="O381">
        <f t="shared" si="45"/>
        <v>132</v>
      </c>
      <c r="P381" t="str">
        <f t="shared" si="46"/>
        <v>Large Order</v>
      </c>
      <c r="Q381" t="str">
        <f t="shared" si="47"/>
        <v>Weekend</v>
      </c>
    </row>
    <row r="382" spans="1:17" x14ac:dyDescent="0.35">
      <c r="A382" t="s">
        <v>522</v>
      </c>
      <c r="B382" s="7">
        <v>45504</v>
      </c>
      <c r="C382" s="13">
        <f t="shared" si="41"/>
        <v>2024</v>
      </c>
      <c r="D382" s="7" t="str">
        <f t="shared" si="42"/>
        <v>Jul</v>
      </c>
      <c r="E382" s="7" t="str">
        <f t="shared" si="43"/>
        <v>Wed</v>
      </c>
      <c r="F382" t="s">
        <v>388</v>
      </c>
      <c r="G382" t="s">
        <v>87</v>
      </c>
      <c r="H382" t="s">
        <v>11</v>
      </c>
      <c r="I382" s="2" t="str">
        <f t="shared" si="40"/>
        <v>North</v>
      </c>
      <c r="J382" t="s">
        <v>42</v>
      </c>
      <c r="K382" t="s">
        <v>32</v>
      </c>
      <c r="L382">
        <v>11</v>
      </c>
      <c r="M382">
        <v>120</v>
      </c>
      <c r="N382">
        <f t="shared" si="44"/>
        <v>1320</v>
      </c>
      <c r="O382">
        <f t="shared" si="45"/>
        <v>132</v>
      </c>
      <c r="P382" t="str">
        <f t="shared" si="46"/>
        <v>Large Order</v>
      </c>
      <c r="Q382" t="str">
        <f t="shared" si="47"/>
        <v>Weekday</v>
      </c>
    </row>
    <row r="383" spans="1:17" x14ac:dyDescent="0.35">
      <c r="A383" t="s">
        <v>523</v>
      </c>
      <c r="B383" s="7">
        <v>45370</v>
      </c>
      <c r="C383" s="13">
        <f t="shared" si="41"/>
        <v>2024</v>
      </c>
      <c r="D383" s="7" t="str">
        <f t="shared" si="42"/>
        <v>Mar</v>
      </c>
      <c r="E383" s="7" t="str">
        <f t="shared" si="43"/>
        <v>Tue</v>
      </c>
      <c r="F383" t="s">
        <v>455</v>
      </c>
      <c r="G383" t="s">
        <v>10</v>
      </c>
      <c r="H383" t="s">
        <v>17</v>
      </c>
      <c r="I383" s="2" t="str">
        <f t="shared" si="40"/>
        <v>North</v>
      </c>
      <c r="J383" t="s">
        <v>12</v>
      </c>
      <c r="K383" t="s">
        <v>13</v>
      </c>
      <c r="L383">
        <v>3</v>
      </c>
      <c r="M383">
        <v>120</v>
      </c>
      <c r="N383">
        <f t="shared" si="44"/>
        <v>360</v>
      </c>
      <c r="O383">
        <f t="shared" si="45"/>
        <v>36</v>
      </c>
      <c r="P383" t="str">
        <f t="shared" si="46"/>
        <v>Standard Order</v>
      </c>
      <c r="Q383" t="str">
        <f t="shared" si="47"/>
        <v>Weekday</v>
      </c>
    </row>
    <row r="384" spans="1:17" x14ac:dyDescent="0.35">
      <c r="A384" t="s">
        <v>524</v>
      </c>
      <c r="B384" s="7">
        <v>45482</v>
      </c>
      <c r="C384" s="13">
        <f t="shared" si="41"/>
        <v>2024</v>
      </c>
      <c r="D384" s="7" t="str">
        <f t="shared" si="42"/>
        <v>Jul</v>
      </c>
      <c r="E384" s="7" t="str">
        <f t="shared" si="43"/>
        <v>Tue</v>
      </c>
      <c r="F384" t="s">
        <v>34</v>
      </c>
      <c r="G384" t="s">
        <v>59</v>
      </c>
      <c r="H384" t="s">
        <v>22</v>
      </c>
      <c r="I384" s="2" t="str">
        <f t="shared" si="40"/>
        <v>West</v>
      </c>
      <c r="J384" t="s">
        <v>12</v>
      </c>
      <c r="K384" t="s">
        <v>13</v>
      </c>
      <c r="L384">
        <v>18</v>
      </c>
      <c r="M384">
        <v>120</v>
      </c>
      <c r="N384">
        <f t="shared" si="44"/>
        <v>2160</v>
      </c>
      <c r="O384">
        <f t="shared" si="45"/>
        <v>216</v>
      </c>
      <c r="P384" t="str">
        <f t="shared" si="46"/>
        <v>Large Order</v>
      </c>
      <c r="Q384" t="str">
        <f t="shared" si="47"/>
        <v>Weekday</v>
      </c>
    </row>
    <row r="385" spans="1:17" x14ac:dyDescent="0.35">
      <c r="A385" t="s">
        <v>525</v>
      </c>
      <c r="B385" s="7">
        <v>45502</v>
      </c>
      <c r="C385" s="13">
        <f t="shared" si="41"/>
        <v>2024</v>
      </c>
      <c r="D385" s="7" t="str">
        <f t="shared" si="42"/>
        <v>Jul</v>
      </c>
      <c r="E385" s="7" t="str">
        <f t="shared" si="43"/>
        <v>Mon</v>
      </c>
      <c r="F385" t="s">
        <v>182</v>
      </c>
      <c r="G385" t="s">
        <v>84</v>
      </c>
      <c r="H385" t="s">
        <v>22</v>
      </c>
      <c r="I385" s="2" t="str">
        <f t="shared" si="40"/>
        <v>Central</v>
      </c>
      <c r="J385" t="s">
        <v>27</v>
      </c>
      <c r="K385" t="s">
        <v>36</v>
      </c>
      <c r="L385">
        <v>2</v>
      </c>
      <c r="M385">
        <v>120</v>
      </c>
      <c r="N385">
        <f t="shared" si="44"/>
        <v>240</v>
      </c>
      <c r="O385">
        <f t="shared" si="45"/>
        <v>24</v>
      </c>
      <c r="P385" t="str">
        <f t="shared" si="46"/>
        <v>Standard Order</v>
      </c>
      <c r="Q385" t="str">
        <f t="shared" si="47"/>
        <v>Weekday</v>
      </c>
    </row>
    <row r="386" spans="1:17" x14ac:dyDescent="0.35">
      <c r="A386" t="s">
        <v>526</v>
      </c>
      <c r="B386" s="7">
        <v>45451</v>
      </c>
      <c r="C386" s="13">
        <f t="shared" si="41"/>
        <v>2024</v>
      </c>
      <c r="D386" s="7" t="str">
        <f t="shared" si="42"/>
        <v>Jun</v>
      </c>
      <c r="E386" s="7" t="str">
        <f t="shared" si="43"/>
        <v>Sat</v>
      </c>
      <c r="F386" t="s">
        <v>182</v>
      </c>
      <c r="G386" t="s">
        <v>160</v>
      </c>
      <c r="H386" t="s">
        <v>11</v>
      </c>
      <c r="I386" s="2" t="str">
        <f t="shared" si="40"/>
        <v>Central</v>
      </c>
      <c r="J386" t="s">
        <v>306</v>
      </c>
      <c r="K386" t="s">
        <v>23</v>
      </c>
      <c r="L386">
        <v>7</v>
      </c>
      <c r="M386">
        <v>120</v>
      </c>
      <c r="N386">
        <f t="shared" si="44"/>
        <v>840</v>
      </c>
      <c r="O386">
        <f t="shared" si="45"/>
        <v>84</v>
      </c>
      <c r="P386" t="str">
        <f t="shared" si="46"/>
        <v>Large Order</v>
      </c>
      <c r="Q386" t="str">
        <f t="shared" si="47"/>
        <v>Weekend</v>
      </c>
    </row>
    <row r="387" spans="1:17" x14ac:dyDescent="0.35">
      <c r="A387" t="s">
        <v>527</v>
      </c>
      <c r="B387" s="7">
        <v>45406</v>
      </c>
      <c r="C387" s="13">
        <f t="shared" si="41"/>
        <v>2024</v>
      </c>
      <c r="D387" s="7" t="str">
        <f t="shared" si="42"/>
        <v>Apr</v>
      </c>
      <c r="E387" s="7" t="str">
        <f t="shared" si="43"/>
        <v>Wed</v>
      </c>
      <c r="F387" t="s">
        <v>15</v>
      </c>
      <c r="G387" t="s">
        <v>48</v>
      </c>
      <c r="H387" t="s">
        <v>17</v>
      </c>
      <c r="I387" s="2" t="str">
        <f t="shared" ref="I387:I450" si="48">TRIM(J388)</f>
        <v>Central</v>
      </c>
      <c r="J387" t="s">
        <v>306</v>
      </c>
      <c r="K387" t="s">
        <v>36</v>
      </c>
      <c r="L387">
        <v>4</v>
      </c>
      <c r="M387">
        <v>120</v>
      </c>
      <c r="N387">
        <f t="shared" si="44"/>
        <v>480</v>
      </c>
      <c r="O387">
        <f t="shared" si="45"/>
        <v>48</v>
      </c>
      <c r="P387" t="str">
        <f t="shared" si="46"/>
        <v>Standard Order</v>
      </c>
      <c r="Q387" t="str">
        <f t="shared" si="47"/>
        <v>Weekday</v>
      </c>
    </row>
    <row r="388" spans="1:17" x14ac:dyDescent="0.35">
      <c r="A388" t="s">
        <v>528</v>
      </c>
      <c r="B388" s="7">
        <v>45407</v>
      </c>
      <c r="C388" s="13">
        <f t="shared" ref="C388:C451" si="49">YEAR(B388)</f>
        <v>2024</v>
      </c>
      <c r="D388" s="7" t="str">
        <f t="shared" ref="D388:D451" si="50">TEXT(B388,"mmm")</f>
        <v>Apr</v>
      </c>
      <c r="E388" s="7" t="str">
        <f t="shared" ref="E388:E451" si="51">TEXT(B388,"ddd")</f>
        <v>Thu</v>
      </c>
      <c r="F388" t="s">
        <v>309</v>
      </c>
      <c r="G388" t="s">
        <v>109</v>
      </c>
      <c r="H388" t="s">
        <v>22</v>
      </c>
      <c r="I388" s="2" t="str">
        <f t="shared" si="48"/>
        <v>East</v>
      </c>
      <c r="J388" t="s">
        <v>306</v>
      </c>
      <c r="K388" t="s">
        <v>32</v>
      </c>
      <c r="L388">
        <v>18</v>
      </c>
      <c r="M388">
        <v>120</v>
      </c>
      <c r="N388">
        <f t="shared" ref="N388:N451" si="52">M388*L388</f>
        <v>2160</v>
      </c>
      <c r="O388">
        <f t="shared" ref="O388:O451" si="53">N388*0.1</f>
        <v>216</v>
      </c>
      <c r="P388" t="str">
        <f t="shared" ref="P388:P451" si="54">IF(N388&gt;500,"Large Order","Standard Order")</f>
        <v>Large Order</v>
      </c>
      <c r="Q388" t="str">
        <f t="shared" ref="Q388:Q451" si="55">IF(OR(TRIM(E388)="Sat",TRIM(E388)="Sun"),"Weekend","Weekday")</f>
        <v>Weekday</v>
      </c>
    </row>
    <row r="389" spans="1:17" x14ac:dyDescent="0.35">
      <c r="A389" t="s">
        <v>529</v>
      </c>
      <c r="B389" s="7">
        <v>45306</v>
      </c>
      <c r="C389" s="13">
        <f t="shared" si="49"/>
        <v>2024</v>
      </c>
      <c r="D389" s="7" t="str">
        <f t="shared" si="50"/>
        <v>Jan</v>
      </c>
      <c r="E389" s="7" t="str">
        <f t="shared" si="51"/>
        <v>Mon</v>
      </c>
      <c r="F389" t="s">
        <v>44</v>
      </c>
      <c r="G389" t="s">
        <v>72</v>
      </c>
      <c r="H389" t="s">
        <v>17</v>
      </c>
      <c r="I389" s="2" t="str">
        <f t="shared" si="48"/>
        <v>North</v>
      </c>
      <c r="J389" t="s">
        <v>42</v>
      </c>
      <c r="K389" t="s">
        <v>28</v>
      </c>
      <c r="L389">
        <v>12</v>
      </c>
      <c r="M389">
        <v>120</v>
      </c>
      <c r="N389">
        <f t="shared" si="52"/>
        <v>1440</v>
      </c>
      <c r="O389">
        <f t="shared" si="53"/>
        <v>144</v>
      </c>
      <c r="P389" t="str">
        <f t="shared" si="54"/>
        <v>Large Order</v>
      </c>
      <c r="Q389" t="str">
        <f t="shared" si="55"/>
        <v>Weekday</v>
      </c>
    </row>
    <row r="390" spans="1:17" x14ac:dyDescent="0.35">
      <c r="A390" t="s">
        <v>530</v>
      </c>
      <c r="B390" s="7">
        <v>45581</v>
      </c>
      <c r="C390" s="13">
        <f t="shared" si="49"/>
        <v>2024</v>
      </c>
      <c r="D390" s="7" t="str">
        <f t="shared" si="50"/>
        <v>Oct</v>
      </c>
      <c r="E390" s="7" t="str">
        <f t="shared" si="51"/>
        <v>Wed</v>
      </c>
      <c r="F390" t="s">
        <v>371</v>
      </c>
      <c r="G390" t="s">
        <v>16</v>
      </c>
      <c r="H390" t="s">
        <v>17</v>
      </c>
      <c r="I390" s="2" t="str">
        <f t="shared" si="48"/>
        <v>West</v>
      </c>
      <c r="J390" t="s">
        <v>12</v>
      </c>
      <c r="K390" t="s">
        <v>36</v>
      </c>
      <c r="L390">
        <v>1</v>
      </c>
      <c r="M390">
        <v>120</v>
      </c>
      <c r="N390">
        <f t="shared" si="52"/>
        <v>120</v>
      </c>
      <c r="O390">
        <f t="shared" si="53"/>
        <v>12</v>
      </c>
      <c r="P390" t="str">
        <f t="shared" si="54"/>
        <v>Standard Order</v>
      </c>
      <c r="Q390" t="str">
        <f t="shared" si="55"/>
        <v>Weekday</v>
      </c>
    </row>
    <row r="391" spans="1:17" x14ac:dyDescent="0.35">
      <c r="A391" t="s">
        <v>531</v>
      </c>
      <c r="B391" s="7">
        <v>45402</v>
      </c>
      <c r="C391" s="13">
        <f t="shared" si="49"/>
        <v>2024</v>
      </c>
      <c r="D391" s="7" t="str">
        <f t="shared" si="50"/>
        <v>Apr</v>
      </c>
      <c r="E391" s="7" t="str">
        <f t="shared" si="51"/>
        <v>Sat</v>
      </c>
      <c r="F391" t="s">
        <v>159</v>
      </c>
      <c r="G391" t="s">
        <v>72</v>
      </c>
      <c r="H391" t="s">
        <v>17</v>
      </c>
      <c r="I391" s="2" t="str">
        <f t="shared" si="48"/>
        <v>North</v>
      </c>
      <c r="J391" t="s">
        <v>27</v>
      </c>
      <c r="K391" t="s">
        <v>32</v>
      </c>
      <c r="L391">
        <v>6</v>
      </c>
      <c r="M391">
        <v>120</v>
      </c>
      <c r="N391">
        <f t="shared" si="52"/>
        <v>720</v>
      </c>
      <c r="O391">
        <f t="shared" si="53"/>
        <v>72</v>
      </c>
      <c r="P391" t="str">
        <f t="shared" si="54"/>
        <v>Large Order</v>
      </c>
      <c r="Q391" t="str">
        <f t="shared" si="55"/>
        <v>Weekend</v>
      </c>
    </row>
    <row r="392" spans="1:17" x14ac:dyDescent="0.35">
      <c r="A392" t="s">
        <v>532</v>
      </c>
      <c r="B392" s="7">
        <v>45582</v>
      </c>
      <c r="C392" s="13">
        <f t="shared" si="49"/>
        <v>2024</v>
      </c>
      <c r="D392" s="7" t="str">
        <f t="shared" si="50"/>
        <v>Oct</v>
      </c>
      <c r="E392" s="7" t="str">
        <f t="shared" si="51"/>
        <v>Thu</v>
      </c>
      <c r="F392" t="s">
        <v>327</v>
      </c>
      <c r="G392" t="s">
        <v>16</v>
      </c>
      <c r="H392" t="s">
        <v>11</v>
      </c>
      <c r="I392" s="2" t="str">
        <f t="shared" si="48"/>
        <v>West</v>
      </c>
      <c r="J392" t="s">
        <v>12</v>
      </c>
      <c r="K392" t="s">
        <v>13</v>
      </c>
      <c r="L392">
        <v>6</v>
      </c>
      <c r="M392">
        <v>120</v>
      </c>
      <c r="N392">
        <f t="shared" si="52"/>
        <v>720</v>
      </c>
      <c r="O392">
        <f t="shared" si="53"/>
        <v>72</v>
      </c>
      <c r="P392" t="str">
        <f t="shared" si="54"/>
        <v>Large Order</v>
      </c>
      <c r="Q392" t="str">
        <f t="shared" si="55"/>
        <v>Weekday</v>
      </c>
    </row>
    <row r="393" spans="1:17" x14ac:dyDescent="0.35">
      <c r="A393" t="s">
        <v>533</v>
      </c>
      <c r="B393" s="7">
        <v>45637</v>
      </c>
      <c r="C393" s="13">
        <f t="shared" si="49"/>
        <v>2024</v>
      </c>
      <c r="D393" s="7" t="str">
        <f t="shared" si="50"/>
        <v>Dec</v>
      </c>
      <c r="E393" s="7" t="str">
        <f t="shared" si="51"/>
        <v>Wed</v>
      </c>
      <c r="F393" t="s">
        <v>81</v>
      </c>
      <c r="G393" t="s">
        <v>41</v>
      </c>
      <c r="H393" t="s">
        <v>17</v>
      </c>
      <c r="I393" s="2" t="str">
        <f t="shared" si="48"/>
        <v>Central</v>
      </c>
      <c r="J393" t="s">
        <v>27</v>
      </c>
      <c r="K393" t="s">
        <v>23</v>
      </c>
      <c r="L393">
        <v>14</v>
      </c>
      <c r="M393">
        <v>120</v>
      </c>
      <c r="N393">
        <f t="shared" si="52"/>
        <v>1680</v>
      </c>
      <c r="O393">
        <f t="shared" si="53"/>
        <v>168</v>
      </c>
      <c r="P393" t="str">
        <f t="shared" si="54"/>
        <v>Large Order</v>
      </c>
      <c r="Q393" t="str">
        <f t="shared" si="55"/>
        <v>Weekday</v>
      </c>
    </row>
    <row r="394" spans="1:17" x14ac:dyDescent="0.35">
      <c r="A394" t="s">
        <v>534</v>
      </c>
      <c r="B394" s="7">
        <v>45504</v>
      </c>
      <c r="C394" s="13">
        <f t="shared" si="49"/>
        <v>2024</v>
      </c>
      <c r="D394" s="7" t="str">
        <f t="shared" si="50"/>
        <v>Jul</v>
      </c>
      <c r="E394" s="7" t="str">
        <f t="shared" si="51"/>
        <v>Wed</v>
      </c>
      <c r="F394" t="s">
        <v>101</v>
      </c>
      <c r="G394" t="s">
        <v>102</v>
      </c>
      <c r="H394" t="s">
        <v>11</v>
      </c>
      <c r="I394" s="2" t="str">
        <f t="shared" si="48"/>
        <v>West</v>
      </c>
      <c r="J394" t="s">
        <v>306</v>
      </c>
      <c r="K394" t="s">
        <v>32</v>
      </c>
      <c r="L394">
        <v>12</v>
      </c>
      <c r="M394">
        <v>120</v>
      </c>
      <c r="N394">
        <f t="shared" si="52"/>
        <v>1440</v>
      </c>
      <c r="O394">
        <f t="shared" si="53"/>
        <v>144</v>
      </c>
      <c r="P394" t="str">
        <f t="shared" si="54"/>
        <v>Large Order</v>
      </c>
      <c r="Q394" t="str">
        <f t="shared" si="55"/>
        <v>Weekday</v>
      </c>
    </row>
    <row r="395" spans="1:17" x14ac:dyDescent="0.35">
      <c r="A395" t="s">
        <v>535</v>
      </c>
      <c r="B395" s="7">
        <v>45639</v>
      </c>
      <c r="C395" s="13">
        <f t="shared" si="49"/>
        <v>2024</v>
      </c>
      <c r="D395" s="7" t="str">
        <f t="shared" si="50"/>
        <v>Dec</v>
      </c>
      <c r="E395" s="7" t="str">
        <f t="shared" si="51"/>
        <v>Fri</v>
      </c>
      <c r="F395" t="s">
        <v>422</v>
      </c>
      <c r="G395" t="s">
        <v>160</v>
      </c>
      <c r="H395" t="s">
        <v>22</v>
      </c>
      <c r="I395" s="2" t="str">
        <f t="shared" si="48"/>
        <v>South</v>
      </c>
      <c r="J395" t="s">
        <v>27</v>
      </c>
      <c r="K395" t="s">
        <v>23</v>
      </c>
      <c r="L395">
        <v>10</v>
      </c>
      <c r="M395">
        <v>120</v>
      </c>
      <c r="N395">
        <f t="shared" si="52"/>
        <v>1200</v>
      </c>
      <c r="O395">
        <f t="shared" si="53"/>
        <v>120</v>
      </c>
      <c r="P395" t="str">
        <f t="shared" si="54"/>
        <v>Large Order</v>
      </c>
      <c r="Q395" t="str">
        <f t="shared" si="55"/>
        <v>Weekday</v>
      </c>
    </row>
    <row r="396" spans="1:17" x14ac:dyDescent="0.35">
      <c r="A396" t="s">
        <v>536</v>
      </c>
      <c r="B396" s="7">
        <v>45598</v>
      </c>
      <c r="C396" s="13">
        <f t="shared" si="49"/>
        <v>2024</v>
      </c>
      <c r="D396" s="7" t="str">
        <f t="shared" si="50"/>
        <v>Nov</v>
      </c>
      <c r="E396" s="7" t="str">
        <f t="shared" si="51"/>
        <v>Sat</v>
      </c>
      <c r="F396" t="s">
        <v>131</v>
      </c>
      <c r="G396" t="s">
        <v>74</v>
      </c>
      <c r="H396" t="s">
        <v>11</v>
      </c>
      <c r="I396" s="2" t="str">
        <f t="shared" si="48"/>
        <v>North</v>
      </c>
      <c r="J396" t="s">
        <v>56</v>
      </c>
      <c r="K396" t="s">
        <v>32</v>
      </c>
      <c r="L396">
        <v>7</v>
      </c>
      <c r="M396">
        <v>120</v>
      </c>
      <c r="N396">
        <f t="shared" si="52"/>
        <v>840</v>
      </c>
      <c r="O396">
        <f t="shared" si="53"/>
        <v>84</v>
      </c>
      <c r="P396" t="str">
        <f t="shared" si="54"/>
        <v>Large Order</v>
      </c>
      <c r="Q396" t="str">
        <f t="shared" si="55"/>
        <v>Weekend</v>
      </c>
    </row>
    <row r="397" spans="1:17" x14ac:dyDescent="0.35">
      <c r="A397" t="s">
        <v>537</v>
      </c>
      <c r="B397" s="7">
        <v>45440</v>
      </c>
      <c r="C397" s="13">
        <f t="shared" si="49"/>
        <v>2024</v>
      </c>
      <c r="D397" s="7" t="str">
        <f t="shared" si="50"/>
        <v>May</v>
      </c>
      <c r="E397" s="7" t="str">
        <f t="shared" si="51"/>
        <v>Tue</v>
      </c>
      <c r="F397" t="s">
        <v>187</v>
      </c>
      <c r="G397" t="s">
        <v>35</v>
      </c>
      <c r="H397" t="s">
        <v>11</v>
      </c>
      <c r="I397" s="2" t="str">
        <f t="shared" si="48"/>
        <v>Central</v>
      </c>
      <c r="J397" t="s">
        <v>12</v>
      </c>
      <c r="K397" t="s">
        <v>23</v>
      </c>
      <c r="L397">
        <v>14</v>
      </c>
      <c r="M397">
        <v>120</v>
      </c>
      <c r="N397">
        <f t="shared" si="52"/>
        <v>1680</v>
      </c>
      <c r="O397">
        <f t="shared" si="53"/>
        <v>168</v>
      </c>
      <c r="P397" t="str">
        <f t="shared" si="54"/>
        <v>Large Order</v>
      </c>
      <c r="Q397" t="str">
        <f t="shared" si="55"/>
        <v>Weekday</v>
      </c>
    </row>
    <row r="398" spans="1:17" x14ac:dyDescent="0.35">
      <c r="A398" t="s">
        <v>538</v>
      </c>
      <c r="B398" s="7">
        <v>45564</v>
      </c>
      <c r="C398" s="13">
        <f t="shared" si="49"/>
        <v>2024</v>
      </c>
      <c r="D398" s="7" t="str">
        <f t="shared" si="50"/>
        <v>Sep</v>
      </c>
      <c r="E398" s="7" t="str">
        <f t="shared" si="51"/>
        <v>Sun</v>
      </c>
      <c r="F398" t="s">
        <v>369</v>
      </c>
      <c r="G398" t="s">
        <v>174</v>
      </c>
      <c r="H398" t="s">
        <v>11</v>
      </c>
      <c r="I398" s="2" t="str">
        <f t="shared" si="48"/>
        <v>North</v>
      </c>
      <c r="J398" t="s">
        <v>306</v>
      </c>
      <c r="K398" t="s">
        <v>13</v>
      </c>
      <c r="L398">
        <v>12</v>
      </c>
      <c r="M398">
        <v>120</v>
      </c>
      <c r="N398">
        <f t="shared" si="52"/>
        <v>1440</v>
      </c>
      <c r="O398">
        <f t="shared" si="53"/>
        <v>144</v>
      </c>
      <c r="P398" t="str">
        <f t="shared" si="54"/>
        <v>Large Order</v>
      </c>
      <c r="Q398" t="str">
        <f t="shared" si="55"/>
        <v>Weekend</v>
      </c>
    </row>
    <row r="399" spans="1:17" x14ac:dyDescent="0.35">
      <c r="A399" t="s">
        <v>539</v>
      </c>
      <c r="B399" s="7">
        <v>45515</v>
      </c>
      <c r="C399" s="13">
        <f t="shared" si="49"/>
        <v>2024</v>
      </c>
      <c r="D399" s="7" t="str">
        <f t="shared" si="50"/>
        <v>Aug</v>
      </c>
      <c r="E399" s="7" t="str">
        <f t="shared" si="51"/>
        <v>Sun</v>
      </c>
      <c r="F399" t="s">
        <v>138</v>
      </c>
      <c r="G399" t="s">
        <v>72</v>
      </c>
      <c r="H399" t="s">
        <v>17</v>
      </c>
      <c r="I399" s="2" t="str">
        <f t="shared" si="48"/>
        <v>East</v>
      </c>
      <c r="J399" t="s">
        <v>12</v>
      </c>
      <c r="K399" t="s">
        <v>23</v>
      </c>
      <c r="L399">
        <v>19</v>
      </c>
      <c r="M399">
        <v>120</v>
      </c>
      <c r="N399">
        <f t="shared" si="52"/>
        <v>2280</v>
      </c>
      <c r="O399">
        <f t="shared" si="53"/>
        <v>228</v>
      </c>
      <c r="P399" t="str">
        <f t="shared" si="54"/>
        <v>Large Order</v>
      </c>
      <c r="Q399" t="str">
        <f t="shared" si="55"/>
        <v>Weekend</v>
      </c>
    </row>
    <row r="400" spans="1:17" x14ac:dyDescent="0.35">
      <c r="A400" t="s">
        <v>540</v>
      </c>
      <c r="B400" s="7">
        <v>45655</v>
      </c>
      <c r="C400" s="13">
        <f t="shared" si="49"/>
        <v>2024</v>
      </c>
      <c r="D400" s="7" t="str">
        <f t="shared" si="50"/>
        <v>Dec</v>
      </c>
      <c r="E400" s="7" t="str">
        <f t="shared" si="51"/>
        <v>Sun</v>
      </c>
      <c r="F400" t="s">
        <v>541</v>
      </c>
      <c r="G400" t="s">
        <v>102</v>
      </c>
      <c r="H400" t="s">
        <v>17</v>
      </c>
      <c r="I400" s="2" t="str">
        <f t="shared" si="48"/>
        <v>East</v>
      </c>
      <c r="J400" t="s">
        <v>42</v>
      </c>
      <c r="K400" t="s">
        <v>32</v>
      </c>
      <c r="L400">
        <v>13</v>
      </c>
      <c r="M400">
        <v>120</v>
      </c>
      <c r="N400">
        <f t="shared" si="52"/>
        <v>1560</v>
      </c>
      <c r="O400">
        <f t="shared" si="53"/>
        <v>156</v>
      </c>
      <c r="P400" t="str">
        <f t="shared" si="54"/>
        <v>Large Order</v>
      </c>
      <c r="Q400" t="str">
        <f t="shared" si="55"/>
        <v>Weekend</v>
      </c>
    </row>
    <row r="401" spans="1:17" x14ac:dyDescent="0.35">
      <c r="A401" t="s">
        <v>542</v>
      </c>
      <c r="B401" s="7">
        <v>45379</v>
      </c>
      <c r="C401" s="13">
        <f t="shared" si="49"/>
        <v>2024</v>
      </c>
      <c r="D401" s="7" t="str">
        <f t="shared" si="50"/>
        <v>Mar</v>
      </c>
      <c r="E401" s="7" t="str">
        <f t="shared" si="51"/>
        <v>Thu</v>
      </c>
      <c r="F401" t="s">
        <v>381</v>
      </c>
      <c r="G401" t="s">
        <v>10</v>
      </c>
      <c r="H401" t="s">
        <v>17</v>
      </c>
      <c r="I401" s="2" t="str">
        <f t="shared" si="48"/>
        <v>Central</v>
      </c>
      <c r="J401" t="s">
        <v>42</v>
      </c>
      <c r="K401" t="s">
        <v>28</v>
      </c>
      <c r="L401">
        <v>14</v>
      </c>
      <c r="M401">
        <v>120</v>
      </c>
      <c r="N401">
        <f t="shared" si="52"/>
        <v>1680</v>
      </c>
      <c r="O401">
        <f t="shared" si="53"/>
        <v>168</v>
      </c>
      <c r="P401" t="str">
        <f t="shared" si="54"/>
        <v>Large Order</v>
      </c>
      <c r="Q401" t="str">
        <f t="shared" si="55"/>
        <v>Weekday</v>
      </c>
    </row>
    <row r="402" spans="1:17" x14ac:dyDescent="0.35">
      <c r="A402" t="s">
        <v>543</v>
      </c>
      <c r="B402" s="7">
        <v>45515</v>
      </c>
      <c r="C402" s="13">
        <f t="shared" si="49"/>
        <v>2024</v>
      </c>
      <c r="D402" s="7" t="str">
        <f t="shared" si="50"/>
        <v>Aug</v>
      </c>
      <c r="E402" s="7" t="str">
        <f t="shared" si="51"/>
        <v>Sun</v>
      </c>
      <c r="F402" t="s">
        <v>449</v>
      </c>
      <c r="G402" t="s">
        <v>10</v>
      </c>
      <c r="H402" t="s">
        <v>17</v>
      </c>
      <c r="I402" s="2" t="str">
        <f t="shared" si="48"/>
        <v>North</v>
      </c>
      <c r="J402" t="s">
        <v>306</v>
      </c>
      <c r="K402" t="s">
        <v>32</v>
      </c>
      <c r="L402">
        <v>13</v>
      </c>
      <c r="M402">
        <v>120</v>
      </c>
      <c r="N402">
        <f t="shared" si="52"/>
        <v>1560</v>
      </c>
      <c r="O402">
        <f t="shared" si="53"/>
        <v>156</v>
      </c>
      <c r="P402" t="str">
        <f t="shared" si="54"/>
        <v>Large Order</v>
      </c>
      <c r="Q402" t="str">
        <f t="shared" si="55"/>
        <v>Weekend</v>
      </c>
    </row>
    <row r="403" spans="1:17" x14ac:dyDescent="0.35">
      <c r="A403" t="s">
        <v>544</v>
      </c>
      <c r="B403" s="7">
        <v>45405</v>
      </c>
      <c r="C403" s="13">
        <f t="shared" si="49"/>
        <v>2024</v>
      </c>
      <c r="D403" s="7" t="str">
        <f t="shared" si="50"/>
        <v>Apr</v>
      </c>
      <c r="E403" s="7" t="str">
        <f t="shared" si="51"/>
        <v>Tue</v>
      </c>
      <c r="F403" t="s">
        <v>118</v>
      </c>
      <c r="G403" t="s">
        <v>160</v>
      </c>
      <c r="H403" t="s">
        <v>11</v>
      </c>
      <c r="I403" s="2" t="str">
        <f t="shared" si="48"/>
        <v>South</v>
      </c>
      <c r="J403" t="s">
        <v>12</v>
      </c>
      <c r="K403" t="s">
        <v>28</v>
      </c>
      <c r="L403">
        <v>4</v>
      </c>
      <c r="M403">
        <v>120</v>
      </c>
      <c r="N403">
        <f t="shared" si="52"/>
        <v>480</v>
      </c>
      <c r="O403">
        <f t="shared" si="53"/>
        <v>48</v>
      </c>
      <c r="P403" t="str">
        <f t="shared" si="54"/>
        <v>Standard Order</v>
      </c>
      <c r="Q403" t="str">
        <f t="shared" si="55"/>
        <v>Weekday</v>
      </c>
    </row>
    <row r="404" spans="1:17" x14ac:dyDescent="0.35">
      <c r="A404" t="s">
        <v>545</v>
      </c>
      <c r="B404" s="7">
        <v>45470</v>
      </c>
      <c r="C404" s="13">
        <f t="shared" si="49"/>
        <v>2024</v>
      </c>
      <c r="D404" s="7" t="str">
        <f t="shared" si="50"/>
        <v>Jun</v>
      </c>
      <c r="E404" s="7" t="str">
        <f t="shared" si="51"/>
        <v>Thu</v>
      </c>
      <c r="F404" t="s">
        <v>20</v>
      </c>
      <c r="G404" t="s">
        <v>197</v>
      </c>
      <c r="H404" t="s">
        <v>22</v>
      </c>
      <c r="I404" s="2" t="str">
        <f t="shared" si="48"/>
        <v>North</v>
      </c>
      <c r="J404" t="s">
        <v>56</v>
      </c>
      <c r="K404" t="s">
        <v>28</v>
      </c>
      <c r="L404">
        <v>4</v>
      </c>
      <c r="M404">
        <v>120</v>
      </c>
      <c r="N404">
        <f t="shared" si="52"/>
        <v>480</v>
      </c>
      <c r="O404">
        <f t="shared" si="53"/>
        <v>48</v>
      </c>
      <c r="P404" t="str">
        <f t="shared" si="54"/>
        <v>Standard Order</v>
      </c>
      <c r="Q404" t="str">
        <f t="shared" si="55"/>
        <v>Weekday</v>
      </c>
    </row>
    <row r="405" spans="1:17" x14ac:dyDescent="0.35">
      <c r="A405" t="s">
        <v>546</v>
      </c>
      <c r="B405" s="7">
        <v>45380</v>
      </c>
      <c r="C405" s="13">
        <f t="shared" si="49"/>
        <v>2024</v>
      </c>
      <c r="D405" s="7" t="str">
        <f t="shared" si="50"/>
        <v>Mar</v>
      </c>
      <c r="E405" s="7" t="str">
        <f t="shared" si="51"/>
        <v>Fri</v>
      </c>
      <c r="F405" t="s">
        <v>493</v>
      </c>
      <c r="G405" t="s">
        <v>45</v>
      </c>
      <c r="H405" t="s">
        <v>11</v>
      </c>
      <c r="I405" s="2" t="str">
        <f t="shared" si="48"/>
        <v>Central</v>
      </c>
      <c r="J405" t="s">
        <v>12</v>
      </c>
      <c r="K405" t="s">
        <v>36</v>
      </c>
      <c r="L405">
        <v>16</v>
      </c>
      <c r="M405">
        <v>120</v>
      </c>
      <c r="N405">
        <f t="shared" si="52"/>
        <v>1920</v>
      </c>
      <c r="O405">
        <f t="shared" si="53"/>
        <v>192</v>
      </c>
      <c r="P405" t="str">
        <f t="shared" si="54"/>
        <v>Large Order</v>
      </c>
      <c r="Q405" t="str">
        <f t="shared" si="55"/>
        <v>Weekday</v>
      </c>
    </row>
    <row r="406" spans="1:17" x14ac:dyDescent="0.35">
      <c r="A406" t="s">
        <v>547</v>
      </c>
      <c r="B406" s="7">
        <v>45588</v>
      </c>
      <c r="C406" s="13">
        <f t="shared" si="49"/>
        <v>2024</v>
      </c>
      <c r="D406" s="7" t="str">
        <f t="shared" si="50"/>
        <v>Oct</v>
      </c>
      <c r="E406" s="7" t="str">
        <f t="shared" si="51"/>
        <v>Wed</v>
      </c>
      <c r="F406" t="s">
        <v>430</v>
      </c>
      <c r="G406" t="s">
        <v>21</v>
      </c>
      <c r="H406" t="s">
        <v>22</v>
      </c>
      <c r="I406" s="2" t="str">
        <f t="shared" si="48"/>
        <v>West</v>
      </c>
      <c r="J406" t="s">
        <v>306</v>
      </c>
      <c r="K406" t="s">
        <v>32</v>
      </c>
      <c r="L406">
        <v>20</v>
      </c>
      <c r="M406">
        <v>120</v>
      </c>
      <c r="N406">
        <f t="shared" si="52"/>
        <v>2400</v>
      </c>
      <c r="O406">
        <f t="shared" si="53"/>
        <v>240</v>
      </c>
      <c r="P406" t="str">
        <f t="shared" si="54"/>
        <v>Large Order</v>
      </c>
      <c r="Q406" t="str">
        <f t="shared" si="55"/>
        <v>Weekday</v>
      </c>
    </row>
    <row r="407" spans="1:17" x14ac:dyDescent="0.35">
      <c r="A407" t="s">
        <v>548</v>
      </c>
      <c r="B407" s="7">
        <v>45369</v>
      </c>
      <c r="C407" s="13">
        <f t="shared" si="49"/>
        <v>2024</v>
      </c>
      <c r="D407" s="7" t="str">
        <f t="shared" si="50"/>
        <v>Mar</v>
      </c>
      <c r="E407" s="7" t="str">
        <f t="shared" si="51"/>
        <v>Mon</v>
      </c>
      <c r="F407" t="s">
        <v>396</v>
      </c>
      <c r="G407" t="s">
        <v>70</v>
      </c>
      <c r="H407" t="s">
        <v>11</v>
      </c>
      <c r="I407" s="2" t="str">
        <f t="shared" si="48"/>
        <v>North</v>
      </c>
      <c r="J407" t="s">
        <v>27</v>
      </c>
      <c r="K407" t="s">
        <v>36</v>
      </c>
      <c r="L407">
        <v>10</v>
      </c>
      <c r="M407">
        <v>120</v>
      </c>
      <c r="N407">
        <f t="shared" si="52"/>
        <v>1200</v>
      </c>
      <c r="O407">
        <f t="shared" si="53"/>
        <v>120</v>
      </c>
      <c r="P407" t="str">
        <f t="shared" si="54"/>
        <v>Large Order</v>
      </c>
      <c r="Q407" t="str">
        <f t="shared" si="55"/>
        <v>Weekday</v>
      </c>
    </row>
    <row r="408" spans="1:17" x14ac:dyDescent="0.35">
      <c r="A408" t="s">
        <v>549</v>
      </c>
      <c r="B408" s="7">
        <v>45320</v>
      </c>
      <c r="C408" s="13">
        <f t="shared" si="49"/>
        <v>2024</v>
      </c>
      <c r="D408" s="7" t="str">
        <f t="shared" si="50"/>
        <v>Jan</v>
      </c>
      <c r="E408" s="7" t="str">
        <f t="shared" si="51"/>
        <v>Mon</v>
      </c>
      <c r="F408" t="s">
        <v>182</v>
      </c>
      <c r="G408" t="s">
        <v>74</v>
      </c>
      <c r="H408" t="s">
        <v>22</v>
      </c>
      <c r="I408" s="2" t="str">
        <f t="shared" si="48"/>
        <v>North</v>
      </c>
      <c r="J408" t="s">
        <v>12</v>
      </c>
      <c r="K408" t="s">
        <v>13</v>
      </c>
      <c r="L408">
        <v>15</v>
      </c>
      <c r="M408">
        <v>120</v>
      </c>
      <c r="N408">
        <f t="shared" si="52"/>
        <v>1800</v>
      </c>
      <c r="O408">
        <f t="shared" si="53"/>
        <v>180</v>
      </c>
      <c r="P408" t="str">
        <f t="shared" si="54"/>
        <v>Large Order</v>
      </c>
      <c r="Q408" t="str">
        <f t="shared" si="55"/>
        <v>Weekday</v>
      </c>
    </row>
    <row r="409" spans="1:17" x14ac:dyDescent="0.35">
      <c r="A409" t="s">
        <v>550</v>
      </c>
      <c r="B409" s="7">
        <v>45480</v>
      </c>
      <c r="C409" s="13">
        <f t="shared" si="49"/>
        <v>2024</v>
      </c>
      <c r="D409" s="7" t="str">
        <f t="shared" si="50"/>
        <v>Jul</v>
      </c>
      <c r="E409" s="7" t="str">
        <f t="shared" si="51"/>
        <v>Sun</v>
      </c>
      <c r="F409" t="s">
        <v>55</v>
      </c>
      <c r="G409" t="s">
        <v>109</v>
      </c>
      <c r="H409" t="s">
        <v>11</v>
      </c>
      <c r="I409" s="2" t="str">
        <f t="shared" si="48"/>
        <v>North</v>
      </c>
      <c r="J409" t="s">
        <v>12</v>
      </c>
      <c r="K409" t="s">
        <v>23</v>
      </c>
      <c r="L409">
        <v>20</v>
      </c>
      <c r="M409">
        <v>120</v>
      </c>
      <c r="N409">
        <f t="shared" si="52"/>
        <v>2400</v>
      </c>
      <c r="O409">
        <f t="shared" si="53"/>
        <v>240</v>
      </c>
      <c r="P409" t="str">
        <f t="shared" si="54"/>
        <v>Large Order</v>
      </c>
      <c r="Q409" t="str">
        <f t="shared" si="55"/>
        <v>Weekend</v>
      </c>
    </row>
    <row r="410" spans="1:17" x14ac:dyDescent="0.35">
      <c r="A410" t="s">
        <v>551</v>
      </c>
      <c r="B410" s="7">
        <v>45589</v>
      </c>
      <c r="C410" s="13">
        <f t="shared" si="49"/>
        <v>2024</v>
      </c>
      <c r="D410" s="7" t="str">
        <f t="shared" si="50"/>
        <v>Oct</v>
      </c>
      <c r="E410" s="7" t="str">
        <f t="shared" si="51"/>
        <v>Thu</v>
      </c>
      <c r="F410" t="s">
        <v>378</v>
      </c>
      <c r="G410" t="s">
        <v>70</v>
      </c>
      <c r="H410" t="s">
        <v>22</v>
      </c>
      <c r="I410" s="2" t="str">
        <f t="shared" si="48"/>
        <v>South</v>
      </c>
      <c r="J410" t="s">
        <v>12</v>
      </c>
      <c r="K410" t="s">
        <v>32</v>
      </c>
      <c r="L410">
        <v>19</v>
      </c>
      <c r="M410">
        <v>120</v>
      </c>
      <c r="N410">
        <f t="shared" si="52"/>
        <v>2280</v>
      </c>
      <c r="O410">
        <f t="shared" si="53"/>
        <v>228</v>
      </c>
      <c r="P410" t="str">
        <f t="shared" si="54"/>
        <v>Large Order</v>
      </c>
      <c r="Q410" t="str">
        <f t="shared" si="55"/>
        <v>Weekday</v>
      </c>
    </row>
    <row r="411" spans="1:17" x14ac:dyDescent="0.35">
      <c r="A411" t="s">
        <v>552</v>
      </c>
      <c r="B411" s="7">
        <v>45601</v>
      </c>
      <c r="C411" s="13">
        <f t="shared" si="49"/>
        <v>2024</v>
      </c>
      <c r="D411" s="7" t="str">
        <f t="shared" si="50"/>
        <v>Nov</v>
      </c>
      <c r="E411" s="7" t="str">
        <f t="shared" si="51"/>
        <v>Tue</v>
      </c>
      <c r="F411" t="s">
        <v>553</v>
      </c>
      <c r="G411" t="s">
        <v>79</v>
      </c>
      <c r="H411" t="s">
        <v>22</v>
      </c>
      <c r="I411" s="2" t="str">
        <f t="shared" si="48"/>
        <v>South</v>
      </c>
      <c r="J411" t="s">
        <v>56</v>
      </c>
      <c r="K411" t="s">
        <v>32</v>
      </c>
      <c r="L411">
        <v>15</v>
      </c>
      <c r="M411">
        <v>120</v>
      </c>
      <c r="N411">
        <f t="shared" si="52"/>
        <v>1800</v>
      </c>
      <c r="O411">
        <f t="shared" si="53"/>
        <v>180</v>
      </c>
      <c r="P411" t="str">
        <f t="shared" si="54"/>
        <v>Large Order</v>
      </c>
      <c r="Q411" t="str">
        <f t="shared" si="55"/>
        <v>Weekday</v>
      </c>
    </row>
    <row r="412" spans="1:17" x14ac:dyDescent="0.35">
      <c r="A412" t="s">
        <v>554</v>
      </c>
      <c r="B412" s="7">
        <v>45335</v>
      </c>
      <c r="C412" s="13">
        <f t="shared" si="49"/>
        <v>2024</v>
      </c>
      <c r="D412" s="7" t="str">
        <f t="shared" si="50"/>
        <v>Feb</v>
      </c>
      <c r="E412" s="7" t="str">
        <f t="shared" si="51"/>
        <v>Tue</v>
      </c>
      <c r="F412" t="s">
        <v>358</v>
      </c>
      <c r="G412" t="s">
        <v>79</v>
      </c>
      <c r="H412" t="s">
        <v>22</v>
      </c>
      <c r="I412" s="2" t="str">
        <f t="shared" si="48"/>
        <v>South</v>
      </c>
      <c r="J412" t="s">
        <v>56</v>
      </c>
      <c r="K412" t="s">
        <v>23</v>
      </c>
      <c r="L412">
        <v>8</v>
      </c>
      <c r="M412">
        <v>120</v>
      </c>
      <c r="N412">
        <f t="shared" si="52"/>
        <v>960</v>
      </c>
      <c r="O412">
        <f t="shared" si="53"/>
        <v>96</v>
      </c>
      <c r="P412" t="str">
        <f t="shared" si="54"/>
        <v>Large Order</v>
      </c>
      <c r="Q412" t="str">
        <f t="shared" si="55"/>
        <v>Weekday</v>
      </c>
    </row>
    <row r="413" spans="1:17" x14ac:dyDescent="0.35">
      <c r="A413" t="s">
        <v>555</v>
      </c>
      <c r="B413" s="7">
        <v>45560</v>
      </c>
      <c r="C413" s="13">
        <f t="shared" si="49"/>
        <v>2024</v>
      </c>
      <c r="D413" s="7" t="str">
        <f t="shared" si="50"/>
        <v>Sep</v>
      </c>
      <c r="E413" s="7" t="str">
        <f t="shared" si="51"/>
        <v>Wed</v>
      </c>
      <c r="F413" t="s">
        <v>363</v>
      </c>
      <c r="G413" t="s">
        <v>48</v>
      </c>
      <c r="H413" t="s">
        <v>22</v>
      </c>
      <c r="I413" s="2" t="str">
        <f t="shared" si="48"/>
        <v>Central</v>
      </c>
      <c r="J413" t="s">
        <v>56</v>
      </c>
      <c r="K413" t="s">
        <v>23</v>
      </c>
      <c r="L413">
        <v>12</v>
      </c>
      <c r="M413">
        <v>120</v>
      </c>
      <c r="N413">
        <f t="shared" si="52"/>
        <v>1440</v>
      </c>
      <c r="O413">
        <f t="shared" si="53"/>
        <v>144</v>
      </c>
      <c r="P413" t="str">
        <f t="shared" si="54"/>
        <v>Large Order</v>
      </c>
      <c r="Q413" t="str">
        <f t="shared" si="55"/>
        <v>Weekday</v>
      </c>
    </row>
    <row r="414" spans="1:17" x14ac:dyDescent="0.35">
      <c r="A414" t="s">
        <v>556</v>
      </c>
      <c r="B414" s="7">
        <v>45501</v>
      </c>
      <c r="C414" s="13">
        <f t="shared" si="49"/>
        <v>2024</v>
      </c>
      <c r="D414" s="7" t="str">
        <f t="shared" si="50"/>
        <v>Jul</v>
      </c>
      <c r="E414" s="7" t="str">
        <f t="shared" si="51"/>
        <v>Sun</v>
      </c>
      <c r="F414" t="s">
        <v>420</v>
      </c>
      <c r="G414" t="s">
        <v>79</v>
      </c>
      <c r="H414" t="s">
        <v>17</v>
      </c>
      <c r="I414" s="2" t="str">
        <f t="shared" si="48"/>
        <v>East</v>
      </c>
      <c r="J414" t="s">
        <v>306</v>
      </c>
      <c r="K414" t="s">
        <v>13</v>
      </c>
      <c r="L414">
        <v>11</v>
      </c>
      <c r="M414">
        <v>120</v>
      </c>
      <c r="N414">
        <f t="shared" si="52"/>
        <v>1320</v>
      </c>
      <c r="O414">
        <f t="shared" si="53"/>
        <v>132</v>
      </c>
      <c r="P414" t="str">
        <f t="shared" si="54"/>
        <v>Large Order</v>
      </c>
      <c r="Q414" t="str">
        <f t="shared" si="55"/>
        <v>Weekend</v>
      </c>
    </row>
    <row r="415" spans="1:17" x14ac:dyDescent="0.35">
      <c r="A415" t="s">
        <v>557</v>
      </c>
      <c r="B415" s="7">
        <v>45577</v>
      </c>
      <c r="C415" s="13">
        <f t="shared" si="49"/>
        <v>2024</v>
      </c>
      <c r="D415" s="7" t="str">
        <f t="shared" si="50"/>
        <v>Oct</v>
      </c>
      <c r="E415" s="7" t="str">
        <f t="shared" si="51"/>
        <v>Sat</v>
      </c>
      <c r="F415" t="s">
        <v>422</v>
      </c>
      <c r="G415" t="s">
        <v>26</v>
      </c>
      <c r="H415" t="s">
        <v>17</v>
      </c>
      <c r="I415" s="2" t="str">
        <f t="shared" si="48"/>
        <v>South</v>
      </c>
      <c r="J415" t="s">
        <v>42</v>
      </c>
      <c r="K415" t="s">
        <v>32</v>
      </c>
      <c r="L415">
        <v>20</v>
      </c>
      <c r="M415">
        <v>120</v>
      </c>
      <c r="N415">
        <f t="shared" si="52"/>
        <v>2400</v>
      </c>
      <c r="O415">
        <f t="shared" si="53"/>
        <v>240</v>
      </c>
      <c r="P415" t="str">
        <f t="shared" si="54"/>
        <v>Large Order</v>
      </c>
      <c r="Q415" t="str">
        <f t="shared" si="55"/>
        <v>Weekend</v>
      </c>
    </row>
    <row r="416" spans="1:17" x14ac:dyDescent="0.35">
      <c r="A416" t="s">
        <v>558</v>
      </c>
      <c r="B416" s="7">
        <v>45333</v>
      </c>
      <c r="C416" s="13">
        <f t="shared" si="49"/>
        <v>2024</v>
      </c>
      <c r="D416" s="7" t="str">
        <f t="shared" si="50"/>
        <v>Feb</v>
      </c>
      <c r="E416" s="7" t="str">
        <f t="shared" si="51"/>
        <v>Sun</v>
      </c>
      <c r="F416" t="s">
        <v>361</v>
      </c>
      <c r="G416" t="s">
        <v>48</v>
      </c>
      <c r="H416" t="s">
        <v>22</v>
      </c>
      <c r="I416" s="2" t="str">
        <f t="shared" si="48"/>
        <v>North</v>
      </c>
      <c r="J416" t="s">
        <v>56</v>
      </c>
      <c r="K416" t="s">
        <v>23</v>
      </c>
      <c r="L416">
        <v>10</v>
      </c>
      <c r="M416">
        <v>120</v>
      </c>
      <c r="N416">
        <f t="shared" si="52"/>
        <v>1200</v>
      </c>
      <c r="O416">
        <f t="shared" si="53"/>
        <v>120</v>
      </c>
      <c r="P416" t="str">
        <f t="shared" si="54"/>
        <v>Large Order</v>
      </c>
      <c r="Q416" t="str">
        <f t="shared" si="55"/>
        <v>Weekend</v>
      </c>
    </row>
    <row r="417" spans="1:17" x14ac:dyDescent="0.35">
      <c r="A417" t="s">
        <v>559</v>
      </c>
      <c r="B417" s="7">
        <v>45358</v>
      </c>
      <c r="C417" s="13">
        <f t="shared" si="49"/>
        <v>2024</v>
      </c>
      <c r="D417" s="7" t="str">
        <f t="shared" si="50"/>
        <v>Mar</v>
      </c>
      <c r="E417" s="7" t="str">
        <f t="shared" si="51"/>
        <v>Thu</v>
      </c>
      <c r="F417" t="s">
        <v>327</v>
      </c>
      <c r="G417" t="s">
        <v>74</v>
      </c>
      <c r="H417" t="s">
        <v>22</v>
      </c>
      <c r="I417" s="2" t="str">
        <f t="shared" si="48"/>
        <v>Central</v>
      </c>
      <c r="J417" t="s">
        <v>12</v>
      </c>
      <c r="K417" t="s">
        <v>32</v>
      </c>
      <c r="L417">
        <v>18</v>
      </c>
      <c r="M417">
        <v>120</v>
      </c>
      <c r="N417">
        <f t="shared" si="52"/>
        <v>2160</v>
      </c>
      <c r="O417">
        <f t="shared" si="53"/>
        <v>216</v>
      </c>
      <c r="P417" t="str">
        <f t="shared" si="54"/>
        <v>Large Order</v>
      </c>
      <c r="Q417" t="str">
        <f t="shared" si="55"/>
        <v>Weekday</v>
      </c>
    </row>
    <row r="418" spans="1:17" x14ac:dyDescent="0.35">
      <c r="A418" t="s">
        <v>560</v>
      </c>
      <c r="B418" s="7">
        <v>45357</v>
      </c>
      <c r="C418" s="13">
        <f t="shared" si="49"/>
        <v>2024</v>
      </c>
      <c r="D418" s="7" t="str">
        <f t="shared" si="50"/>
        <v>Mar</v>
      </c>
      <c r="E418" s="7" t="str">
        <f t="shared" si="51"/>
        <v>Wed</v>
      </c>
      <c r="F418" t="s">
        <v>317</v>
      </c>
      <c r="G418" t="s">
        <v>10</v>
      </c>
      <c r="H418" t="s">
        <v>22</v>
      </c>
      <c r="I418" s="2" t="str">
        <f t="shared" si="48"/>
        <v>South</v>
      </c>
      <c r="J418" t="s">
        <v>306</v>
      </c>
      <c r="K418" t="s">
        <v>13</v>
      </c>
      <c r="L418">
        <v>14</v>
      </c>
      <c r="M418">
        <v>120</v>
      </c>
      <c r="N418">
        <f t="shared" si="52"/>
        <v>1680</v>
      </c>
      <c r="O418">
        <f t="shared" si="53"/>
        <v>168</v>
      </c>
      <c r="P418" t="str">
        <f t="shared" si="54"/>
        <v>Large Order</v>
      </c>
      <c r="Q418" t="str">
        <f t="shared" si="55"/>
        <v>Weekday</v>
      </c>
    </row>
    <row r="419" spans="1:17" x14ac:dyDescent="0.35">
      <c r="A419" t="s">
        <v>561</v>
      </c>
      <c r="B419" s="7">
        <v>45477</v>
      </c>
      <c r="C419" s="13">
        <f t="shared" si="49"/>
        <v>2024</v>
      </c>
      <c r="D419" s="7" t="str">
        <f t="shared" si="50"/>
        <v>Jul</v>
      </c>
      <c r="E419" s="7" t="str">
        <f t="shared" si="51"/>
        <v>Thu</v>
      </c>
      <c r="F419" t="s">
        <v>147</v>
      </c>
      <c r="G419" t="s">
        <v>72</v>
      </c>
      <c r="H419" t="s">
        <v>11</v>
      </c>
      <c r="I419" s="2" t="str">
        <f t="shared" si="48"/>
        <v>North</v>
      </c>
      <c r="J419" t="s">
        <v>56</v>
      </c>
      <c r="K419" t="s">
        <v>28</v>
      </c>
      <c r="L419">
        <v>16</v>
      </c>
      <c r="M419">
        <v>120</v>
      </c>
      <c r="N419">
        <f t="shared" si="52"/>
        <v>1920</v>
      </c>
      <c r="O419">
        <f t="shared" si="53"/>
        <v>192</v>
      </c>
      <c r="P419" t="str">
        <f t="shared" si="54"/>
        <v>Large Order</v>
      </c>
      <c r="Q419" t="str">
        <f t="shared" si="55"/>
        <v>Weekday</v>
      </c>
    </row>
    <row r="420" spans="1:17" x14ac:dyDescent="0.35">
      <c r="A420" t="s">
        <v>562</v>
      </c>
      <c r="B420" s="7">
        <v>45371</v>
      </c>
      <c r="C420" s="13">
        <f t="shared" si="49"/>
        <v>2024</v>
      </c>
      <c r="D420" s="7" t="str">
        <f t="shared" si="50"/>
        <v>Mar</v>
      </c>
      <c r="E420" s="7" t="str">
        <f t="shared" si="51"/>
        <v>Wed</v>
      </c>
      <c r="F420" t="s">
        <v>208</v>
      </c>
      <c r="G420" t="s">
        <v>160</v>
      </c>
      <c r="H420" t="s">
        <v>17</v>
      </c>
      <c r="I420" s="2" t="str">
        <f t="shared" si="48"/>
        <v>Central</v>
      </c>
      <c r="J420" t="s">
        <v>12</v>
      </c>
      <c r="K420" t="s">
        <v>36</v>
      </c>
      <c r="L420">
        <v>18</v>
      </c>
      <c r="M420">
        <v>120</v>
      </c>
      <c r="N420">
        <f t="shared" si="52"/>
        <v>2160</v>
      </c>
      <c r="O420">
        <f t="shared" si="53"/>
        <v>216</v>
      </c>
      <c r="P420" t="str">
        <f t="shared" si="54"/>
        <v>Large Order</v>
      </c>
      <c r="Q420" t="str">
        <f t="shared" si="55"/>
        <v>Weekday</v>
      </c>
    </row>
    <row r="421" spans="1:17" x14ac:dyDescent="0.35">
      <c r="A421" t="s">
        <v>563</v>
      </c>
      <c r="B421" s="7">
        <v>45311</v>
      </c>
      <c r="C421" s="13">
        <f t="shared" si="49"/>
        <v>2024</v>
      </c>
      <c r="D421" s="7" t="str">
        <f t="shared" si="50"/>
        <v>Jan</v>
      </c>
      <c r="E421" s="7" t="str">
        <f t="shared" si="51"/>
        <v>Sat</v>
      </c>
      <c r="F421" t="s">
        <v>371</v>
      </c>
      <c r="G421" t="s">
        <v>16</v>
      </c>
      <c r="H421" t="s">
        <v>17</v>
      </c>
      <c r="I421" s="2" t="str">
        <f t="shared" si="48"/>
        <v>South</v>
      </c>
      <c r="J421" t="s">
        <v>306</v>
      </c>
      <c r="K421" t="s">
        <v>28</v>
      </c>
      <c r="L421">
        <v>20</v>
      </c>
      <c r="M421">
        <v>120</v>
      </c>
      <c r="N421">
        <f t="shared" si="52"/>
        <v>2400</v>
      </c>
      <c r="O421">
        <f t="shared" si="53"/>
        <v>240</v>
      </c>
      <c r="P421" t="str">
        <f t="shared" si="54"/>
        <v>Large Order</v>
      </c>
      <c r="Q421" t="str">
        <f t="shared" si="55"/>
        <v>Weekend</v>
      </c>
    </row>
    <row r="422" spans="1:17" x14ac:dyDescent="0.35">
      <c r="A422" t="s">
        <v>564</v>
      </c>
      <c r="B422" s="7">
        <v>45384</v>
      </c>
      <c r="C422" s="13">
        <f t="shared" si="49"/>
        <v>2024</v>
      </c>
      <c r="D422" s="7" t="str">
        <f t="shared" si="50"/>
        <v>Apr</v>
      </c>
      <c r="E422" s="7" t="str">
        <f t="shared" si="51"/>
        <v>Tue</v>
      </c>
      <c r="F422" t="s">
        <v>465</v>
      </c>
      <c r="G422" t="s">
        <v>84</v>
      </c>
      <c r="H422" t="s">
        <v>22</v>
      </c>
      <c r="I422" s="2" t="str">
        <f t="shared" si="48"/>
        <v>West</v>
      </c>
      <c r="J422" t="s">
        <v>56</v>
      </c>
      <c r="K422" t="s">
        <v>32</v>
      </c>
      <c r="L422">
        <v>15</v>
      </c>
      <c r="M422">
        <v>120</v>
      </c>
      <c r="N422">
        <f t="shared" si="52"/>
        <v>1800</v>
      </c>
      <c r="O422">
        <f t="shared" si="53"/>
        <v>180</v>
      </c>
      <c r="P422" t="str">
        <f t="shared" si="54"/>
        <v>Large Order</v>
      </c>
      <c r="Q422" t="str">
        <f t="shared" si="55"/>
        <v>Weekday</v>
      </c>
    </row>
    <row r="423" spans="1:17" x14ac:dyDescent="0.35">
      <c r="A423" t="s">
        <v>565</v>
      </c>
      <c r="B423" s="7">
        <v>45638</v>
      </c>
      <c r="C423" s="13">
        <f t="shared" si="49"/>
        <v>2024</v>
      </c>
      <c r="D423" s="7" t="str">
        <f t="shared" si="50"/>
        <v>Dec</v>
      </c>
      <c r="E423" s="7" t="str">
        <f t="shared" si="51"/>
        <v>Thu</v>
      </c>
      <c r="F423" t="s">
        <v>329</v>
      </c>
      <c r="G423" t="s">
        <v>109</v>
      </c>
      <c r="H423" t="s">
        <v>11</v>
      </c>
      <c r="I423" s="2" t="str">
        <f t="shared" si="48"/>
        <v>East</v>
      </c>
      <c r="J423" t="s">
        <v>27</v>
      </c>
      <c r="K423" t="s">
        <v>23</v>
      </c>
      <c r="L423">
        <v>10</v>
      </c>
      <c r="M423">
        <v>120</v>
      </c>
      <c r="N423">
        <f t="shared" si="52"/>
        <v>1200</v>
      </c>
      <c r="O423">
        <f t="shared" si="53"/>
        <v>120</v>
      </c>
      <c r="P423" t="str">
        <f t="shared" si="54"/>
        <v>Large Order</v>
      </c>
      <c r="Q423" t="str">
        <f t="shared" si="55"/>
        <v>Weekday</v>
      </c>
    </row>
    <row r="424" spans="1:17" x14ac:dyDescent="0.35">
      <c r="A424" t="s">
        <v>566</v>
      </c>
      <c r="B424" s="7">
        <v>45411</v>
      </c>
      <c r="C424" s="13">
        <f t="shared" si="49"/>
        <v>2024</v>
      </c>
      <c r="D424" s="7" t="str">
        <f t="shared" si="50"/>
        <v>Apr</v>
      </c>
      <c r="E424" s="7" t="str">
        <f t="shared" si="51"/>
        <v>Mon</v>
      </c>
      <c r="F424" t="s">
        <v>312</v>
      </c>
      <c r="G424" t="s">
        <v>35</v>
      </c>
      <c r="H424" t="s">
        <v>11</v>
      </c>
      <c r="I424" s="2" t="str">
        <f t="shared" si="48"/>
        <v>West</v>
      </c>
      <c r="J424" t="s">
        <v>42</v>
      </c>
      <c r="K424" t="s">
        <v>36</v>
      </c>
      <c r="L424">
        <v>7</v>
      </c>
      <c r="M424">
        <v>120</v>
      </c>
      <c r="N424">
        <f t="shared" si="52"/>
        <v>840</v>
      </c>
      <c r="O424">
        <f t="shared" si="53"/>
        <v>84</v>
      </c>
      <c r="P424" t="str">
        <f t="shared" si="54"/>
        <v>Large Order</v>
      </c>
      <c r="Q424" t="str">
        <f t="shared" si="55"/>
        <v>Weekday</v>
      </c>
    </row>
    <row r="425" spans="1:17" x14ac:dyDescent="0.35">
      <c r="A425" t="s">
        <v>567</v>
      </c>
      <c r="B425" s="7">
        <v>45517</v>
      </c>
      <c r="C425" s="13">
        <f t="shared" si="49"/>
        <v>2024</v>
      </c>
      <c r="D425" s="7" t="str">
        <f t="shared" si="50"/>
        <v>Aug</v>
      </c>
      <c r="E425" s="7" t="str">
        <f t="shared" si="51"/>
        <v>Tue</v>
      </c>
      <c r="F425" t="s">
        <v>319</v>
      </c>
      <c r="G425" t="s">
        <v>160</v>
      </c>
      <c r="H425" t="s">
        <v>17</v>
      </c>
      <c r="I425" s="2" t="str">
        <f t="shared" si="48"/>
        <v>East</v>
      </c>
      <c r="J425" t="s">
        <v>27</v>
      </c>
      <c r="K425" t="s">
        <v>28</v>
      </c>
      <c r="L425">
        <v>17</v>
      </c>
      <c r="M425">
        <v>120</v>
      </c>
      <c r="N425">
        <f t="shared" si="52"/>
        <v>2040</v>
      </c>
      <c r="O425">
        <f t="shared" si="53"/>
        <v>204</v>
      </c>
      <c r="P425" t="str">
        <f t="shared" si="54"/>
        <v>Large Order</v>
      </c>
      <c r="Q425" t="str">
        <f t="shared" si="55"/>
        <v>Weekday</v>
      </c>
    </row>
    <row r="426" spans="1:17" x14ac:dyDescent="0.35">
      <c r="A426" t="s">
        <v>568</v>
      </c>
      <c r="B426" s="7">
        <v>45394</v>
      </c>
      <c r="C426" s="13">
        <f t="shared" si="49"/>
        <v>2024</v>
      </c>
      <c r="D426" s="7" t="str">
        <f t="shared" si="50"/>
        <v>Apr</v>
      </c>
      <c r="E426" s="7" t="str">
        <f t="shared" si="51"/>
        <v>Fri</v>
      </c>
      <c r="F426" t="s">
        <v>493</v>
      </c>
      <c r="G426" t="s">
        <v>79</v>
      </c>
      <c r="H426" t="s">
        <v>11</v>
      </c>
      <c r="I426" s="2" t="str">
        <f t="shared" si="48"/>
        <v>North</v>
      </c>
      <c r="J426" t="s">
        <v>42</v>
      </c>
      <c r="K426" t="s">
        <v>36</v>
      </c>
      <c r="L426">
        <v>16</v>
      </c>
      <c r="M426">
        <v>120</v>
      </c>
      <c r="N426">
        <f t="shared" si="52"/>
        <v>1920</v>
      </c>
      <c r="O426">
        <f t="shared" si="53"/>
        <v>192</v>
      </c>
      <c r="P426" t="str">
        <f t="shared" si="54"/>
        <v>Large Order</v>
      </c>
      <c r="Q426" t="str">
        <f t="shared" si="55"/>
        <v>Weekday</v>
      </c>
    </row>
    <row r="427" spans="1:17" x14ac:dyDescent="0.35">
      <c r="A427" t="s">
        <v>569</v>
      </c>
      <c r="B427" s="7">
        <v>45344</v>
      </c>
      <c r="C427" s="13">
        <f t="shared" si="49"/>
        <v>2024</v>
      </c>
      <c r="D427" s="7" t="str">
        <f t="shared" si="50"/>
        <v>Feb</v>
      </c>
      <c r="E427" s="7" t="str">
        <f t="shared" si="51"/>
        <v>Thu</v>
      </c>
      <c r="F427" t="s">
        <v>436</v>
      </c>
      <c r="G427" t="s">
        <v>74</v>
      </c>
      <c r="H427" t="s">
        <v>22</v>
      </c>
      <c r="I427" s="2" t="str">
        <f t="shared" si="48"/>
        <v>West</v>
      </c>
      <c r="J427" t="s">
        <v>12</v>
      </c>
      <c r="K427" t="s">
        <v>32</v>
      </c>
      <c r="L427">
        <v>3</v>
      </c>
      <c r="M427">
        <v>120</v>
      </c>
      <c r="N427">
        <f t="shared" si="52"/>
        <v>360</v>
      </c>
      <c r="O427">
        <f t="shared" si="53"/>
        <v>36</v>
      </c>
      <c r="P427" t="str">
        <f t="shared" si="54"/>
        <v>Standard Order</v>
      </c>
      <c r="Q427" t="str">
        <f t="shared" si="55"/>
        <v>Weekday</v>
      </c>
    </row>
    <row r="428" spans="1:17" x14ac:dyDescent="0.35">
      <c r="A428" t="s">
        <v>570</v>
      </c>
      <c r="B428" s="7">
        <v>45522</v>
      </c>
      <c r="C428" s="13">
        <f t="shared" si="49"/>
        <v>2024</v>
      </c>
      <c r="D428" s="7" t="str">
        <f t="shared" si="50"/>
        <v>Aug</v>
      </c>
      <c r="E428" s="7" t="str">
        <f t="shared" si="51"/>
        <v>Sun</v>
      </c>
      <c r="F428" t="s">
        <v>345</v>
      </c>
      <c r="G428" t="s">
        <v>10</v>
      </c>
      <c r="H428" t="s">
        <v>11</v>
      </c>
      <c r="I428" s="2" t="str">
        <f t="shared" si="48"/>
        <v>West</v>
      </c>
      <c r="J428" t="s">
        <v>27</v>
      </c>
      <c r="K428" t="s">
        <v>32</v>
      </c>
      <c r="L428">
        <v>8</v>
      </c>
      <c r="M428">
        <v>120</v>
      </c>
      <c r="N428">
        <f t="shared" si="52"/>
        <v>960</v>
      </c>
      <c r="O428">
        <f t="shared" si="53"/>
        <v>96</v>
      </c>
      <c r="P428" t="str">
        <f t="shared" si="54"/>
        <v>Large Order</v>
      </c>
      <c r="Q428" t="str">
        <f t="shared" si="55"/>
        <v>Weekend</v>
      </c>
    </row>
    <row r="429" spans="1:17" x14ac:dyDescent="0.35">
      <c r="A429" t="s">
        <v>571</v>
      </c>
      <c r="B429" s="7">
        <v>45305</v>
      </c>
      <c r="C429" s="13">
        <f t="shared" si="49"/>
        <v>2024</v>
      </c>
      <c r="D429" s="7" t="str">
        <f t="shared" si="50"/>
        <v>Jan</v>
      </c>
      <c r="E429" s="7" t="str">
        <f t="shared" si="51"/>
        <v>Sun</v>
      </c>
      <c r="F429" t="s">
        <v>572</v>
      </c>
      <c r="G429" t="s">
        <v>160</v>
      </c>
      <c r="H429" t="s">
        <v>11</v>
      </c>
      <c r="I429" s="2" t="str">
        <f t="shared" si="48"/>
        <v>East</v>
      </c>
      <c r="J429" t="s">
        <v>27</v>
      </c>
      <c r="K429" t="s">
        <v>13</v>
      </c>
      <c r="L429">
        <v>12</v>
      </c>
      <c r="M429">
        <v>120</v>
      </c>
      <c r="N429">
        <f t="shared" si="52"/>
        <v>1440</v>
      </c>
      <c r="O429">
        <f t="shared" si="53"/>
        <v>144</v>
      </c>
      <c r="P429" t="str">
        <f t="shared" si="54"/>
        <v>Large Order</v>
      </c>
      <c r="Q429" t="str">
        <f t="shared" si="55"/>
        <v>Weekend</v>
      </c>
    </row>
    <row r="430" spans="1:17" x14ac:dyDescent="0.35">
      <c r="A430" t="s">
        <v>573</v>
      </c>
      <c r="B430" s="7">
        <v>45483</v>
      </c>
      <c r="C430" s="13">
        <f t="shared" si="49"/>
        <v>2024</v>
      </c>
      <c r="D430" s="7" t="str">
        <f t="shared" si="50"/>
        <v>Jul</v>
      </c>
      <c r="E430" s="7" t="str">
        <f t="shared" si="51"/>
        <v>Wed</v>
      </c>
      <c r="F430" t="s">
        <v>240</v>
      </c>
      <c r="G430" t="s">
        <v>102</v>
      </c>
      <c r="H430" t="s">
        <v>11</v>
      </c>
      <c r="I430" s="2" t="str">
        <f t="shared" si="48"/>
        <v>South</v>
      </c>
      <c r="J430" t="s">
        <v>42</v>
      </c>
      <c r="K430" t="s">
        <v>28</v>
      </c>
      <c r="L430">
        <v>11</v>
      </c>
      <c r="M430">
        <v>120</v>
      </c>
      <c r="N430">
        <f t="shared" si="52"/>
        <v>1320</v>
      </c>
      <c r="O430">
        <f t="shared" si="53"/>
        <v>132</v>
      </c>
      <c r="P430" t="str">
        <f t="shared" si="54"/>
        <v>Large Order</v>
      </c>
      <c r="Q430" t="str">
        <f t="shared" si="55"/>
        <v>Weekday</v>
      </c>
    </row>
    <row r="431" spans="1:17" x14ac:dyDescent="0.35">
      <c r="A431" t="s">
        <v>574</v>
      </c>
      <c r="B431" s="7">
        <v>45311</v>
      </c>
      <c r="C431" s="13">
        <f t="shared" si="49"/>
        <v>2024</v>
      </c>
      <c r="D431" s="7" t="str">
        <f t="shared" si="50"/>
        <v>Jan</v>
      </c>
      <c r="E431" s="7" t="str">
        <f t="shared" si="51"/>
        <v>Sat</v>
      </c>
      <c r="F431" t="s">
        <v>55</v>
      </c>
      <c r="G431" t="s">
        <v>119</v>
      </c>
      <c r="H431" t="s">
        <v>17</v>
      </c>
      <c r="I431" s="2" t="str">
        <f t="shared" si="48"/>
        <v>South</v>
      </c>
      <c r="J431" t="s">
        <v>56</v>
      </c>
      <c r="K431" t="s">
        <v>13</v>
      </c>
      <c r="L431">
        <v>16</v>
      </c>
      <c r="M431">
        <v>120</v>
      </c>
      <c r="N431">
        <f t="shared" si="52"/>
        <v>1920</v>
      </c>
      <c r="O431">
        <f t="shared" si="53"/>
        <v>192</v>
      </c>
      <c r="P431" t="str">
        <f t="shared" si="54"/>
        <v>Large Order</v>
      </c>
      <c r="Q431" t="str">
        <f t="shared" si="55"/>
        <v>Weekend</v>
      </c>
    </row>
    <row r="432" spans="1:17" x14ac:dyDescent="0.35">
      <c r="A432" t="s">
        <v>575</v>
      </c>
      <c r="B432" s="7">
        <v>45332</v>
      </c>
      <c r="C432" s="13">
        <f t="shared" si="49"/>
        <v>2024</v>
      </c>
      <c r="D432" s="7" t="str">
        <f t="shared" si="50"/>
        <v>Feb</v>
      </c>
      <c r="E432" s="7" t="str">
        <f t="shared" si="51"/>
        <v>Sat</v>
      </c>
      <c r="F432" t="s">
        <v>138</v>
      </c>
      <c r="G432" t="s">
        <v>16</v>
      </c>
      <c r="H432" t="s">
        <v>17</v>
      </c>
      <c r="I432" s="2" t="str">
        <f t="shared" si="48"/>
        <v>East</v>
      </c>
      <c r="J432" t="s">
        <v>56</v>
      </c>
      <c r="K432" t="s">
        <v>36</v>
      </c>
      <c r="L432">
        <v>18</v>
      </c>
      <c r="M432">
        <v>120</v>
      </c>
      <c r="N432">
        <f t="shared" si="52"/>
        <v>2160</v>
      </c>
      <c r="O432">
        <f t="shared" si="53"/>
        <v>216</v>
      </c>
      <c r="P432" t="str">
        <f t="shared" si="54"/>
        <v>Large Order</v>
      </c>
      <c r="Q432" t="str">
        <f t="shared" si="55"/>
        <v>Weekend</v>
      </c>
    </row>
    <row r="433" spans="1:17" x14ac:dyDescent="0.35">
      <c r="A433" t="s">
        <v>576</v>
      </c>
      <c r="B433" s="7">
        <v>45562</v>
      </c>
      <c r="C433" s="13">
        <f t="shared" si="49"/>
        <v>2024</v>
      </c>
      <c r="D433" s="7" t="str">
        <f t="shared" si="50"/>
        <v>Sep</v>
      </c>
      <c r="E433" s="7" t="str">
        <f t="shared" si="51"/>
        <v>Fri</v>
      </c>
      <c r="F433" t="s">
        <v>309</v>
      </c>
      <c r="G433" t="s">
        <v>197</v>
      </c>
      <c r="H433" t="s">
        <v>11</v>
      </c>
      <c r="I433" s="2" t="str">
        <f t="shared" si="48"/>
        <v>West</v>
      </c>
      <c r="J433" t="s">
        <v>42</v>
      </c>
      <c r="K433" t="s">
        <v>28</v>
      </c>
      <c r="L433">
        <v>10</v>
      </c>
      <c r="M433">
        <v>120</v>
      </c>
      <c r="N433">
        <f t="shared" si="52"/>
        <v>1200</v>
      </c>
      <c r="O433">
        <f t="shared" si="53"/>
        <v>120</v>
      </c>
      <c r="P433" t="str">
        <f t="shared" si="54"/>
        <v>Large Order</v>
      </c>
      <c r="Q433" t="str">
        <f t="shared" si="55"/>
        <v>Weekday</v>
      </c>
    </row>
    <row r="434" spans="1:17" x14ac:dyDescent="0.35">
      <c r="A434" t="s">
        <v>577</v>
      </c>
      <c r="B434" s="7">
        <v>45506</v>
      </c>
      <c r="C434" s="13">
        <f t="shared" si="49"/>
        <v>2024</v>
      </c>
      <c r="D434" s="7" t="str">
        <f t="shared" si="50"/>
        <v>Aug</v>
      </c>
      <c r="E434" s="7" t="str">
        <f t="shared" si="51"/>
        <v>Fri</v>
      </c>
      <c r="F434" t="s">
        <v>541</v>
      </c>
      <c r="G434" t="s">
        <v>10</v>
      </c>
      <c r="H434" t="s">
        <v>22</v>
      </c>
      <c r="I434" s="2" t="str">
        <f t="shared" si="48"/>
        <v>Central</v>
      </c>
      <c r="J434" t="s">
        <v>27</v>
      </c>
      <c r="K434" t="s">
        <v>23</v>
      </c>
      <c r="L434">
        <v>4</v>
      </c>
      <c r="M434">
        <v>120</v>
      </c>
      <c r="N434">
        <f t="shared" si="52"/>
        <v>480</v>
      </c>
      <c r="O434">
        <f t="shared" si="53"/>
        <v>48</v>
      </c>
      <c r="P434" t="str">
        <f t="shared" si="54"/>
        <v>Standard Order</v>
      </c>
      <c r="Q434" t="str">
        <f t="shared" si="55"/>
        <v>Weekday</v>
      </c>
    </row>
    <row r="435" spans="1:17" x14ac:dyDescent="0.35">
      <c r="A435" t="s">
        <v>578</v>
      </c>
      <c r="B435" s="7">
        <v>45597</v>
      </c>
      <c r="C435" s="13">
        <f t="shared" si="49"/>
        <v>2024</v>
      </c>
      <c r="D435" s="7" t="str">
        <f t="shared" si="50"/>
        <v>Nov</v>
      </c>
      <c r="E435" s="7" t="str">
        <f t="shared" si="51"/>
        <v>Fri</v>
      </c>
      <c r="F435" t="s">
        <v>312</v>
      </c>
      <c r="G435" t="s">
        <v>59</v>
      </c>
      <c r="H435" t="s">
        <v>11</v>
      </c>
      <c r="I435" s="2" t="str">
        <f t="shared" si="48"/>
        <v>East</v>
      </c>
      <c r="J435" t="s">
        <v>306</v>
      </c>
      <c r="K435" t="s">
        <v>32</v>
      </c>
      <c r="L435">
        <v>8</v>
      </c>
      <c r="M435">
        <v>120</v>
      </c>
      <c r="N435">
        <f t="shared" si="52"/>
        <v>960</v>
      </c>
      <c r="O435">
        <f t="shared" si="53"/>
        <v>96</v>
      </c>
      <c r="P435" t="str">
        <f t="shared" si="54"/>
        <v>Large Order</v>
      </c>
      <c r="Q435" t="str">
        <f t="shared" si="55"/>
        <v>Weekday</v>
      </c>
    </row>
    <row r="436" spans="1:17" x14ac:dyDescent="0.35">
      <c r="A436" t="s">
        <v>579</v>
      </c>
      <c r="B436" s="7">
        <v>45511</v>
      </c>
      <c r="C436" s="13">
        <f t="shared" si="49"/>
        <v>2024</v>
      </c>
      <c r="D436" s="7" t="str">
        <f t="shared" si="50"/>
        <v>Aug</v>
      </c>
      <c r="E436" s="7" t="str">
        <f t="shared" si="51"/>
        <v>Wed</v>
      </c>
      <c r="F436" t="s">
        <v>25</v>
      </c>
      <c r="G436" t="s">
        <v>197</v>
      </c>
      <c r="H436" t="s">
        <v>22</v>
      </c>
      <c r="I436" s="2" t="str">
        <f t="shared" si="48"/>
        <v>Central</v>
      </c>
      <c r="J436" t="s">
        <v>42</v>
      </c>
      <c r="K436" t="s">
        <v>13</v>
      </c>
      <c r="L436">
        <v>19</v>
      </c>
      <c r="M436">
        <v>120</v>
      </c>
      <c r="N436">
        <f t="shared" si="52"/>
        <v>2280</v>
      </c>
      <c r="O436">
        <f t="shared" si="53"/>
        <v>228</v>
      </c>
      <c r="P436" t="str">
        <f t="shared" si="54"/>
        <v>Large Order</v>
      </c>
      <c r="Q436" t="str">
        <f t="shared" si="55"/>
        <v>Weekday</v>
      </c>
    </row>
    <row r="437" spans="1:17" x14ac:dyDescent="0.35">
      <c r="A437" t="s">
        <v>580</v>
      </c>
      <c r="B437" s="7">
        <v>45560</v>
      </c>
      <c r="C437" s="13">
        <f t="shared" si="49"/>
        <v>2024</v>
      </c>
      <c r="D437" s="7" t="str">
        <f t="shared" si="50"/>
        <v>Sep</v>
      </c>
      <c r="E437" s="7" t="str">
        <f t="shared" si="51"/>
        <v>Wed</v>
      </c>
      <c r="F437" t="s">
        <v>83</v>
      </c>
      <c r="G437" t="s">
        <v>174</v>
      </c>
      <c r="H437" t="s">
        <v>11</v>
      </c>
      <c r="I437" s="2" t="str">
        <f t="shared" si="48"/>
        <v>West</v>
      </c>
      <c r="J437" t="s">
        <v>306</v>
      </c>
      <c r="K437" t="s">
        <v>36</v>
      </c>
      <c r="L437">
        <v>17</v>
      </c>
      <c r="M437">
        <v>120</v>
      </c>
      <c r="N437">
        <f t="shared" si="52"/>
        <v>2040</v>
      </c>
      <c r="O437">
        <f t="shared" si="53"/>
        <v>204</v>
      </c>
      <c r="P437" t="str">
        <f t="shared" si="54"/>
        <v>Large Order</v>
      </c>
      <c r="Q437" t="str">
        <f t="shared" si="55"/>
        <v>Weekday</v>
      </c>
    </row>
    <row r="438" spans="1:17" x14ac:dyDescent="0.35">
      <c r="A438" t="s">
        <v>581</v>
      </c>
      <c r="B438" s="7">
        <v>45575</v>
      </c>
      <c r="C438" s="13">
        <f t="shared" si="49"/>
        <v>2024</v>
      </c>
      <c r="D438" s="7" t="str">
        <f t="shared" si="50"/>
        <v>Oct</v>
      </c>
      <c r="E438" s="7" t="str">
        <f t="shared" si="51"/>
        <v>Thu</v>
      </c>
      <c r="F438" t="s">
        <v>138</v>
      </c>
      <c r="G438" t="s">
        <v>79</v>
      </c>
      <c r="H438" t="s">
        <v>17</v>
      </c>
      <c r="I438" s="2" t="str">
        <f t="shared" si="48"/>
        <v>East</v>
      </c>
      <c r="J438" t="s">
        <v>27</v>
      </c>
      <c r="K438" t="s">
        <v>32</v>
      </c>
      <c r="L438">
        <v>13</v>
      </c>
      <c r="M438">
        <v>120</v>
      </c>
      <c r="N438">
        <f t="shared" si="52"/>
        <v>1560</v>
      </c>
      <c r="O438">
        <f t="shared" si="53"/>
        <v>156</v>
      </c>
      <c r="P438" t="str">
        <f t="shared" si="54"/>
        <v>Large Order</v>
      </c>
      <c r="Q438" t="str">
        <f t="shared" si="55"/>
        <v>Weekday</v>
      </c>
    </row>
    <row r="439" spans="1:17" x14ac:dyDescent="0.35">
      <c r="A439" t="s">
        <v>582</v>
      </c>
      <c r="B439" s="7">
        <v>45300</v>
      </c>
      <c r="C439" s="13">
        <f t="shared" si="49"/>
        <v>2024</v>
      </c>
      <c r="D439" s="7" t="str">
        <f t="shared" si="50"/>
        <v>Jan</v>
      </c>
      <c r="E439" s="7" t="str">
        <f t="shared" si="51"/>
        <v>Tue</v>
      </c>
      <c r="F439" t="s">
        <v>182</v>
      </c>
      <c r="G439" t="s">
        <v>197</v>
      </c>
      <c r="H439" t="s">
        <v>11</v>
      </c>
      <c r="I439" s="2" t="str">
        <f t="shared" si="48"/>
        <v>Central</v>
      </c>
      <c r="J439" t="s">
        <v>42</v>
      </c>
      <c r="K439" t="s">
        <v>32</v>
      </c>
      <c r="L439">
        <v>4</v>
      </c>
      <c r="M439">
        <v>120</v>
      </c>
      <c r="N439">
        <f t="shared" si="52"/>
        <v>480</v>
      </c>
      <c r="O439">
        <f t="shared" si="53"/>
        <v>48</v>
      </c>
      <c r="P439" t="str">
        <f t="shared" si="54"/>
        <v>Standard Order</v>
      </c>
      <c r="Q439" t="str">
        <f t="shared" si="55"/>
        <v>Weekday</v>
      </c>
    </row>
    <row r="440" spans="1:17" x14ac:dyDescent="0.35">
      <c r="A440" t="s">
        <v>583</v>
      </c>
      <c r="B440" s="7">
        <v>45360</v>
      </c>
      <c r="C440" s="13">
        <f t="shared" si="49"/>
        <v>2024</v>
      </c>
      <c r="D440" s="7" t="str">
        <f t="shared" si="50"/>
        <v>Mar</v>
      </c>
      <c r="E440" s="7" t="str">
        <f t="shared" si="51"/>
        <v>Sat</v>
      </c>
      <c r="F440" t="s">
        <v>116</v>
      </c>
      <c r="G440" t="s">
        <v>72</v>
      </c>
      <c r="H440" t="s">
        <v>17</v>
      </c>
      <c r="I440" s="2" t="str">
        <f t="shared" si="48"/>
        <v>South</v>
      </c>
      <c r="J440" t="s">
        <v>306</v>
      </c>
      <c r="K440" t="s">
        <v>23</v>
      </c>
      <c r="L440">
        <v>6</v>
      </c>
      <c r="M440">
        <v>120</v>
      </c>
      <c r="N440">
        <f t="shared" si="52"/>
        <v>720</v>
      </c>
      <c r="O440">
        <f t="shared" si="53"/>
        <v>72</v>
      </c>
      <c r="P440" t="str">
        <f t="shared" si="54"/>
        <v>Large Order</v>
      </c>
      <c r="Q440" t="str">
        <f t="shared" si="55"/>
        <v>Weekend</v>
      </c>
    </row>
    <row r="441" spans="1:17" x14ac:dyDescent="0.35">
      <c r="A441" t="s">
        <v>584</v>
      </c>
      <c r="B441" s="7">
        <v>45648</v>
      </c>
      <c r="C441" s="13">
        <f t="shared" si="49"/>
        <v>2024</v>
      </c>
      <c r="D441" s="7" t="str">
        <f t="shared" si="50"/>
        <v>Dec</v>
      </c>
      <c r="E441" s="7" t="str">
        <f t="shared" si="51"/>
        <v>Sun</v>
      </c>
      <c r="F441" t="s">
        <v>517</v>
      </c>
      <c r="G441" t="s">
        <v>16</v>
      </c>
      <c r="H441" t="s">
        <v>22</v>
      </c>
      <c r="I441" s="2" t="str">
        <f t="shared" si="48"/>
        <v>North</v>
      </c>
      <c r="J441" t="s">
        <v>56</v>
      </c>
      <c r="K441" t="s">
        <v>23</v>
      </c>
      <c r="L441">
        <v>3</v>
      </c>
      <c r="M441">
        <v>120</v>
      </c>
      <c r="N441">
        <f t="shared" si="52"/>
        <v>360</v>
      </c>
      <c r="O441">
        <f t="shared" si="53"/>
        <v>36</v>
      </c>
      <c r="P441" t="str">
        <f t="shared" si="54"/>
        <v>Standard Order</v>
      </c>
      <c r="Q441" t="str">
        <f t="shared" si="55"/>
        <v>Weekend</v>
      </c>
    </row>
    <row r="442" spans="1:17" x14ac:dyDescent="0.35">
      <c r="A442" t="s">
        <v>585</v>
      </c>
      <c r="B442" s="7">
        <v>45310</v>
      </c>
      <c r="C442" s="13">
        <f t="shared" si="49"/>
        <v>2024</v>
      </c>
      <c r="D442" s="7" t="str">
        <f t="shared" si="50"/>
        <v>Jan</v>
      </c>
      <c r="E442" s="7" t="str">
        <f t="shared" si="51"/>
        <v>Fri</v>
      </c>
      <c r="F442" t="s">
        <v>61</v>
      </c>
      <c r="G442" t="s">
        <v>65</v>
      </c>
      <c r="H442" t="s">
        <v>11</v>
      </c>
      <c r="I442" s="2" t="str">
        <f t="shared" si="48"/>
        <v>West</v>
      </c>
      <c r="J442" t="s">
        <v>12</v>
      </c>
      <c r="K442" t="s">
        <v>32</v>
      </c>
      <c r="L442">
        <v>2</v>
      </c>
      <c r="M442">
        <v>120</v>
      </c>
      <c r="N442">
        <f t="shared" si="52"/>
        <v>240</v>
      </c>
      <c r="O442">
        <f t="shared" si="53"/>
        <v>24</v>
      </c>
      <c r="P442" t="str">
        <f t="shared" si="54"/>
        <v>Standard Order</v>
      </c>
      <c r="Q442" t="str">
        <f t="shared" si="55"/>
        <v>Weekday</v>
      </c>
    </row>
    <row r="443" spans="1:17" x14ac:dyDescent="0.35">
      <c r="A443" t="s">
        <v>586</v>
      </c>
      <c r="B443" s="7">
        <v>45555</v>
      </c>
      <c r="C443" s="13">
        <f t="shared" si="49"/>
        <v>2024</v>
      </c>
      <c r="D443" s="7" t="str">
        <f t="shared" si="50"/>
        <v>Sep</v>
      </c>
      <c r="E443" s="7" t="str">
        <f t="shared" si="51"/>
        <v>Fri</v>
      </c>
      <c r="F443" t="s">
        <v>106</v>
      </c>
      <c r="G443" t="s">
        <v>26</v>
      </c>
      <c r="H443" t="s">
        <v>22</v>
      </c>
      <c r="I443" s="2" t="str">
        <f t="shared" si="48"/>
        <v>East</v>
      </c>
      <c r="J443" t="s">
        <v>27</v>
      </c>
      <c r="K443" t="s">
        <v>28</v>
      </c>
      <c r="L443">
        <v>2</v>
      </c>
      <c r="M443">
        <v>120</v>
      </c>
      <c r="N443">
        <f t="shared" si="52"/>
        <v>240</v>
      </c>
      <c r="O443">
        <f t="shared" si="53"/>
        <v>24</v>
      </c>
      <c r="P443" t="str">
        <f t="shared" si="54"/>
        <v>Standard Order</v>
      </c>
      <c r="Q443" t="str">
        <f t="shared" si="55"/>
        <v>Weekday</v>
      </c>
    </row>
    <row r="444" spans="1:17" x14ac:dyDescent="0.35">
      <c r="A444" t="s">
        <v>587</v>
      </c>
      <c r="B444" s="7">
        <v>45438</v>
      </c>
      <c r="C444" s="13">
        <f t="shared" si="49"/>
        <v>2024</v>
      </c>
      <c r="D444" s="7" t="str">
        <f t="shared" si="50"/>
        <v>May</v>
      </c>
      <c r="E444" s="7" t="str">
        <f t="shared" si="51"/>
        <v>Sun</v>
      </c>
      <c r="F444" t="s">
        <v>182</v>
      </c>
      <c r="G444" t="s">
        <v>26</v>
      </c>
      <c r="H444" t="s">
        <v>11</v>
      </c>
      <c r="I444" s="2" t="str">
        <f t="shared" si="48"/>
        <v>West</v>
      </c>
      <c r="J444" t="s">
        <v>42</v>
      </c>
      <c r="K444" t="s">
        <v>23</v>
      </c>
      <c r="L444">
        <v>4</v>
      </c>
      <c r="M444">
        <v>120</v>
      </c>
      <c r="N444">
        <f t="shared" si="52"/>
        <v>480</v>
      </c>
      <c r="O444">
        <f t="shared" si="53"/>
        <v>48</v>
      </c>
      <c r="P444" t="str">
        <f t="shared" si="54"/>
        <v>Standard Order</v>
      </c>
      <c r="Q444" t="str">
        <f t="shared" si="55"/>
        <v>Weekend</v>
      </c>
    </row>
    <row r="445" spans="1:17" x14ac:dyDescent="0.35">
      <c r="A445" t="s">
        <v>588</v>
      </c>
      <c r="B445" s="7">
        <v>45496</v>
      </c>
      <c r="C445" s="13">
        <f t="shared" si="49"/>
        <v>2024</v>
      </c>
      <c r="D445" s="7" t="str">
        <f t="shared" si="50"/>
        <v>Jul</v>
      </c>
      <c r="E445" s="7" t="str">
        <f t="shared" si="51"/>
        <v>Tue</v>
      </c>
      <c r="F445" t="s">
        <v>323</v>
      </c>
      <c r="G445" t="s">
        <v>72</v>
      </c>
      <c r="H445" t="s">
        <v>17</v>
      </c>
      <c r="I445" s="2" t="str">
        <f t="shared" si="48"/>
        <v>North</v>
      </c>
      <c r="J445" t="s">
        <v>27</v>
      </c>
      <c r="K445" t="s">
        <v>23</v>
      </c>
      <c r="L445">
        <v>6</v>
      </c>
      <c r="M445">
        <v>120</v>
      </c>
      <c r="N445">
        <f t="shared" si="52"/>
        <v>720</v>
      </c>
      <c r="O445">
        <f t="shared" si="53"/>
        <v>72</v>
      </c>
      <c r="P445" t="str">
        <f t="shared" si="54"/>
        <v>Large Order</v>
      </c>
      <c r="Q445" t="str">
        <f t="shared" si="55"/>
        <v>Weekday</v>
      </c>
    </row>
    <row r="446" spans="1:17" x14ac:dyDescent="0.35">
      <c r="A446" t="s">
        <v>589</v>
      </c>
      <c r="B446" s="7">
        <v>45480</v>
      </c>
      <c r="C446" s="13">
        <f t="shared" si="49"/>
        <v>2024</v>
      </c>
      <c r="D446" s="7" t="str">
        <f t="shared" si="50"/>
        <v>Jul</v>
      </c>
      <c r="E446" s="7" t="str">
        <f t="shared" si="51"/>
        <v>Sun</v>
      </c>
      <c r="F446" t="s">
        <v>363</v>
      </c>
      <c r="G446" t="s">
        <v>84</v>
      </c>
      <c r="H446" t="s">
        <v>17</v>
      </c>
      <c r="I446" s="2" t="str">
        <f t="shared" si="48"/>
        <v>East</v>
      </c>
      <c r="J446" t="s">
        <v>12</v>
      </c>
      <c r="K446" t="s">
        <v>36</v>
      </c>
      <c r="L446">
        <v>14</v>
      </c>
      <c r="M446">
        <v>120</v>
      </c>
      <c r="N446">
        <f t="shared" si="52"/>
        <v>1680</v>
      </c>
      <c r="O446">
        <f t="shared" si="53"/>
        <v>168</v>
      </c>
      <c r="P446" t="str">
        <f t="shared" si="54"/>
        <v>Large Order</v>
      </c>
      <c r="Q446" t="str">
        <f t="shared" si="55"/>
        <v>Weekend</v>
      </c>
    </row>
    <row r="447" spans="1:17" x14ac:dyDescent="0.35">
      <c r="A447" t="s">
        <v>590</v>
      </c>
      <c r="B447" s="7">
        <v>45384</v>
      </c>
      <c r="C447" s="13">
        <f t="shared" si="49"/>
        <v>2024</v>
      </c>
      <c r="D447" s="7" t="str">
        <f t="shared" si="50"/>
        <v>Apr</v>
      </c>
      <c r="E447" s="7" t="str">
        <f t="shared" si="51"/>
        <v>Tue</v>
      </c>
      <c r="F447" t="s">
        <v>591</v>
      </c>
      <c r="G447" t="s">
        <v>102</v>
      </c>
      <c r="H447" t="s">
        <v>17</v>
      </c>
      <c r="I447" s="2" t="str">
        <f t="shared" si="48"/>
        <v>West</v>
      </c>
      <c r="J447" t="s">
        <v>42</v>
      </c>
      <c r="K447" t="s">
        <v>32</v>
      </c>
      <c r="L447">
        <v>3</v>
      </c>
      <c r="M447">
        <v>120</v>
      </c>
      <c r="N447">
        <f t="shared" si="52"/>
        <v>360</v>
      </c>
      <c r="O447">
        <f t="shared" si="53"/>
        <v>36</v>
      </c>
      <c r="P447" t="str">
        <f t="shared" si="54"/>
        <v>Standard Order</v>
      </c>
      <c r="Q447" t="str">
        <f t="shared" si="55"/>
        <v>Weekday</v>
      </c>
    </row>
    <row r="448" spans="1:17" x14ac:dyDescent="0.35">
      <c r="A448" t="s">
        <v>592</v>
      </c>
      <c r="B448" s="7">
        <v>45448</v>
      </c>
      <c r="C448" s="13">
        <f t="shared" si="49"/>
        <v>2024</v>
      </c>
      <c r="D448" s="7" t="str">
        <f t="shared" si="50"/>
        <v>Jun</v>
      </c>
      <c r="E448" s="7" t="str">
        <f t="shared" si="51"/>
        <v>Wed</v>
      </c>
      <c r="F448" t="s">
        <v>430</v>
      </c>
      <c r="G448" t="s">
        <v>45</v>
      </c>
      <c r="H448" t="s">
        <v>22</v>
      </c>
      <c r="I448" s="2" t="str">
        <f t="shared" si="48"/>
        <v>East</v>
      </c>
      <c r="J448" t="s">
        <v>27</v>
      </c>
      <c r="K448" t="s">
        <v>13</v>
      </c>
      <c r="L448">
        <v>15</v>
      </c>
      <c r="M448">
        <v>120</v>
      </c>
      <c r="N448">
        <f t="shared" si="52"/>
        <v>1800</v>
      </c>
      <c r="O448">
        <f t="shared" si="53"/>
        <v>180</v>
      </c>
      <c r="P448" t="str">
        <f t="shared" si="54"/>
        <v>Large Order</v>
      </c>
      <c r="Q448" t="str">
        <f t="shared" si="55"/>
        <v>Weekday</v>
      </c>
    </row>
    <row r="449" spans="1:17" x14ac:dyDescent="0.35">
      <c r="A449" t="s">
        <v>593</v>
      </c>
      <c r="B449" s="7">
        <v>45472</v>
      </c>
      <c r="C449" s="13">
        <f t="shared" si="49"/>
        <v>2024</v>
      </c>
      <c r="D449" s="7" t="str">
        <f t="shared" si="50"/>
        <v>Jun</v>
      </c>
      <c r="E449" s="7" t="str">
        <f t="shared" si="51"/>
        <v>Sat</v>
      </c>
      <c r="F449" t="s">
        <v>594</v>
      </c>
      <c r="G449" t="s">
        <v>21</v>
      </c>
      <c r="H449" t="s">
        <v>17</v>
      </c>
      <c r="I449" s="2" t="str">
        <f t="shared" si="48"/>
        <v>South</v>
      </c>
      <c r="J449" t="s">
        <v>42</v>
      </c>
      <c r="K449" t="s">
        <v>23</v>
      </c>
      <c r="L449">
        <v>2</v>
      </c>
      <c r="M449">
        <v>120</v>
      </c>
      <c r="N449">
        <f t="shared" si="52"/>
        <v>240</v>
      </c>
      <c r="O449">
        <f t="shared" si="53"/>
        <v>24</v>
      </c>
      <c r="P449" t="str">
        <f t="shared" si="54"/>
        <v>Standard Order</v>
      </c>
      <c r="Q449" t="str">
        <f t="shared" si="55"/>
        <v>Weekend</v>
      </c>
    </row>
    <row r="450" spans="1:17" x14ac:dyDescent="0.35">
      <c r="A450" t="s">
        <v>595</v>
      </c>
      <c r="B450" s="7">
        <v>45478</v>
      </c>
      <c r="C450" s="13">
        <f t="shared" si="49"/>
        <v>2024</v>
      </c>
      <c r="D450" s="7" t="str">
        <f t="shared" si="50"/>
        <v>Jul</v>
      </c>
      <c r="E450" s="7" t="str">
        <f t="shared" si="51"/>
        <v>Fri</v>
      </c>
      <c r="F450" t="s">
        <v>345</v>
      </c>
      <c r="G450" t="s">
        <v>96</v>
      </c>
      <c r="H450" t="s">
        <v>22</v>
      </c>
      <c r="I450" s="2" t="str">
        <f t="shared" si="48"/>
        <v>South</v>
      </c>
      <c r="J450" t="s">
        <v>56</v>
      </c>
      <c r="K450" t="s">
        <v>23</v>
      </c>
      <c r="L450">
        <v>5</v>
      </c>
      <c r="M450">
        <v>120</v>
      </c>
      <c r="N450">
        <f t="shared" si="52"/>
        <v>600</v>
      </c>
      <c r="O450">
        <f t="shared" si="53"/>
        <v>60</v>
      </c>
      <c r="P450" t="str">
        <f t="shared" si="54"/>
        <v>Large Order</v>
      </c>
      <c r="Q450" t="str">
        <f t="shared" si="55"/>
        <v>Weekday</v>
      </c>
    </row>
    <row r="451" spans="1:17" x14ac:dyDescent="0.35">
      <c r="A451" t="s">
        <v>596</v>
      </c>
      <c r="B451" s="7">
        <v>45309</v>
      </c>
      <c r="C451" s="13">
        <f t="shared" si="49"/>
        <v>2024</v>
      </c>
      <c r="D451" s="7" t="str">
        <f t="shared" si="50"/>
        <v>Jan</v>
      </c>
      <c r="E451" s="7" t="str">
        <f t="shared" si="51"/>
        <v>Thu</v>
      </c>
      <c r="F451" t="s">
        <v>34</v>
      </c>
      <c r="G451" t="s">
        <v>119</v>
      </c>
      <c r="H451" t="s">
        <v>11</v>
      </c>
      <c r="I451" s="2" t="str">
        <f t="shared" ref="I451:I514" si="56">TRIM(J452)</f>
        <v>West</v>
      </c>
      <c r="J451" t="s">
        <v>56</v>
      </c>
      <c r="K451" t="s">
        <v>36</v>
      </c>
      <c r="L451">
        <v>12</v>
      </c>
      <c r="M451">
        <v>120</v>
      </c>
      <c r="N451">
        <f t="shared" si="52"/>
        <v>1440</v>
      </c>
      <c r="O451">
        <f t="shared" si="53"/>
        <v>144</v>
      </c>
      <c r="P451" t="str">
        <f t="shared" si="54"/>
        <v>Large Order</v>
      </c>
      <c r="Q451" t="str">
        <f t="shared" si="55"/>
        <v>Weekday</v>
      </c>
    </row>
    <row r="452" spans="1:17" x14ac:dyDescent="0.35">
      <c r="A452" t="s">
        <v>597</v>
      </c>
      <c r="B452" s="7">
        <v>45308</v>
      </c>
      <c r="C452" s="13">
        <f t="shared" ref="C452:C515" si="57">YEAR(B452)</f>
        <v>2024</v>
      </c>
      <c r="D452" s="7" t="str">
        <f t="shared" ref="D452:D515" si="58">TEXT(B452,"mmm")</f>
        <v>Jan</v>
      </c>
      <c r="E452" s="7" t="str">
        <f t="shared" ref="E452:E515" si="59">TEXT(B452,"ddd")</f>
        <v>Wed</v>
      </c>
      <c r="F452" t="s">
        <v>493</v>
      </c>
      <c r="G452" t="s">
        <v>48</v>
      </c>
      <c r="H452" t="s">
        <v>11</v>
      </c>
      <c r="I452" s="2" t="str">
        <f t="shared" si="56"/>
        <v>East</v>
      </c>
      <c r="J452" t="s">
        <v>27</v>
      </c>
      <c r="K452" t="s">
        <v>13</v>
      </c>
      <c r="L452">
        <v>12</v>
      </c>
      <c r="M452">
        <v>120</v>
      </c>
      <c r="N452">
        <f t="shared" ref="N452:N515" si="60">M452*L452</f>
        <v>1440</v>
      </c>
      <c r="O452">
        <f t="shared" ref="O452:O515" si="61">N452*0.1</f>
        <v>144</v>
      </c>
      <c r="P452" t="str">
        <f t="shared" ref="P452:P515" si="62">IF(N452&gt;500,"Large Order","Standard Order")</f>
        <v>Large Order</v>
      </c>
      <c r="Q452" t="str">
        <f t="shared" ref="Q452:Q515" si="63">IF(OR(TRIM(E452)="Sat",TRIM(E452)="Sun"),"Weekend","Weekday")</f>
        <v>Weekday</v>
      </c>
    </row>
    <row r="453" spans="1:17" x14ac:dyDescent="0.35">
      <c r="A453" t="s">
        <v>598</v>
      </c>
      <c r="B453" s="7">
        <v>45585</v>
      </c>
      <c r="C453" s="13">
        <f t="shared" si="57"/>
        <v>2024</v>
      </c>
      <c r="D453" s="7" t="str">
        <f t="shared" si="58"/>
        <v>Oct</v>
      </c>
      <c r="E453" s="7" t="str">
        <f t="shared" si="59"/>
        <v>Sun</v>
      </c>
      <c r="F453" t="s">
        <v>99</v>
      </c>
      <c r="G453" t="s">
        <v>31</v>
      </c>
      <c r="H453" t="s">
        <v>22</v>
      </c>
      <c r="I453" s="2" t="str">
        <f t="shared" si="56"/>
        <v>South</v>
      </c>
      <c r="J453" t="s">
        <v>42</v>
      </c>
      <c r="K453" t="s">
        <v>28</v>
      </c>
      <c r="L453">
        <v>11</v>
      </c>
      <c r="M453">
        <v>120</v>
      </c>
      <c r="N453">
        <f t="shared" si="60"/>
        <v>1320</v>
      </c>
      <c r="O453">
        <f t="shared" si="61"/>
        <v>132</v>
      </c>
      <c r="P453" t="str">
        <f t="shared" si="62"/>
        <v>Large Order</v>
      </c>
      <c r="Q453" t="str">
        <f t="shared" si="63"/>
        <v>Weekend</v>
      </c>
    </row>
    <row r="454" spans="1:17" x14ac:dyDescent="0.35">
      <c r="A454" t="s">
        <v>599</v>
      </c>
      <c r="B454" s="7">
        <v>45350</v>
      </c>
      <c r="C454" s="13">
        <f t="shared" si="57"/>
        <v>2024</v>
      </c>
      <c r="D454" s="7" t="str">
        <f t="shared" si="58"/>
        <v>Feb</v>
      </c>
      <c r="E454" s="7" t="str">
        <f t="shared" si="59"/>
        <v>Wed</v>
      </c>
      <c r="F454" t="s">
        <v>64</v>
      </c>
      <c r="G454" t="s">
        <v>35</v>
      </c>
      <c r="H454" t="s">
        <v>22</v>
      </c>
      <c r="I454" s="2" t="str">
        <f t="shared" si="56"/>
        <v>West</v>
      </c>
      <c r="J454" t="s">
        <v>56</v>
      </c>
      <c r="K454" t="s">
        <v>36</v>
      </c>
      <c r="L454">
        <v>17</v>
      </c>
      <c r="M454">
        <v>120</v>
      </c>
      <c r="N454">
        <f t="shared" si="60"/>
        <v>2040</v>
      </c>
      <c r="O454">
        <f t="shared" si="61"/>
        <v>204</v>
      </c>
      <c r="P454" t="str">
        <f t="shared" si="62"/>
        <v>Large Order</v>
      </c>
      <c r="Q454" t="str">
        <f t="shared" si="63"/>
        <v>Weekday</v>
      </c>
    </row>
    <row r="455" spans="1:17" x14ac:dyDescent="0.35">
      <c r="A455" t="s">
        <v>600</v>
      </c>
      <c r="B455" s="7">
        <v>45352</v>
      </c>
      <c r="C455" s="13">
        <f t="shared" si="57"/>
        <v>2024</v>
      </c>
      <c r="D455" s="7" t="str">
        <f t="shared" si="58"/>
        <v>Mar</v>
      </c>
      <c r="E455" s="7" t="str">
        <f t="shared" si="59"/>
        <v>Fri</v>
      </c>
      <c r="F455" t="s">
        <v>86</v>
      </c>
      <c r="G455" t="s">
        <v>65</v>
      </c>
      <c r="H455" t="s">
        <v>17</v>
      </c>
      <c r="I455" s="2" t="str">
        <f t="shared" si="56"/>
        <v>North</v>
      </c>
      <c r="J455" t="s">
        <v>27</v>
      </c>
      <c r="K455" t="s">
        <v>23</v>
      </c>
      <c r="L455">
        <v>20</v>
      </c>
      <c r="M455">
        <v>120</v>
      </c>
      <c r="N455">
        <f t="shared" si="60"/>
        <v>2400</v>
      </c>
      <c r="O455">
        <f t="shared" si="61"/>
        <v>240</v>
      </c>
      <c r="P455" t="str">
        <f t="shared" si="62"/>
        <v>Large Order</v>
      </c>
      <c r="Q455" t="str">
        <f t="shared" si="63"/>
        <v>Weekday</v>
      </c>
    </row>
    <row r="456" spans="1:17" x14ac:dyDescent="0.35">
      <c r="A456" t="s">
        <v>601</v>
      </c>
      <c r="B456" s="7">
        <v>45394</v>
      </c>
      <c r="C456" s="13">
        <f t="shared" si="57"/>
        <v>2024</v>
      </c>
      <c r="D456" s="7" t="str">
        <f t="shared" si="58"/>
        <v>Apr</v>
      </c>
      <c r="E456" s="7" t="str">
        <f t="shared" si="59"/>
        <v>Fri</v>
      </c>
      <c r="F456" t="s">
        <v>114</v>
      </c>
      <c r="G456" t="s">
        <v>70</v>
      </c>
      <c r="H456" t="s">
        <v>11</v>
      </c>
      <c r="I456" s="2" t="str">
        <f t="shared" si="56"/>
        <v>East</v>
      </c>
      <c r="J456" t="s">
        <v>12</v>
      </c>
      <c r="K456" t="s">
        <v>23</v>
      </c>
      <c r="L456">
        <v>6</v>
      </c>
      <c r="M456">
        <v>120</v>
      </c>
      <c r="N456">
        <f t="shared" si="60"/>
        <v>720</v>
      </c>
      <c r="O456">
        <f t="shared" si="61"/>
        <v>72</v>
      </c>
      <c r="P456" t="str">
        <f t="shared" si="62"/>
        <v>Large Order</v>
      </c>
      <c r="Q456" t="str">
        <f t="shared" si="63"/>
        <v>Weekday</v>
      </c>
    </row>
    <row r="457" spans="1:17" x14ac:dyDescent="0.35">
      <c r="A457" t="s">
        <v>602</v>
      </c>
      <c r="B457" s="7">
        <v>45336</v>
      </c>
      <c r="C457" s="13">
        <f t="shared" si="57"/>
        <v>2024</v>
      </c>
      <c r="D457" s="7" t="str">
        <f t="shared" si="58"/>
        <v>Feb</v>
      </c>
      <c r="E457" s="7" t="str">
        <f t="shared" si="59"/>
        <v>Wed</v>
      </c>
      <c r="F457" t="s">
        <v>455</v>
      </c>
      <c r="G457" t="s">
        <v>62</v>
      </c>
      <c r="H457" t="s">
        <v>17</v>
      </c>
      <c r="I457" s="2" t="str">
        <f t="shared" si="56"/>
        <v>South</v>
      </c>
      <c r="J457" t="s">
        <v>42</v>
      </c>
      <c r="K457" t="s">
        <v>32</v>
      </c>
      <c r="L457">
        <v>3</v>
      </c>
      <c r="M457">
        <v>120</v>
      </c>
      <c r="N457">
        <f t="shared" si="60"/>
        <v>360</v>
      </c>
      <c r="O457">
        <f t="shared" si="61"/>
        <v>36</v>
      </c>
      <c r="P457" t="str">
        <f t="shared" si="62"/>
        <v>Standard Order</v>
      </c>
      <c r="Q457" t="str">
        <f t="shared" si="63"/>
        <v>Weekday</v>
      </c>
    </row>
    <row r="458" spans="1:17" x14ac:dyDescent="0.35">
      <c r="A458" t="s">
        <v>603</v>
      </c>
      <c r="B458" s="7">
        <v>45445</v>
      </c>
      <c r="C458" s="13">
        <f t="shared" si="57"/>
        <v>2024</v>
      </c>
      <c r="D458" s="7" t="str">
        <f t="shared" si="58"/>
        <v>Jun</v>
      </c>
      <c r="E458" s="7" t="str">
        <f t="shared" si="59"/>
        <v>Sun</v>
      </c>
      <c r="F458" t="s">
        <v>111</v>
      </c>
      <c r="G458" t="s">
        <v>48</v>
      </c>
      <c r="H458" t="s">
        <v>22</v>
      </c>
      <c r="I458" s="2" t="str">
        <f t="shared" si="56"/>
        <v>North</v>
      </c>
      <c r="J458" t="s">
        <v>56</v>
      </c>
      <c r="K458" t="s">
        <v>28</v>
      </c>
      <c r="L458">
        <v>17</v>
      </c>
      <c r="M458">
        <v>120</v>
      </c>
      <c r="N458">
        <f t="shared" si="60"/>
        <v>2040</v>
      </c>
      <c r="O458">
        <f t="shared" si="61"/>
        <v>204</v>
      </c>
      <c r="P458" t="str">
        <f t="shared" si="62"/>
        <v>Large Order</v>
      </c>
      <c r="Q458" t="str">
        <f t="shared" si="63"/>
        <v>Weekend</v>
      </c>
    </row>
    <row r="459" spans="1:17" x14ac:dyDescent="0.35">
      <c r="A459" t="s">
        <v>604</v>
      </c>
      <c r="B459" s="7">
        <v>45363</v>
      </c>
      <c r="C459" s="13">
        <f t="shared" si="57"/>
        <v>2024</v>
      </c>
      <c r="D459" s="7" t="str">
        <f t="shared" si="58"/>
        <v>Mar</v>
      </c>
      <c r="E459" s="7" t="str">
        <f t="shared" si="59"/>
        <v>Tue</v>
      </c>
      <c r="F459" t="s">
        <v>93</v>
      </c>
      <c r="G459" t="s">
        <v>48</v>
      </c>
      <c r="H459" t="s">
        <v>17</v>
      </c>
      <c r="I459" s="2" t="str">
        <f t="shared" si="56"/>
        <v>North</v>
      </c>
      <c r="J459" t="s">
        <v>12</v>
      </c>
      <c r="K459" t="s">
        <v>23</v>
      </c>
      <c r="L459">
        <v>18</v>
      </c>
      <c r="M459">
        <v>120</v>
      </c>
      <c r="N459">
        <f t="shared" si="60"/>
        <v>2160</v>
      </c>
      <c r="O459">
        <f t="shared" si="61"/>
        <v>216</v>
      </c>
      <c r="P459" t="str">
        <f t="shared" si="62"/>
        <v>Large Order</v>
      </c>
      <c r="Q459" t="str">
        <f t="shared" si="63"/>
        <v>Weekday</v>
      </c>
    </row>
    <row r="460" spans="1:17" x14ac:dyDescent="0.35">
      <c r="A460" t="s">
        <v>605</v>
      </c>
      <c r="B460" s="7">
        <v>45574</v>
      </c>
      <c r="C460" s="13">
        <f t="shared" si="57"/>
        <v>2024</v>
      </c>
      <c r="D460" s="7" t="str">
        <f t="shared" si="58"/>
        <v>Oct</v>
      </c>
      <c r="E460" s="7" t="str">
        <f t="shared" si="59"/>
        <v>Wed</v>
      </c>
      <c r="F460" t="s">
        <v>34</v>
      </c>
      <c r="G460" t="s">
        <v>10</v>
      </c>
      <c r="H460" t="s">
        <v>22</v>
      </c>
      <c r="I460" s="2" t="str">
        <f t="shared" si="56"/>
        <v>Central</v>
      </c>
      <c r="J460" t="s">
        <v>12</v>
      </c>
      <c r="K460" t="s">
        <v>23</v>
      </c>
      <c r="L460">
        <v>10</v>
      </c>
      <c r="M460">
        <v>120</v>
      </c>
      <c r="N460">
        <f t="shared" si="60"/>
        <v>1200</v>
      </c>
      <c r="O460">
        <f t="shared" si="61"/>
        <v>120</v>
      </c>
      <c r="P460" t="str">
        <f t="shared" si="62"/>
        <v>Large Order</v>
      </c>
      <c r="Q460" t="str">
        <f t="shared" si="63"/>
        <v>Weekday</v>
      </c>
    </row>
    <row r="461" spans="1:17" x14ac:dyDescent="0.35">
      <c r="A461" t="s">
        <v>606</v>
      </c>
      <c r="B461" s="7">
        <v>45561</v>
      </c>
      <c r="C461" s="13">
        <f t="shared" si="57"/>
        <v>2024</v>
      </c>
      <c r="D461" s="7" t="str">
        <f t="shared" si="58"/>
        <v>Sep</v>
      </c>
      <c r="E461" s="7" t="str">
        <f t="shared" si="59"/>
        <v>Thu</v>
      </c>
      <c r="F461" t="s">
        <v>408</v>
      </c>
      <c r="G461" t="s">
        <v>10</v>
      </c>
      <c r="H461" t="s">
        <v>17</v>
      </c>
      <c r="I461" s="2" t="str">
        <f t="shared" si="56"/>
        <v>Central</v>
      </c>
      <c r="J461" t="s">
        <v>306</v>
      </c>
      <c r="K461" t="s">
        <v>13</v>
      </c>
      <c r="L461">
        <v>5</v>
      </c>
      <c r="M461">
        <v>120</v>
      </c>
      <c r="N461">
        <f t="shared" si="60"/>
        <v>600</v>
      </c>
      <c r="O461">
        <f t="shared" si="61"/>
        <v>60</v>
      </c>
      <c r="P461" t="str">
        <f t="shared" si="62"/>
        <v>Large Order</v>
      </c>
      <c r="Q461" t="str">
        <f t="shared" si="63"/>
        <v>Weekday</v>
      </c>
    </row>
    <row r="462" spans="1:17" x14ac:dyDescent="0.35">
      <c r="A462" t="s">
        <v>607</v>
      </c>
      <c r="B462" s="7">
        <v>45522</v>
      </c>
      <c r="C462" s="13">
        <f t="shared" si="57"/>
        <v>2024</v>
      </c>
      <c r="D462" s="7" t="str">
        <f t="shared" si="58"/>
        <v>Aug</v>
      </c>
      <c r="E462" s="7" t="str">
        <f t="shared" si="59"/>
        <v>Sun</v>
      </c>
      <c r="F462" t="s">
        <v>319</v>
      </c>
      <c r="G462" t="s">
        <v>48</v>
      </c>
      <c r="H462" t="s">
        <v>22</v>
      </c>
      <c r="I462" s="2" t="str">
        <f t="shared" si="56"/>
        <v>South</v>
      </c>
      <c r="J462" t="s">
        <v>306</v>
      </c>
      <c r="K462" t="s">
        <v>36</v>
      </c>
      <c r="L462">
        <v>5</v>
      </c>
      <c r="M462">
        <v>120</v>
      </c>
      <c r="N462">
        <f t="shared" si="60"/>
        <v>600</v>
      </c>
      <c r="O462">
        <f t="shared" si="61"/>
        <v>60</v>
      </c>
      <c r="P462" t="str">
        <f t="shared" si="62"/>
        <v>Large Order</v>
      </c>
      <c r="Q462" t="str">
        <f t="shared" si="63"/>
        <v>Weekend</v>
      </c>
    </row>
    <row r="463" spans="1:17" x14ac:dyDescent="0.35">
      <c r="A463" t="s">
        <v>608</v>
      </c>
      <c r="B463" s="7">
        <v>45619</v>
      </c>
      <c r="C463" s="13">
        <f t="shared" si="57"/>
        <v>2024</v>
      </c>
      <c r="D463" s="7" t="str">
        <f t="shared" si="58"/>
        <v>Nov</v>
      </c>
      <c r="E463" s="7" t="str">
        <f t="shared" si="59"/>
        <v>Sat</v>
      </c>
      <c r="F463" t="s">
        <v>449</v>
      </c>
      <c r="G463" t="s">
        <v>87</v>
      </c>
      <c r="H463" t="s">
        <v>11</v>
      </c>
      <c r="I463" s="2" t="str">
        <f t="shared" si="56"/>
        <v>East</v>
      </c>
      <c r="J463" t="s">
        <v>56</v>
      </c>
      <c r="K463" t="s">
        <v>13</v>
      </c>
      <c r="L463">
        <v>17</v>
      </c>
      <c r="M463">
        <v>120</v>
      </c>
      <c r="N463">
        <f t="shared" si="60"/>
        <v>2040</v>
      </c>
      <c r="O463">
        <f t="shared" si="61"/>
        <v>204</v>
      </c>
      <c r="P463" t="str">
        <f t="shared" si="62"/>
        <v>Large Order</v>
      </c>
      <c r="Q463" t="str">
        <f t="shared" si="63"/>
        <v>Weekend</v>
      </c>
    </row>
    <row r="464" spans="1:17" x14ac:dyDescent="0.35">
      <c r="A464" t="s">
        <v>609</v>
      </c>
      <c r="B464" s="7">
        <v>45355</v>
      </c>
      <c r="C464" s="13">
        <f t="shared" si="57"/>
        <v>2024</v>
      </c>
      <c r="D464" s="7" t="str">
        <f t="shared" si="58"/>
        <v>Mar</v>
      </c>
      <c r="E464" s="7" t="str">
        <f t="shared" si="59"/>
        <v>Mon</v>
      </c>
      <c r="F464" t="s">
        <v>363</v>
      </c>
      <c r="G464" t="s">
        <v>45</v>
      </c>
      <c r="H464" t="s">
        <v>11</v>
      </c>
      <c r="I464" s="2" t="str">
        <f t="shared" si="56"/>
        <v>North</v>
      </c>
      <c r="J464" t="s">
        <v>42</v>
      </c>
      <c r="K464" t="s">
        <v>28</v>
      </c>
      <c r="L464">
        <v>6</v>
      </c>
      <c r="M464">
        <v>120</v>
      </c>
      <c r="N464">
        <f t="shared" si="60"/>
        <v>720</v>
      </c>
      <c r="O464">
        <f t="shared" si="61"/>
        <v>72</v>
      </c>
      <c r="P464" t="str">
        <f t="shared" si="62"/>
        <v>Large Order</v>
      </c>
      <c r="Q464" t="str">
        <f t="shared" si="63"/>
        <v>Weekday</v>
      </c>
    </row>
    <row r="465" spans="1:17" x14ac:dyDescent="0.35">
      <c r="A465" t="s">
        <v>610</v>
      </c>
      <c r="B465" s="7">
        <v>45469</v>
      </c>
      <c r="C465" s="13">
        <f t="shared" si="57"/>
        <v>2024</v>
      </c>
      <c r="D465" s="7" t="str">
        <f t="shared" si="58"/>
        <v>Jun</v>
      </c>
      <c r="E465" s="7" t="str">
        <f t="shared" si="59"/>
        <v>Wed</v>
      </c>
      <c r="F465" t="s">
        <v>363</v>
      </c>
      <c r="G465" t="s">
        <v>26</v>
      </c>
      <c r="H465" t="s">
        <v>17</v>
      </c>
      <c r="I465" s="2" t="str">
        <f t="shared" si="56"/>
        <v>East</v>
      </c>
      <c r="J465" t="s">
        <v>12</v>
      </c>
      <c r="K465" t="s">
        <v>36</v>
      </c>
      <c r="L465">
        <v>7</v>
      </c>
      <c r="M465">
        <v>120</v>
      </c>
      <c r="N465">
        <f t="shared" si="60"/>
        <v>840</v>
      </c>
      <c r="O465">
        <f t="shared" si="61"/>
        <v>84</v>
      </c>
      <c r="P465" t="str">
        <f t="shared" si="62"/>
        <v>Large Order</v>
      </c>
      <c r="Q465" t="str">
        <f t="shared" si="63"/>
        <v>Weekday</v>
      </c>
    </row>
    <row r="466" spans="1:17" x14ac:dyDescent="0.35">
      <c r="A466" t="s">
        <v>611</v>
      </c>
      <c r="B466" s="7">
        <v>45432</v>
      </c>
      <c r="C466" s="13">
        <f t="shared" si="57"/>
        <v>2024</v>
      </c>
      <c r="D466" s="7" t="str">
        <f t="shared" si="58"/>
        <v>May</v>
      </c>
      <c r="E466" s="7" t="str">
        <f t="shared" si="59"/>
        <v>Mon</v>
      </c>
      <c r="F466" t="s">
        <v>34</v>
      </c>
      <c r="G466" t="s">
        <v>109</v>
      </c>
      <c r="H466" t="s">
        <v>22</v>
      </c>
      <c r="I466" s="2" t="str">
        <f t="shared" si="56"/>
        <v>South</v>
      </c>
      <c r="J466" t="s">
        <v>42</v>
      </c>
      <c r="K466" t="s">
        <v>28</v>
      </c>
      <c r="L466">
        <v>18</v>
      </c>
      <c r="M466">
        <v>120</v>
      </c>
      <c r="N466">
        <f t="shared" si="60"/>
        <v>2160</v>
      </c>
      <c r="O466">
        <f t="shared" si="61"/>
        <v>216</v>
      </c>
      <c r="P466" t="str">
        <f t="shared" si="62"/>
        <v>Large Order</v>
      </c>
      <c r="Q466" t="str">
        <f t="shared" si="63"/>
        <v>Weekday</v>
      </c>
    </row>
    <row r="467" spans="1:17" x14ac:dyDescent="0.35">
      <c r="A467" t="s">
        <v>612</v>
      </c>
      <c r="B467" s="7">
        <v>45595</v>
      </c>
      <c r="C467" s="13">
        <f t="shared" si="57"/>
        <v>2024</v>
      </c>
      <c r="D467" s="7" t="str">
        <f t="shared" si="58"/>
        <v>Oct</v>
      </c>
      <c r="E467" s="7" t="str">
        <f t="shared" si="59"/>
        <v>Wed</v>
      </c>
      <c r="F467" t="s">
        <v>361</v>
      </c>
      <c r="G467" t="s">
        <v>41</v>
      </c>
      <c r="H467" t="s">
        <v>11</v>
      </c>
      <c r="I467" s="2" t="str">
        <f t="shared" si="56"/>
        <v>North</v>
      </c>
      <c r="J467" t="s">
        <v>56</v>
      </c>
      <c r="K467" t="s">
        <v>36</v>
      </c>
      <c r="L467">
        <v>20</v>
      </c>
      <c r="M467">
        <v>120</v>
      </c>
      <c r="N467">
        <f t="shared" si="60"/>
        <v>2400</v>
      </c>
      <c r="O467">
        <f t="shared" si="61"/>
        <v>240</v>
      </c>
      <c r="P467" t="str">
        <f t="shared" si="62"/>
        <v>Large Order</v>
      </c>
      <c r="Q467" t="str">
        <f t="shared" si="63"/>
        <v>Weekday</v>
      </c>
    </row>
    <row r="468" spans="1:17" x14ac:dyDescent="0.35">
      <c r="A468" t="s">
        <v>613</v>
      </c>
      <c r="B468" s="7">
        <v>45464</v>
      </c>
      <c r="C468" s="13">
        <f t="shared" si="57"/>
        <v>2024</v>
      </c>
      <c r="D468" s="7" t="str">
        <f t="shared" si="58"/>
        <v>Jun</v>
      </c>
      <c r="E468" s="7" t="str">
        <f t="shared" si="59"/>
        <v>Fri</v>
      </c>
      <c r="F468" t="s">
        <v>614</v>
      </c>
      <c r="G468" t="s">
        <v>10</v>
      </c>
      <c r="H468" t="s">
        <v>11</v>
      </c>
      <c r="I468" s="2" t="str">
        <f t="shared" si="56"/>
        <v>Central</v>
      </c>
      <c r="J468" t="s">
        <v>12</v>
      </c>
      <c r="K468" t="s">
        <v>36</v>
      </c>
      <c r="L468">
        <v>2</v>
      </c>
      <c r="M468">
        <v>120</v>
      </c>
      <c r="N468">
        <f t="shared" si="60"/>
        <v>240</v>
      </c>
      <c r="O468">
        <f t="shared" si="61"/>
        <v>24</v>
      </c>
      <c r="P468" t="str">
        <f t="shared" si="62"/>
        <v>Standard Order</v>
      </c>
      <c r="Q468" t="str">
        <f t="shared" si="63"/>
        <v>Weekday</v>
      </c>
    </row>
    <row r="469" spans="1:17" x14ac:dyDescent="0.35">
      <c r="A469" t="s">
        <v>615</v>
      </c>
      <c r="B469" s="7">
        <v>45427</v>
      </c>
      <c r="C469" s="13">
        <f t="shared" si="57"/>
        <v>2024</v>
      </c>
      <c r="D469" s="7" t="str">
        <f t="shared" si="58"/>
        <v>May</v>
      </c>
      <c r="E469" s="7" t="str">
        <f t="shared" si="59"/>
        <v>Wed</v>
      </c>
      <c r="F469" t="s">
        <v>350</v>
      </c>
      <c r="G469" t="s">
        <v>87</v>
      </c>
      <c r="H469" t="s">
        <v>11</v>
      </c>
      <c r="I469" s="2" t="str">
        <f t="shared" si="56"/>
        <v>East</v>
      </c>
      <c r="J469" t="s">
        <v>306</v>
      </c>
      <c r="K469" t="s">
        <v>23</v>
      </c>
      <c r="L469">
        <v>20</v>
      </c>
      <c r="M469">
        <v>120</v>
      </c>
      <c r="N469">
        <f t="shared" si="60"/>
        <v>2400</v>
      </c>
      <c r="O469">
        <f t="shared" si="61"/>
        <v>240</v>
      </c>
      <c r="P469" t="str">
        <f t="shared" si="62"/>
        <v>Large Order</v>
      </c>
      <c r="Q469" t="str">
        <f t="shared" si="63"/>
        <v>Weekday</v>
      </c>
    </row>
    <row r="470" spans="1:17" x14ac:dyDescent="0.35">
      <c r="A470" t="s">
        <v>616</v>
      </c>
      <c r="B470" s="7">
        <v>45613</v>
      </c>
      <c r="C470" s="13">
        <f t="shared" si="57"/>
        <v>2024</v>
      </c>
      <c r="D470" s="7" t="str">
        <f t="shared" si="58"/>
        <v>Nov</v>
      </c>
      <c r="E470" s="7" t="str">
        <f t="shared" si="59"/>
        <v>Sun</v>
      </c>
      <c r="F470" t="s">
        <v>591</v>
      </c>
      <c r="G470" t="s">
        <v>35</v>
      </c>
      <c r="H470" t="s">
        <v>17</v>
      </c>
      <c r="I470" s="2" t="str">
        <f t="shared" si="56"/>
        <v>North</v>
      </c>
      <c r="J470" t="s">
        <v>42</v>
      </c>
      <c r="K470" t="s">
        <v>23</v>
      </c>
      <c r="L470">
        <v>8</v>
      </c>
      <c r="M470">
        <v>120</v>
      </c>
      <c r="N470">
        <f t="shared" si="60"/>
        <v>960</v>
      </c>
      <c r="O470">
        <f t="shared" si="61"/>
        <v>96</v>
      </c>
      <c r="P470" t="str">
        <f t="shared" si="62"/>
        <v>Large Order</v>
      </c>
      <c r="Q470" t="str">
        <f t="shared" si="63"/>
        <v>Weekend</v>
      </c>
    </row>
    <row r="471" spans="1:17" x14ac:dyDescent="0.35">
      <c r="A471" t="s">
        <v>617</v>
      </c>
      <c r="B471" s="7">
        <v>45444</v>
      </c>
      <c r="C471" s="13">
        <f t="shared" si="57"/>
        <v>2024</v>
      </c>
      <c r="D471" s="7" t="str">
        <f t="shared" si="58"/>
        <v>Jun</v>
      </c>
      <c r="E471" s="7" t="str">
        <f t="shared" si="59"/>
        <v>Sat</v>
      </c>
      <c r="F471" t="s">
        <v>366</v>
      </c>
      <c r="G471" t="s">
        <v>45</v>
      </c>
      <c r="H471" t="s">
        <v>11</v>
      </c>
      <c r="I471" s="2" t="str">
        <f t="shared" si="56"/>
        <v>South</v>
      </c>
      <c r="J471" t="s">
        <v>12</v>
      </c>
      <c r="K471" t="s">
        <v>23</v>
      </c>
      <c r="L471">
        <v>15</v>
      </c>
      <c r="M471">
        <v>120</v>
      </c>
      <c r="N471">
        <f t="shared" si="60"/>
        <v>1800</v>
      </c>
      <c r="O471">
        <f t="shared" si="61"/>
        <v>180</v>
      </c>
      <c r="P471" t="str">
        <f t="shared" si="62"/>
        <v>Large Order</v>
      </c>
      <c r="Q471" t="str">
        <f t="shared" si="63"/>
        <v>Weekend</v>
      </c>
    </row>
    <row r="472" spans="1:17" x14ac:dyDescent="0.35">
      <c r="A472" t="s">
        <v>618</v>
      </c>
      <c r="B472" s="7">
        <v>45396</v>
      </c>
      <c r="C472" s="13">
        <f t="shared" si="57"/>
        <v>2024</v>
      </c>
      <c r="D472" s="7" t="str">
        <f t="shared" si="58"/>
        <v>Apr</v>
      </c>
      <c r="E472" s="7" t="str">
        <f t="shared" si="59"/>
        <v>Sun</v>
      </c>
      <c r="F472" t="s">
        <v>47</v>
      </c>
      <c r="G472" t="s">
        <v>72</v>
      </c>
      <c r="H472" t="s">
        <v>22</v>
      </c>
      <c r="I472" s="2" t="str">
        <f t="shared" si="56"/>
        <v>Central</v>
      </c>
      <c r="J472" t="s">
        <v>56</v>
      </c>
      <c r="K472" t="s">
        <v>32</v>
      </c>
      <c r="L472">
        <v>11</v>
      </c>
      <c r="M472">
        <v>120</v>
      </c>
      <c r="N472">
        <f t="shared" si="60"/>
        <v>1320</v>
      </c>
      <c r="O472">
        <f t="shared" si="61"/>
        <v>132</v>
      </c>
      <c r="P472" t="str">
        <f t="shared" si="62"/>
        <v>Large Order</v>
      </c>
      <c r="Q472" t="str">
        <f t="shared" si="63"/>
        <v>Weekend</v>
      </c>
    </row>
    <row r="473" spans="1:17" x14ac:dyDescent="0.35">
      <c r="A473" t="s">
        <v>619</v>
      </c>
      <c r="B473" s="7">
        <v>45496</v>
      </c>
      <c r="C473" s="13">
        <f t="shared" si="57"/>
        <v>2024</v>
      </c>
      <c r="D473" s="7" t="str">
        <f t="shared" si="58"/>
        <v>Jul</v>
      </c>
      <c r="E473" s="7" t="str">
        <f t="shared" si="59"/>
        <v>Tue</v>
      </c>
      <c r="F473" t="s">
        <v>34</v>
      </c>
      <c r="G473" t="s">
        <v>174</v>
      </c>
      <c r="H473" t="s">
        <v>17</v>
      </c>
      <c r="I473" s="2" t="str">
        <f t="shared" si="56"/>
        <v>South</v>
      </c>
      <c r="J473" t="s">
        <v>306</v>
      </c>
      <c r="K473" t="s">
        <v>23</v>
      </c>
      <c r="L473">
        <v>4</v>
      </c>
      <c r="M473">
        <v>120</v>
      </c>
      <c r="N473">
        <f t="shared" si="60"/>
        <v>480</v>
      </c>
      <c r="O473">
        <f t="shared" si="61"/>
        <v>48</v>
      </c>
      <c r="P473" t="str">
        <f t="shared" si="62"/>
        <v>Standard Order</v>
      </c>
      <c r="Q473" t="str">
        <f t="shared" si="63"/>
        <v>Weekday</v>
      </c>
    </row>
    <row r="474" spans="1:17" x14ac:dyDescent="0.35">
      <c r="A474" t="s">
        <v>620</v>
      </c>
      <c r="B474" s="7">
        <v>45354</v>
      </c>
      <c r="C474" s="13">
        <f t="shared" si="57"/>
        <v>2024</v>
      </c>
      <c r="D474" s="7" t="str">
        <f t="shared" si="58"/>
        <v>Mar</v>
      </c>
      <c r="E474" s="7" t="str">
        <f t="shared" si="59"/>
        <v>Sun</v>
      </c>
      <c r="F474" t="s">
        <v>101</v>
      </c>
      <c r="G474" t="s">
        <v>16</v>
      </c>
      <c r="H474" t="s">
        <v>17</v>
      </c>
      <c r="I474" s="2" t="str">
        <f t="shared" si="56"/>
        <v>South</v>
      </c>
      <c r="J474" t="s">
        <v>56</v>
      </c>
      <c r="K474" t="s">
        <v>23</v>
      </c>
      <c r="L474">
        <v>4</v>
      </c>
      <c r="M474">
        <v>120</v>
      </c>
      <c r="N474">
        <f t="shared" si="60"/>
        <v>480</v>
      </c>
      <c r="O474">
        <f t="shared" si="61"/>
        <v>48</v>
      </c>
      <c r="P474" t="str">
        <f t="shared" si="62"/>
        <v>Standard Order</v>
      </c>
      <c r="Q474" t="str">
        <f t="shared" si="63"/>
        <v>Weekend</v>
      </c>
    </row>
    <row r="475" spans="1:17" x14ac:dyDescent="0.35">
      <c r="A475" t="s">
        <v>621</v>
      </c>
      <c r="B475" s="7">
        <v>45607</v>
      </c>
      <c r="C475" s="13">
        <f t="shared" si="57"/>
        <v>2024</v>
      </c>
      <c r="D475" s="7" t="str">
        <f t="shared" si="58"/>
        <v>Nov</v>
      </c>
      <c r="E475" s="7" t="str">
        <f t="shared" si="59"/>
        <v>Mon</v>
      </c>
      <c r="F475" t="s">
        <v>572</v>
      </c>
      <c r="G475" t="s">
        <v>72</v>
      </c>
      <c r="H475" t="s">
        <v>11</v>
      </c>
      <c r="I475" s="2" t="str">
        <f t="shared" si="56"/>
        <v>West</v>
      </c>
      <c r="J475" t="s">
        <v>56</v>
      </c>
      <c r="K475" t="s">
        <v>28</v>
      </c>
      <c r="L475">
        <v>19</v>
      </c>
      <c r="M475">
        <v>120</v>
      </c>
      <c r="N475">
        <f t="shared" si="60"/>
        <v>2280</v>
      </c>
      <c r="O475">
        <f t="shared" si="61"/>
        <v>228</v>
      </c>
      <c r="P475" t="str">
        <f t="shared" si="62"/>
        <v>Large Order</v>
      </c>
      <c r="Q475" t="str">
        <f t="shared" si="63"/>
        <v>Weekday</v>
      </c>
    </row>
    <row r="476" spans="1:17" x14ac:dyDescent="0.35">
      <c r="A476" t="s">
        <v>622</v>
      </c>
      <c r="B476" s="7">
        <v>45373</v>
      </c>
      <c r="C476" s="13">
        <f t="shared" si="57"/>
        <v>2024</v>
      </c>
      <c r="D476" s="7" t="str">
        <f t="shared" si="58"/>
        <v>Mar</v>
      </c>
      <c r="E476" s="7" t="str">
        <f t="shared" si="59"/>
        <v>Fri</v>
      </c>
      <c r="F476" t="s">
        <v>432</v>
      </c>
      <c r="G476" t="s">
        <v>35</v>
      </c>
      <c r="H476" t="s">
        <v>22</v>
      </c>
      <c r="I476" s="2" t="str">
        <f t="shared" si="56"/>
        <v>South</v>
      </c>
      <c r="J476" t="s">
        <v>27</v>
      </c>
      <c r="K476" t="s">
        <v>13</v>
      </c>
      <c r="L476">
        <v>10</v>
      </c>
      <c r="M476">
        <v>120</v>
      </c>
      <c r="N476">
        <f t="shared" si="60"/>
        <v>1200</v>
      </c>
      <c r="O476">
        <f t="shared" si="61"/>
        <v>120</v>
      </c>
      <c r="P476" t="str">
        <f t="shared" si="62"/>
        <v>Large Order</v>
      </c>
      <c r="Q476" t="str">
        <f t="shared" si="63"/>
        <v>Weekday</v>
      </c>
    </row>
    <row r="477" spans="1:17" x14ac:dyDescent="0.35">
      <c r="A477" t="s">
        <v>623</v>
      </c>
      <c r="B477" s="7">
        <v>45493</v>
      </c>
      <c r="C477" s="13">
        <f t="shared" si="57"/>
        <v>2024</v>
      </c>
      <c r="D477" s="7" t="str">
        <f t="shared" si="58"/>
        <v>Jul</v>
      </c>
      <c r="E477" s="7" t="str">
        <f t="shared" si="59"/>
        <v>Sat</v>
      </c>
      <c r="F477" t="s">
        <v>358</v>
      </c>
      <c r="G477" t="s">
        <v>65</v>
      </c>
      <c r="H477" t="s">
        <v>17</v>
      </c>
      <c r="I477" s="2" t="str">
        <f t="shared" si="56"/>
        <v>West</v>
      </c>
      <c r="J477" t="s">
        <v>56</v>
      </c>
      <c r="K477" t="s">
        <v>13</v>
      </c>
      <c r="L477">
        <v>19</v>
      </c>
      <c r="M477">
        <v>120</v>
      </c>
      <c r="N477">
        <f t="shared" si="60"/>
        <v>2280</v>
      </c>
      <c r="O477">
        <f t="shared" si="61"/>
        <v>228</v>
      </c>
      <c r="P477" t="str">
        <f t="shared" si="62"/>
        <v>Large Order</v>
      </c>
      <c r="Q477" t="str">
        <f t="shared" si="63"/>
        <v>Weekend</v>
      </c>
    </row>
    <row r="478" spans="1:17" x14ac:dyDescent="0.35">
      <c r="A478" t="s">
        <v>624</v>
      </c>
      <c r="B478" s="7">
        <v>45436</v>
      </c>
      <c r="C478" s="13">
        <f t="shared" si="57"/>
        <v>2024</v>
      </c>
      <c r="D478" s="7" t="str">
        <f t="shared" si="58"/>
        <v>May</v>
      </c>
      <c r="E478" s="7" t="str">
        <f t="shared" si="59"/>
        <v>Fri</v>
      </c>
      <c r="F478" t="s">
        <v>432</v>
      </c>
      <c r="G478" t="s">
        <v>74</v>
      </c>
      <c r="H478" t="s">
        <v>22</v>
      </c>
      <c r="I478" s="2" t="str">
        <f t="shared" si="56"/>
        <v>East</v>
      </c>
      <c r="J478" t="s">
        <v>27</v>
      </c>
      <c r="K478" t="s">
        <v>13</v>
      </c>
      <c r="L478">
        <v>18</v>
      </c>
      <c r="M478">
        <v>120</v>
      </c>
      <c r="N478">
        <f t="shared" si="60"/>
        <v>2160</v>
      </c>
      <c r="O478">
        <f t="shared" si="61"/>
        <v>216</v>
      </c>
      <c r="P478" t="str">
        <f t="shared" si="62"/>
        <v>Large Order</v>
      </c>
      <c r="Q478" t="str">
        <f t="shared" si="63"/>
        <v>Weekday</v>
      </c>
    </row>
    <row r="479" spans="1:17" x14ac:dyDescent="0.35">
      <c r="A479" t="s">
        <v>625</v>
      </c>
      <c r="B479" s="7">
        <v>45512</v>
      </c>
      <c r="C479" s="13">
        <f t="shared" si="57"/>
        <v>2024</v>
      </c>
      <c r="D479" s="7" t="str">
        <f t="shared" si="58"/>
        <v>Aug</v>
      </c>
      <c r="E479" s="7" t="str">
        <f t="shared" si="59"/>
        <v>Thu</v>
      </c>
      <c r="F479" t="s">
        <v>99</v>
      </c>
      <c r="G479" t="s">
        <v>119</v>
      </c>
      <c r="H479" t="s">
        <v>17</v>
      </c>
      <c r="I479" s="2" t="str">
        <f t="shared" si="56"/>
        <v>South</v>
      </c>
      <c r="J479" t="s">
        <v>42</v>
      </c>
      <c r="K479" t="s">
        <v>23</v>
      </c>
      <c r="L479">
        <v>13</v>
      </c>
      <c r="M479">
        <v>120</v>
      </c>
      <c r="N479">
        <f t="shared" si="60"/>
        <v>1560</v>
      </c>
      <c r="O479">
        <f t="shared" si="61"/>
        <v>156</v>
      </c>
      <c r="P479" t="str">
        <f t="shared" si="62"/>
        <v>Large Order</v>
      </c>
      <c r="Q479" t="str">
        <f t="shared" si="63"/>
        <v>Weekday</v>
      </c>
    </row>
    <row r="480" spans="1:17" x14ac:dyDescent="0.35">
      <c r="A480" t="s">
        <v>626</v>
      </c>
      <c r="B480" s="7">
        <v>45318</v>
      </c>
      <c r="C480" s="13">
        <f t="shared" si="57"/>
        <v>2024</v>
      </c>
      <c r="D480" s="7" t="str">
        <f t="shared" si="58"/>
        <v>Jan</v>
      </c>
      <c r="E480" s="7" t="str">
        <f t="shared" si="59"/>
        <v>Sat</v>
      </c>
      <c r="F480" t="s">
        <v>614</v>
      </c>
      <c r="G480" t="s">
        <v>48</v>
      </c>
      <c r="H480" t="s">
        <v>22</v>
      </c>
      <c r="I480" s="2" t="str">
        <f t="shared" si="56"/>
        <v>East</v>
      </c>
      <c r="J480" t="s">
        <v>56</v>
      </c>
      <c r="K480" t="s">
        <v>23</v>
      </c>
      <c r="L480">
        <v>18</v>
      </c>
      <c r="M480">
        <v>120</v>
      </c>
      <c r="N480">
        <f t="shared" si="60"/>
        <v>2160</v>
      </c>
      <c r="O480">
        <f t="shared" si="61"/>
        <v>216</v>
      </c>
      <c r="P480" t="str">
        <f t="shared" si="62"/>
        <v>Large Order</v>
      </c>
      <c r="Q480" t="str">
        <f t="shared" si="63"/>
        <v>Weekend</v>
      </c>
    </row>
    <row r="481" spans="1:17" x14ac:dyDescent="0.35">
      <c r="A481" t="s">
        <v>627</v>
      </c>
      <c r="B481" s="7">
        <v>45550</v>
      </c>
      <c r="C481" s="13">
        <f t="shared" si="57"/>
        <v>2024</v>
      </c>
      <c r="D481" s="7" t="str">
        <f t="shared" si="58"/>
        <v>Sep</v>
      </c>
      <c r="E481" s="7" t="str">
        <f t="shared" si="59"/>
        <v>Sun</v>
      </c>
      <c r="F481" t="s">
        <v>430</v>
      </c>
      <c r="G481" t="s">
        <v>109</v>
      </c>
      <c r="H481" t="s">
        <v>22</v>
      </c>
      <c r="I481" s="2" t="str">
        <f t="shared" si="56"/>
        <v>Central</v>
      </c>
      <c r="J481" t="s">
        <v>42</v>
      </c>
      <c r="K481" t="s">
        <v>13</v>
      </c>
      <c r="L481">
        <v>20</v>
      </c>
      <c r="M481">
        <v>120</v>
      </c>
      <c r="N481">
        <f t="shared" si="60"/>
        <v>2400</v>
      </c>
      <c r="O481">
        <f t="shared" si="61"/>
        <v>240</v>
      </c>
      <c r="P481" t="str">
        <f t="shared" si="62"/>
        <v>Large Order</v>
      </c>
      <c r="Q481" t="str">
        <f t="shared" si="63"/>
        <v>Weekend</v>
      </c>
    </row>
    <row r="482" spans="1:17" x14ac:dyDescent="0.35">
      <c r="A482" t="s">
        <v>628</v>
      </c>
      <c r="B482" s="7">
        <v>45493</v>
      </c>
      <c r="C482" s="13">
        <f t="shared" si="57"/>
        <v>2024</v>
      </c>
      <c r="D482" s="7" t="str">
        <f t="shared" si="58"/>
        <v>Jul</v>
      </c>
      <c r="E482" s="7" t="str">
        <f t="shared" si="59"/>
        <v>Sat</v>
      </c>
      <c r="F482" t="s">
        <v>200</v>
      </c>
      <c r="G482" t="s">
        <v>48</v>
      </c>
      <c r="H482" t="s">
        <v>17</v>
      </c>
      <c r="I482" s="2" t="str">
        <f t="shared" si="56"/>
        <v>North</v>
      </c>
      <c r="J482" t="s">
        <v>306</v>
      </c>
      <c r="K482" t="s">
        <v>36</v>
      </c>
      <c r="L482">
        <v>5</v>
      </c>
      <c r="M482">
        <v>120</v>
      </c>
      <c r="N482">
        <f t="shared" si="60"/>
        <v>600</v>
      </c>
      <c r="O482">
        <f t="shared" si="61"/>
        <v>60</v>
      </c>
      <c r="P482" t="str">
        <f t="shared" si="62"/>
        <v>Large Order</v>
      </c>
      <c r="Q482" t="str">
        <f t="shared" si="63"/>
        <v>Weekend</v>
      </c>
    </row>
    <row r="483" spans="1:17" x14ac:dyDescent="0.35">
      <c r="A483" t="s">
        <v>629</v>
      </c>
      <c r="B483" s="7">
        <v>45497</v>
      </c>
      <c r="C483" s="13">
        <f t="shared" si="57"/>
        <v>2024</v>
      </c>
      <c r="D483" s="7" t="str">
        <f t="shared" si="58"/>
        <v>Jul</v>
      </c>
      <c r="E483" s="7" t="str">
        <f t="shared" si="59"/>
        <v>Wed</v>
      </c>
      <c r="F483" t="s">
        <v>358</v>
      </c>
      <c r="G483" t="s">
        <v>79</v>
      </c>
      <c r="H483" t="s">
        <v>11</v>
      </c>
      <c r="I483" s="2" t="str">
        <f t="shared" si="56"/>
        <v>Central</v>
      </c>
      <c r="J483" t="s">
        <v>12</v>
      </c>
      <c r="K483" t="s">
        <v>23</v>
      </c>
      <c r="L483">
        <v>5</v>
      </c>
      <c r="M483">
        <v>120</v>
      </c>
      <c r="N483">
        <f t="shared" si="60"/>
        <v>600</v>
      </c>
      <c r="O483">
        <f t="shared" si="61"/>
        <v>60</v>
      </c>
      <c r="P483" t="str">
        <f t="shared" si="62"/>
        <v>Large Order</v>
      </c>
      <c r="Q483" t="str">
        <f t="shared" si="63"/>
        <v>Weekday</v>
      </c>
    </row>
    <row r="484" spans="1:17" x14ac:dyDescent="0.35">
      <c r="A484" t="s">
        <v>630</v>
      </c>
      <c r="B484" s="7">
        <v>45557</v>
      </c>
      <c r="C484" s="13">
        <f t="shared" si="57"/>
        <v>2024</v>
      </c>
      <c r="D484" s="7" t="str">
        <f t="shared" si="58"/>
        <v>Sep</v>
      </c>
      <c r="E484" s="7" t="str">
        <f t="shared" si="59"/>
        <v>Sun</v>
      </c>
      <c r="F484" t="s">
        <v>366</v>
      </c>
      <c r="G484" t="s">
        <v>160</v>
      </c>
      <c r="H484" t="s">
        <v>11</v>
      </c>
      <c r="I484" s="2" t="str">
        <f t="shared" si="56"/>
        <v>Central</v>
      </c>
      <c r="J484" t="s">
        <v>306</v>
      </c>
      <c r="K484" t="s">
        <v>36</v>
      </c>
      <c r="L484">
        <v>5</v>
      </c>
      <c r="M484">
        <v>120</v>
      </c>
      <c r="N484">
        <f t="shared" si="60"/>
        <v>600</v>
      </c>
      <c r="O484">
        <f t="shared" si="61"/>
        <v>60</v>
      </c>
      <c r="P484" t="str">
        <f t="shared" si="62"/>
        <v>Large Order</v>
      </c>
      <c r="Q484" t="str">
        <f t="shared" si="63"/>
        <v>Weekend</v>
      </c>
    </row>
    <row r="485" spans="1:17" x14ac:dyDescent="0.35">
      <c r="A485" t="s">
        <v>631</v>
      </c>
      <c r="B485" s="7">
        <v>45455</v>
      </c>
      <c r="C485" s="13">
        <f t="shared" si="57"/>
        <v>2024</v>
      </c>
      <c r="D485" s="7" t="str">
        <f t="shared" si="58"/>
        <v>Jun</v>
      </c>
      <c r="E485" s="7" t="str">
        <f t="shared" si="59"/>
        <v>Wed</v>
      </c>
      <c r="F485" t="s">
        <v>111</v>
      </c>
      <c r="G485" t="s">
        <v>84</v>
      </c>
      <c r="H485" t="s">
        <v>17</v>
      </c>
      <c r="I485" s="2" t="str">
        <f t="shared" si="56"/>
        <v>Central</v>
      </c>
      <c r="J485" t="s">
        <v>306</v>
      </c>
      <c r="K485" t="s">
        <v>36</v>
      </c>
      <c r="L485">
        <v>10</v>
      </c>
      <c r="M485">
        <v>120</v>
      </c>
      <c r="N485">
        <f t="shared" si="60"/>
        <v>1200</v>
      </c>
      <c r="O485">
        <f t="shared" si="61"/>
        <v>120</v>
      </c>
      <c r="P485" t="str">
        <f t="shared" si="62"/>
        <v>Large Order</v>
      </c>
      <c r="Q485" t="str">
        <f t="shared" si="63"/>
        <v>Weekday</v>
      </c>
    </row>
    <row r="486" spans="1:17" x14ac:dyDescent="0.35">
      <c r="A486" t="s">
        <v>632</v>
      </c>
      <c r="B486" s="7">
        <v>45552</v>
      </c>
      <c r="C486" s="13">
        <f t="shared" si="57"/>
        <v>2024</v>
      </c>
      <c r="D486" s="7" t="str">
        <f t="shared" si="58"/>
        <v>Sep</v>
      </c>
      <c r="E486" s="7" t="str">
        <f t="shared" si="59"/>
        <v>Tue</v>
      </c>
      <c r="F486" t="s">
        <v>312</v>
      </c>
      <c r="G486" t="s">
        <v>74</v>
      </c>
      <c r="H486" t="s">
        <v>17</v>
      </c>
      <c r="I486" s="2" t="str">
        <f t="shared" si="56"/>
        <v>West</v>
      </c>
      <c r="J486" t="s">
        <v>306</v>
      </c>
      <c r="K486" t="s">
        <v>32</v>
      </c>
      <c r="L486">
        <v>16</v>
      </c>
      <c r="M486">
        <v>120</v>
      </c>
      <c r="N486">
        <f t="shared" si="60"/>
        <v>1920</v>
      </c>
      <c r="O486">
        <f t="shared" si="61"/>
        <v>192</v>
      </c>
      <c r="P486" t="str">
        <f t="shared" si="62"/>
        <v>Large Order</v>
      </c>
      <c r="Q486" t="str">
        <f t="shared" si="63"/>
        <v>Weekday</v>
      </c>
    </row>
    <row r="487" spans="1:17" x14ac:dyDescent="0.35">
      <c r="A487" t="s">
        <v>633</v>
      </c>
      <c r="B487" s="7">
        <v>45461</v>
      </c>
      <c r="C487" s="13">
        <f t="shared" si="57"/>
        <v>2024</v>
      </c>
      <c r="D487" s="7" t="str">
        <f t="shared" si="58"/>
        <v>Jun</v>
      </c>
      <c r="E487" s="7" t="str">
        <f t="shared" si="59"/>
        <v>Tue</v>
      </c>
      <c r="F487" t="s">
        <v>422</v>
      </c>
      <c r="G487" t="s">
        <v>59</v>
      </c>
      <c r="H487" t="s">
        <v>11</v>
      </c>
      <c r="I487" s="2" t="str">
        <f t="shared" si="56"/>
        <v>Central</v>
      </c>
      <c r="J487" t="s">
        <v>27</v>
      </c>
      <c r="K487" t="s">
        <v>13</v>
      </c>
      <c r="L487">
        <v>10</v>
      </c>
      <c r="M487">
        <v>120</v>
      </c>
      <c r="N487">
        <f t="shared" si="60"/>
        <v>1200</v>
      </c>
      <c r="O487">
        <f t="shared" si="61"/>
        <v>120</v>
      </c>
      <c r="P487" t="str">
        <f t="shared" si="62"/>
        <v>Large Order</v>
      </c>
      <c r="Q487" t="str">
        <f t="shared" si="63"/>
        <v>Weekday</v>
      </c>
    </row>
    <row r="488" spans="1:17" x14ac:dyDescent="0.35">
      <c r="A488" t="s">
        <v>634</v>
      </c>
      <c r="B488" s="7">
        <v>45597</v>
      </c>
      <c r="C488" s="13">
        <f t="shared" si="57"/>
        <v>2024</v>
      </c>
      <c r="D488" s="7" t="str">
        <f t="shared" si="58"/>
        <v>Nov</v>
      </c>
      <c r="E488" s="7" t="str">
        <f t="shared" si="59"/>
        <v>Fri</v>
      </c>
      <c r="F488" t="s">
        <v>553</v>
      </c>
      <c r="G488" t="s">
        <v>59</v>
      </c>
      <c r="H488" t="s">
        <v>17</v>
      </c>
      <c r="I488" s="2" t="str">
        <f t="shared" si="56"/>
        <v>Central</v>
      </c>
      <c r="J488" t="s">
        <v>306</v>
      </c>
      <c r="K488" t="s">
        <v>36</v>
      </c>
      <c r="L488">
        <v>8</v>
      </c>
      <c r="M488">
        <v>120</v>
      </c>
      <c r="N488">
        <f t="shared" si="60"/>
        <v>960</v>
      </c>
      <c r="O488">
        <f t="shared" si="61"/>
        <v>96</v>
      </c>
      <c r="P488" t="str">
        <f t="shared" si="62"/>
        <v>Large Order</v>
      </c>
      <c r="Q488" t="str">
        <f t="shared" si="63"/>
        <v>Weekday</v>
      </c>
    </row>
    <row r="489" spans="1:17" x14ac:dyDescent="0.35">
      <c r="A489" t="s">
        <v>635</v>
      </c>
      <c r="B489" s="7">
        <v>45537</v>
      </c>
      <c r="C489" s="13">
        <f t="shared" si="57"/>
        <v>2024</v>
      </c>
      <c r="D489" s="7" t="str">
        <f t="shared" si="58"/>
        <v>Sep</v>
      </c>
      <c r="E489" s="7" t="str">
        <f t="shared" si="59"/>
        <v>Mon</v>
      </c>
      <c r="F489" t="s">
        <v>30</v>
      </c>
      <c r="G489" t="s">
        <v>119</v>
      </c>
      <c r="H489" t="s">
        <v>22</v>
      </c>
      <c r="I489" s="2" t="str">
        <f t="shared" si="56"/>
        <v>North</v>
      </c>
      <c r="J489" t="s">
        <v>306</v>
      </c>
      <c r="K489" t="s">
        <v>28</v>
      </c>
      <c r="L489">
        <v>13</v>
      </c>
      <c r="M489">
        <v>120</v>
      </c>
      <c r="N489">
        <f t="shared" si="60"/>
        <v>1560</v>
      </c>
      <c r="O489">
        <f t="shared" si="61"/>
        <v>156</v>
      </c>
      <c r="P489" t="str">
        <f t="shared" si="62"/>
        <v>Large Order</v>
      </c>
      <c r="Q489" t="str">
        <f t="shared" si="63"/>
        <v>Weekday</v>
      </c>
    </row>
    <row r="490" spans="1:17" x14ac:dyDescent="0.35">
      <c r="A490" t="s">
        <v>636</v>
      </c>
      <c r="B490" s="7">
        <v>45308</v>
      </c>
      <c r="C490" s="13">
        <f t="shared" si="57"/>
        <v>2024</v>
      </c>
      <c r="D490" s="7" t="str">
        <f t="shared" si="58"/>
        <v>Jan</v>
      </c>
      <c r="E490" s="7" t="str">
        <f t="shared" si="59"/>
        <v>Wed</v>
      </c>
      <c r="F490" t="s">
        <v>314</v>
      </c>
      <c r="G490" t="s">
        <v>65</v>
      </c>
      <c r="H490" t="s">
        <v>22</v>
      </c>
      <c r="I490" s="2" t="str">
        <f t="shared" si="56"/>
        <v>South</v>
      </c>
      <c r="J490" t="s">
        <v>12</v>
      </c>
      <c r="K490" t="s">
        <v>23</v>
      </c>
      <c r="L490">
        <v>1</v>
      </c>
      <c r="M490">
        <v>120</v>
      </c>
      <c r="N490">
        <f t="shared" si="60"/>
        <v>120</v>
      </c>
      <c r="O490">
        <f t="shared" si="61"/>
        <v>12</v>
      </c>
      <c r="P490" t="str">
        <f t="shared" si="62"/>
        <v>Standard Order</v>
      </c>
      <c r="Q490" t="str">
        <f t="shared" si="63"/>
        <v>Weekday</v>
      </c>
    </row>
    <row r="491" spans="1:17" x14ac:dyDescent="0.35">
      <c r="A491" t="s">
        <v>637</v>
      </c>
      <c r="B491" s="7">
        <v>45369</v>
      </c>
      <c r="C491" s="13">
        <f t="shared" si="57"/>
        <v>2024</v>
      </c>
      <c r="D491" s="7" t="str">
        <f t="shared" si="58"/>
        <v>Mar</v>
      </c>
      <c r="E491" s="7" t="str">
        <f t="shared" si="59"/>
        <v>Mon</v>
      </c>
      <c r="F491" t="s">
        <v>408</v>
      </c>
      <c r="G491" t="s">
        <v>87</v>
      </c>
      <c r="H491" t="s">
        <v>22</v>
      </c>
      <c r="I491" s="2" t="str">
        <f t="shared" si="56"/>
        <v>Central</v>
      </c>
      <c r="J491" t="s">
        <v>56</v>
      </c>
      <c r="K491" t="s">
        <v>23</v>
      </c>
      <c r="L491">
        <v>17</v>
      </c>
      <c r="M491">
        <v>120</v>
      </c>
      <c r="N491">
        <f t="shared" si="60"/>
        <v>2040</v>
      </c>
      <c r="O491">
        <f t="shared" si="61"/>
        <v>204</v>
      </c>
      <c r="P491" t="str">
        <f t="shared" si="62"/>
        <v>Large Order</v>
      </c>
      <c r="Q491" t="str">
        <f t="shared" si="63"/>
        <v>Weekday</v>
      </c>
    </row>
    <row r="492" spans="1:17" x14ac:dyDescent="0.35">
      <c r="A492" t="s">
        <v>638</v>
      </c>
      <c r="B492" s="7">
        <v>45323</v>
      </c>
      <c r="C492" s="13">
        <f t="shared" si="57"/>
        <v>2024</v>
      </c>
      <c r="D492" s="7" t="str">
        <f t="shared" si="58"/>
        <v>Feb</v>
      </c>
      <c r="E492" s="7" t="str">
        <f t="shared" si="59"/>
        <v>Thu</v>
      </c>
      <c r="F492" t="s">
        <v>369</v>
      </c>
      <c r="G492" t="s">
        <v>65</v>
      </c>
      <c r="H492" t="s">
        <v>11</v>
      </c>
      <c r="I492" s="2" t="str">
        <f t="shared" si="56"/>
        <v>South</v>
      </c>
      <c r="J492" t="s">
        <v>306</v>
      </c>
      <c r="K492" t="s">
        <v>23</v>
      </c>
      <c r="L492">
        <v>18</v>
      </c>
      <c r="M492">
        <v>120</v>
      </c>
      <c r="N492">
        <f t="shared" si="60"/>
        <v>2160</v>
      </c>
      <c r="O492">
        <f t="shared" si="61"/>
        <v>216</v>
      </c>
      <c r="P492" t="str">
        <f t="shared" si="62"/>
        <v>Large Order</v>
      </c>
      <c r="Q492" t="str">
        <f t="shared" si="63"/>
        <v>Weekday</v>
      </c>
    </row>
    <row r="493" spans="1:17" x14ac:dyDescent="0.35">
      <c r="A493" t="s">
        <v>639</v>
      </c>
      <c r="B493" s="7">
        <v>45561</v>
      </c>
      <c r="C493" s="13">
        <f t="shared" si="57"/>
        <v>2024</v>
      </c>
      <c r="D493" s="7" t="str">
        <f t="shared" si="58"/>
        <v>Sep</v>
      </c>
      <c r="E493" s="7" t="str">
        <f t="shared" si="59"/>
        <v>Thu</v>
      </c>
      <c r="F493" t="s">
        <v>159</v>
      </c>
      <c r="G493" t="s">
        <v>70</v>
      </c>
      <c r="H493" t="s">
        <v>17</v>
      </c>
      <c r="I493" s="2" t="str">
        <f t="shared" si="56"/>
        <v>East</v>
      </c>
      <c r="J493" t="s">
        <v>56</v>
      </c>
      <c r="K493" t="s">
        <v>32</v>
      </c>
      <c r="L493">
        <v>18</v>
      </c>
      <c r="M493">
        <v>120</v>
      </c>
      <c r="N493">
        <f t="shared" si="60"/>
        <v>2160</v>
      </c>
      <c r="O493">
        <f t="shared" si="61"/>
        <v>216</v>
      </c>
      <c r="P493" t="str">
        <f t="shared" si="62"/>
        <v>Large Order</v>
      </c>
      <c r="Q493" t="str">
        <f t="shared" si="63"/>
        <v>Weekday</v>
      </c>
    </row>
    <row r="494" spans="1:17" x14ac:dyDescent="0.35">
      <c r="A494" t="s">
        <v>640</v>
      </c>
      <c r="B494" s="7">
        <v>45638</v>
      </c>
      <c r="C494" s="13">
        <f t="shared" si="57"/>
        <v>2024</v>
      </c>
      <c r="D494" s="7" t="str">
        <f t="shared" si="58"/>
        <v>Dec</v>
      </c>
      <c r="E494" s="7" t="str">
        <f t="shared" si="59"/>
        <v>Thu</v>
      </c>
      <c r="F494" t="s">
        <v>337</v>
      </c>
      <c r="G494" t="s">
        <v>109</v>
      </c>
      <c r="H494" t="s">
        <v>22</v>
      </c>
      <c r="I494" s="2" t="str">
        <f t="shared" si="56"/>
        <v>South</v>
      </c>
      <c r="J494" t="s">
        <v>42</v>
      </c>
      <c r="K494" t="s">
        <v>28</v>
      </c>
      <c r="L494">
        <v>16</v>
      </c>
      <c r="M494">
        <v>120</v>
      </c>
      <c r="N494">
        <f t="shared" si="60"/>
        <v>1920</v>
      </c>
      <c r="O494">
        <f t="shared" si="61"/>
        <v>192</v>
      </c>
      <c r="P494" t="str">
        <f t="shared" si="62"/>
        <v>Large Order</v>
      </c>
      <c r="Q494" t="str">
        <f t="shared" si="63"/>
        <v>Weekday</v>
      </c>
    </row>
    <row r="495" spans="1:17" x14ac:dyDescent="0.35">
      <c r="A495" t="s">
        <v>641</v>
      </c>
      <c r="B495" s="7">
        <v>45434</v>
      </c>
      <c r="C495" s="13">
        <f t="shared" si="57"/>
        <v>2024</v>
      </c>
      <c r="D495" s="7" t="str">
        <f t="shared" si="58"/>
        <v>May</v>
      </c>
      <c r="E495" s="7" t="str">
        <f t="shared" si="59"/>
        <v>Wed</v>
      </c>
      <c r="F495" t="s">
        <v>642</v>
      </c>
      <c r="G495" t="s">
        <v>74</v>
      </c>
      <c r="H495" t="s">
        <v>17</v>
      </c>
      <c r="I495" s="2" t="str">
        <f t="shared" si="56"/>
        <v>Central</v>
      </c>
      <c r="J495" t="s">
        <v>56</v>
      </c>
      <c r="K495" t="s">
        <v>23</v>
      </c>
      <c r="L495">
        <v>10</v>
      </c>
      <c r="M495">
        <v>120</v>
      </c>
      <c r="N495">
        <f t="shared" si="60"/>
        <v>1200</v>
      </c>
      <c r="O495">
        <f t="shared" si="61"/>
        <v>120</v>
      </c>
      <c r="P495" t="str">
        <f t="shared" si="62"/>
        <v>Large Order</v>
      </c>
      <c r="Q495" t="str">
        <f t="shared" si="63"/>
        <v>Weekday</v>
      </c>
    </row>
    <row r="496" spans="1:17" x14ac:dyDescent="0.35">
      <c r="A496" t="s">
        <v>643</v>
      </c>
      <c r="B496" s="7">
        <v>45454</v>
      </c>
      <c r="C496" s="13">
        <f t="shared" si="57"/>
        <v>2024</v>
      </c>
      <c r="D496" s="7" t="str">
        <f t="shared" si="58"/>
        <v>Jun</v>
      </c>
      <c r="E496" s="7" t="str">
        <f t="shared" si="59"/>
        <v>Tue</v>
      </c>
      <c r="F496" t="s">
        <v>517</v>
      </c>
      <c r="G496" t="s">
        <v>84</v>
      </c>
      <c r="H496" t="s">
        <v>17</v>
      </c>
      <c r="I496" s="2" t="str">
        <f t="shared" si="56"/>
        <v>West</v>
      </c>
      <c r="J496" t="s">
        <v>306</v>
      </c>
      <c r="K496" t="s">
        <v>36</v>
      </c>
      <c r="L496">
        <v>9</v>
      </c>
      <c r="M496">
        <v>120</v>
      </c>
      <c r="N496">
        <f t="shared" si="60"/>
        <v>1080</v>
      </c>
      <c r="O496">
        <f t="shared" si="61"/>
        <v>108</v>
      </c>
      <c r="P496" t="str">
        <f t="shared" si="62"/>
        <v>Large Order</v>
      </c>
      <c r="Q496" t="str">
        <f t="shared" si="63"/>
        <v>Weekday</v>
      </c>
    </row>
    <row r="497" spans="1:17" x14ac:dyDescent="0.35">
      <c r="A497" t="s">
        <v>644</v>
      </c>
      <c r="B497" s="7">
        <v>45638</v>
      </c>
      <c r="C497" s="13">
        <f t="shared" si="57"/>
        <v>2024</v>
      </c>
      <c r="D497" s="7" t="str">
        <f t="shared" si="58"/>
        <v>Dec</v>
      </c>
      <c r="E497" s="7" t="str">
        <f t="shared" si="59"/>
        <v>Thu</v>
      </c>
      <c r="F497" t="s">
        <v>591</v>
      </c>
      <c r="G497" t="s">
        <v>48</v>
      </c>
      <c r="H497" t="s">
        <v>17</v>
      </c>
      <c r="I497" s="2" t="str">
        <f t="shared" si="56"/>
        <v>East</v>
      </c>
      <c r="J497" t="s">
        <v>27</v>
      </c>
      <c r="K497" t="s">
        <v>32</v>
      </c>
      <c r="L497">
        <v>5</v>
      </c>
      <c r="M497">
        <v>120</v>
      </c>
      <c r="N497">
        <f t="shared" si="60"/>
        <v>600</v>
      </c>
      <c r="O497">
        <f t="shared" si="61"/>
        <v>60</v>
      </c>
      <c r="P497" t="str">
        <f t="shared" si="62"/>
        <v>Large Order</v>
      </c>
      <c r="Q497" t="str">
        <f t="shared" si="63"/>
        <v>Weekday</v>
      </c>
    </row>
    <row r="498" spans="1:17" x14ac:dyDescent="0.35">
      <c r="A498" t="s">
        <v>645</v>
      </c>
      <c r="B498" s="7">
        <v>45332</v>
      </c>
      <c r="C498" s="13">
        <f t="shared" si="57"/>
        <v>2024</v>
      </c>
      <c r="D498" s="7" t="str">
        <f t="shared" si="58"/>
        <v>Feb</v>
      </c>
      <c r="E498" s="7" t="str">
        <f t="shared" si="59"/>
        <v>Sat</v>
      </c>
      <c r="F498" t="s">
        <v>20</v>
      </c>
      <c r="G498" t="s">
        <v>84</v>
      </c>
      <c r="H498" t="s">
        <v>17</v>
      </c>
      <c r="I498" s="2" t="str">
        <f t="shared" si="56"/>
        <v>East</v>
      </c>
      <c r="J498" t="s">
        <v>42</v>
      </c>
      <c r="K498" t="s">
        <v>36</v>
      </c>
      <c r="L498">
        <v>16</v>
      </c>
      <c r="M498">
        <v>120</v>
      </c>
      <c r="N498">
        <f t="shared" si="60"/>
        <v>1920</v>
      </c>
      <c r="O498">
        <f t="shared" si="61"/>
        <v>192</v>
      </c>
      <c r="P498" t="str">
        <f t="shared" si="62"/>
        <v>Large Order</v>
      </c>
      <c r="Q498" t="str">
        <f t="shared" si="63"/>
        <v>Weekend</v>
      </c>
    </row>
    <row r="499" spans="1:17" x14ac:dyDescent="0.35">
      <c r="A499" t="s">
        <v>646</v>
      </c>
      <c r="B499" s="7">
        <v>45430</v>
      </c>
      <c r="C499" s="13">
        <f t="shared" si="57"/>
        <v>2024</v>
      </c>
      <c r="D499" s="7" t="str">
        <f t="shared" si="58"/>
        <v>May</v>
      </c>
      <c r="E499" s="7" t="str">
        <f t="shared" si="59"/>
        <v>Sat</v>
      </c>
      <c r="F499" t="s">
        <v>642</v>
      </c>
      <c r="G499" t="s">
        <v>16</v>
      </c>
      <c r="H499" t="s">
        <v>22</v>
      </c>
      <c r="I499" s="2" t="str">
        <f t="shared" si="56"/>
        <v>Central</v>
      </c>
      <c r="J499" t="s">
        <v>42</v>
      </c>
      <c r="K499" t="s">
        <v>36</v>
      </c>
      <c r="L499">
        <v>4</v>
      </c>
      <c r="M499">
        <v>120</v>
      </c>
      <c r="N499">
        <f t="shared" si="60"/>
        <v>480</v>
      </c>
      <c r="O499">
        <f t="shared" si="61"/>
        <v>48</v>
      </c>
      <c r="P499" t="str">
        <f t="shared" si="62"/>
        <v>Standard Order</v>
      </c>
      <c r="Q499" t="str">
        <f t="shared" si="63"/>
        <v>Weekend</v>
      </c>
    </row>
    <row r="500" spans="1:17" x14ac:dyDescent="0.35">
      <c r="A500" t="s">
        <v>647</v>
      </c>
      <c r="B500" s="7">
        <v>45414</v>
      </c>
      <c r="C500" s="13">
        <f t="shared" si="57"/>
        <v>2024</v>
      </c>
      <c r="D500" s="7" t="str">
        <f t="shared" si="58"/>
        <v>May</v>
      </c>
      <c r="E500" s="7" t="str">
        <f t="shared" si="59"/>
        <v>Thu</v>
      </c>
      <c r="F500" t="s">
        <v>78</v>
      </c>
      <c r="G500" t="s">
        <v>197</v>
      </c>
      <c r="H500" t="s">
        <v>11</v>
      </c>
      <c r="I500" s="2" t="str">
        <f t="shared" si="56"/>
        <v>North</v>
      </c>
      <c r="J500" t="s">
        <v>306</v>
      </c>
      <c r="K500" t="s">
        <v>23</v>
      </c>
      <c r="L500">
        <v>8</v>
      </c>
      <c r="M500">
        <v>120</v>
      </c>
      <c r="N500">
        <f t="shared" si="60"/>
        <v>960</v>
      </c>
      <c r="O500">
        <f t="shared" si="61"/>
        <v>96</v>
      </c>
      <c r="P500" t="str">
        <f t="shared" si="62"/>
        <v>Large Order</v>
      </c>
      <c r="Q500" t="str">
        <f t="shared" si="63"/>
        <v>Weekday</v>
      </c>
    </row>
    <row r="501" spans="1:17" x14ac:dyDescent="0.35">
      <c r="A501" t="s">
        <v>648</v>
      </c>
      <c r="B501" s="7">
        <v>45461</v>
      </c>
      <c r="C501" s="13">
        <f t="shared" si="57"/>
        <v>2024</v>
      </c>
      <c r="D501" s="7" t="str">
        <f t="shared" si="58"/>
        <v>Jun</v>
      </c>
      <c r="E501" s="7" t="str">
        <f t="shared" si="59"/>
        <v>Tue</v>
      </c>
      <c r="F501" t="s">
        <v>436</v>
      </c>
      <c r="G501" t="s">
        <v>41</v>
      </c>
      <c r="H501" t="s">
        <v>17</v>
      </c>
      <c r="I501" s="2" t="str">
        <f t="shared" si="56"/>
        <v>West</v>
      </c>
      <c r="J501" t="s">
        <v>12</v>
      </c>
      <c r="K501" t="s">
        <v>36</v>
      </c>
      <c r="L501">
        <v>5</v>
      </c>
      <c r="M501">
        <v>120</v>
      </c>
      <c r="N501">
        <f t="shared" si="60"/>
        <v>600</v>
      </c>
      <c r="O501">
        <f t="shared" si="61"/>
        <v>60</v>
      </c>
      <c r="P501" t="str">
        <f t="shared" si="62"/>
        <v>Large Order</v>
      </c>
      <c r="Q501" t="str">
        <f t="shared" si="63"/>
        <v>Weekday</v>
      </c>
    </row>
    <row r="502" spans="1:17" x14ac:dyDescent="0.35">
      <c r="A502" t="s">
        <v>649</v>
      </c>
      <c r="B502" s="7">
        <v>45372</v>
      </c>
      <c r="C502" s="13">
        <f t="shared" si="57"/>
        <v>2024</v>
      </c>
      <c r="D502" s="7" t="str">
        <f t="shared" si="58"/>
        <v>Mar</v>
      </c>
      <c r="E502" s="7" t="str">
        <f t="shared" si="59"/>
        <v>Thu</v>
      </c>
      <c r="F502" t="s">
        <v>408</v>
      </c>
      <c r="G502" t="s">
        <v>35</v>
      </c>
      <c r="H502" t="s">
        <v>22</v>
      </c>
      <c r="I502" s="2" t="str">
        <f t="shared" si="56"/>
        <v>North</v>
      </c>
      <c r="J502" t="s">
        <v>27</v>
      </c>
      <c r="K502" t="s">
        <v>32</v>
      </c>
      <c r="L502">
        <v>7</v>
      </c>
      <c r="M502">
        <v>120</v>
      </c>
      <c r="N502">
        <f t="shared" si="60"/>
        <v>840</v>
      </c>
      <c r="O502">
        <f t="shared" si="61"/>
        <v>84</v>
      </c>
      <c r="P502" t="str">
        <f t="shared" si="62"/>
        <v>Large Order</v>
      </c>
      <c r="Q502" t="str">
        <f t="shared" si="63"/>
        <v>Weekday</v>
      </c>
    </row>
    <row r="503" spans="1:17" x14ac:dyDescent="0.35">
      <c r="A503" t="s">
        <v>650</v>
      </c>
      <c r="B503" s="7">
        <v>45456</v>
      </c>
      <c r="C503" s="13">
        <f t="shared" si="57"/>
        <v>2024</v>
      </c>
      <c r="D503" s="7" t="str">
        <f t="shared" si="58"/>
        <v>Jun</v>
      </c>
      <c r="E503" s="7" t="str">
        <f t="shared" si="59"/>
        <v>Thu</v>
      </c>
      <c r="F503" t="s">
        <v>55</v>
      </c>
      <c r="G503" t="s">
        <v>119</v>
      </c>
      <c r="H503" t="s">
        <v>22</v>
      </c>
      <c r="I503" s="2" t="str">
        <f t="shared" si="56"/>
        <v>North</v>
      </c>
      <c r="J503" t="s">
        <v>12</v>
      </c>
      <c r="K503" t="s">
        <v>28</v>
      </c>
      <c r="L503">
        <v>3</v>
      </c>
      <c r="M503">
        <v>120</v>
      </c>
      <c r="N503">
        <f t="shared" si="60"/>
        <v>360</v>
      </c>
      <c r="O503">
        <f t="shared" si="61"/>
        <v>36</v>
      </c>
      <c r="P503" t="str">
        <f t="shared" si="62"/>
        <v>Standard Order</v>
      </c>
      <c r="Q503" t="str">
        <f t="shared" si="63"/>
        <v>Weekday</v>
      </c>
    </row>
    <row r="504" spans="1:17" x14ac:dyDescent="0.35">
      <c r="A504" t="s">
        <v>651</v>
      </c>
      <c r="B504" s="7">
        <v>45565</v>
      </c>
      <c r="C504" s="13">
        <f t="shared" si="57"/>
        <v>2024</v>
      </c>
      <c r="D504" s="7" t="str">
        <f t="shared" si="58"/>
        <v>Sep</v>
      </c>
      <c r="E504" s="7" t="str">
        <f t="shared" si="59"/>
        <v>Mon</v>
      </c>
      <c r="F504" t="s">
        <v>304</v>
      </c>
      <c r="G504" t="s">
        <v>45</v>
      </c>
      <c r="H504" t="s">
        <v>22</v>
      </c>
      <c r="I504" s="2" t="str">
        <f t="shared" si="56"/>
        <v>South</v>
      </c>
      <c r="J504" t="s">
        <v>12</v>
      </c>
      <c r="K504" t="s">
        <v>28</v>
      </c>
      <c r="L504">
        <v>14</v>
      </c>
      <c r="M504">
        <v>120</v>
      </c>
      <c r="N504">
        <f t="shared" si="60"/>
        <v>1680</v>
      </c>
      <c r="O504">
        <f t="shared" si="61"/>
        <v>168</v>
      </c>
      <c r="P504" t="str">
        <f t="shared" si="62"/>
        <v>Large Order</v>
      </c>
      <c r="Q504" t="str">
        <f t="shared" si="63"/>
        <v>Weekday</v>
      </c>
    </row>
    <row r="505" spans="1:17" x14ac:dyDescent="0.35">
      <c r="A505" t="s">
        <v>652</v>
      </c>
      <c r="B505" s="7">
        <v>45310</v>
      </c>
      <c r="C505" s="13">
        <f t="shared" si="57"/>
        <v>2024</v>
      </c>
      <c r="D505" s="7" t="str">
        <f t="shared" si="58"/>
        <v>Jan</v>
      </c>
      <c r="E505" s="7" t="str">
        <f t="shared" si="59"/>
        <v>Fri</v>
      </c>
      <c r="F505" t="s">
        <v>106</v>
      </c>
      <c r="G505" t="s">
        <v>84</v>
      </c>
      <c r="H505" t="s">
        <v>17</v>
      </c>
      <c r="I505" s="2" t="str">
        <f t="shared" si="56"/>
        <v>North</v>
      </c>
      <c r="J505" t="s">
        <v>56</v>
      </c>
      <c r="K505" t="s">
        <v>13</v>
      </c>
      <c r="L505">
        <v>10</v>
      </c>
      <c r="M505">
        <v>120</v>
      </c>
      <c r="N505">
        <f t="shared" si="60"/>
        <v>1200</v>
      </c>
      <c r="O505">
        <f t="shared" si="61"/>
        <v>120</v>
      </c>
      <c r="P505" t="str">
        <f t="shared" si="62"/>
        <v>Large Order</v>
      </c>
      <c r="Q505" t="str">
        <f t="shared" si="63"/>
        <v>Weekday</v>
      </c>
    </row>
    <row r="506" spans="1:17" x14ac:dyDescent="0.35">
      <c r="A506" t="s">
        <v>653</v>
      </c>
      <c r="B506" s="7">
        <v>45444</v>
      </c>
      <c r="C506" s="13">
        <f t="shared" si="57"/>
        <v>2024</v>
      </c>
      <c r="D506" s="7" t="str">
        <f t="shared" si="58"/>
        <v>Jun</v>
      </c>
      <c r="E506" s="7" t="str">
        <f t="shared" si="59"/>
        <v>Sat</v>
      </c>
      <c r="F506" t="s">
        <v>614</v>
      </c>
      <c r="G506" t="s">
        <v>72</v>
      </c>
      <c r="H506" t="s">
        <v>22</v>
      </c>
      <c r="I506" s="2" t="str">
        <f t="shared" si="56"/>
        <v>Central</v>
      </c>
      <c r="J506" t="s">
        <v>12</v>
      </c>
      <c r="K506" t="s">
        <v>36</v>
      </c>
      <c r="L506">
        <v>10</v>
      </c>
      <c r="M506">
        <v>120</v>
      </c>
      <c r="N506">
        <f t="shared" si="60"/>
        <v>1200</v>
      </c>
      <c r="O506">
        <f t="shared" si="61"/>
        <v>120</v>
      </c>
      <c r="P506" t="str">
        <f t="shared" si="62"/>
        <v>Large Order</v>
      </c>
      <c r="Q506" t="str">
        <f t="shared" si="63"/>
        <v>Weekend</v>
      </c>
    </row>
    <row r="507" spans="1:17" x14ac:dyDescent="0.35">
      <c r="A507" t="s">
        <v>654</v>
      </c>
      <c r="B507" s="7">
        <v>45560</v>
      </c>
      <c r="C507" s="13">
        <f t="shared" si="57"/>
        <v>2024</v>
      </c>
      <c r="D507" s="7" t="str">
        <f t="shared" si="58"/>
        <v>Sep</v>
      </c>
      <c r="E507" s="7" t="str">
        <f t="shared" si="59"/>
        <v>Wed</v>
      </c>
      <c r="F507" t="s">
        <v>432</v>
      </c>
      <c r="G507" t="s">
        <v>70</v>
      </c>
      <c r="H507" t="s">
        <v>11</v>
      </c>
      <c r="I507" s="2" t="str">
        <f t="shared" si="56"/>
        <v>West</v>
      </c>
      <c r="J507" t="s">
        <v>306</v>
      </c>
      <c r="K507" t="s">
        <v>13</v>
      </c>
      <c r="L507">
        <v>9</v>
      </c>
      <c r="M507">
        <v>120</v>
      </c>
      <c r="N507">
        <f t="shared" si="60"/>
        <v>1080</v>
      </c>
      <c r="O507">
        <f t="shared" si="61"/>
        <v>108</v>
      </c>
      <c r="P507" t="str">
        <f t="shared" si="62"/>
        <v>Large Order</v>
      </c>
      <c r="Q507" t="str">
        <f t="shared" si="63"/>
        <v>Weekday</v>
      </c>
    </row>
    <row r="508" spans="1:17" x14ac:dyDescent="0.35">
      <c r="A508" t="s">
        <v>655</v>
      </c>
      <c r="B508" s="7">
        <v>45461</v>
      </c>
      <c r="C508" s="13">
        <f t="shared" si="57"/>
        <v>2024</v>
      </c>
      <c r="D508" s="7" t="str">
        <f t="shared" si="58"/>
        <v>Jun</v>
      </c>
      <c r="E508" s="7" t="str">
        <f t="shared" si="59"/>
        <v>Tue</v>
      </c>
      <c r="F508" t="s">
        <v>111</v>
      </c>
      <c r="G508" t="s">
        <v>21</v>
      </c>
      <c r="H508" t="s">
        <v>22</v>
      </c>
      <c r="I508" s="2" t="str">
        <f t="shared" si="56"/>
        <v>South</v>
      </c>
      <c r="J508" t="s">
        <v>27</v>
      </c>
      <c r="K508" t="s">
        <v>13</v>
      </c>
      <c r="L508">
        <v>9</v>
      </c>
      <c r="M508">
        <v>120</v>
      </c>
      <c r="N508">
        <f t="shared" si="60"/>
        <v>1080</v>
      </c>
      <c r="O508">
        <f t="shared" si="61"/>
        <v>108</v>
      </c>
      <c r="P508" t="str">
        <f t="shared" si="62"/>
        <v>Large Order</v>
      </c>
      <c r="Q508" t="str">
        <f t="shared" si="63"/>
        <v>Weekday</v>
      </c>
    </row>
    <row r="509" spans="1:17" x14ac:dyDescent="0.35">
      <c r="A509" t="s">
        <v>656</v>
      </c>
      <c r="B509" s="7">
        <v>45464</v>
      </c>
      <c r="C509" s="13">
        <f t="shared" si="57"/>
        <v>2024</v>
      </c>
      <c r="D509" s="7" t="str">
        <f t="shared" si="58"/>
        <v>Jun</v>
      </c>
      <c r="E509" s="7" t="str">
        <f t="shared" si="59"/>
        <v>Fri</v>
      </c>
      <c r="F509" t="s">
        <v>61</v>
      </c>
      <c r="G509" t="s">
        <v>45</v>
      </c>
      <c r="H509" t="s">
        <v>22</v>
      </c>
      <c r="I509" s="2" t="str">
        <f t="shared" si="56"/>
        <v>North</v>
      </c>
      <c r="J509" t="s">
        <v>56</v>
      </c>
      <c r="K509" t="s">
        <v>23</v>
      </c>
      <c r="L509">
        <v>20</v>
      </c>
      <c r="M509">
        <v>120</v>
      </c>
      <c r="N509">
        <f t="shared" si="60"/>
        <v>2400</v>
      </c>
      <c r="O509">
        <f t="shared" si="61"/>
        <v>240</v>
      </c>
      <c r="P509" t="str">
        <f t="shared" si="62"/>
        <v>Large Order</v>
      </c>
      <c r="Q509" t="str">
        <f t="shared" si="63"/>
        <v>Weekday</v>
      </c>
    </row>
    <row r="510" spans="1:17" x14ac:dyDescent="0.35">
      <c r="A510" t="s">
        <v>657</v>
      </c>
      <c r="B510" s="7">
        <v>45510</v>
      </c>
      <c r="C510" s="13">
        <f t="shared" si="57"/>
        <v>2024</v>
      </c>
      <c r="D510" s="7" t="str">
        <f t="shared" si="58"/>
        <v>Aug</v>
      </c>
      <c r="E510" s="7" t="str">
        <f t="shared" si="59"/>
        <v>Tue</v>
      </c>
      <c r="F510" t="s">
        <v>345</v>
      </c>
      <c r="G510" t="s">
        <v>31</v>
      </c>
      <c r="H510" t="s">
        <v>17</v>
      </c>
      <c r="I510" s="2" t="str">
        <f t="shared" si="56"/>
        <v>North</v>
      </c>
      <c r="J510" t="s">
        <v>12</v>
      </c>
      <c r="K510" t="s">
        <v>28</v>
      </c>
      <c r="L510">
        <v>4</v>
      </c>
      <c r="M510">
        <v>120</v>
      </c>
      <c r="N510">
        <f t="shared" si="60"/>
        <v>480</v>
      </c>
      <c r="O510">
        <f t="shared" si="61"/>
        <v>48</v>
      </c>
      <c r="P510" t="str">
        <f t="shared" si="62"/>
        <v>Standard Order</v>
      </c>
      <c r="Q510" t="str">
        <f t="shared" si="63"/>
        <v>Weekday</v>
      </c>
    </row>
    <row r="511" spans="1:17" x14ac:dyDescent="0.35">
      <c r="A511" t="s">
        <v>658</v>
      </c>
      <c r="B511" s="7">
        <v>45536</v>
      </c>
      <c r="C511" s="13">
        <f t="shared" si="57"/>
        <v>2024</v>
      </c>
      <c r="D511" s="7" t="str">
        <f t="shared" si="58"/>
        <v>Sep</v>
      </c>
      <c r="E511" s="7" t="str">
        <f t="shared" si="59"/>
        <v>Sun</v>
      </c>
      <c r="F511" t="s">
        <v>187</v>
      </c>
      <c r="G511" t="s">
        <v>26</v>
      </c>
      <c r="H511" t="s">
        <v>11</v>
      </c>
      <c r="I511" s="2" t="str">
        <f t="shared" si="56"/>
        <v>Central</v>
      </c>
      <c r="J511" t="s">
        <v>12</v>
      </c>
      <c r="K511" t="s">
        <v>32</v>
      </c>
      <c r="L511">
        <v>13</v>
      </c>
      <c r="M511">
        <v>120</v>
      </c>
      <c r="N511">
        <f t="shared" si="60"/>
        <v>1560</v>
      </c>
      <c r="O511">
        <f t="shared" si="61"/>
        <v>156</v>
      </c>
      <c r="P511" t="str">
        <f t="shared" si="62"/>
        <v>Large Order</v>
      </c>
      <c r="Q511" t="str">
        <f t="shared" si="63"/>
        <v>Weekend</v>
      </c>
    </row>
    <row r="512" spans="1:17" x14ac:dyDescent="0.35">
      <c r="A512" t="s">
        <v>659</v>
      </c>
      <c r="B512" s="7">
        <v>45460</v>
      </c>
      <c r="C512" s="13">
        <f t="shared" si="57"/>
        <v>2024</v>
      </c>
      <c r="D512" s="7" t="str">
        <f t="shared" si="58"/>
        <v>Jun</v>
      </c>
      <c r="E512" s="7" t="str">
        <f t="shared" si="59"/>
        <v>Mon</v>
      </c>
      <c r="F512" t="s">
        <v>68</v>
      </c>
      <c r="G512" t="s">
        <v>96</v>
      </c>
      <c r="H512" t="s">
        <v>22</v>
      </c>
      <c r="I512" s="2" t="str">
        <f t="shared" si="56"/>
        <v>West</v>
      </c>
      <c r="J512" t="s">
        <v>306</v>
      </c>
      <c r="K512" t="s">
        <v>28</v>
      </c>
      <c r="L512">
        <v>9</v>
      </c>
      <c r="M512">
        <v>120</v>
      </c>
      <c r="N512">
        <f t="shared" si="60"/>
        <v>1080</v>
      </c>
      <c r="O512">
        <f t="shared" si="61"/>
        <v>108</v>
      </c>
      <c r="P512" t="str">
        <f t="shared" si="62"/>
        <v>Large Order</v>
      </c>
      <c r="Q512" t="str">
        <f t="shared" si="63"/>
        <v>Weekday</v>
      </c>
    </row>
    <row r="513" spans="1:17" x14ac:dyDescent="0.35">
      <c r="A513" t="s">
        <v>660</v>
      </c>
      <c r="B513" s="7">
        <v>45323</v>
      </c>
      <c r="C513" s="13">
        <f t="shared" si="57"/>
        <v>2024</v>
      </c>
      <c r="D513" s="7" t="str">
        <f t="shared" si="58"/>
        <v>Feb</v>
      </c>
      <c r="E513" s="7" t="str">
        <f t="shared" si="59"/>
        <v>Thu</v>
      </c>
      <c r="F513" t="s">
        <v>317</v>
      </c>
      <c r="G513" t="s">
        <v>74</v>
      </c>
      <c r="H513" t="s">
        <v>11</v>
      </c>
      <c r="I513" s="2" t="str">
        <f t="shared" si="56"/>
        <v>North</v>
      </c>
      <c r="J513" t="s">
        <v>27</v>
      </c>
      <c r="K513" t="s">
        <v>36</v>
      </c>
      <c r="L513">
        <v>6</v>
      </c>
      <c r="M513">
        <v>120</v>
      </c>
      <c r="N513">
        <f t="shared" si="60"/>
        <v>720</v>
      </c>
      <c r="O513">
        <f t="shared" si="61"/>
        <v>72</v>
      </c>
      <c r="P513" t="str">
        <f t="shared" si="62"/>
        <v>Large Order</v>
      </c>
      <c r="Q513" t="str">
        <f t="shared" si="63"/>
        <v>Weekday</v>
      </c>
    </row>
    <row r="514" spans="1:17" x14ac:dyDescent="0.35">
      <c r="A514" t="s">
        <v>661</v>
      </c>
      <c r="B514" s="7">
        <v>45652</v>
      </c>
      <c r="C514" s="13">
        <f t="shared" si="57"/>
        <v>2024</v>
      </c>
      <c r="D514" s="7" t="str">
        <f t="shared" si="58"/>
        <v>Dec</v>
      </c>
      <c r="E514" s="7" t="str">
        <f t="shared" si="59"/>
        <v>Thu</v>
      </c>
      <c r="F514" t="s">
        <v>337</v>
      </c>
      <c r="G514" t="s">
        <v>21</v>
      </c>
      <c r="H514" t="s">
        <v>17</v>
      </c>
      <c r="I514" s="2" t="str">
        <f t="shared" si="56"/>
        <v>South</v>
      </c>
      <c r="J514" t="s">
        <v>12</v>
      </c>
      <c r="K514" t="s">
        <v>28</v>
      </c>
      <c r="L514">
        <v>10</v>
      </c>
      <c r="M514">
        <v>120</v>
      </c>
      <c r="N514">
        <f t="shared" si="60"/>
        <v>1200</v>
      </c>
      <c r="O514">
        <f t="shared" si="61"/>
        <v>120</v>
      </c>
      <c r="P514" t="str">
        <f t="shared" si="62"/>
        <v>Large Order</v>
      </c>
      <c r="Q514" t="str">
        <f t="shared" si="63"/>
        <v>Weekday</v>
      </c>
    </row>
    <row r="515" spans="1:17" x14ac:dyDescent="0.35">
      <c r="A515" t="s">
        <v>662</v>
      </c>
      <c r="B515" s="7">
        <v>45404</v>
      </c>
      <c r="C515" s="13">
        <f t="shared" si="57"/>
        <v>2024</v>
      </c>
      <c r="D515" s="7" t="str">
        <f t="shared" si="58"/>
        <v>Apr</v>
      </c>
      <c r="E515" s="7" t="str">
        <f t="shared" si="59"/>
        <v>Mon</v>
      </c>
      <c r="F515" t="s">
        <v>99</v>
      </c>
      <c r="G515" t="s">
        <v>70</v>
      </c>
      <c r="H515" t="s">
        <v>17</v>
      </c>
      <c r="I515" s="2" t="str">
        <f t="shared" ref="I515:I578" si="64">TRIM(J516)</f>
        <v>South</v>
      </c>
      <c r="J515" t="s">
        <v>56</v>
      </c>
      <c r="K515" t="s">
        <v>36</v>
      </c>
      <c r="L515">
        <v>20</v>
      </c>
      <c r="M515">
        <v>120</v>
      </c>
      <c r="N515">
        <f t="shared" si="60"/>
        <v>2400</v>
      </c>
      <c r="O515">
        <f t="shared" si="61"/>
        <v>240</v>
      </c>
      <c r="P515" t="str">
        <f t="shared" si="62"/>
        <v>Large Order</v>
      </c>
      <c r="Q515" t="str">
        <f t="shared" si="63"/>
        <v>Weekday</v>
      </c>
    </row>
    <row r="516" spans="1:17" x14ac:dyDescent="0.35">
      <c r="A516" t="s">
        <v>663</v>
      </c>
      <c r="B516" s="7">
        <v>45533</v>
      </c>
      <c r="C516" s="13">
        <f t="shared" ref="C516:C579" si="65">YEAR(B516)</f>
        <v>2024</v>
      </c>
      <c r="D516" s="7" t="str">
        <f t="shared" ref="D516:D579" si="66">TEXT(B516,"mmm")</f>
        <v>Aug</v>
      </c>
      <c r="E516" s="7" t="str">
        <f t="shared" ref="E516:E579" si="67">TEXT(B516,"ddd")</f>
        <v>Thu</v>
      </c>
      <c r="F516" t="s">
        <v>664</v>
      </c>
      <c r="G516" t="s">
        <v>119</v>
      </c>
      <c r="H516" t="s">
        <v>22</v>
      </c>
      <c r="I516" s="2" t="str">
        <f t="shared" si="64"/>
        <v>Central</v>
      </c>
      <c r="J516" t="s">
        <v>56</v>
      </c>
      <c r="K516" t="s">
        <v>36</v>
      </c>
      <c r="L516">
        <v>8</v>
      </c>
      <c r="M516">
        <v>120</v>
      </c>
      <c r="N516">
        <f t="shared" ref="N516:N579" si="68">M516*L516</f>
        <v>960</v>
      </c>
      <c r="O516">
        <f t="shared" ref="O516:O579" si="69">N516*0.1</f>
        <v>96</v>
      </c>
      <c r="P516" t="str">
        <f t="shared" ref="P516:P579" si="70">IF(N516&gt;500,"Large Order","Standard Order")</f>
        <v>Large Order</v>
      </c>
      <c r="Q516" t="str">
        <f t="shared" ref="Q516:Q579" si="71">IF(OR(TRIM(E516)="Sat",TRIM(E516)="Sun"),"Weekend","Weekday")</f>
        <v>Weekday</v>
      </c>
    </row>
    <row r="517" spans="1:17" x14ac:dyDescent="0.35">
      <c r="A517" t="s">
        <v>665</v>
      </c>
      <c r="B517" s="7">
        <v>45333</v>
      </c>
      <c r="C517" s="13">
        <f t="shared" si="65"/>
        <v>2024</v>
      </c>
      <c r="D517" s="7" t="str">
        <f t="shared" si="66"/>
        <v>Feb</v>
      </c>
      <c r="E517" s="7" t="str">
        <f t="shared" si="67"/>
        <v>Sun</v>
      </c>
      <c r="F517" t="s">
        <v>339</v>
      </c>
      <c r="G517" t="s">
        <v>62</v>
      </c>
      <c r="H517" t="s">
        <v>17</v>
      </c>
      <c r="I517" s="2" t="str">
        <f t="shared" si="64"/>
        <v>Central</v>
      </c>
      <c r="J517" t="s">
        <v>306</v>
      </c>
      <c r="K517" t="s">
        <v>36</v>
      </c>
      <c r="L517">
        <v>12</v>
      </c>
      <c r="M517">
        <v>120</v>
      </c>
      <c r="N517">
        <f t="shared" si="68"/>
        <v>1440</v>
      </c>
      <c r="O517">
        <f t="shared" si="69"/>
        <v>144</v>
      </c>
      <c r="P517" t="str">
        <f t="shared" si="70"/>
        <v>Large Order</v>
      </c>
      <c r="Q517" t="str">
        <f t="shared" si="71"/>
        <v>Weekend</v>
      </c>
    </row>
    <row r="518" spans="1:17" x14ac:dyDescent="0.35">
      <c r="A518" t="s">
        <v>666</v>
      </c>
      <c r="B518" s="7">
        <v>45349</v>
      </c>
      <c r="C518" s="13">
        <f t="shared" si="65"/>
        <v>2024</v>
      </c>
      <c r="D518" s="7" t="str">
        <f t="shared" si="66"/>
        <v>Feb</v>
      </c>
      <c r="E518" s="7" t="str">
        <f t="shared" si="67"/>
        <v>Tue</v>
      </c>
      <c r="F518" t="s">
        <v>131</v>
      </c>
      <c r="G518" t="s">
        <v>65</v>
      </c>
      <c r="H518" t="s">
        <v>22</v>
      </c>
      <c r="I518" s="2" t="str">
        <f t="shared" si="64"/>
        <v>North</v>
      </c>
      <c r="J518" t="s">
        <v>306</v>
      </c>
      <c r="K518" t="s">
        <v>28</v>
      </c>
      <c r="L518">
        <v>19</v>
      </c>
      <c r="M518">
        <v>120</v>
      </c>
      <c r="N518">
        <f t="shared" si="68"/>
        <v>2280</v>
      </c>
      <c r="O518">
        <f t="shared" si="69"/>
        <v>228</v>
      </c>
      <c r="P518" t="str">
        <f t="shared" si="70"/>
        <v>Large Order</v>
      </c>
      <c r="Q518" t="str">
        <f t="shared" si="71"/>
        <v>Weekday</v>
      </c>
    </row>
    <row r="519" spans="1:17" x14ac:dyDescent="0.35">
      <c r="A519" t="s">
        <v>667</v>
      </c>
      <c r="B519" s="7">
        <v>45459</v>
      </c>
      <c r="C519" s="13">
        <f t="shared" si="65"/>
        <v>2024</v>
      </c>
      <c r="D519" s="7" t="str">
        <f t="shared" si="66"/>
        <v>Jun</v>
      </c>
      <c r="E519" s="7" t="str">
        <f t="shared" si="67"/>
        <v>Sun</v>
      </c>
      <c r="F519" t="s">
        <v>363</v>
      </c>
      <c r="G519" t="s">
        <v>41</v>
      </c>
      <c r="H519" t="s">
        <v>17</v>
      </c>
      <c r="I519" s="2" t="str">
        <f t="shared" si="64"/>
        <v>North</v>
      </c>
      <c r="J519" t="s">
        <v>12</v>
      </c>
      <c r="K519" t="s">
        <v>23</v>
      </c>
      <c r="L519">
        <v>7</v>
      </c>
      <c r="M519">
        <v>120</v>
      </c>
      <c r="N519">
        <f t="shared" si="68"/>
        <v>840</v>
      </c>
      <c r="O519">
        <f t="shared" si="69"/>
        <v>84</v>
      </c>
      <c r="P519" t="str">
        <f t="shared" si="70"/>
        <v>Large Order</v>
      </c>
      <c r="Q519" t="str">
        <f t="shared" si="71"/>
        <v>Weekend</v>
      </c>
    </row>
    <row r="520" spans="1:17" x14ac:dyDescent="0.35">
      <c r="A520" t="s">
        <v>668</v>
      </c>
      <c r="B520" s="7">
        <v>45338</v>
      </c>
      <c r="C520" s="13">
        <f t="shared" si="65"/>
        <v>2024</v>
      </c>
      <c r="D520" s="7" t="str">
        <f t="shared" si="66"/>
        <v>Feb</v>
      </c>
      <c r="E520" s="7" t="str">
        <f t="shared" si="67"/>
        <v>Fri</v>
      </c>
      <c r="F520" t="s">
        <v>345</v>
      </c>
      <c r="G520" t="s">
        <v>70</v>
      </c>
      <c r="H520" t="s">
        <v>17</v>
      </c>
      <c r="I520" s="2" t="str">
        <f t="shared" si="64"/>
        <v>West</v>
      </c>
      <c r="J520" t="s">
        <v>12</v>
      </c>
      <c r="K520" t="s">
        <v>23</v>
      </c>
      <c r="L520">
        <v>5</v>
      </c>
      <c r="M520">
        <v>120</v>
      </c>
      <c r="N520">
        <f t="shared" si="68"/>
        <v>600</v>
      </c>
      <c r="O520">
        <f t="shared" si="69"/>
        <v>60</v>
      </c>
      <c r="P520" t="str">
        <f t="shared" si="70"/>
        <v>Large Order</v>
      </c>
      <c r="Q520" t="str">
        <f t="shared" si="71"/>
        <v>Weekday</v>
      </c>
    </row>
    <row r="521" spans="1:17" x14ac:dyDescent="0.35">
      <c r="A521" t="s">
        <v>669</v>
      </c>
      <c r="B521" s="7">
        <v>45580</v>
      </c>
      <c r="C521" s="13">
        <f t="shared" si="65"/>
        <v>2024</v>
      </c>
      <c r="D521" s="7" t="str">
        <f t="shared" si="66"/>
        <v>Oct</v>
      </c>
      <c r="E521" s="7" t="str">
        <f t="shared" si="67"/>
        <v>Tue</v>
      </c>
      <c r="F521" t="s">
        <v>131</v>
      </c>
      <c r="G521" t="s">
        <v>41</v>
      </c>
      <c r="H521" t="s">
        <v>22</v>
      </c>
      <c r="I521" s="2" t="str">
        <f t="shared" si="64"/>
        <v>South</v>
      </c>
      <c r="J521" t="s">
        <v>27</v>
      </c>
      <c r="K521" t="s">
        <v>23</v>
      </c>
      <c r="L521">
        <v>10</v>
      </c>
      <c r="M521">
        <v>120</v>
      </c>
      <c r="N521">
        <f t="shared" si="68"/>
        <v>1200</v>
      </c>
      <c r="O521">
        <f t="shared" si="69"/>
        <v>120</v>
      </c>
      <c r="P521" t="str">
        <f t="shared" si="70"/>
        <v>Large Order</v>
      </c>
      <c r="Q521" t="str">
        <f t="shared" si="71"/>
        <v>Weekday</v>
      </c>
    </row>
    <row r="522" spans="1:17" x14ac:dyDescent="0.35">
      <c r="A522" t="s">
        <v>670</v>
      </c>
      <c r="B522" s="7">
        <v>45422</v>
      </c>
      <c r="C522" s="13">
        <f t="shared" si="65"/>
        <v>2024</v>
      </c>
      <c r="D522" s="7" t="str">
        <f t="shared" si="66"/>
        <v>May</v>
      </c>
      <c r="E522" s="7" t="str">
        <f t="shared" si="67"/>
        <v>Fri</v>
      </c>
      <c r="F522" t="s">
        <v>25</v>
      </c>
      <c r="G522" t="s">
        <v>59</v>
      </c>
      <c r="H522" t="s">
        <v>22</v>
      </c>
      <c r="I522" s="2" t="str">
        <f t="shared" si="64"/>
        <v>North</v>
      </c>
      <c r="J522" t="s">
        <v>56</v>
      </c>
      <c r="K522" t="s">
        <v>32</v>
      </c>
      <c r="L522">
        <v>3</v>
      </c>
      <c r="M522">
        <v>120</v>
      </c>
      <c r="N522">
        <f t="shared" si="68"/>
        <v>360</v>
      </c>
      <c r="O522">
        <f t="shared" si="69"/>
        <v>36</v>
      </c>
      <c r="P522" t="str">
        <f t="shared" si="70"/>
        <v>Standard Order</v>
      </c>
      <c r="Q522" t="str">
        <f t="shared" si="71"/>
        <v>Weekday</v>
      </c>
    </row>
    <row r="523" spans="1:17" x14ac:dyDescent="0.35">
      <c r="A523" t="s">
        <v>671</v>
      </c>
      <c r="B523" s="7">
        <v>45650</v>
      </c>
      <c r="C523" s="13">
        <f t="shared" si="65"/>
        <v>2024</v>
      </c>
      <c r="D523" s="7" t="str">
        <f t="shared" si="66"/>
        <v>Dec</v>
      </c>
      <c r="E523" s="7" t="str">
        <f t="shared" si="67"/>
        <v>Tue</v>
      </c>
      <c r="F523" t="s">
        <v>58</v>
      </c>
      <c r="G523" t="s">
        <v>10</v>
      </c>
      <c r="H523" t="s">
        <v>22</v>
      </c>
      <c r="I523" s="2" t="str">
        <f t="shared" si="64"/>
        <v>West</v>
      </c>
      <c r="J523" t="s">
        <v>12</v>
      </c>
      <c r="K523" t="s">
        <v>23</v>
      </c>
      <c r="L523">
        <v>16</v>
      </c>
      <c r="M523">
        <v>120</v>
      </c>
      <c r="N523">
        <f t="shared" si="68"/>
        <v>1920</v>
      </c>
      <c r="O523">
        <f t="shared" si="69"/>
        <v>192</v>
      </c>
      <c r="P523" t="str">
        <f t="shared" si="70"/>
        <v>Large Order</v>
      </c>
      <c r="Q523" t="str">
        <f t="shared" si="71"/>
        <v>Weekday</v>
      </c>
    </row>
    <row r="524" spans="1:17" x14ac:dyDescent="0.35">
      <c r="A524" t="s">
        <v>672</v>
      </c>
      <c r="B524" s="7">
        <v>45384</v>
      </c>
      <c r="C524" s="13">
        <f t="shared" si="65"/>
        <v>2024</v>
      </c>
      <c r="D524" s="7" t="str">
        <f t="shared" si="66"/>
        <v>Apr</v>
      </c>
      <c r="E524" s="7" t="str">
        <f t="shared" si="67"/>
        <v>Tue</v>
      </c>
      <c r="F524" t="s">
        <v>337</v>
      </c>
      <c r="G524" t="s">
        <v>48</v>
      </c>
      <c r="H524" t="s">
        <v>11</v>
      </c>
      <c r="I524" s="2" t="str">
        <f t="shared" si="64"/>
        <v>Central</v>
      </c>
      <c r="J524" t="s">
        <v>27</v>
      </c>
      <c r="K524" t="s">
        <v>23</v>
      </c>
      <c r="L524">
        <v>13</v>
      </c>
      <c r="M524">
        <v>120</v>
      </c>
      <c r="N524">
        <f t="shared" si="68"/>
        <v>1560</v>
      </c>
      <c r="O524">
        <f t="shared" si="69"/>
        <v>156</v>
      </c>
      <c r="P524" t="str">
        <f t="shared" si="70"/>
        <v>Large Order</v>
      </c>
      <c r="Q524" t="str">
        <f t="shared" si="71"/>
        <v>Weekday</v>
      </c>
    </row>
    <row r="525" spans="1:17" x14ac:dyDescent="0.35">
      <c r="A525" t="s">
        <v>673</v>
      </c>
      <c r="B525" s="7">
        <v>45484</v>
      </c>
      <c r="C525" s="13">
        <f t="shared" si="65"/>
        <v>2024</v>
      </c>
      <c r="D525" s="7" t="str">
        <f t="shared" si="66"/>
        <v>Jul</v>
      </c>
      <c r="E525" s="7" t="str">
        <f t="shared" si="67"/>
        <v>Thu</v>
      </c>
      <c r="F525" t="s">
        <v>81</v>
      </c>
      <c r="G525" t="s">
        <v>16</v>
      </c>
      <c r="H525" t="s">
        <v>22</v>
      </c>
      <c r="I525" s="2" t="str">
        <f t="shared" si="64"/>
        <v>South</v>
      </c>
      <c r="J525" t="s">
        <v>306</v>
      </c>
      <c r="K525" t="s">
        <v>36</v>
      </c>
      <c r="L525">
        <v>12</v>
      </c>
      <c r="M525">
        <v>120</v>
      </c>
      <c r="N525">
        <f t="shared" si="68"/>
        <v>1440</v>
      </c>
      <c r="O525">
        <f t="shared" si="69"/>
        <v>144</v>
      </c>
      <c r="P525" t="str">
        <f t="shared" si="70"/>
        <v>Large Order</v>
      </c>
      <c r="Q525" t="str">
        <f t="shared" si="71"/>
        <v>Weekday</v>
      </c>
    </row>
    <row r="526" spans="1:17" x14ac:dyDescent="0.35">
      <c r="A526" t="s">
        <v>674</v>
      </c>
      <c r="B526" s="7">
        <v>45493</v>
      </c>
      <c r="C526" s="13">
        <f t="shared" si="65"/>
        <v>2024</v>
      </c>
      <c r="D526" s="7" t="str">
        <f t="shared" si="66"/>
        <v>Jul</v>
      </c>
      <c r="E526" s="7" t="str">
        <f t="shared" si="67"/>
        <v>Sat</v>
      </c>
      <c r="F526" t="s">
        <v>339</v>
      </c>
      <c r="G526" t="s">
        <v>96</v>
      </c>
      <c r="H526" t="s">
        <v>11</v>
      </c>
      <c r="I526" s="2" t="str">
        <f t="shared" si="64"/>
        <v>West</v>
      </c>
      <c r="J526" t="s">
        <v>56</v>
      </c>
      <c r="K526" t="s">
        <v>23</v>
      </c>
      <c r="L526">
        <v>1</v>
      </c>
      <c r="M526">
        <v>120</v>
      </c>
      <c r="N526">
        <f t="shared" si="68"/>
        <v>120</v>
      </c>
      <c r="O526">
        <f t="shared" si="69"/>
        <v>12</v>
      </c>
      <c r="P526" t="str">
        <f t="shared" si="70"/>
        <v>Standard Order</v>
      </c>
      <c r="Q526" t="str">
        <f t="shared" si="71"/>
        <v>Weekend</v>
      </c>
    </row>
    <row r="527" spans="1:17" x14ac:dyDescent="0.35">
      <c r="A527" t="s">
        <v>675</v>
      </c>
      <c r="B527" s="7">
        <v>45636</v>
      </c>
      <c r="C527" s="13">
        <f t="shared" si="65"/>
        <v>2024</v>
      </c>
      <c r="D527" s="7" t="str">
        <f t="shared" si="66"/>
        <v>Dec</v>
      </c>
      <c r="E527" s="7" t="str">
        <f t="shared" si="67"/>
        <v>Tue</v>
      </c>
      <c r="F527" t="s">
        <v>329</v>
      </c>
      <c r="G527" t="s">
        <v>174</v>
      </c>
      <c r="H527" t="s">
        <v>22</v>
      </c>
      <c r="I527" s="2" t="str">
        <f t="shared" si="64"/>
        <v>East</v>
      </c>
      <c r="J527" t="s">
        <v>27</v>
      </c>
      <c r="K527" t="s">
        <v>28</v>
      </c>
      <c r="L527">
        <v>13</v>
      </c>
      <c r="M527">
        <v>120</v>
      </c>
      <c r="N527">
        <f t="shared" si="68"/>
        <v>1560</v>
      </c>
      <c r="O527">
        <f t="shared" si="69"/>
        <v>156</v>
      </c>
      <c r="P527" t="str">
        <f t="shared" si="70"/>
        <v>Large Order</v>
      </c>
      <c r="Q527" t="str">
        <f t="shared" si="71"/>
        <v>Weekday</v>
      </c>
    </row>
    <row r="528" spans="1:17" x14ac:dyDescent="0.35">
      <c r="A528" t="s">
        <v>676</v>
      </c>
      <c r="B528" s="7">
        <v>45527</v>
      </c>
      <c r="C528" s="13">
        <f t="shared" si="65"/>
        <v>2024</v>
      </c>
      <c r="D528" s="7" t="str">
        <f t="shared" si="66"/>
        <v>Aug</v>
      </c>
      <c r="E528" s="7" t="str">
        <f t="shared" si="67"/>
        <v>Fri</v>
      </c>
      <c r="F528" t="s">
        <v>20</v>
      </c>
      <c r="G528" t="s">
        <v>65</v>
      </c>
      <c r="H528" t="s">
        <v>11</v>
      </c>
      <c r="I528" s="2" t="str">
        <f t="shared" si="64"/>
        <v>South</v>
      </c>
      <c r="J528" t="s">
        <v>42</v>
      </c>
      <c r="K528" t="s">
        <v>23</v>
      </c>
      <c r="L528">
        <v>4</v>
      </c>
      <c r="M528">
        <v>120</v>
      </c>
      <c r="N528">
        <f t="shared" si="68"/>
        <v>480</v>
      </c>
      <c r="O528">
        <f t="shared" si="69"/>
        <v>48</v>
      </c>
      <c r="P528" t="str">
        <f t="shared" si="70"/>
        <v>Standard Order</v>
      </c>
      <c r="Q528" t="str">
        <f t="shared" si="71"/>
        <v>Weekday</v>
      </c>
    </row>
    <row r="529" spans="1:17" x14ac:dyDescent="0.35">
      <c r="A529" t="s">
        <v>677</v>
      </c>
      <c r="B529" s="7">
        <v>45606</v>
      </c>
      <c r="C529" s="13">
        <f t="shared" si="65"/>
        <v>2024</v>
      </c>
      <c r="D529" s="7" t="str">
        <f t="shared" si="66"/>
        <v>Nov</v>
      </c>
      <c r="E529" s="7" t="str">
        <f t="shared" si="67"/>
        <v>Sun</v>
      </c>
      <c r="F529" t="s">
        <v>337</v>
      </c>
      <c r="G529" t="s">
        <v>65</v>
      </c>
      <c r="H529" t="s">
        <v>11</v>
      </c>
      <c r="I529" s="2" t="str">
        <f t="shared" si="64"/>
        <v>North</v>
      </c>
      <c r="J529" t="s">
        <v>56</v>
      </c>
      <c r="K529" t="s">
        <v>13</v>
      </c>
      <c r="L529">
        <v>3</v>
      </c>
      <c r="M529">
        <v>120</v>
      </c>
      <c r="N529">
        <f t="shared" si="68"/>
        <v>360</v>
      </c>
      <c r="O529">
        <f t="shared" si="69"/>
        <v>36</v>
      </c>
      <c r="P529" t="str">
        <f t="shared" si="70"/>
        <v>Standard Order</v>
      </c>
      <c r="Q529" t="str">
        <f t="shared" si="71"/>
        <v>Weekend</v>
      </c>
    </row>
    <row r="530" spans="1:17" x14ac:dyDescent="0.35">
      <c r="A530" t="s">
        <v>678</v>
      </c>
      <c r="B530" s="7">
        <v>45520</v>
      </c>
      <c r="C530" s="13">
        <f t="shared" si="65"/>
        <v>2024</v>
      </c>
      <c r="D530" s="7" t="str">
        <f t="shared" si="66"/>
        <v>Aug</v>
      </c>
      <c r="E530" s="7" t="str">
        <f t="shared" si="67"/>
        <v>Fri</v>
      </c>
      <c r="F530" t="s">
        <v>327</v>
      </c>
      <c r="G530" t="s">
        <v>197</v>
      </c>
      <c r="H530" t="s">
        <v>22</v>
      </c>
      <c r="I530" s="2" t="str">
        <f t="shared" si="64"/>
        <v>South</v>
      </c>
      <c r="J530" t="s">
        <v>12</v>
      </c>
      <c r="K530" t="s">
        <v>28</v>
      </c>
      <c r="L530">
        <v>2</v>
      </c>
      <c r="M530">
        <v>120</v>
      </c>
      <c r="N530">
        <f t="shared" si="68"/>
        <v>240</v>
      </c>
      <c r="O530">
        <f t="shared" si="69"/>
        <v>24</v>
      </c>
      <c r="P530" t="str">
        <f t="shared" si="70"/>
        <v>Standard Order</v>
      </c>
      <c r="Q530" t="str">
        <f t="shared" si="71"/>
        <v>Weekday</v>
      </c>
    </row>
    <row r="531" spans="1:17" x14ac:dyDescent="0.35">
      <c r="A531" t="s">
        <v>679</v>
      </c>
      <c r="B531" s="7">
        <v>45568</v>
      </c>
      <c r="C531" s="13">
        <f t="shared" si="65"/>
        <v>2024</v>
      </c>
      <c r="D531" s="7" t="str">
        <f t="shared" si="66"/>
        <v>Oct</v>
      </c>
      <c r="E531" s="7" t="str">
        <f t="shared" si="67"/>
        <v>Thu</v>
      </c>
      <c r="F531" t="s">
        <v>133</v>
      </c>
      <c r="G531" t="s">
        <v>160</v>
      </c>
      <c r="H531" t="s">
        <v>11</v>
      </c>
      <c r="I531" s="2" t="str">
        <f t="shared" si="64"/>
        <v>East</v>
      </c>
      <c r="J531" t="s">
        <v>56</v>
      </c>
      <c r="K531" t="s">
        <v>36</v>
      </c>
      <c r="L531">
        <v>10</v>
      </c>
      <c r="M531">
        <v>120</v>
      </c>
      <c r="N531">
        <f t="shared" si="68"/>
        <v>1200</v>
      </c>
      <c r="O531">
        <f t="shared" si="69"/>
        <v>120</v>
      </c>
      <c r="P531" t="str">
        <f t="shared" si="70"/>
        <v>Large Order</v>
      </c>
      <c r="Q531" t="str">
        <f t="shared" si="71"/>
        <v>Weekday</v>
      </c>
    </row>
    <row r="532" spans="1:17" x14ac:dyDescent="0.35">
      <c r="A532" t="s">
        <v>680</v>
      </c>
      <c r="B532" s="7">
        <v>45455</v>
      </c>
      <c r="C532" s="13">
        <f t="shared" si="65"/>
        <v>2024</v>
      </c>
      <c r="D532" s="7" t="str">
        <f t="shared" si="66"/>
        <v>Jun</v>
      </c>
      <c r="E532" s="7" t="str">
        <f t="shared" si="67"/>
        <v>Wed</v>
      </c>
      <c r="F532" t="s">
        <v>314</v>
      </c>
      <c r="G532" t="s">
        <v>197</v>
      </c>
      <c r="H532" t="s">
        <v>22</v>
      </c>
      <c r="I532" s="2" t="str">
        <f t="shared" si="64"/>
        <v>East</v>
      </c>
      <c r="J532" t="s">
        <v>42</v>
      </c>
      <c r="K532" t="s">
        <v>36</v>
      </c>
      <c r="L532">
        <v>10</v>
      </c>
      <c r="M532">
        <v>120</v>
      </c>
      <c r="N532">
        <f t="shared" si="68"/>
        <v>1200</v>
      </c>
      <c r="O532">
        <f t="shared" si="69"/>
        <v>120</v>
      </c>
      <c r="P532" t="str">
        <f t="shared" si="70"/>
        <v>Large Order</v>
      </c>
      <c r="Q532" t="str">
        <f t="shared" si="71"/>
        <v>Weekday</v>
      </c>
    </row>
    <row r="533" spans="1:17" x14ac:dyDescent="0.35">
      <c r="A533" t="s">
        <v>681</v>
      </c>
      <c r="B533" s="7">
        <v>45405</v>
      </c>
      <c r="C533" s="13">
        <f t="shared" si="65"/>
        <v>2024</v>
      </c>
      <c r="D533" s="7" t="str">
        <f t="shared" si="66"/>
        <v>Apr</v>
      </c>
      <c r="E533" s="7" t="str">
        <f t="shared" si="67"/>
        <v>Tue</v>
      </c>
      <c r="F533" t="s">
        <v>408</v>
      </c>
      <c r="G533" t="s">
        <v>79</v>
      </c>
      <c r="H533" t="s">
        <v>17</v>
      </c>
      <c r="I533" s="2" t="str">
        <f t="shared" si="64"/>
        <v>Central</v>
      </c>
      <c r="J533" t="s">
        <v>42</v>
      </c>
      <c r="K533" t="s">
        <v>28</v>
      </c>
      <c r="L533">
        <v>18</v>
      </c>
      <c r="M533">
        <v>120</v>
      </c>
      <c r="N533">
        <f t="shared" si="68"/>
        <v>2160</v>
      </c>
      <c r="O533">
        <f t="shared" si="69"/>
        <v>216</v>
      </c>
      <c r="P533" t="str">
        <f t="shared" si="70"/>
        <v>Large Order</v>
      </c>
      <c r="Q533" t="str">
        <f t="shared" si="71"/>
        <v>Weekday</v>
      </c>
    </row>
    <row r="534" spans="1:17" x14ac:dyDescent="0.35">
      <c r="A534" t="s">
        <v>682</v>
      </c>
      <c r="B534" s="7">
        <v>45612</v>
      </c>
      <c r="C534" s="13">
        <f t="shared" si="65"/>
        <v>2024</v>
      </c>
      <c r="D534" s="7" t="str">
        <f t="shared" si="66"/>
        <v>Nov</v>
      </c>
      <c r="E534" s="7" t="str">
        <f t="shared" si="67"/>
        <v>Sat</v>
      </c>
      <c r="F534" t="s">
        <v>422</v>
      </c>
      <c r="G534" t="s">
        <v>35</v>
      </c>
      <c r="H534" t="s">
        <v>17</v>
      </c>
      <c r="I534" s="2" t="str">
        <f t="shared" si="64"/>
        <v>West</v>
      </c>
      <c r="J534" t="s">
        <v>306</v>
      </c>
      <c r="K534" t="s">
        <v>23</v>
      </c>
      <c r="L534">
        <v>2</v>
      </c>
      <c r="M534">
        <v>120</v>
      </c>
      <c r="N534">
        <f t="shared" si="68"/>
        <v>240</v>
      </c>
      <c r="O534">
        <f t="shared" si="69"/>
        <v>24</v>
      </c>
      <c r="P534" t="str">
        <f t="shared" si="70"/>
        <v>Standard Order</v>
      </c>
      <c r="Q534" t="str">
        <f t="shared" si="71"/>
        <v>Weekend</v>
      </c>
    </row>
    <row r="535" spans="1:17" x14ac:dyDescent="0.35">
      <c r="A535" t="s">
        <v>683</v>
      </c>
      <c r="B535" s="7">
        <v>45560</v>
      </c>
      <c r="C535" s="13">
        <f t="shared" si="65"/>
        <v>2024</v>
      </c>
      <c r="D535" s="7" t="str">
        <f t="shared" si="66"/>
        <v>Sep</v>
      </c>
      <c r="E535" s="7" t="str">
        <f t="shared" si="67"/>
        <v>Wed</v>
      </c>
      <c r="F535" t="s">
        <v>38</v>
      </c>
      <c r="G535" t="s">
        <v>87</v>
      </c>
      <c r="H535" t="s">
        <v>22</v>
      </c>
      <c r="I535" s="2" t="str">
        <f t="shared" si="64"/>
        <v>South</v>
      </c>
      <c r="J535" t="s">
        <v>27</v>
      </c>
      <c r="K535" t="s">
        <v>28</v>
      </c>
      <c r="L535">
        <v>5</v>
      </c>
      <c r="M535">
        <v>120</v>
      </c>
      <c r="N535">
        <f t="shared" si="68"/>
        <v>600</v>
      </c>
      <c r="O535">
        <f t="shared" si="69"/>
        <v>60</v>
      </c>
      <c r="P535" t="str">
        <f t="shared" si="70"/>
        <v>Large Order</v>
      </c>
      <c r="Q535" t="str">
        <f t="shared" si="71"/>
        <v>Weekday</v>
      </c>
    </row>
    <row r="536" spans="1:17" x14ac:dyDescent="0.35">
      <c r="A536" t="s">
        <v>684</v>
      </c>
      <c r="B536" s="7">
        <v>45567</v>
      </c>
      <c r="C536" s="13">
        <f t="shared" si="65"/>
        <v>2024</v>
      </c>
      <c r="D536" s="7" t="str">
        <f t="shared" si="66"/>
        <v>Oct</v>
      </c>
      <c r="E536" s="7" t="str">
        <f t="shared" si="67"/>
        <v>Wed</v>
      </c>
      <c r="F536" t="s">
        <v>553</v>
      </c>
      <c r="G536" t="s">
        <v>74</v>
      </c>
      <c r="H536" t="s">
        <v>11</v>
      </c>
      <c r="I536" s="2" t="str">
        <f t="shared" si="64"/>
        <v>Central</v>
      </c>
      <c r="J536" t="s">
        <v>56</v>
      </c>
      <c r="K536" t="s">
        <v>13</v>
      </c>
      <c r="L536">
        <v>5</v>
      </c>
      <c r="M536">
        <v>120</v>
      </c>
      <c r="N536">
        <f t="shared" si="68"/>
        <v>600</v>
      </c>
      <c r="O536">
        <f t="shared" si="69"/>
        <v>60</v>
      </c>
      <c r="P536" t="str">
        <f t="shared" si="70"/>
        <v>Large Order</v>
      </c>
      <c r="Q536" t="str">
        <f t="shared" si="71"/>
        <v>Weekday</v>
      </c>
    </row>
    <row r="537" spans="1:17" x14ac:dyDescent="0.35">
      <c r="A537" t="s">
        <v>685</v>
      </c>
      <c r="B537" s="7">
        <v>45579</v>
      </c>
      <c r="C537" s="13">
        <f t="shared" si="65"/>
        <v>2024</v>
      </c>
      <c r="D537" s="7" t="str">
        <f t="shared" si="66"/>
        <v>Oct</v>
      </c>
      <c r="E537" s="7" t="str">
        <f t="shared" si="67"/>
        <v>Mon</v>
      </c>
      <c r="F537" t="s">
        <v>408</v>
      </c>
      <c r="G537" t="s">
        <v>160</v>
      </c>
      <c r="H537" t="s">
        <v>17</v>
      </c>
      <c r="I537" s="2" t="str">
        <f t="shared" si="64"/>
        <v>North</v>
      </c>
      <c r="J537" t="s">
        <v>306</v>
      </c>
      <c r="K537" t="s">
        <v>32</v>
      </c>
      <c r="L537">
        <v>5</v>
      </c>
      <c r="M537">
        <v>120</v>
      </c>
      <c r="N537">
        <f t="shared" si="68"/>
        <v>600</v>
      </c>
      <c r="O537">
        <f t="shared" si="69"/>
        <v>60</v>
      </c>
      <c r="P537" t="str">
        <f t="shared" si="70"/>
        <v>Large Order</v>
      </c>
      <c r="Q537" t="str">
        <f t="shared" si="71"/>
        <v>Weekday</v>
      </c>
    </row>
    <row r="538" spans="1:17" x14ac:dyDescent="0.35">
      <c r="A538" t="s">
        <v>686</v>
      </c>
      <c r="B538" s="7">
        <v>45396</v>
      </c>
      <c r="C538" s="13">
        <f t="shared" si="65"/>
        <v>2024</v>
      </c>
      <c r="D538" s="7" t="str">
        <f t="shared" si="66"/>
        <v>Apr</v>
      </c>
      <c r="E538" s="7" t="str">
        <f t="shared" si="67"/>
        <v>Sun</v>
      </c>
      <c r="F538" t="s">
        <v>118</v>
      </c>
      <c r="G538" t="s">
        <v>70</v>
      </c>
      <c r="H538" t="s">
        <v>22</v>
      </c>
      <c r="I538" s="2" t="str">
        <f t="shared" si="64"/>
        <v>Central</v>
      </c>
      <c r="J538" t="s">
        <v>12</v>
      </c>
      <c r="K538" t="s">
        <v>28</v>
      </c>
      <c r="L538">
        <v>12</v>
      </c>
      <c r="M538">
        <v>120</v>
      </c>
      <c r="N538">
        <f t="shared" si="68"/>
        <v>1440</v>
      </c>
      <c r="O538">
        <f t="shared" si="69"/>
        <v>144</v>
      </c>
      <c r="P538" t="str">
        <f t="shared" si="70"/>
        <v>Large Order</v>
      </c>
      <c r="Q538" t="str">
        <f t="shared" si="71"/>
        <v>Weekend</v>
      </c>
    </row>
    <row r="539" spans="1:17" x14ac:dyDescent="0.35">
      <c r="A539" t="s">
        <v>687</v>
      </c>
      <c r="B539" s="7">
        <v>45318</v>
      </c>
      <c r="C539" s="13">
        <f t="shared" si="65"/>
        <v>2024</v>
      </c>
      <c r="D539" s="7" t="str">
        <f t="shared" si="66"/>
        <v>Jan</v>
      </c>
      <c r="E539" s="7" t="str">
        <f t="shared" si="67"/>
        <v>Sat</v>
      </c>
      <c r="F539" t="s">
        <v>101</v>
      </c>
      <c r="G539" t="s">
        <v>109</v>
      </c>
      <c r="H539" t="s">
        <v>17</v>
      </c>
      <c r="I539" s="2" t="str">
        <f t="shared" si="64"/>
        <v>Central</v>
      </c>
      <c r="J539" t="s">
        <v>306</v>
      </c>
      <c r="K539" t="s">
        <v>28</v>
      </c>
      <c r="L539">
        <v>2</v>
      </c>
      <c r="M539">
        <v>120</v>
      </c>
      <c r="N539">
        <f t="shared" si="68"/>
        <v>240</v>
      </c>
      <c r="O539">
        <f t="shared" si="69"/>
        <v>24</v>
      </c>
      <c r="P539" t="str">
        <f t="shared" si="70"/>
        <v>Standard Order</v>
      </c>
      <c r="Q539" t="str">
        <f t="shared" si="71"/>
        <v>Weekend</v>
      </c>
    </row>
    <row r="540" spans="1:17" x14ac:dyDescent="0.35">
      <c r="A540" t="s">
        <v>688</v>
      </c>
      <c r="B540" s="7">
        <v>45592</v>
      </c>
      <c r="C540" s="13">
        <f t="shared" si="65"/>
        <v>2024</v>
      </c>
      <c r="D540" s="7" t="str">
        <f t="shared" si="66"/>
        <v>Oct</v>
      </c>
      <c r="E540" s="7" t="str">
        <f t="shared" si="67"/>
        <v>Sun</v>
      </c>
      <c r="F540" t="s">
        <v>329</v>
      </c>
      <c r="G540" t="s">
        <v>65</v>
      </c>
      <c r="H540" t="s">
        <v>22</v>
      </c>
      <c r="I540" s="2" t="str">
        <f t="shared" si="64"/>
        <v>South</v>
      </c>
      <c r="J540" t="s">
        <v>306</v>
      </c>
      <c r="K540" t="s">
        <v>32</v>
      </c>
      <c r="L540">
        <v>16</v>
      </c>
      <c r="M540">
        <v>120</v>
      </c>
      <c r="N540">
        <f t="shared" si="68"/>
        <v>1920</v>
      </c>
      <c r="O540">
        <f t="shared" si="69"/>
        <v>192</v>
      </c>
      <c r="P540" t="str">
        <f t="shared" si="70"/>
        <v>Large Order</v>
      </c>
      <c r="Q540" t="str">
        <f t="shared" si="71"/>
        <v>Weekend</v>
      </c>
    </row>
    <row r="541" spans="1:17" x14ac:dyDescent="0.35">
      <c r="A541" t="s">
        <v>689</v>
      </c>
      <c r="B541" s="7">
        <v>45447</v>
      </c>
      <c r="C541" s="13">
        <f t="shared" si="65"/>
        <v>2024</v>
      </c>
      <c r="D541" s="7" t="str">
        <f t="shared" si="66"/>
        <v>Jun</v>
      </c>
      <c r="E541" s="7" t="str">
        <f t="shared" si="67"/>
        <v>Tue</v>
      </c>
      <c r="F541" t="s">
        <v>142</v>
      </c>
      <c r="G541" t="s">
        <v>84</v>
      </c>
      <c r="H541" t="s">
        <v>11</v>
      </c>
      <c r="I541" s="2" t="str">
        <f t="shared" si="64"/>
        <v>South</v>
      </c>
      <c r="J541" t="s">
        <v>56</v>
      </c>
      <c r="K541" t="s">
        <v>23</v>
      </c>
      <c r="L541">
        <v>4</v>
      </c>
      <c r="M541">
        <v>120</v>
      </c>
      <c r="N541">
        <f t="shared" si="68"/>
        <v>480</v>
      </c>
      <c r="O541">
        <f t="shared" si="69"/>
        <v>48</v>
      </c>
      <c r="P541" t="str">
        <f t="shared" si="70"/>
        <v>Standard Order</v>
      </c>
      <c r="Q541" t="str">
        <f t="shared" si="71"/>
        <v>Weekday</v>
      </c>
    </row>
    <row r="542" spans="1:17" x14ac:dyDescent="0.35">
      <c r="A542" t="s">
        <v>690</v>
      </c>
      <c r="B542" s="7">
        <v>45416</v>
      </c>
      <c r="C542" s="13">
        <f t="shared" si="65"/>
        <v>2024</v>
      </c>
      <c r="D542" s="7" t="str">
        <f t="shared" si="66"/>
        <v>May</v>
      </c>
      <c r="E542" s="7" t="str">
        <f t="shared" si="67"/>
        <v>Sat</v>
      </c>
      <c r="F542" t="s">
        <v>424</v>
      </c>
      <c r="G542" t="s">
        <v>31</v>
      </c>
      <c r="H542" t="s">
        <v>22</v>
      </c>
      <c r="I542" s="2" t="str">
        <f t="shared" si="64"/>
        <v>East</v>
      </c>
      <c r="J542" t="s">
        <v>56</v>
      </c>
      <c r="K542" t="s">
        <v>32</v>
      </c>
      <c r="L542">
        <v>8</v>
      </c>
      <c r="M542">
        <v>120</v>
      </c>
      <c r="N542">
        <f t="shared" si="68"/>
        <v>960</v>
      </c>
      <c r="O542">
        <f t="shared" si="69"/>
        <v>96</v>
      </c>
      <c r="P542" t="str">
        <f t="shared" si="70"/>
        <v>Large Order</v>
      </c>
      <c r="Q542" t="str">
        <f t="shared" si="71"/>
        <v>Weekend</v>
      </c>
    </row>
    <row r="543" spans="1:17" x14ac:dyDescent="0.35">
      <c r="A543" t="s">
        <v>691</v>
      </c>
      <c r="B543" s="7">
        <v>45486</v>
      </c>
      <c r="C543" s="13">
        <f t="shared" si="65"/>
        <v>2024</v>
      </c>
      <c r="D543" s="7" t="str">
        <f t="shared" si="66"/>
        <v>Jul</v>
      </c>
      <c r="E543" s="7" t="str">
        <f t="shared" si="67"/>
        <v>Sat</v>
      </c>
      <c r="F543" t="s">
        <v>319</v>
      </c>
      <c r="G543" t="s">
        <v>74</v>
      </c>
      <c r="H543" t="s">
        <v>22</v>
      </c>
      <c r="I543" s="2" t="str">
        <f t="shared" si="64"/>
        <v>West</v>
      </c>
      <c r="J543" t="s">
        <v>42</v>
      </c>
      <c r="K543" t="s">
        <v>23</v>
      </c>
      <c r="L543">
        <v>9</v>
      </c>
      <c r="M543">
        <v>120</v>
      </c>
      <c r="N543">
        <f t="shared" si="68"/>
        <v>1080</v>
      </c>
      <c r="O543">
        <f t="shared" si="69"/>
        <v>108</v>
      </c>
      <c r="P543" t="str">
        <f t="shared" si="70"/>
        <v>Large Order</v>
      </c>
      <c r="Q543" t="str">
        <f t="shared" si="71"/>
        <v>Weekend</v>
      </c>
    </row>
    <row r="544" spans="1:17" x14ac:dyDescent="0.35">
      <c r="A544" t="s">
        <v>692</v>
      </c>
      <c r="B544" s="7">
        <v>45530</v>
      </c>
      <c r="C544" s="13">
        <f t="shared" si="65"/>
        <v>2024</v>
      </c>
      <c r="D544" s="7" t="str">
        <f t="shared" si="66"/>
        <v>Aug</v>
      </c>
      <c r="E544" s="7" t="str">
        <f t="shared" si="67"/>
        <v>Mon</v>
      </c>
      <c r="F544" t="s">
        <v>108</v>
      </c>
      <c r="G544" t="s">
        <v>119</v>
      </c>
      <c r="H544" t="s">
        <v>22</v>
      </c>
      <c r="I544" s="2" t="str">
        <f t="shared" si="64"/>
        <v>Central</v>
      </c>
      <c r="J544" t="s">
        <v>27</v>
      </c>
      <c r="K544" t="s">
        <v>32</v>
      </c>
      <c r="L544">
        <v>11</v>
      </c>
      <c r="M544">
        <v>120</v>
      </c>
      <c r="N544">
        <f t="shared" si="68"/>
        <v>1320</v>
      </c>
      <c r="O544">
        <f t="shared" si="69"/>
        <v>132</v>
      </c>
      <c r="P544" t="str">
        <f t="shared" si="70"/>
        <v>Large Order</v>
      </c>
      <c r="Q544" t="str">
        <f t="shared" si="71"/>
        <v>Weekday</v>
      </c>
    </row>
    <row r="545" spans="1:17" x14ac:dyDescent="0.35">
      <c r="A545" t="s">
        <v>693</v>
      </c>
      <c r="B545" s="7">
        <v>45452</v>
      </c>
      <c r="C545" s="13">
        <f t="shared" si="65"/>
        <v>2024</v>
      </c>
      <c r="D545" s="7" t="str">
        <f t="shared" si="66"/>
        <v>Jun</v>
      </c>
      <c r="E545" s="7" t="str">
        <f t="shared" si="67"/>
        <v>Sun</v>
      </c>
      <c r="F545" t="s">
        <v>408</v>
      </c>
      <c r="G545" t="s">
        <v>197</v>
      </c>
      <c r="H545" t="s">
        <v>11</v>
      </c>
      <c r="I545" s="2" t="str">
        <f t="shared" si="64"/>
        <v>West</v>
      </c>
      <c r="J545" t="s">
        <v>306</v>
      </c>
      <c r="K545" t="s">
        <v>36</v>
      </c>
      <c r="L545">
        <v>5</v>
      </c>
      <c r="M545">
        <v>120</v>
      </c>
      <c r="N545">
        <f t="shared" si="68"/>
        <v>600</v>
      </c>
      <c r="O545">
        <f t="shared" si="69"/>
        <v>60</v>
      </c>
      <c r="P545" t="str">
        <f t="shared" si="70"/>
        <v>Large Order</v>
      </c>
      <c r="Q545" t="str">
        <f t="shared" si="71"/>
        <v>Weekend</v>
      </c>
    </row>
    <row r="546" spans="1:17" x14ac:dyDescent="0.35">
      <c r="A546" t="s">
        <v>694</v>
      </c>
      <c r="B546" s="7">
        <v>45591</v>
      </c>
      <c r="C546" s="13">
        <f t="shared" si="65"/>
        <v>2024</v>
      </c>
      <c r="D546" s="7" t="str">
        <f t="shared" si="66"/>
        <v>Oct</v>
      </c>
      <c r="E546" s="7" t="str">
        <f t="shared" si="67"/>
        <v>Sat</v>
      </c>
      <c r="F546" t="s">
        <v>361</v>
      </c>
      <c r="G546" t="s">
        <v>74</v>
      </c>
      <c r="H546" t="s">
        <v>22</v>
      </c>
      <c r="I546" s="2" t="str">
        <f t="shared" si="64"/>
        <v>West</v>
      </c>
      <c r="J546" t="s">
        <v>27</v>
      </c>
      <c r="K546" t="s">
        <v>28</v>
      </c>
      <c r="L546">
        <v>5</v>
      </c>
      <c r="M546">
        <v>120</v>
      </c>
      <c r="N546">
        <f t="shared" si="68"/>
        <v>600</v>
      </c>
      <c r="O546">
        <f t="shared" si="69"/>
        <v>60</v>
      </c>
      <c r="P546" t="str">
        <f t="shared" si="70"/>
        <v>Large Order</v>
      </c>
      <c r="Q546" t="str">
        <f t="shared" si="71"/>
        <v>Weekend</v>
      </c>
    </row>
    <row r="547" spans="1:17" x14ac:dyDescent="0.35">
      <c r="A547" t="s">
        <v>695</v>
      </c>
      <c r="B547" s="7">
        <v>45486</v>
      </c>
      <c r="C547" s="13">
        <f t="shared" si="65"/>
        <v>2024</v>
      </c>
      <c r="D547" s="7" t="str">
        <f t="shared" si="66"/>
        <v>Jul</v>
      </c>
      <c r="E547" s="7" t="str">
        <f t="shared" si="67"/>
        <v>Sat</v>
      </c>
      <c r="F547" t="s">
        <v>614</v>
      </c>
      <c r="G547" t="s">
        <v>174</v>
      </c>
      <c r="H547" t="s">
        <v>11</v>
      </c>
      <c r="I547" s="2" t="str">
        <f t="shared" si="64"/>
        <v>West</v>
      </c>
      <c r="J547" t="s">
        <v>27</v>
      </c>
      <c r="K547" t="s">
        <v>23</v>
      </c>
      <c r="L547">
        <v>11</v>
      </c>
      <c r="M547">
        <v>120</v>
      </c>
      <c r="N547">
        <f t="shared" si="68"/>
        <v>1320</v>
      </c>
      <c r="O547">
        <f t="shared" si="69"/>
        <v>132</v>
      </c>
      <c r="P547" t="str">
        <f t="shared" si="70"/>
        <v>Large Order</v>
      </c>
      <c r="Q547" t="str">
        <f t="shared" si="71"/>
        <v>Weekend</v>
      </c>
    </row>
    <row r="548" spans="1:17" x14ac:dyDescent="0.35">
      <c r="A548" t="s">
        <v>696</v>
      </c>
      <c r="B548" s="7">
        <v>45620</v>
      </c>
      <c r="C548" s="13">
        <f t="shared" si="65"/>
        <v>2024</v>
      </c>
      <c r="D548" s="7" t="str">
        <f t="shared" si="66"/>
        <v>Nov</v>
      </c>
      <c r="E548" s="7" t="str">
        <f t="shared" si="67"/>
        <v>Sun</v>
      </c>
      <c r="F548" t="s">
        <v>304</v>
      </c>
      <c r="G548" t="s">
        <v>45</v>
      </c>
      <c r="H548" t="s">
        <v>17</v>
      </c>
      <c r="I548" s="2" t="str">
        <f t="shared" si="64"/>
        <v>North</v>
      </c>
      <c r="J548" t="s">
        <v>27</v>
      </c>
      <c r="K548" t="s">
        <v>36</v>
      </c>
      <c r="L548">
        <v>12</v>
      </c>
      <c r="M548">
        <v>120</v>
      </c>
      <c r="N548">
        <f t="shared" si="68"/>
        <v>1440</v>
      </c>
      <c r="O548">
        <f t="shared" si="69"/>
        <v>144</v>
      </c>
      <c r="P548" t="str">
        <f t="shared" si="70"/>
        <v>Large Order</v>
      </c>
      <c r="Q548" t="str">
        <f t="shared" si="71"/>
        <v>Weekend</v>
      </c>
    </row>
    <row r="549" spans="1:17" x14ac:dyDescent="0.35">
      <c r="A549" t="s">
        <v>697</v>
      </c>
      <c r="B549" s="7">
        <v>45542</v>
      </c>
      <c r="C549" s="13">
        <f t="shared" si="65"/>
        <v>2024</v>
      </c>
      <c r="D549" s="7" t="str">
        <f t="shared" si="66"/>
        <v>Sep</v>
      </c>
      <c r="E549" s="7" t="str">
        <f t="shared" si="67"/>
        <v>Sat</v>
      </c>
      <c r="F549" t="s">
        <v>44</v>
      </c>
      <c r="G549" t="s">
        <v>160</v>
      </c>
      <c r="H549" t="s">
        <v>22</v>
      </c>
      <c r="I549" s="2" t="str">
        <f t="shared" si="64"/>
        <v>West</v>
      </c>
      <c r="J549" t="s">
        <v>12</v>
      </c>
      <c r="K549" t="s">
        <v>13</v>
      </c>
      <c r="L549">
        <v>2</v>
      </c>
      <c r="M549">
        <v>120</v>
      </c>
      <c r="N549">
        <f t="shared" si="68"/>
        <v>240</v>
      </c>
      <c r="O549">
        <f t="shared" si="69"/>
        <v>24</v>
      </c>
      <c r="P549" t="str">
        <f t="shared" si="70"/>
        <v>Standard Order</v>
      </c>
      <c r="Q549" t="str">
        <f t="shared" si="71"/>
        <v>Weekend</v>
      </c>
    </row>
    <row r="550" spans="1:17" x14ac:dyDescent="0.35">
      <c r="A550" t="s">
        <v>698</v>
      </c>
      <c r="B550" s="7">
        <v>45634</v>
      </c>
      <c r="C550" s="13">
        <f t="shared" si="65"/>
        <v>2024</v>
      </c>
      <c r="D550" s="7" t="str">
        <f t="shared" si="66"/>
        <v>Dec</v>
      </c>
      <c r="E550" s="7" t="str">
        <f t="shared" si="67"/>
        <v>Sun</v>
      </c>
      <c r="F550" t="s">
        <v>9</v>
      </c>
      <c r="G550" t="s">
        <v>16</v>
      </c>
      <c r="H550" t="s">
        <v>11</v>
      </c>
      <c r="I550" s="2" t="str">
        <f t="shared" si="64"/>
        <v>West</v>
      </c>
      <c r="J550" t="s">
        <v>27</v>
      </c>
      <c r="K550" t="s">
        <v>28</v>
      </c>
      <c r="L550">
        <v>8</v>
      </c>
      <c r="M550">
        <v>120</v>
      </c>
      <c r="N550">
        <f t="shared" si="68"/>
        <v>960</v>
      </c>
      <c r="O550">
        <f t="shared" si="69"/>
        <v>96</v>
      </c>
      <c r="P550" t="str">
        <f t="shared" si="70"/>
        <v>Large Order</v>
      </c>
      <c r="Q550" t="str">
        <f t="shared" si="71"/>
        <v>Weekend</v>
      </c>
    </row>
    <row r="551" spans="1:17" x14ac:dyDescent="0.35">
      <c r="A551" t="s">
        <v>699</v>
      </c>
      <c r="B551" s="7">
        <v>45296</v>
      </c>
      <c r="C551" s="13">
        <f t="shared" si="65"/>
        <v>2024</v>
      </c>
      <c r="D551" s="7" t="str">
        <f t="shared" si="66"/>
        <v>Jan</v>
      </c>
      <c r="E551" s="7" t="str">
        <f t="shared" si="67"/>
        <v>Fri</v>
      </c>
      <c r="F551" t="s">
        <v>133</v>
      </c>
      <c r="G551" t="s">
        <v>48</v>
      </c>
      <c r="H551" t="s">
        <v>22</v>
      </c>
      <c r="I551" s="2" t="str">
        <f t="shared" si="64"/>
        <v>North</v>
      </c>
      <c r="J551" t="s">
        <v>27</v>
      </c>
      <c r="K551" t="s">
        <v>36</v>
      </c>
      <c r="L551">
        <v>2</v>
      </c>
      <c r="M551">
        <v>120</v>
      </c>
      <c r="N551">
        <f t="shared" si="68"/>
        <v>240</v>
      </c>
      <c r="O551">
        <f t="shared" si="69"/>
        <v>24</v>
      </c>
      <c r="P551" t="str">
        <f t="shared" si="70"/>
        <v>Standard Order</v>
      </c>
      <c r="Q551" t="str">
        <f t="shared" si="71"/>
        <v>Weekday</v>
      </c>
    </row>
    <row r="552" spans="1:17" x14ac:dyDescent="0.35">
      <c r="A552" t="s">
        <v>700</v>
      </c>
      <c r="B552" s="7">
        <v>45539</v>
      </c>
      <c r="C552" s="13">
        <f t="shared" si="65"/>
        <v>2024</v>
      </c>
      <c r="D552" s="7" t="str">
        <f t="shared" si="66"/>
        <v>Sep</v>
      </c>
      <c r="E552" s="7" t="str">
        <f t="shared" si="67"/>
        <v>Wed</v>
      </c>
      <c r="F552" t="s">
        <v>371</v>
      </c>
      <c r="G552" t="s">
        <v>96</v>
      </c>
      <c r="H552" t="s">
        <v>17</v>
      </c>
      <c r="I552" s="2" t="str">
        <f t="shared" si="64"/>
        <v>East</v>
      </c>
      <c r="J552" t="s">
        <v>12</v>
      </c>
      <c r="K552" t="s">
        <v>13</v>
      </c>
      <c r="L552">
        <v>18</v>
      </c>
      <c r="M552">
        <v>120</v>
      </c>
      <c r="N552">
        <f t="shared" si="68"/>
        <v>2160</v>
      </c>
      <c r="O552">
        <f t="shared" si="69"/>
        <v>216</v>
      </c>
      <c r="P552" t="str">
        <f t="shared" si="70"/>
        <v>Large Order</v>
      </c>
      <c r="Q552" t="str">
        <f t="shared" si="71"/>
        <v>Weekday</v>
      </c>
    </row>
    <row r="553" spans="1:17" x14ac:dyDescent="0.35">
      <c r="A553" t="s">
        <v>701</v>
      </c>
      <c r="B553" s="7">
        <v>45300</v>
      </c>
      <c r="C553" s="13">
        <f t="shared" si="65"/>
        <v>2024</v>
      </c>
      <c r="D553" s="7" t="str">
        <f t="shared" si="66"/>
        <v>Jan</v>
      </c>
      <c r="E553" s="7" t="str">
        <f t="shared" si="67"/>
        <v>Tue</v>
      </c>
      <c r="F553" t="s">
        <v>339</v>
      </c>
      <c r="G553" t="s">
        <v>174</v>
      </c>
      <c r="H553" t="s">
        <v>22</v>
      </c>
      <c r="I553" s="2" t="str">
        <f t="shared" si="64"/>
        <v>Central</v>
      </c>
      <c r="J553" t="s">
        <v>42</v>
      </c>
      <c r="K553" t="s">
        <v>23</v>
      </c>
      <c r="L553">
        <v>10</v>
      </c>
      <c r="M553">
        <v>120</v>
      </c>
      <c r="N553">
        <f t="shared" si="68"/>
        <v>1200</v>
      </c>
      <c r="O553">
        <f t="shared" si="69"/>
        <v>120</v>
      </c>
      <c r="P553" t="str">
        <f t="shared" si="70"/>
        <v>Large Order</v>
      </c>
      <c r="Q553" t="str">
        <f t="shared" si="71"/>
        <v>Weekday</v>
      </c>
    </row>
    <row r="554" spans="1:17" x14ac:dyDescent="0.35">
      <c r="A554" t="s">
        <v>702</v>
      </c>
      <c r="B554" s="7">
        <v>45383</v>
      </c>
      <c r="C554" s="13">
        <f t="shared" si="65"/>
        <v>2024</v>
      </c>
      <c r="D554" s="7" t="str">
        <f t="shared" si="66"/>
        <v>Apr</v>
      </c>
      <c r="E554" s="7" t="str">
        <f t="shared" si="67"/>
        <v>Mon</v>
      </c>
      <c r="F554" t="s">
        <v>15</v>
      </c>
      <c r="G554" t="s">
        <v>16</v>
      </c>
      <c r="H554" t="s">
        <v>11</v>
      </c>
      <c r="I554" s="2" t="str">
        <f t="shared" si="64"/>
        <v>West</v>
      </c>
      <c r="J554" t="s">
        <v>306</v>
      </c>
      <c r="K554" t="s">
        <v>36</v>
      </c>
      <c r="L554">
        <v>8</v>
      </c>
      <c r="M554">
        <v>120</v>
      </c>
      <c r="N554">
        <f t="shared" si="68"/>
        <v>960</v>
      </c>
      <c r="O554">
        <f t="shared" si="69"/>
        <v>96</v>
      </c>
      <c r="P554" t="str">
        <f t="shared" si="70"/>
        <v>Large Order</v>
      </c>
      <c r="Q554" t="str">
        <f t="shared" si="71"/>
        <v>Weekday</v>
      </c>
    </row>
    <row r="555" spans="1:17" x14ac:dyDescent="0.35">
      <c r="A555" t="s">
        <v>703</v>
      </c>
      <c r="B555" s="7">
        <v>45421</v>
      </c>
      <c r="C555" s="13">
        <f t="shared" si="65"/>
        <v>2024</v>
      </c>
      <c r="D555" s="7" t="str">
        <f t="shared" si="66"/>
        <v>May</v>
      </c>
      <c r="E555" s="7" t="str">
        <f t="shared" si="67"/>
        <v>Thu</v>
      </c>
      <c r="F555" t="s">
        <v>182</v>
      </c>
      <c r="G555" t="s">
        <v>10</v>
      </c>
      <c r="H555" t="s">
        <v>17</v>
      </c>
      <c r="I555" s="2" t="str">
        <f t="shared" si="64"/>
        <v>South</v>
      </c>
      <c r="J555" t="s">
        <v>27</v>
      </c>
      <c r="K555" t="s">
        <v>23</v>
      </c>
      <c r="L555">
        <v>12</v>
      </c>
      <c r="M555">
        <v>120</v>
      </c>
      <c r="N555">
        <f t="shared" si="68"/>
        <v>1440</v>
      </c>
      <c r="O555">
        <f t="shared" si="69"/>
        <v>144</v>
      </c>
      <c r="P555" t="str">
        <f t="shared" si="70"/>
        <v>Large Order</v>
      </c>
      <c r="Q555" t="str">
        <f t="shared" si="71"/>
        <v>Weekday</v>
      </c>
    </row>
    <row r="556" spans="1:17" x14ac:dyDescent="0.35">
      <c r="A556" t="s">
        <v>704</v>
      </c>
      <c r="B556" s="7">
        <v>45581</v>
      </c>
      <c r="C556" s="13">
        <f t="shared" si="65"/>
        <v>2024</v>
      </c>
      <c r="D556" s="7" t="str">
        <f t="shared" si="66"/>
        <v>Oct</v>
      </c>
      <c r="E556" s="7" t="str">
        <f t="shared" si="67"/>
        <v>Wed</v>
      </c>
      <c r="F556" t="s">
        <v>78</v>
      </c>
      <c r="G556" t="s">
        <v>74</v>
      </c>
      <c r="H556" t="s">
        <v>22</v>
      </c>
      <c r="I556" s="2" t="str">
        <f t="shared" si="64"/>
        <v>West</v>
      </c>
      <c r="J556" t="s">
        <v>56</v>
      </c>
      <c r="K556" t="s">
        <v>13</v>
      </c>
      <c r="L556">
        <v>3</v>
      </c>
      <c r="M556">
        <v>120</v>
      </c>
      <c r="N556">
        <f t="shared" si="68"/>
        <v>360</v>
      </c>
      <c r="O556">
        <f t="shared" si="69"/>
        <v>36</v>
      </c>
      <c r="P556" t="str">
        <f t="shared" si="70"/>
        <v>Standard Order</v>
      </c>
      <c r="Q556" t="str">
        <f t="shared" si="71"/>
        <v>Weekday</v>
      </c>
    </row>
    <row r="557" spans="1:17" x14ac:dyDescent="0.35">
      <c r="A557" t="s">
        <v>705</v>
      </c>
      <c r="B557" s="7">
        <v>45339</v>
      </c>
      <c r="C557" s="13">
        <f t="shared" si="65"/>
        <v>2024</v>
      </c>
      <c r="D557" s="7" t="str">
        <f t="shared" si="66"/>
        <v>Feb</v>
      </c>
      <c r="E557" s="7" t="str">
        <f t="shared" si="67"/>
        <v>Sat</v>
      </c>
      <c r="F557" t="s">
        <v>341</v>
      </c>
      <c r="G557" t="s">
        <v>174</v>
      </c>
      <c r="H557" t="s">
        <v>17</v>
      </c>
      <c r="I557" s="2" t="str">
        <f t="shared" si="64"/>
        <v>West</v>
      </c>
      <c r="J557" t="s">
        <v>27</v>
      </c>
      <c r="K557" t="s">
        <v>13</v>
      </c>
      <c r="L557">
        <v>16</v>
      </c>
      <c r="M557">
        <v>120</v>
      </c>
      <c r="N557">
        <f t="shared" si="68"/>
        <v>1920</v>
      </c>
      <c r="O557">
        <f t="shared" si="69"/>
        <v>192</v>
      </c>
      <c r="P557" t="str">
        <f t="shared" si="70"/>
        <v>Large Order</v>
      </c>
      <c r="Q557" t="str">
        <f t="shared" si="71"/>
        <v>Weekend</v>
      </c>
    </row>
    <row r="558" spans="1:17" x14ac:dyDescent="0.35">
      <c r="A558" t="s">
        <v>706</v>
      </c>
      <c r="B558" s="7">
        <v>45651</v>
      </c>
      <c r="C558" s="13">
        <f t="shared" si="65"/>
        <v>2024</v>
      </c>
      <c r="D558" s="7" t="str">
        <f t="shared" si="66"/>
        <v>Dec</v>
      </c>
      <c r="E558" s="7" t="str">
        <f t="shared" si="67"/>
        <v>Wed</v>
      </c>
      <c r="F558" t="s">
        <v>30</v>
      </c>
      <c r="G558" t="s">
        <v>87</v>
      </c>
      <c r="H558" t="s">
        <v>11</v>
      </c>
      <c r="I558" s="2" t="str">
        <f t="shared" si="64"/>
        <v>South</v>
      </c>
      <c r="J558" t="s">
        <v>27</v>
      </c>
      <c r="K558" t="s">
        <v>13</v>
      </c>
      <c r="L558">
        <v>11</v>
      </c>
      <c r="M558">
        <v>120</v>
      </c>
      <c r="N558">
        <f t="shared" si="68"/>
        <v>1320</v>
      </c>
      <c r="O558">
        <f t="shared" si="69"/>
        <v>132</v>
      </c>
      <c r="P558" t="str">
        <f t="shared" si="70"/>
        <v>Large Order</v>
      </c>
      <c r="Q558" t="str">
        <f t="shared" si="71"/>
        <v>Weekday</v>
      </c>
    </row>
    <row r="559" spans="1:17" x14ac:dyDescent="0.35">
      <c r="A559" t="s">
        <v>707</v>
      </c>
      <c r="B559" s="7">
        <v>45562</v>
      </c>
      <c r="C559" s="13">
        <f t="shared" si="65"/>
        <v>2024</v>
      </c>
      <c r="D559" s="7" t="str">
        <f t="shared" si="66"/>
        <v>Sep</v>
      </c>
      <c r="E559" s="7" t="str">
        <f t="shared" si="67"/>
        <v>Fri</v>
      </c>
      <c r="F559" t="s">
        <v>116</v>
      </c>
      <c r="G559" t="s">
        <v>62</v>
      </c>
      <c r="H559" t="s">
        <v>11</v>
      </c>
      <c r="I559" s="2" t="str">
        <f t="shared" si="64"/>
        <v>Central</v>
      </c>
      <c r="J559" t="s">
        <v>56</v>
      </c>
      <c r="K559" t="s">
        <v>13</v>
      </c>
      <c r="L559">
        <v>19</v>
      </c>
      <c r="M559">
        <v>120</v>
      </c>
      <c r="N559">
        <f t="shared" si="68"/>
        <v>2280</v>
      </c>
      <c r="O559">
        <f t="shared" si="69"/>
        <v>228</v>
      </c>
      <c r="P559" t="str">
        <f t="shared" si="70"/>
        <v>Large Order</v>
      </c>
      <c r="Q559" t="str">
        <f t="shared" si="71"/>
        <v>Weekday</v>
      </c>
    </row>
    <row r="560" spans="1:17" x14ac:dyDescent="0.35">
      <c r="A560" t="s">
        <v>708</v>
      </c>
      <c r="B560" s="7">
        <v>45330</v>
      </c>
      <c r="C560" s="13">
        <f t="shared" si="65"/>
        <v>2024</v>
      </c>
      <c r="D560" s="7" t="str">
        <f t="shared" si="66"/>
        <v>Feb</v>
      </c>
      <c r="E560" s="7" t="str">
        <f t="shared" si="67"/>
        <v>Thu</v>
      </c>
      <c r="F560" t="s">
        <v>455</v>
      </c>
      <c r="G560" t="s">
        <v>59</v>
      </c>
      <c r="H560" t="s">
        <v>17</v>
      </c>
      <c r="I560" s="2" t="str">
        <f t="shared" si="64"/>
        <v>South</v>
      </c>
      <c r="J560" t="s">
        <v>306</v>
      </c>
      <c r="K560" t="s">
        <v>32</v>
      </c>
      <c r="L560">
        <v>2</v>
      </c>
      <c r="M560">
        <v>120</v>
      </c>
      <c r="N560">
        <f t="shared" si="68"/>
        <v>240</v>
      </c>
      <c r="O560">
        <f t="shared" si="69"/>
        <v>24</v>
      </c>
      <c r="P560" t="str">
        <f t="shared" si="70"/>
        <v>Standard Order</v>
      </c>
      <c r="Q560" t="str">
        <f t="shared" si="71"/>
        <v>Weekday</v>
      </c>
    </row>
    <row r="561" spans="1:17" x14ac:dyDescent="0.35">
      <c r="A561" t="s">
        <v>709</v>
      </c>
      <c r="B561" s="7">
        <v>45300</v>
      </c>
      <c r="C561" s="13">
        <f t="shared" si="65"/>
        <v>2024</v>
      </c>
      <c r="D561" s="7" t="str">
        <f t="shared" si="66"/>
        <v>Jan</v>
      </c>
      <c r="E561" s="7" t="str">
        <f t="shared" si="67"/>
        <v>Tue</v>
      </c>
      <c r="F561" t="s">
        <v>95</v>
      </c>
      <c r="G561" t="s">
        <v>119</v>
      </c>
      <c r="H561" t="s">
        <v>22</v>
      </c>
      <c r="I561" s="2" t="str">
        <f t="shared" si="64"/>
        <v>Central</v>
      </c>
      <c r="J561" t="s">
        <v>56</v>
      </c>
      <c r="K561" t="s">
        <v>32</v>
      </c>
      <c r="L561">
        <v>13</v>
      </c>
      <c r="M561">
        <v>120</v>
      </c>
      <c r="N561">
        <f t="shared" si="68"/>
        <v>1560</v>
      </c>
      <c r="O561">
        <f t="shared" si="69"/>
        <v>156</v>
      </c>
      <c r="P561" t="str">
        <f t="shared" si="70"/>
        <v>Large Order</v>
      </c>
      <c r="Q561" t="str">
        <f t="shared" si="71"/>
        <v>Weekday</v>
      </c>
    </row>
    <row r="562" spans="1:17" x14ac:dyDescent="0.35">
      <c r="A562" t="s">
        <v>710</v>
      </c>
      <c r="B562" s="7">
        <v>45375</v>
      </c>
      <c r="C562" s="13">
        <f t="shared" si="65"/>
        <v>2024</v>
      </c>
      <c r="D562" s="7" t="str">
        <f t="shared" si="66"/>
        <v>Mar</v>
      </c>
      <c r="E562" s="7" t="str">
        <f t="shared" si="67"/>
        <v>Sun</v>
      </c>
      <c r="F562" t="s">
        <v>614</v>
      </c>
      <c r="G562" t="s">
        <v>31</v>
      </c>
      <c r="H562" t="s">
        <v>11</v>
      </c>
      <c r="I562" s="2" t="str">
        <f t="shared" si="64"/>
        <v>Central</v>
      </c>
      <c r="J562" t="s">
        <v>306</v>
      </c>
      <c r="K562" t="s">
        <v>28</v>
      </c>
      <c r="L562">
        <v>18</v>
      </c>
      <c r="M562">
        <v>120</v>
      </c>
      <c r="N562">
        <f t="shared" si="68"/>
        <v>2160</v>
      </c>
      <c r="O562">
        <f t="shared" si="69"/>
        <v>216</v>
      </c>
      <c r="P562" t="str">
        <f t="shared" si="70"/>
        <v>Large Order</v>
      </c>
      <c r="Q562" t="str">
        <f t="shared" si="71"/>
        <v>Weekend</v>
      </c>
    </row>
    <row r="563" spans="1:17" x14ac:dyDescent="0.35">
      <c r="A563" t="s">
        <v>711</v>
      </c>
      <c r="B563" s="7">
        <v>45644</v>
      </c>
      <c r="C563" s="13">
        <f t="shared" si="65"/>
        <v>2024</v>
      </c>
      <c r="D563" s="7" t="str">
        <f t="shared" si="66"/>
        <v>Dec</v>
      </c>
      <c r="E563" s="7" t="str">
        <f t="shared" si="67"/>
        <v>Wed</v>
      </c>
      <c r="F563" t="s">
        <v>329</v>
      </c>
      <c r="G563" t="s">
        <v>84</v>
      </c>
      <c r="H563" t="s">
        <v>11</v>
      </c>
      <c r="I563" s="2" t="str">
        <f t="shared" si="64"/>
        <v>Central</v>
      </c>
      <c r="J563" t="s">
        <v>306</v>
      </c>
      <c r="K563" t="s">
        <v>23</v>
      </c>
      <c r="L563">
        <v>12</v>
      </c>
      <c r="M563">
        <v>120</v>
      </c>
      <c r="N563">
        <f t="shared" si="68"/>
        <v>1440</v>
      </c>
      <c r="O563">
        <f t="shared" si="69"/>
        <v>144</v>
      </c>
      <c r="P563" t="str">
        <f t="shared" si="70"/>
        <v>Large Order</v>
      </c>
      <c r="Q563" t="str">
        <f t="shared" si="71"/>
        <v>Weekday</v>
      </c>
    </row>
    <row r="564" spans="1:17" x14ac:dyDescent="0.35">
      <c r="A564" t="s">
        <v>712</v>
      </c>
      <c r="B564" s="7">
        <v>45410</v>
      </c>
      <c r="C564" s="13">
        <f t="shared" si="65"/>
        <v>2024</v>
      </c>
      <c r="D564" s="7" t="str">
        <f t="shared" si="66"/>
        <v>Apr</v>
      </c>
      <c r="E564" s="7" t="str">
        <f t="shared" si="67"/>
        <v>Sun</v>
      </c>
      <c r="F564" t="s">
        <v>208</v>
      </c>
      <c r="G564" t="s">
        <v>119</v>
      </c>
      <c r="H564" t="s">
        <v>17</v>
      </c>
      <c r="I564" s="2" t="str">
        <f t="shared" si="64"/>
        <v>East</v>
      </c>
      <c r="J564" t="s">
        <v>306</v>
      </c>
      <c r="K564" t="s">
        <v>23</v>
      </c>
      <c r="L564">
        <v>20</v>
      </c>
      <c r="M564">
        <v>120</v>
      </c>
      <c r="N564">
        <f t="shared" si="68"/>
        <v>2400</v>
      </c>
      <c r="O564">
        <f t="shared" si="69"/>
        <v>240</v>
      </c>
      <c r="P564" t="str">
        <f t="shared" si="70"/>
        <v>Large Order</v>
      </c>
      <c r="Q564" t="str">
        <f t="shared" si="71"/>
        <v>Weekend</v>
      </c>
    </row>
    <row r="565" spans="1:17" x14ac:dyDescent="0.35">
      <c r="A565" t="s">
        <v>713</v>
      </c>
      <c r="B565" s="7">
        <v>45459</v>
      </c>
      <c r="C565" s="13">
        <f t="shared" si="65"/>
        <v>2024</v>
      </c>
      <c r="D565" s="7" t="str">
        <f t="shared" si="66"/>
        <v>Jun</v>
      </c>
      <c r="E565" s="7" t="str">
        <f t="shared" si="67"/>
        <v>Sun</v>
      </c>
      <c r="F565" t="s">
        <v>64</v>
      </c>
      <c r="G565" t="s">
        <v>70</v>
      </c>
      <c r="H565" t="s">
        <v>22</v>
      </c>
      <c r="I565" s="2" t="str">
        <f t="shared" si="64"/>
        <v>Central</v>
      </c>
      <c r="J565" t="s">
        <v>42</v>
      </c>
      <c r="K565" t="s">
        <v>36</v>
      </c>
      <c r="L565">
        <v>16</v>
      </c>
      <c r="M565">
        <v>120</v>
      </c>
      <c r="N565">
        <f t="shared" si="68"/>
        <v>1920</v>
      </c>
      <c r="O565">
        <f t="shared" si="69"/>
        <v>192</v>
      </c>
      <c r="P565" t="str">
        <f t="shared" si="70"/>
        <v>Large Order</v>
      </c>
      <c r="Q565" t="str">
        <f t="shared" si="71"/>
        <v>Weekend</v>
      </c>
    </row>
    <row r="566" spans="1:17" x14ac:dyDescent="0.35">
      <c r="A566" t="s">
        <v>714</v>
      </c>
      <c r="B566" s="7">
        <v>45484</v>
      </c>
      <c r="C566" s="13">
        <f t="shared" si="65"/>
        <v>2024</v>
      </c>
      <c r="D566" s="7" t="str">
        <f t="shared" si="66"/>
        <v>Jul</v>
      </c>
      <c r="E566" s="7" t="str">
        <f t="shared" si="67"/>
        <v>Thu</v>
      </c>
      <c r="F566" t="s">
        <v>348</v>
      </c>
      <c r="G566" t="s">
        <v>41</v>
      </c>
      <c r="H566" t="s">
        <v>11</v>
      </c>
      <c r="I566" s="2" t="str">
        <f t="shared" si="64"/>
        <v>North</v>
      </c>
      <c r="J566" t="s">
        <v>306</v>
      </c>
      <c r="K566" t="s">
        <v>36</v>
      </c>
      <c r="L566">
        <v>13</v>
      </c>
      <c r="M566">
        <v>120</v>
      </c>
      <c r="N566">
        <f t="shared" si="68"/>
        <v>1560</v>
      </c>
      <c r="O566">
        <f t="shared" si="69"/>
        <v>156</v>
      </c>
      <c r="P566" t="str">
        <f t="shared" si="70"/>
        <v>Large Order</v>
      </c>
      <c r="Q566" t="str">
        <f t="shared" si="71"/>
        <v>Weekday</v>
      </c>
    </row>
    <row r="567" spans="1:17" x14ac:dyDescent="0.35">
      <c r="A567" t="s">
        <v>715</v>
      </c>
      <c r="B567" s="7">
        <v>45443</v>
      </c>
      <c r="C567" s="13">
        <f t="shared" si="65"/>
        <v>2024</v>
      </c>
      <c r="D567" s="7" t="str">
        <f t="shared" si="66"/>
        <v>May</v>
      </c>
      <c r="E567" s="7" t="str">
        <f t="shared" si="67"/>
        <v>Fri</v>
      </c>
      <c r="F567" t="s">
        <v>78</v>
      </c>
      <c r="G567" t="s">
        <v>10</v>
      </c>
      <c r="H567" t="s">
        <v>22</v>
      </c>
      <c r="I567" s="2" t="str">
        <f t="shared" si="64"/>
        <v>North</v>
      </c>
      <c r="J567" t="s">
        <v>12</v>
      </c>
      <c r="K567" t="s">
        <v>28</v>
      </c>
      <c r="L567">
        <v>9</v>
      </c>
      <c r="M567">
        <v>120</v>
      </c>
      <c r="N567">
        <f t="shared" si="68"/>
        <v>1080</v>
      </c>
      <c r="O567">
        <f t="shared" si="69"/>
        <v>108</v>
      </c>
      <c r="P567" t="str">
        <f t="shared" si="70"/>
        <v>Large Order</v>
      </c>
      <c r="Q567" t="str">
        <f t="shared" si="71"/>
        <v>Weekday</v>
      </c>
    </row>
    <row r="568" spans="1:17" x14ac:dyDescent="0.35">
      <c r="A568" t="s">
        <v>716</v>
      </c>
      <c r="B568" s="7">
        <v>45491</v>
      </c>
      <c r="C568" s="13">
        <f t="shared" si="65"/>
        <v>2024</v>
      </c>
      <c r="D568" s="7" t="str">
        <f t="shared" si="66"/>
        <v>Jul</v>
      </c>
      <c r="E568" s="7" t="str">
        <f t="shared" si="67"/>
        <v>Thu</v>
      </c>
      <c r="F568" t="s">
        <v>38</v>
      </c>
      <c r="G568" t="s">
        <v>10</v>
      </c>
      <c r="H568" t="s">
        <v>17</v>
      </c>
      <c r="I568" s="2" t="str">
        <f t="shared" si="64"/>
        <v>North</v>
      </c>
      <c r="J568" t="s">
        <v>12</v>
      </c>
      <c r="K568" t="s">
        <v>23</v>
      </c>
      <c r="L568">
        <v>1</v>
      </c>
      <c r="M568">
        <v>120</v>
      </c>
      <c r="N568">
        <f t="shared" si="68"/>
        <v>120</v>
      </c>
      <c r="O568">
        <f t="shared" si="69"/>
        <v>12</v>
      </c>
      <c r="P568" t="str">
        <f t="shared" si="70"/>
        <v>Standard Order</v>
      </c>
      <c r="Q568" t="str">
        <f t="shared" si="71"/>
        <v>Weekday</v>
      </c>
    </row>
    <row r="569" spans="1:17" x14ac:dyDescent="0.35">
      <c r="A569" t="s">
        <v>717</v>
      </c>
      <c r="B569" s="7">
        <v>45476</v>
      </c>
      <c r="C569" s="13">
        <f t="shared" si="65"/>
        <v>2024</v>
      </c>
      <c r="D569" s="7" t="str">
        <f t="shared" si="66"/>
        <v>Jul</v>
      </c>
      <c r="E569" s="7" t="str">
        <f t="shared" si="67"/>
        <v>Wed</v>
      </c>
      <c r="F569" t="s">
        <v>332</v>
      </c>
      <c r="G569" t="s">
        <v>16</v>
      </c>
      <c r="H569" t="s">
        <v>17</v>
      </c>
      <c r="I569" s="2" t="str">
        <f t="shared" si="64"/>
        <v>West</v>
      </c>
      <c r="J569" t="s">
        <v>12</v>
      </c>
      <c r="K569" t="s">
        <v>23</v>
      </c>
      <c r="L569">
        <v>3</v>
      </c>
      <c r="M569">
        <v>120</v>
      </c>
      <c r="N569">
        <f t="shared" si="68"/>
        <v>360</v>
      </c>
      <c r="O569">
        <f t="shared" si="69"/>
        <v>36</v>
      </c>
      <c r="P569" t="str">
        <f t="shared" si="70"/>
        <v>Standard Order</v>
      </c>
      <c r="Q569" t="str">
        <f t="shared" si="71"/>
        <v>Weekday</v>
      </c>
    </row>
    <row r="570" spans="1:17" x14ac:dyDescent="0.35">
      <c r="A570" t="s">
        <v>718</v>
      </c>
      <c r="B570" s="7">
        <v>45577</v>
      </c>
      <c r="C570" s="13">
        <f t="shared" si="65"/>
        <v>2024</v>
      </c>
      <c r="D570" s="7" t="str">
        <f t="shared" si="66"/>
        <v>Oct</v>
      </c>
      <c r="E570" s="7" t="str">
        <f t="shared" si="67"/>
        <v>Sat</v>
      </c>
      <c r="F570" t="s">
        <v>642</v>
      </c>
      <c r="G570" t="s">
        <v>102</v>
      </c>
      <c r="H570" t="s">
        <v>22</v>
      </c>
      <c r="I570" s="2" t="str">
        <f t="shared" si="64"/>
        <v>East</v>
      </c>
      <c r="J570" t="s">
        <v>27</v>
      </c>
      <c r="K570" t="s">
        <v>36</v>
      </c>
      <c r="L570">
        <v>1</v>
      </c>
      <c r="M570">
        <v>120</v>
      </c>
      <c r="N570">
        <f t="shared" si="68"/>
        <v>120</v>
      </c>
      <c r="O570">
        <f t="shared" si="69"/>
        <v>12</v>
      </c>
      <c r="P570" t="str">
        <f t="shared" si="70"/>
        <v>Standard Order</v>
      </c>
      <c r="Q570" t="str">
        <f t="shared" si="71"/>
        <v>Weekend</v>
      </c>
    </row>
    <row r="571" spans="1:17" x14ac:dyDescent="0.35">
      <c r="A571" t="s">
        <v>719</v>
      </c>
      <c r="B571" s="7">
        <v>45339</v>
      </c>
      <c r="C571" s="13">
        <f t="shared" si="65"/>
        <v>2024</v>
      </c>
      <c r="D571" s="7" t="str">
        <f t="shared" si="66"/>
        <v>Feb</v>
      </c>
      <c r="E571" s="7" t="str">
        <f t="shared" si="67"/>
        <v>Sat</v>
      </c>
      <c r="F571" t="s">
        <v>327</v>
      </c>
      <c r="G571" t="s">
        <v>31</v>
      </c>
      <c r="H571" t="s">
        <v>22</v>
      </c>
      <c r="I571" s="2" t="str">
        <f t="shared" si="64"/>
        <v>South</v>
      </c>
      <c r="J571" t="s">
        <v>42</v>
      </c>
      <c r="K571" t="s">
        <v>23</v>
      </c>
      <c r="L571">
        <v>1</v>
      </c>
      <c r="M571">
        <v>120</v>
      </c>
      <c r="N571">
        <f t="shared" si="68"/>
        <v>120</v>
      </c>
      <c r="O571">
        <f t="shared" si="69"/>
        <v>12</v>
      </c>
      <c r="P571" t="str">
        <f t="shared" si="70"/>
        <v>Standard Order</v>
      </c>
      <c r="Q571" t="str">
        <f t="shared" si="71"/>
        <v>Weekend</v>
      </c>
    </row>
    <row r="572" spans="1:17" x14ac:dyDescent="0.35">
      <c r="A572" t="s">
        <v>720</v>
      </c>
      <c r="B572" s="7">
        <v>45335</v>
      </c>
      <c r="C572" s="13">
        <f t="shared" si="65"/>
        <v>2024</v>
      </c>
      <c r="D572" s="7" t="str">
        <f t="shared" si="66"/>
        <v>Feb</v>
      </c>
      <c r="E572" s="7" t="str">
        <f t="shared" si="67"/>
        <v>Tue</v>
      </c>
      <c r="F572" t="s">
        <v>329</v>
      </c>
      <c r="G572" t="s">
        <v>59</v>
      </c>
      <c r="H572" t="s">
        <v>22</v>
      </c>
      <c r="I572" s="2" t="str">
        <f t="shared" si="64"/>
        <v>East</v>
      </c>
      <c r="J572" t="s">
        <v>56</v>
      </c>
      <c r="K572" t="s">
        <v>23</v>
      </c>
      <c r="L572">
        <v>17</v>
      </c>
      <c r="M572">
        <v>120</v>
      </c>
      <c r="N572">
        <f t="shared" si="68"/>
        <v>2040</v>
      </c>
      <c r="O572">
        <f t="shared" si="69"/>
        <v>204</v>
      </c>
      <c r="P572" t="str">
        <f t="shared" si="70"/>
        <v>Large Order</v>
      </c>
      <c r="Q572" t="str">
        <f t="shared" si="71"/>
        <v>Weekday</v>
      </c>
    </row>
    <row r="573" spans="1:17" x14ac:dyDescent="0.35">
      <c r="A573" t="s">
        <v>721</v>
      </c>
      <c r="B573" s="7">
        <v>45378</v>
      </c>
      <c r="C573" s="13">
        <f t="shared" si="65"/>
        <v>2024</v>
      </c>
      <c r="D573" s="7" t="str">
        <f t="shared" si="66"/>
        <v>Mar</v>
      </c>
      <c r="E573" s="7" t="str">
        <f t="shared" si="67"/>
        <v>Wed</v>
      </c>
      <c r="F573" t="s">
        <v>99</v>
      </c>
      <c r="G573" t="s">
        <v>26</v>
      </c>
      <c r="H573" t="s">
        <v>17</v>
      </c>
      <c r="I573" s="2" t="str">
        <f t="shared" si="64"/>
        <v>East</v>
      </c>
      <c r="J573" t="s">
        <v>42</v>
      </c>
      <c r="K573" t="s">
        <v>28</v>
      </c>
      <c r="L573">
        <v>16</v>
      </c>
      <c r="M573">
        <v>120</v>
      </c>
      <c r="N573">
        <f t="shared" si="68"/>
        <v>1920</v>
      </c>
      <c r="O573">
        <f t="shared" si="69"/>
        <v>192</v>
      </c>
      <c r="P573" t="str">
        <f t="shared" si="70"/>
        <v>Large Order</v>
      </c>
      <c r="Q573" t="str">
        <f t="shared" si="71"/>
        <v>Weekday</v>
      </c>
    </row>
    <row r="574" spans="1:17" x14ac:dyDescent="0.35">
      <c r="A574" t="s">
        <v>722</v>
      </c>
      <c r="B574" s="7">
        <v>45514</v>
      </c>
      <c r="C574" s="13">
        <f t="shared" si="65"/>
        <v>2024</v>
      </c>
      <c r="D574" s="7" t="str">
        <f t="shared" si="66"/>
        <v>Aug</v>
      </c>
      <c r="E574" s="7" t="str">
        <f t="shared" si="67"/>
        <v>Sat</v>
      </c>
      <c r="F574" t="s">
        <v>89</v>
      </c>
      <c r="G574" t="s">
        <v>35</v>
      </c>
      <c r="H574" t="s">
        <v>17</v>
      </c>
      <c r="I574" s="2" t="str">
        <f t="shared" si="64"/>
        <v>Central</v>
      </c>
      <c r="J574" t="s">
        <v>42</v>
      </c>
      <c r="K574" t="s">
        <v>28</v>
      </c>
      <c r="L574">
        <v>3</v>
      </c>
      <c r="M574">
        <v>120</v>
      </c>
      <c r="N574">
        <f t="shared" si="68"/>
        <v>360</v>
      </c>
      <c r="O574">
        <f t="shared" si="69"/>
        <v>36</v>
      </c>
      <c r="P574" t="str">
        <f t="shared" si="70"/>
        <v>Standard Order</v>
      </c>
      <c r="Q574" t="str">
        <f t="shared" si="71"/>
        <v>Weekend</v>
      </c>
    </row>
    <row r="575" spans="1:17" x14ac:dyDescent="0.35">
      <c r="A575" t="s">
        <v>723</v>
      </c>
      <c r="B575" s="7">
        <v>45612</v>
      </c>
      <c r="C575" s="13">
        <f t="shared" si="65"/>
        <v>2024</v>
      </c>
      <c r="D575" s="7" t="str">
        <f t="shared" si="66"/>
        <v>Nov</v>
      </c>
      <c r="E575" s="7" t="str">
        <f t="shared" si="67"/>
        <v>Sat</v>
      </c>
      <c r="F575" t="s">
        <v>432</v>
      </c>
      <c r="G575" t="s">
        <v>65</v>
      </c>
      <c r="H575" t="s">
        <v>22</v>
      </c>
      <c r="I575" s="2" t="str">
        <f t="shared" si="64"/>
        <v>Central</v>
      </c>
      <c r="J575" t="s">
        <v>306</v>
      </c>
      <c r="K575" t="s">
        <v>32</v>
      </c>
      <c r="L575">
        <v>15</v>
      </c>
      <c r="M575">
        <v>120</v>
      </c>
      <c r="N575">
        <f t="shared" si="68"/>
        <v>1800</v>
      </c>
      <c r="O575">
        <f t="shared" si="69"/>
        <v>180</v>
      </c>
      <c r="P575" t="str">
        <f t="shared" si="70"/>
        <v>Large Order</v>
      </c>
      <c r="Q575" t="str">
        <f t="shared" si="71"/>
        <v>Weekend</v>
      </c>
    </row>
    <row r="576" spans="1:17" x14ac:dyDescent="0.35">
      <c r="A576" t="s">
        <v>724</v>
      </c>
      <c r="B576" s="7">
        <v>45295</v>
      </c>
      <c r="C576" s="13">
        <f t="shared" si="65"/>
        <v>2024</v>
      </c>
      <c r="D576" s="7" t="str">
        <f t="shared" si="66"/>
        <v>Jan</v>
      </c>
      <c r="E576" s="7" t="str">
        <f t="shared" si="67"/>
        <v>Thu</v>
      </c>
      <c r="F576" t="s">
        <v>106</v>
      </c>
      <c r="G576" t="s">
        <v>31</v>
      </c>
      <c r="H576" t="s">
        <v>17</v>
      </c>
      <c r="I576" s="2" t="str">
        <f t="shared" si="64"/>
        <v>East</v>
      </c>
      <c r="J576" t="s">
        <v>306</v>
      </c>
      <c r="K576" t="s">
        <v>23</v>
      </c>
      <c r="L576">
        <v>11</v>
      </c>
      <c r="M576">
        <v>120</v>
      </c>
      <c r="N576">
        <f t="shared" si="68"/>
        <v>1320</v>
      </c>
      <c r="O576">
        <f t="shared" si="69"/>
        <v>132</v>
      </c>
      <c r="P576" t="str">
        <f t="shared" si="70"/>
        <v>Large Order</v>
      </c>
      <c r="Q576" t="str">
        <f t="shared" si="71"/>
        <v>Weekday</v>
      </c>
    </row>
    <row r="577" spans="1:17" x14ac:dyDescent="0.35">
      <c r="A577" t="s">
        <v>725</v>
      </c>
      <c r="B577" s="7">
        <v>45625</v>
      </c>
      <c r="C577" s="13">
        <f t="shared" si="65"/>
        <v>2024</v>
      </c>
      <c r="D577" s="7" t="str">
        <f t="shared" si="66"/>
        <v>Nov</v>
      </c>
      <c r="E577" s="7" t="str">
        <f t="shared" si="67"/>
        <v>Fri</v>
      </c>
      <c r="F577" t="s">
        <v>327</v>
      </c>
      <c r="G577" t="s">
        <v>72</v>
      </c>
      <c r="H577" t="s">
        <v>11</v>
      </c>
      <c r="I577" s="2" t="str">
        <f t="shared" si="64"/>
        <v>West</v>
      </c>
      <c r="J577" t="s">
        <v>42</v>
      </c>
      <c r="K577" t="s">
        <v>28</v>
      </c>
      <c r="L577">
        <v>20</v>
      </c>
      <c r="M577">
        <v>120</v>
      </c>
      <c r="N577">
        <f t="shared" si="68"/>
        <v>2400</v>
      </c>
      <c r="O577">
        <f t="shared" si="69"/>
        <v>240</v>
      </c>
      <c r="P577" t="str">
        <f t="shared" si="70"/>
        <v>Large Order</v>
      </c>
      <c r="Q577" t="str">
        <f t="shared" si="71"/>
        <v>Weekday</v>
      </c>
    </row>
    <row r="578" spans="1:17" x14ac:dyDescent="0.35">
      <c r="A578" t="s">
        <v>726</v>
      </c>
      <c r="B578" s="7">
        <v>45537</v>
      </c>
      <c r="C578" s="13">
        <f t="shared" si="65"/>
        <v>2024</v>
      </c>
      <c r="D578" s="7" t="str">
        <f t="shared" si="66"/>
        <v>Sep</v>
      </c>
      <c r="E578" s="7" t="str">
        <f t="shared" si="67"/>
        <v>Mon</v>
      </c>
      <c r="F578" t="s">
        <v>38</v>
      </c>
      <c r="G578" t="s">
        <v>72</v>
      </c>
      <c r="H578" t="s">
        <v>11</v>
      </c>
      <c r="I578" s="2" t="str">
        <f t="shared" si="64"/>
        <v>East</v>
      </c>
      <c r="J578" t="s">
        <v>27</v>
      </c>
      <c r="K578" t="s">
        <v>23</v>
      </c>
      <c r="L578">
        <v>10</v>
      </c>
      <c r="M578">
        <v>120</v>
      </c>
      <c r="N578">
        <f t="shared" si="68"/>
        <v>1200</v>
      </c>
      <c r="O578">
        <f t="shared" si="69"/>
        <v>120</v>
      </c>
      <c r="P578" t="str">
        <f t="shared" si="70"/>
        <v>Large Order</v>
      </c>
      <c r="Q578" t="str">
        <f t="shared" si="71"/>
        <v>Weekday</v>
      </c>
    </row>
    <row r="579" spans="1:17" x14ac:dyDescent="0.35">
      <c r="A579" t="s">
        <v>727</v>
      </c>
      <c r="B579" s="7">
        <v>45586</v>
      </c>
      <c r="C579" s="13">
        <f t="shared" si="65"/>
        <v>2024</v>
      </c>
      <c r="D579" s="7" t="str">
        <f t="shared" si="66"/>
        <v>Oct</v>
      </c>
      <c r="E579" s="7" t="str">
        <f t="shared" si="67"/>
        <v>Mon</v>
      </c>
      <c r="F579" t="s">
        <v>728</v>
      </c>
      <c r="G579" t="s">
        <v>31</v>
      </c>
      <c r="H579" t="s">
        <v>11</v>
      </c>
      <c r="I579" s="2" t="str">
        <f t="shared" ref="I579:I642" si="72">TRIM(J580)</f>
        <v>South</v>
      </c>
      <c r="J579" t="s">
        <v>42</v>
      </c>
      <c r="K579" t="s">
        <v>23</v>
      </c>
      <c r="L579">
        <v>9</v>
      </c>
      <c r="M579">
        <v>120</v>
      </c>
      <c r="N579">
        <f t="shared" si="68"/>
        <v>1080</v>
      </c>
      <c r="O579">
        <f t="shared" si="69"/>
        <v>108</v>
      </c>
      <c r="P579" t="str">
        <f t="shared" si="70"/>
        <v>Large Order</v>
      </c>
      <c r="Q579" t="str">
        <f t="shared" si="71"/>
        <v>Weekday</v>
      </c>
    </row>
    <row r="580" spans="1:17" x14ac:dyDescent="0.35">
      <c r="A580" t="s">
        <v>729</v>
      </c>
      <c r="B580" s="7">
        <v>45478</v>
      </c>
      <c r="C580" s="13">
        <f t="shared" ref="C580:C643" si="73">YEAR(B580)</f>
        <v>2024</v>
      </c>
      <c r="D580" s="7" t="str">
        <f t="shared" ref="D580:D643" si="74">TEXT(B580,"mmm")</f>
        <v>Jul</v>
      </c>
      <c r="E580" s="7" t="str">
        <f t="shared" ref="E580:E643" si="75">TEXT(B580,"ddd")</f>
        <v>Fri</v>
      </c>
      <c r="F580" t="s">
        <v>40</v>
      </c>
      <c r="G580" t="s">
        <v>59</v>
      </c>
      <c r="H580" t="s">
        <v>22</v>
      </c>
      <c r="I580" s="2" t="str">
        <f t="shared" si="72"/>
        <v>South</v>
      </c>
      <c r="J580" t="s">
        <v>56</v>
      </c>
      <c r="K580" t="s">
        <v>36</v>
      </c>
      <c r="L580">
        <v>18</v>
      </c>
      <c r="M580">
        <v>120</v>
      </c>
      <c r="N580">
        <f t="shared" ref="N580:N643" si="76">M580*L580</f>
        <v>2160</v>
      </c>
      <c r="O580">
        <f t="shared" ref="O580:O643" si="77">N580*0.1</f>
        <v>216</v>
      </c>
      <c r="P580" t="str">
        <f t="shared" ref="P580:P643" si="78">IF(N580&gt;500,"Large Order","Standard Order")</f>
        <v>Large Order</v>
      </c>
      <c r="Q580" t="str">
        <f t="shared" ref="Q580:Q643" si="79">IF(OR(TRIM(E580)="Sat",TRIM(E580)="Sun"),"Weekend","Weekday")</f>
        <v>Weekday</v>
      </c>
    </row>
    <row r="581" spans="1:17" x14ac:dyDescent="0.35">
      <c r="A581" t="s">
        <v>730</v>
      </c>
      <c r="B581" s="7">
        <v>45305</v>
      </c>
      <c r="C581" s="13">
        <f t="shared" si="73"/>
        <v>2024</v>
      </c>
      <c r="D581" s="7" t="str">
        <f t="shared" si="74"/>
        <v>Jan</v>
      </c>
      <c r="E581" s="7" t="str">
        <f t="shared" si="75"/>
        <v>Sun</v>
      </c>
      <c r="F581" t="s">
        <v>388</v>
      </c>
      <c r="G581" t="s">
        <v>70</v>
      </c>
      <c r="H581" t="s">
        <v>17</v>
      </c>
      <c r="I581" s="2" t="str">
        <f t="shared" si="72"/>
        <v>South</v>
      </c>
      <c r="J581" t="s">
        <v>56</v>
      </c>
      <c r="K581" t="s">
        <v>13</v>
      </c>
      <c r="L581">
        <v>10</v>
      </c>
      <c r="M581">
        <v>120</v>
      </c>
      <c r="N581">
        <f t="shared" si="76"/>
        <v>1200</v>
      </c>
      <c r="O581">
        <f t="shared" si="77"/>
        <v>120</v>
      </c>
      <c r="P581" t="str">
        <f t="shared" si="78"/>
        <v>Large Order</v>
      </c>
      <c r="Q581" t="str">
        <f t="shared" si="79"/>
        <v>Weekend</v>
      </c>
    </row>
    <row r="582" spans="1:17" x14ac:dyDescent="0.35">
      <c r="A582" t="s">
        <v>731</v>
      </c>
      <c r="B582" s="7">
        <v>45501</v>
      </c>
      <c r="C582" s="13">
        <f t="shared" si="73"/>
        <v>2024</v>
      </c>
      <c r="D582" s="7" t="str">
        <f t="shared" si="74"/>
        <v>Jul</v>
      </c>
      <c r="E582" s="7" t="str">
        <f t="shared" si="75"/>
        <v>Sun</v>
      </c>
      <c r="F582" t="s">
        <v>422</v>
      </c>
      <c r="G582" t="s">
        <v>21</v>
      </c>
      <c r="H582" t="s">
        <v>17</v>
      </c>
      <c r="I582" s="2" t="str">
        <f t="shared" si="72"/>
        <v>West</v>
      </c>
      <c r="J582" t="s">
        <v>56</v>
      </c>
      <c r="K582" t="s">
        <v>28</v>
      </c>
      <c r="L582">
        <v>10</v>
      </c>
      <c r="M582">
        <v>120</v>
      </c>
      <c r="N582">
        <f t="shared" si="76"/>
        <v>1200</v>
      </c>
      <c r="O582">
        <f t="shared" si="77"/>
        <v>120</v>
      </c>
      <c r="P582" t="str">
        <f t="shared" si="78"/>
        <v>Large Order</v>
      </c>
      <c r="Q582" t="str">
        <f t="shared" si="79"/>
        <v>Weekend</v>
      </c>
    </row>
    <row r="583" spans="1:17" x14ac:dyDescent="0.35">
      <c r="A583" t="s">
        <v>732</v>
      </c>
      <c r="B583" s="7">
        <v>45508</v>
      </c>
      <c r="C583" s="13">
        <f t="shared" si="73"/>
        <v>2024</v>
      </c>
      <c r="D583" s="7" t="str">
        <f t="shared" si="74"/>
        <v>Aug</v>
      </c>
      <c r="E583" s="7" t="str">
        <f t="shared" si="75"/>
        <v>Sun</v>
      </c>
      <c r="F583" t="s">
        <v>159</v>
      </c>
      <c r="G583" t="s">
        <v>109</v>
      </c>
      <c r="H583" t="s">
        <v>11</v>
      </c>
      <c r="I583" s="2" t="str">
        <f t="shared" si="72"/>
        <v>Central</v>
      </c>
      <c r="J583" t="s">
        <v>27</v>
      </c>
      <c r="K583" t="s">
        <v>36</v>
      </c>
      <c r="L583">
        <v>16</v>
      </c>
      <c r="M583">
        <v>120</v>
      </c>
      <c r="N583">
        <f t="shared" si="76"/>
        <v>1920</v>
      </c>
      <c r="O583">
        <f t="shared" si="77"/>
        <v>192</v>
      </c>
      <c r="P583" t="str">
        <f t="shared" si="78"/>
        <v>Large Order</v>
      </c>
      <c r="Q583" t="str">
        <f t="shared" si="79"/>
        <v>Weekend</v>
      </c>
    </row>
    <row r="584" spans="1:17" x14ac:dyDescent="0.35">
      <c r="A584" t="s">
        <v>733</v>
      </c>
      <c r="B584" s="7">
        <v>45551</v>
      </c>
      <c r="C584" s="13">
        <f t="shared" si="73"/>
        <v>2024</v>
      </c>
      <c r="D584" s="7" t="str">
        <f t="shared" si="74"/>
        <v>Sep</v>
      </c>
      <c r="E584" s="7" t="str">
        <f t="shared" si="75"/>
        <v>Mon</v>
      </c>
      <c r="F584" t="s">
        <v>465</v>
      </c>
      <c r="G584" t="s">
        <v>79</v>
      </c>
      <c r="H584" t="s">
        <v>17</v>
      </c>
      <c r="I584" s="2" t="str">
        <f t="shared" si="72"/>
        <v>North</v>
      </c>
      <c r="J584" t="s">
        <v>306</v>
      </c>
      <c r="K584" t="s">
        <v>36</v>
      </c>
      <c r="L584">
        <v>12</v>
      </c>
      <c r="M584">
        <v>120</v>
      </c>
      <c r="N584">
        <f t="shared" si="76"/>
        <v>1440</v>
      </c>
      <c r="O584">
        <f t="shared" si="77"/>
        <v>144</v>
      </c>
      <c r="P584" t="str">
        <f t="shared" si="78"/>
        <v>Large Order</v>
      </c>
      <c r="Q584" t="str">
        <f t="shared" si="79"/>
        <v>Weekday</v>
      </c>
    </row>
    <row r="585" spans="1:17" x14ac:dyDescent="0.35">
      <c r="A585" t="s">
        <v>734</v>
      </c>
      <c r="B585" s="7">
        <v>45596</v>
      </c>
      <c r="C585" s="13">
        <f t="shared" si="73"/>
        <v>2024</v>
      </c>
      <c r="D585" s="7" t="str">
        <f t="shared" si="74"/>
        <v>Oct</v>
      </c>
      <c r="E585" s="7" t="str">
        <f t="shared" si="75"/>
        <v>Thu</v>
      </c>
      <c r="F585" t="s">
        <v>541</v>
      </c>
      <c r="G585" t="s">
        <v>119</v>
      </c>
      <c r="H585" t="s">
        <v>11</v>
      </c>
      <c r="I585" s="2" t="str">
        <f t="shared" si="72"/>
        <v>North</v>
      </c>
      <c r="J585" t="s">
        <v>12</v>
      </c>
      <c r="K585" t="s">
        <v>32</v>
      </c>
      <c r="L585">
        <v>8</v>
      </c>
      <c r="M585">
        <v>120</v>
      </c>
      <c r="N585">
        <f t="shared" si="76"/>
        <v>960</v>
      </c>
      <c r="O585">
        <f t="shared" si="77"/>
        <v>96</v>
      </c>
      <c r="P585" t="str">
        <f t="shared" si="78"/>
        <v>Large Order</v>
      </c>
      <c r="Q585" t="str">
        <f t="shared" si="79"/>
        <v>Weekday</v>
      </c>
    </row>
    <row r="586" spans="1:17" x14ac:dyDescent="0.35">
      <c r="A586" t="s">
        <v>735</v>
      </c>
      <c r="B586" s="7">
        <v>45377</v>
      </c>
      <c r="C586" s="13">
        <f t="shared" si="73"/>
        <v>2024</v>
      </c>
      <c r="D586" s="7" t="str">
        <f t="shared" si="74"/>
        <v>Mar</v>
      </c>
      <c r="E586" s="7" t="str">
        <f t="shared" si="75"/>
        <v>Tue</v>
      </c>
      <c r="F586" t="s">
        <v>736</v>
      </c>
      <c r="G586" t="s">
        <v>59</v>
      </c>
      <c r="H586" t="s">
        <v>22</v>
      </c>
      <c r="I586" s="2" t="str">
        <f t="shared" si="72"/>
        <v>North</v>
      </c>
      <c r="J586" t="s">
        <v>12</v>
      </c>
      <c r="K586" t="s">
        <v>32</v>
      </c>
      <c r="L586">
        <v>13</v>
      </c>
      <c r="M586">
        <v>120</v>
      </c>
      <c r="N586">
        <f t="shared" si="76"/>
        <v>1560</v>
      </c>
      <c r="O586">
        <f t="shared" si="77"/>
        <v>156</v>
      </c>
      <c r="P586" t="str">
        <f t="shared" si="78"/>
        <v>Large Order</v>
      </c>
      <c r="Q586" t="str">
        <f t="shared" si="79"/>
        <v>Weekday</v>
      </c>
    </row>
    <row r="587" spans="1:17" x14ac:dyDescent="0.35">
      <c r="A587" t="s">
        <v>737</v>
      </c>
      <c r="B587" s="7">
        <v>45512</v>
      </c>
      <c r="C587" s="13">
        <f t="shared" si="73"/>
        <v>2024</v>
      </c>
      <c r="D587" s="7" t="str">
        <f t="shared" si="74"/>
        <v>Aug</v>
      </c>
      <c r="E587" s="7" t="str">
        <f t="shared" si="75"/>
        <v>Thu</v>
      </c>
      <c r="F587" t="s">
        <v>15</v>
      </c>
      <c r="G587" t="s">
        <v>26</v>
      </c>
      <c r="H587" t="s">
        <v>11</v>
      </c>
      <c r="I587" s="2" t="str">
        <f t="shared" si="72"/>
        <v>Central</v>
      </c>
      <c r="J587" t="s">
        <v>12</v>
      </c>
      <c r="K587" t="s">
        <v>36</v>
      </c>
      <c r="L587">
        <v>8</v>
      </c>
      <c r="M587">
        <v>120</v>
      </c>
      <c r="N587">
        <f t="shared" si="76"/>
        <v>960</v>
      </c>
      <c r="O587">
        <f t="shared" si="77"/>
        <v>96</v>
      </c>
      <c r="P587" t="str">
        <f t="shared" si="78"/>
        <v>Large Order</v>
      </c>
      <c r="Q587" t="str">
        <f t="shared" si="79"/>
        <v>Weekday</v>
      </c>
    </row>
    <row r="588" spans="1:17" x14ac:dyDescent="0.35">
      <c r="A588" t="s">
        <v>738</v>
      </c>
      <c r="B588" s="7">
        <v>45577</v>
      </c>
      <c r="C588" s="13">
        <f t="shared" si="73"/>
        <v>2024</v>
      </c>
      <c r="D588" s="7" t="str">
        <f t="shared" si="74"/>
        <v>Oct</v>
      </c>
      <c r="E588" s="7" t="str">
        <f t="shared" si="75"/>
        <v>Sat</v>
      </c>
      <c r="F588" t="s">
        <v>361</v>
      </c>
      <c r="G588" t="s">
        <v>197</v>
      </c>
      <c r="H588" t="s">
        <v>22</v>
      </c>
      <c r="I588" s="2" t="str">
        <f t="shared" si="72"/>
        <v>Central</v>
      </c>
      <c r="J588" t="s">
        <v>306</v>
      </c>
      <c r="K588" t="s">
        <v>23</v>
      </c>
      <c r="L588">
        <v>15</v>
      </c>
      <c r="M588">
        <v>120</v>
      </c>
      <c r="N588">
        <f t="shared" si="76"/>
        <v>1800</v>
      </c>
      <c r="O588">
        <f t="shared" si="77"/>
        <v>180</v>
      </c>
      <c r="P588" t="str">
        <f t="shared" si="78"/>
        <v>Large Order</v>
      </c>
      <c r="Q588" t="str">
        <f t="shared" si="79"/>
        <v>Weekend</v>
      </c>
    </row>
    <row r="589" spans="1:17" x14ac:dyDescent="0.35">
      <c r="A589" t="s">
        <v>739</v>
      </c>
      <c r="B589" s="7">
        <v>45639</v>
      </c>
      <c r="C589" s="13">
        <f t="shared" si="73"/>
        <v>2024</v>
      </c>
      <c r="D589" s="7" t="str">
        <f t="shared" si="74"/>
        <v>Dec</v>
      </c>
      <c r="E589" s="7" t="str">
        <f t="shared" si="75"/>
        <v>Fri</v>
      </c>
      <c r="F589" t="s">
        <v>449</v>
      </c>
      <c r="G589" t="s">
        <v>16</v>
      </c>
      <c r="H589" t="s">
        <v>22</v>
      </c>
      <c r="I589" s="2" t="str">
        <f t="shared" si="72"/>
        <v>North</v>
      </c>
      <c r="J589" t="s">
        <v>306</v>
      </c>
      <c r="K589" t="s">
        <v>23</v>
      </c>
      <c r="L589">
        <v>12</v>
      </c>
      <c r="M589">
        <v>120</v>
      </c>
      <c r="N589">
        <f t="shared" si="76"/>
        <v>1440</v>
      </c>
      <c r="O589">
        <f t="shared" si="77"/>
        <v>144</v>
      </c>
      <c r="P589" t="str">
        <f t="shared" si="78"/>
        <v>Large Order</v>
      </c>
      <c r="Q589" t="str">
        <f t="shared" si="79"/>
        <v>Weekday</v>
      </c>
    </row>
    <row r="590" spans="1:17" x14ac:dyDescent="0.35">
      <c r="A590" t="s">
        <v>740</v>
      </c>
      <c r="B590" s="7">
        <v>45345</v>
      </c>
      <c r="C590" s="13">
        <f t="shared" si="73"/>
        <v>2024</v>
      </c>
      <c r="D590" s="7" t="str">
        <f t="shared" si="74"/>
        <v>Feb</v>
      </c>
      <c r="E590" s="7" t="str">
        <f t="shared" si="75"/>
        <v>Fri</v>
      </c>
      <c r="F590" t="s">
        <v>61</v>
      </c>
      <c r="G590" t="s">
        <v>102</v>
      </c>
      <c r="H590" t="s">
        <v>17</v>
      </c>
      <c r="I590" s="2" t="str">
        <f t="shared" si="72"/>
        <v>Central</v>
      </c>
      <c r="J590" t="s">
        <v>12</v>
      </c>
      <c r="K590" t="s">
        <v>32</v>
      </c>
      <c r="L590">
        <v>5</v>
      </c>
      <c r="M590">
        <v>120</v>
      </c>
      <c r="N590">
        <f t="shared" si="76"/>
        <v>600</v>
      </c>
      <c r="O590">
        <f t="shared" si="77"/>
        <v>60</v>
      </c>
      <c r="P590" t="str">
        <f t="shared" si="78"/>
        <v>Large Order</v>
      </c>
      <c r="Q590" t="str">
        <f t="shared" si="79"/>
        <v>Weekday</v>
      </c>
    </row>
    <row r="591" spans="1:17" x14ac:dyDescent="0.35">
      <c r="A591" t="s">
        <v>741</v>
      </c>
      <c r="B591" s="7">
        <v>45525</v>
      </c>
      <c r="C591" s="13">
        <f t="shared" si="73"/>
        <v>2024</v>
      </c>
      <c r="D591" s="7" t="str">
        <f t="shared" si="74"/>
        <v>Aug</v>
      </c>
      <c r="E591" s="7" t="str">
        <f t="shared" si="75"/>
        <v>Wed</v>
      </c>
      <c r="F591" t="s">
        <v>728</v>
      </c>
      <c r="G591" t="s">
        <v>35</v>
      </c>
      <c r="H591" t="s">
        <v>11</v>
      </c>
      <c r="I591" s="2" t="str">
        <f t="shared" si="72"/>
        <v>North</v>
      </c>
      <c r="J591" t="s">
        <v>306</v>
      </c>
      <c r="K591" t="s">
        <v>23</v>
      </c>
      <c r="L591">
        <v>12</v>
      </c>
      <c r="M591">
        <v>120</v>
      </c>
      <c r="N591">
        <f t="shared" si="76"/>
        <v>1440</v>
      </c>
      <c r="O591">
        <f t="shared" si="77"/>
        <v>144</v>
      </c>
      <c r="P591" t="str">
        <f t="shared" si="78"/>
        <v>Large Order</v>
      </c>
      <c r="Q591" t="str">
        <f t="shared" si="79"/>
        <v>Weekday</v>
      </c>
    </row>
    <row r="592" spans="1:17" x14ac:dyDescent="0.35">
      <c r="A592" t="s">
        <v>742</v>
      </c>
      <c r="B592" s="7">
        <v>45648</v>
      </c>
      <c r="C592" s="13">
        <f t="shared" si="73"/>
        <v>2024</v>
      </c>
      <c r="D592" s="7" t="str">
        <f t="shared" si="74"/>
        <v>Dec</v>
      </c>
      <c r="E592" s="7" t="str">
        <f t="shared" si="75"/>
        <v>Sun</v>
      </c>
      <c r="F592" t="s">
        <v>430</v>
      </c>
      <c r="G592" t="s">
        <v>74</v>
      </c>
      <c r="H592" t="s">
        <v>17</v>
      </c>
      <c r="I592" s="2" t="str">
        <f t="shared" si="72"/>
        <v>North</v>
      </c>
      <c r="J592" t="s">
        <v>12</v>
      </c>
      <c r="K592" t="s">
        <v>13</v>
      </c>
      <c r="L592">
        <v>2</v>
      </c>
      <c r="M592">
        <v>120</v>
      </c>
      <c r="N592">
        <f t="shared" si="76"/>
        <v>240</v>
      </c>
      <c r="O592">
        <f t="shared" si="77"/>
        <v>24</v>
      </c>
      <c r="P592" t="str">
        <f t="shared" si="78"/>
        <v>Standard Order</v>
      </c>
      <c r="Q592" t="str">
        <f t="shared" si="79"/>
        <v>Weekend</v>
      </c>
    </row>
    <row r="593" spans="1:17" x14ac:dyDescent="0.35">
      <c r="A593" t="s">
        <v>743</v>
      </c>
      <c r="B593" s="7">
        <v>45303</v>
      </c>
      <c r="C593" s="13">
        <f t="shared" si="73"/>
        <v>2024</v>
      </c>
      <c r="D593" s="7" t="str">
        <f t="shared" si="74"/>
        <v>Jan</v>
      </c>
      <c r="E593" s="7" t="str">
        <f t="shared" si="75"/>
        <v>Fri</v>
      </c>
      <c r="F593" t="s">
        <v>47</v>
      </c>
      <c r="G593" t="s">
        <v>41</v>
      </c>
      <c r="H593" t="s">
        <v>22</v>
      </c>
      <c r="I593" s="2" t="str">
        <f t="shared" si="72"/>
        <v>South</v>
      </c>
      <c r="J593" t="s">
        <v>12</v>
      </c>
      <c r="K593" t="s">
        <v>28</v>
      </c>
      <c r="L593">
        <v>6</v>
      </c>
      <c r="M593">
        <v>120</v>
      </c>
      <c r="N593">
        <f t="shared" si="76"/>
        <v>720</v>
      </c>
      <c r="O593">
        <f t="shared" si="77"/>
        <v>72</v>
      </c>
      <c r="P593" t="str">
        <f t="shared" si="78"/>
        <v>Large Order</v>
      </c>
      <c r="Q593" t="str">
        <f t="shared" si="79"/>
        <v>Weekday</v>
      </c>
    </row>
    <row r="594" spans="1:17" x14ac:dyDescent="0.35">
      <c r="A594" t="s">
        <v>744</v>
      </c>
      <c r="B594" s="7">
        <v>45556</v>
      </c>
      <c r="C594" s="13">
        <f t="shared" si="73"/>
        <v>2024</v>
      </c>
      <c r="D594" s="7" t="str">
        <f t="shared" si="74"/>
        <v>Sep</v>
      </c>
      <c r="E594" s="7" t="str">
        <f t="shared" si="75"/>
        <v>Sat</v>
      </c>
      <c r="F594" t="s">
        <v>235</v>
      </c>
      <c r="G594" t="s">
        <v>72</v>
      </c>
      <c r="H594" t="s">
        <v>22</v>
      </c>
      <c r="I594" s="2" t="str">
        <f t="shared" si="72"/>
        <v>South</v>
      </c>
      <c r="J594" t="s">
        <v>56</v>
      </c>
      <c r="K594" t="s">
        <v>23</v>
      </c>
      <c r="L594">
        <v>18</v>
      </c>
      <c r="M594">
        <v>120</v>
      </c>
      <c r="N594">
        <f t="shared" si="76"/>
        <v>2160</v>
      </c>
      <c r="O594">
        <f t="shared" si="77"/>
        <v>216</v>
      </c>
      <c r="P594" t="str">
        <f t="shared" si="78"/>
        <v>Large Order</v>
      </c>
      <c r="Q594" t="str">
        <f t="shared" si="79"/>
        <v>Weekend</v>
      </c>
    </row>
    <row r="595" spans="1:17" x14ac:dyDescent="0.35">
      <c r="A595" t="s">
        <v>745</v>
      </c>
      <c r="B595" s="7">
        <v>45410</v>
      </c>
      <c r="C595" s="13">
        <f t="shared" si="73"/>
        <v>2024</v>
      </c>
      <c r="D595" s="7" t="str">
        <f t="shared" si="74"/>
        <v>Apr</v>
      </c>
      <c r="E595" s="7" t="str">
        <f t="shared" si="75"/>
        <v>Sun</v>
      </c>
      <c r="F595" t="s">
        <v>341</v>
      </c>
      <c r="G595" t="s">
        <v>45</v>
      </c>
      <c r="H595" t="s">
        <v>22</v>
      </c>
      <c r="I595" s="2" t="str">
        <f t="shared" si="72"/>
        <v>West</v>
      </c>
      <c r="J595" t="s">
        <v>56</v>
      </c>
      <c r="K595" t="s">
        <v>36</v>
      </c>
      <c r="L595">
        <v>14</v>
      </c>
      <c r="M595">
        <v>120</v>
      </c>
      <c r="N595">
        <f t="shared" si="76"/>
        <v>1680</v>
      </c>
      <c r="O595">
        <f t="shared" si="77"/>
        <v>168</v>
      </c>
      <c r="P595" t="str">
        <f t="shared" si="78"/>
        <v>Large Order</v>
      </c>
      <c r="Q595" t="str">
        <f t="shared" si="79"/>
        <v>Weekend</v>
      </c>
    </row>
    <row r="596" spans="1:17" x14ac:dyDescent="0.35">
      <c r="A596" t="s">
        <v>746</v>
      </c>
      <c r="B596" s="7">
        <v>45393</v>
      </c>
      <c r="C596" s="13">
        <f t="shared" si="73"/>
        <v>2024</v>
      </c>
      <c r="D596" s="7" t="str">
        <f t="shared" si="74"/>
        <v>Apr</v>
      </c>
      <c r="E596" s="7" t="str">
        <f t="shared" si="75"/>
        <v>Thu</v>
      </c>
      <c r="F596" t="s">
        <v>430</v>
      </c>
      <c r="G596" t="s">
        <v>31</v>
      </c>
      <c r="H596" t="s">
        <v>22</v>
      </c>
      <c r="I596" s="2" t="str">
        <f t="shared" si="72"/>
        <v>North</v>
      </c>
      <c r="J596" t="s">
        <v>27</v>
      </c>
      <c r="K596" t="s">
        <v>28</v>
      </c>
      <c r="L596">
        <v>1</v>
      </c>
      <c r="M596">
        <v>120</v>
      </c>
      <c r="N596">
        <f t="shared" si="76"/>
        <v>120</v>
      </c>
      <c r="O596">
        <f t="shared" si="77"/>
        <v>12</v>
      </c>
      <c r="P596" t="str">
        <f t="shared" si="78"/>
        <v>Standard Order</v>
      </c>
      <c r="Q596" t="str">
        <f t="shared" si="79"/>
        <v>Weekday</v>
      </c>
    </row>
    <row r="597" spans="1:17" x14ac:dyDescent="0.35">
      <c r="A597" t="s">
        <v>747</v>
      </c>
      <c r="B597" s="7">
        <v>45434</v>
      </c>
      <c r="C597" s="13">
        <f t="shared" si="73"/>
        <v>2024</v>
      </c>
      <c r="D597" s="7" t="str">
        <f t="shared" si="74"/>
        <v>May</v>
      </c>
      <c r="E597" s="7" t="str">
        <f t="shared" si="75"/>
        <v>Wed</v>
      </c>
      <c r="F597" t="s">
        <v>664</v>
      </c>
      <c r="G597" t="s">
        <v>59</v>
      </c>
      <c r="H597" t="s">
        <v>22</v>
      </c>
      <c r="I597" s="2" t="str">
        <f t="shared" si="72"/>
        <v>South</v>
      </c>
      <c r="J597" t="s">
        <v>12</v>
      </c>
      <c r="K597" t="s">
        <v>36</v>
      </c>
      <c r="L597">
        <v>4</v>
      </c>
      <c r="M597">
        <v>120</v>
      </c>
      <c r="N597">
        <f t="shared" si="76"/>
        <v>480</v>
      </c>
      <c r="O597">
        <f t="shared" si="77"/>
        <v>48</v>
      </c>
      <c r="P597" t="str">
        <f t="shared" si="78"/>
        <v>Standard Order</v>
      </c>
      <c r="Q597" t="str">
        <f t="shared" si="79"/>
        <v>Weekday</v>
      </c>
    </row>
    <row r="598" spans="1:17" x14ac:dyDescent="0.35">
      <c r="A598" t="s">
        <v>748</v>
      </c>
      <c r="B598" s="7">
        <v>45387</v>
      </c>
      <c r="C598" s="13">
        <f t="shared" si="73"/>
        <v>2024</v>
      </c>
      <c r="D598" s="7" t="str">
        <f t="shared" si="74"/>
        <v>Apr</v>
      </c>
      <c r="E598" s="7" t="str">
        <f t="shared" si="75"/>
        <v>Fri</v>
      </c>
      <c r="F598" t="s">
        <v>83</v>
      </c>
      <c r="G598" t="s">
        <v>70</v>
      </c>
      <c r="H598" t="s">
        <v>17</v>
      </c>
      <c r="I598" s="2" t="str">
        <f t="shared" si="72"/>
        <v>Central</v>
      </c>
      <c r="J598" t="s">
        <v>56</v>
      </c>
      <c r="K598" t="s">
        <v>23</v>
      </c>
      <c r="L598">
        <v>4</v>
      </c>
      <c r="M598">
        <v>120</v>
      </c>
      <c r="N598">
        <f t="shared" si="76"/>
        <v>480</v>
      </c>
      <c r="O598">
        <f t="shared" si="77"/>
        <v>48</v>
      </c>
      <c r="P598" t="str">
        <f t="shared" si="78"/>
        <v>Standard Order</v>
      </c>
      <c r="Q598" t="str">
        <f t="shared" si="79"/>
        <v>Weekday</v>
      </c>
    </row>
    <row r="599" spans="1:17" x14ac:dyDescent="0.35">
      <c r="A599" t="s">
        <v>749</v>
      </c>
      <c r="B599" s="7">
        <v>45562</v>
      </c>
      <c r="C599" s="13">
        <f t="shared" si="73"/>
        <v>2024</v>
      </c>
      <c r="D599" s="7" t="str">
        <f t="shared" si="74"/>
        <v>Sep</v>
      </c>
      <c r="E599" s="7" t="str">
        <f t="shared" si="75"/>
        <v>Fri</v>
      </c>
      <c r="F599" t="s">
        <v>541</v>
      </c>
      <c r="G599" t="s">
        <v>31</v>
      </c>
      <c r="H599" t="s">
        <v>17</v>
      </c>
      <c r="I599" s="2" t="str">
        <f t="shared" si="72"/>
        <v>Central</v>
      </c>
      <c r="J599" t="s">
        <v>306</v>
      </c>
      <c r="K599" t="s">
        <v>13</v>
      </c>
      <c r="L599">
        <v>20</v>
      </c>
      <c r="M599">
        <v>120</v>
      </c>
      <c r="N599">
        <f t="shared" si="76"/>
        <v>2400</v>
      </c>
      <c r="O599">
        <f t="shared" si="77"/>
        <v>240</v>
      </c>
      <c r="P599" t="str">
        <f t="shared" si="78"/>
        <v>Large Order</v>
      </c>
      <c r="Q599" t="str">
        <f t="shared" si="79"/>
        <v>Weekday</v>
      </c>
    </row>
    <row r="600" spans="1:17" x14ac:dyDescent="0.35">
      <c r="A600" t="s">
        <v>750</v>
      </c>
      <c r="B600" s="7">
        <v>45470</v>
      </c>
      <c r="C600" s="13">
        <f t="shared" si="73"/>
        <v>2024</v>
      </c>
      <c r="D600" s="7" t="str">
        <f t="shared" si="74"/>
        <v>Jun</v>
      </c>
      <c r="E600" s="7" t="str">
        <f t="shared" si="75"/>
        <v>Thu</v>
      </c>
      <c r="F600" t="s">
        <v>182</v>
      </c>
      <c r="G600" t="s">
        <v>45</v>
      </c>
      <c r="H600" t="s">
        <v>17</v>
      </c>
      <c r="I600" s="2" t="str">
        <f t="shared" si="72"/>
        <v>East</v>
      </c>
      <c r="J600" t="s">
        <v>306</v>
      </c>
      <c r="K600" t="s">
        <v>36</v>
      </c>
      <c r="L600">
        <v>10</v>
      </c>
      <c r="M600">
        <v>120</v>
      </c>
      <c r="N600">
        <f t="shared" si="76"/>
        <v>1200</v>
      </c>
      <c r="O600">
        <f t="shared" si="77"/>
        <v>120</v>
      </c>
      <c r="P600" t="str">
        <f t="shared" si="78"/>
        <v>Large Order</v>
      </c>
      <c r="Q600" t="str">
        <f t="shared" si="79"/>
        <v>Weekday</v>
      </c>
    </row>
    <row r="601" spans="1:17" x14ac:dyDescent="0.35">
      <c r="A601" t="s">
        <v>751</v>
      </c>
      <c r="B601" s="7">
        <v>45335</v>
      </c>
      <c r="C601" s="13">
        <f t="shared" si="73"/>
        <v>2024</v>
      </c>
      <c r="D601" s="7" t="str">
        <f t="shared" si="74"/>
        <v>Feb</v>
      </c>
      <c r="E601" s="7" t="str">
        <f t="shared" si="75"/>
        <v>Tue</v>
      </c>
      <c r="F601" t="s">
        <v>422</v>
      </c>
      <c r="G601" t="s">
        <v>102</v>
      </c>
      <c r="H601" t="s">
        <v>11</v>
      </c>
      <c r="I601" s="2" t="str">
        <f t="shared" si="72"/>
        <v>Central</v>
      </c>
      <c r="J601" t="s">
        <v>42</v>
      </c>
      <c r="K601" t="s">
        <v>28</v>
      </c>
      <c r="L601">
        <v>8</v>
      </c>
      <c r="M601">
        <v>120</v>
      </c>
      <c r="N601">
        <f t="shared" si="76"/>
        <v>960</v>
      </c>
      <c r="O601">
        <f t="shared" si="77"/>
        <v>96</v>
      </c>
      <c r="P601" t="str">
        <f t="shared" si="78"/>
        <v>Large Order</v>
      </c>
      <c r="Q601" t="str">
        <f t="shared" si="79"/>
        <v>Weekday</v>
      </c>
    </row>
    <row r="602" spans="1:17" x14ac:dyDescent="0.35">
      <c r="A602" t="s">
        <v>752</v>
      </c>
      <c r="B602" s="7">
        <v>45483</v>
      </c>
      <c r="C602" s="13">
        <f t="shared" si="73"/>
        <v>2024</v>
      </c>
      <c r="D602" s="7" t="str">
        <f t="shared" si="74"/>
        <v>Jul</v>
      </c>
      <c r="E602" s="7" t="str">
        <f t="shared" si="75"/>
        <v>Wed</v>
      </c>
      <c r="F602" t="s">
        <v>465</v>
      </c>
      <c r="G602" t="s">
        <v>31</v>
      </c>
      <c r="H602" t="s">
        <v>11</v>
      </c>
      <c r="I602" s="2" t="str">
        <f t="shared" si="72"/>
        <v>West</v>
      </c>
      <c r="J602" t="s">
        <v>306</v>
      </c>
      <c r="K602" t="s">
        <v>36</v>
      </c>
      <c r="L602">
        <v>14</v>
      </c>
      <c r="M602">
        <v>120</v>
      </c>
      <c r="N602">
        <f t="shared" si="76"/>
        <v>1680</v>
      </c>
      <c r="O602">
        <f t="shared" si="77"/>
        <v>168</v>
      </c>
      <c r="P602" t="str">
        <f t="shared" si="78"/>
        <v>Large Order</v>
      </c>
      <c r="Q602" t="str">
        <f t="shared" si="79"/>
        <v>Weekday</v>
      </c>
    </row>
    <row r="603" spans="1:17" x14ac:dyDescent="0.35">
      <c r="A603" t="s">
        <v>753</v>
      </c>
      <c r="B603" s="7">
        <v>45488</v>
      </c>
      <c r="C603" s="13">
        <f t="shared" si="73"/>
        <v>2024</v>
      </c>
      <c r="D603" s="7" t="str">
        <f t="shared" si="74"/>
        <v>Jul</v>
      </c>
      <c r="E603" s="7" t="str">
        <f t="shared" si="75"/>
        <v>Mon</v>
      </c>
      <c r="F603" t="s">
        <v>309</v>
      </c>
      <c r="G603" t="s">
        <v>21</v>
      </c>
      <c r="H603" t="s">
        <v>11</v>
      </c>
      <c r="I603" s="2" t="str">
        <f t="shared" si="72"/>
        <v>East</v>
      </c>
      <c r="J603" t="s">
        <v>27</v>
      </c>
      <c r="K603" t="s">
        <v>28</v>
      </c>
      <c r="L603">
        <v>18</v>
      </c>
      <c r="M603">
        <v>120</v>
      </c>
      <c r="N603">
        <f t="shared" si="76"/>
        <v>2160</v>
      </c>
      <c r="O603">
        <f t="shared" si="77"/>
        <v>216</v>
      </c>
      <c r="P603" t="str">
        <f t="shared" si="78"/>
        <v>Large Order</v>
      </c>
      <c r="Q603" t="str">
        <f t="shared" si="79"/>
        <v>Weekday</v>
      </c>
    </row>
    <row r="604" spans="1:17" x14ac:dyDescent="0.35">
      <c r="A604" t="s">
        <v>754</v>
      </c>
      <c r="B604" s="7">
        <v>45576</v>
      </c>
      <c r="C604" s="13">
        <f t="shared" si="73"/>
        <v>2024</v>
      </c>
      <c r="D604" s="7" t="str">
        <f t="shared" si="74"/>
        <v>Oct</v>
      </c>
      <c r="E604" s="7" t="str">
        <f t="shared" si="75"/>
        <v>Fri</v>
      </c>
      <c r="F604" t="s">
        <v>30</v>
      </c>
      <c r="G604" t="s">
        <v>16</v>
      </c>
      <c r="H604" t="s">
        <v>17</v>
      </c>
      <c r="I604" s="2" t="str">
        <f t="shared" si="72"/>
        <v>North</v>
      </c>
      <c r="J604" t="s">
        <v>42</v>
      </c>
      <c r="K604" t="s">
        <v>23</v>
      </c>
      <c r="L604">
        <v>6</v>
      </c>
      <c r="M604">
        <v>120</v>
      </c>
      <c r="N604">
        <f t="shared" si="76"/>
        <v>720</v>
      </c>
      <c r="O604">
        <f t="shared" si="77"/>
        <v>72</v>
      </c>
      <c r="P604" t="str">
        <f t="shared" si="78"/>
        <v>Large Order</v>
      </c>
      <c r="Q604" t="str">
        <f t="shared" si="79"/>
        <v>Weekday</v>
      </c>
    </row>
    <row r="605" spans="1:17" x14ac:dyDescent="0.35">
      <c r="A605" t="s">
        <v>755</v>
      </c>
      <c r="B605" s="7">
        <v>45609</v>
      </c>
      <c r="C605" s="13">
        <f t="shared" si="73"/>
        <v>2024</v>
      </c>
      <c r="D605" s="7" t="str">
        <f t="shared" si="74"/>
        <v>Nov</v>
      </c>
      <c r="E605" s="7" t="str">
        <f t="shared" si="75"/>
        <v>Wed</v>
      </c>
      <c r="F605" t="s">
        <v>9</v>
      </c>
      <c r="G605" t="s">
        <v>35</v>
      </c>
      <c r="H605" t="s">
        <v>17</v>
      </c>
      <c r="I605" s="2" t="str">
        <f t="shared" si="72"/>
        <v>West</v>
      </c>
      <c r="J605" t="s">
        <v>12</v>
      </c>
      <c r="K605" t="s">
        <v>23</v>
      </c>
      <c r="L605">
        <v>5</v>
      </c>
      <c r="M605">
        <v>120</v>
      </c>
      <c r="N605">
        <f t="shared" si="76"/>
        <v>600</v>
      </c>
      <c r="O605">
        <f t="shared" si="77"/>
        <v>60</v>
      </c>
      <c r="P605" t="str">
        <f t="shared" si="78"/>
        <v>Large Order</v>
      </c>
      <c r="Q605" t="str">
        <f t="shared" si="79"/>
        <v>Weekday</v>
      </c>
    </row>
    <row r="606" spans="1:17" x14ac:dyDescent="0.35">
      <c r="A606" t="s">
        <v>756</v>
      </c>
      <c r="B606" s="7">
        <v>45579</v>
      </c>
      <c r="C606" s="13">
        <f t="shared" si="73"/>
        <v>2024</v>
      </c>
      <c r="D606" s="7" t="str">
        <f t="shared" si="74"/>
        <v>Oct</v>
      </c>
      <c r="E606" s="7" t="str">
        <f t="shared" si="75"/>
        <v>Mon</v>
      </c>
      <c r="F606" t="s">
        <v>358</v>
      </c>
      <c r="G606" t="s">
        <v>87</v>
      </c>
      <c r="H606" t="s">
        <v>22</v>
      </c>
      <c r="I606" s="2" t="str">
        <f t="shared" si="72"/>
        <v>Central</v>
      </c>
      <c r="J606" t="s">
        <v>27</v>
      </c>
      <c r="K606" t="s">
        <v>23</v>
      </c>
      <c r="L606">
        <v>16</v>
      </c>
      <c r="M606">
        <v>120</v>
      </c>
      <c r="N606">
        <f t="shared" si="76"/>
        <v>1920</v>
      </c>
      <c r="O606">
        <f t="shared" si="77"/>
        <v>192</v>
      </c>
      <c r="P606" t="str">
        <f t="shared" si="78"/>
        <v>Large Order</v>
      </c>
      <c r="Q606" t="str">
        <f t="shared" si="79"/>
        <v>Weekday</v>
      </c>
    </row>
    <row r="607" spans="1:17" x14ac:dyDescent="0.35">
      <c r="A607" t="s">
        <v>757</v>
      </c>
      <c r="B607" s="7">
        <v>45542</v>
      </c>
      <c r="C607" s="13">
        <f t="shared" si="73"/>
        <v>2024</v>
      </c>
      <c r="D607" s="7" t="str">
        <f t="shared" si="74"/>
        <v>Sep</v>
      </c>
      <c r="E607" s="7" t="str">
        <f t="shared" si="75"/>
        <v>Sat</v>
      </c>
      <c r="F607" t="s">
        <v>30</v>
      </c>
      <c r="G607" t="s">
        <v>96</v>
      </c>
      <c r="H607" t="s">
        <v>11</v>
      </c>
      <c r="I607" s="2" t="str">
        <f t="shared" si="72"/>
        <v>South</v>
      </c>
      <c r="J607" t="s">
        <v>306</v>
      </c>
      <c r="K607" t="s">
        <v>32</v>
      </c>
      <c r="L607">
        <v>8</v>
      </c>
      <c r="M607">
        <v>120</v>
      </c>
      <c r="N607">
        <f t="shared" si="76"/>
        <v>960</v>
      </c>
      <c r="O607">
        <f t="shared" si="77"/>
        <v>96</v>
      </c>
      <c r="P607" t="str">
        <f t="shared" si="78"/>
        <v>Large Order</v>
      </c>
      <c r="Q607" t="str">
        <f t="shared" si="79"/>
        <v>Weekend</v>
      </c>
    </row>
    <row r="608" spans="1:17" x14ac:dyDescent="0.35">
      <c r="A608" t="s">
        <v>758</v>
      </c>
      <c r="B608" s="7">
        <v>45407</v>
      </c>
      <c r="C608" s="13">
        <f t="shared" si="73"/>
        <v>2024</v>
      </c>
      <c r="D608" s="7" t="str">
        <f t="shared" si="74"/>
        <v>Apr</v>
      </c>
      <c r="E608" s="7" t="str">
        <f t="shared" si="75"/>
        <v>Thu</v>
      </c>
      <c r="F608" t="s">
        <v>312</v>
      </c>
      <c r="G608" t="s">
        <v>119</v>
      </c>
      <c r="H608" t="s">
        <v>17</v>
      </c>
      <c r="I608" s="2" t="str">
        <f t="shared" si="72"/>
        <v>Central</v>
      </c>
      <c r="J608" t="s">
        <v>56</v>
      </c>
      <c r="K608" t="s">
        <v>23</v>
      </c>
      <c r="L608">
        <v>15</v>
      </c>
      <c r="M608">
        <v>120</v>
      </c>
      <c r="N608">
        <f t="shared" si="76"/>
        <v>1800</v>
      </c>
      <c r="O608">
        <f t="shared" si="77"/>
        <v>180</v>
      </c>
      <c r="P608" t="str">
        <f t="shared" si="78"/>
        <v>Large Order</v>
      </c>
      <c r="Q608" t="str">
        <f t="shared" si="79"/>
        <v>Weekday</v>
      </c>
    </row>
    <row r="609" spans="1:17" x14ac:dyDescent="0.35">
      <c r="A609" t="s">
        <v>759</v>
      </c>
      <c r="B609" s="7">
        <v>45573</v>
      </c>
      <c r="C609" s="13">
        <f t="shared" si="73"/>
        <v>2024</v>
      </c>
      <c r="D609" s="7" t="str">
        <f t="shared" si="74"/>
        <v>Oct</v>
      </c>
      <c r="E609" s="7" t="str">
        <f t="shared" si="75"/>
        <v>Tue</v>
      </c>
      <c r="F609" t="s">
        <v>345</v>
      </c>
      <c r="G609" t="s">
        <v>102</v>
      </c>
      <c r="H609" t="s">
        <v>11</v>
      </c>
      <c r="I609" s="2" t="str">
        <f t="shared" si="72"/>
        <v>West</v>
      </c>
      <c r="J609" t="s">
        <v>306</v>
      </c>
      <c r="K609" t="s">
        <v>32</v>
      </c>
      <c r="L609">
        <v>9</v>
      </c>
      <c r="M609">
        <v>120</v>
      </c>
      <c r="N609">
        <f t="shared" si="76"/>
        <v>1080</v>
      </c>
      <c r="O609">
        <f t="shared" si="77"/>
        <v>108</v>
      </c>
      <c r="P609" t="str">
        <f t="shared" si="78"/>
        <v>Large Order</v>
      </c>
      <c r="Q609" t="str">
        <f t="shared" si="79"/>
        <v>Weekday</v>
      </c>
    </row>
    <row r="610" spans="1:17" x14ac:dyDescent="0.35">
      <c r="A610" t="s">
        <v>760</v>
      </c>
      <c r="B610" s="7">
        <v>45569</v>
      </c>
      <c r="C610" s="13">
        <f t="shared" si="73"/>
        <v>2024</v>
      </c>
      <c r="D610" s="7" t="str">
        <f t="shared" si="74"/>
        <v>Oct</v>
      </c>
      <c r="E610" s="7" t="str">
        <f t="shared" si="75"/>
        <v>Fri</v>
      </c>
      <c r="F610" t="s">
        <v>664</v>
      </c>
      <c r="G610" t="s">
        <v>174</v>
      </c>
      <c r="H610" t="s">
        <v>11</v>
      </c>
      <c r="I610" s="2" t="str">
        <f t="shared" si="72"/>
        <v>East</v>
      </c>
      <c r="J610" t="s">
        <v>27</v>
      </c>
      <c r="K610" t="s">
        <v>13</v>
      </c>
      <c r="L610">
        <v>7</v>
      </c>
      <c r="M610">
        <v>120</v>
      </c>
      <c r="N610">
        <f t="shared" si="76"/>
        <v>840</v>
      </c>
      <c r="O610">
        <f t="shared" si="77"/>
        <v>84</v>
      </c>
      <c r="P610" t="str">
        <f t="shared" si="78"/>
        <v>Large Order</v>
      </c>
      <c r="Q610" t="str">
        <f t="shared" si="79"/>
        <v>Weekday</v>
      </c>
    </row>
    <row r="611" spans="1:17" x14ac:dyDescent="0.35">
      <c r="A611" t="s">
        <v>761</v>
      </c>
      <c r="B611" s="7">
        <v>45626</v>
      </c>
      <c r="C611" s="13">
        <f t="shared" si="73"/>
        <v>2024</v>
      </c>
      <c r="D611" s="7" t="str">
        <f t="shared" si="74"/>
        <v>Nov</v>
      </c>
      <c r="E611" s="7" t="str">
        <f t="shared" si="75"/>
        <v>Sat</v>
      </c>
      <c r="F611" t="s">
        <v>664</v>
      </c>
      <c r="G611" t="s">
        <v>79</v>
      </c>
      <c r="H611" t="s">
        <v>11</v>
      </c>
      <c r="I611" s="2" t="str">
        <f t="shared" si="72"/>
        <v>South</v>
      </c>
      <c r="J611" t="s">
        <v>42</v>
      </c>
      <c r="K611" t="s">
        <v>13</v>
      </c>
      <c r="L611">
        <v>15</v>
      </c>
      <c r="M611">
        <v>120</v>
      </c>
      <c r="N611">
        <f t="shared" si="76"/>
        <v>1800</v>
      </c>
      <c r="O611">
        <f t="shared" si="77"/>
        <v>180</v>
      </c>
      <c r="P611" t="str">
        <f t="shared" si="78"/>
        <v>Large Order</v>
      </c>
      <c r="Q611" t="str">
        <f t="shared" si="79"/>
        <v>Weekend</v>
      </c>
    </row>
    <row r="612" spans="1:17" x14ac:dyDescent="0.35">
      <c r="A612" t="s">
        <v>762</v>
      </c>
      <c r="B612" s="7">
        <v>45516</v>
      </c>
      <c r="C612" s="13">
        <f t="shared" si="73"/>
        <v>2024</v>
      </c>
      <c r="D612" s="7" t="str">
        <f t="shared" si="74"/>
        <v>Aug</v>
      </c>
      <c r="E612" s="7" t="str">
        <f t="shared" si="75"/>
        <v>Mon</v>
      </c>
      <c r="F612" t="s">
        <v>114</v>
      </c>
      <c r="G612" t="s">
        <v>84</v>
      </c>
      <c r="H612" t="s">
        <v>11</v>
      </c>
      <c r="I612" s="2" t="str">
        <f t="shared" si="72"/>
        <v>Central</v>
      </c>
      <c r="J612" t="s">
        <v>56</v>
      </c>
      <c r="K612" t="s">
        <v>36</v>
      </c>
      <c r="L612">
        <v>19</v>
      </c>
      <c r="M612">
        <v>120</v>
      </c>
      <c r="N612">
        <f t="shared" si="76"/>
        <v>2280</v>
      </c>
      <c r="O612">
        <f t="shared" si="77"/>
        <v>228</v>
      </c>
      <c r="P612" t="str">
        <f t="shared" si="78"/>
        <v>Large Order</v>
      </c>
      <c r="Q612" t="str">
        <f t="shared" si="79"/>
        <v>Weekday</v>
      </c>
    </row>
    <row r="613" spans="1:17" x14ac:dyDescent="0.35">
      <c r="A613" t="s">
        <v>763</v>
      </c>
      <c r="B613" s="7">
        <v>45615</v>
      </c>
      <c r="C613" s="13">
        <f t="shared" si="73"/>
        <v>2024</v>
      </c>
      <c r="D613" s="7" t="str">
        <f t="shared" si="74"/>
        <v>Nov</v>
      </c>
      <c r="E613" s="7" t="str">
        <f t="shared" si="75"/>
        <v>Tue</v>
      </c>
      <c r="F613" t="s">
        <v>309</v>
      </c>
      <c r="G613" t="s">
        <v>16</v>
      </c>
      <c r="H613" t="s">
        <v>11</v>
      </c>
      <c r="I613" s="2" t="str">
        <f t="shared" si="72"/>
        <v>East</v>
      </c>
      <c r="J613" t="s">
        <v>306</v>
      </c>
      <c r="K613" t="s">
        <v>13</v>
      </c>
      <c r="L613">
        <v>7</v>
      </c>
      <c r="M613">
        <v>120</v>
      </c>
      <c r="N613">
        <f t="shared" si="76"/>
        <v>840</v>
      </c>
      <c r="O613">
        <f t="shared" si="77"/>
        <v>84</v>
      </c>
      <c r="P613" t="str">
        <f t="shared" si="78"/>
        <v>Large Order</v>
      </c>
      <c r="Q613" t="str">
        <f t="shared" si="79"/>
        <v>Weekday</v>
      </c>
    </row>
    <row r="614" spans="1:17" x14ac:dyDescent="0.35">
      <c r="A614" t="s">
        <v>764</v>
      </c>
      <c r="B614" s="7">
        <v>45583</v>
      </c>
      <c r="C614" s="13">
        <f t="shared" si="73"/>
        <v>2024</v>
      </c>
      <c r="D614" s="7" t="str">
        <f t="shared" si="74"/>
        <v>Oct</v>
      </c>
      <c r="E614" s="7" t="str">
        <f t="shared" si="75"/>
        <v>Fri</v>
      </c>
      <c r="F614" t="s">
        <v>20</v>
      </c>
      <c r="G614" t="s">
        <v>109</v>
      </c>
      <c r="H614" t="s">
        <v>22</v>
      </c>
      <c r="I614" s="2" t="str">
        <f t="shared" si="72"/>
        <v>Central</v>
      </c>
      <c r="J614" t="s">
        <v>42</v>
      </c>
      <c r="K614" t="s">
        <v>32</v>
      </c>
      <c r="L614">
        <v>18</v>
      </c>
      <c r="M614">
        <v>120</v>
      </c>
      <c r="N614">
        <f t="shared" si="76"/>
        <v>2160</v>
      </c>
      <c r="O614">
        <f t="shared" si="77"/>
        <v>216</v>
      </c>
      <c r="P614" t="str">
        <f t="shared" si="78"/>
        <v>Large Order</v>
      </c>
      <c r="Q614" t="str">
        <f t="shared" si="79"/>
        <v>Weekday</v>
      </c>
    </row>
    <row r="615" spans="1:17" x14ac:dyDescent="0.35">
      <c r="A615" t="s">
        <v>765</v>
      </c>
      <c r="B615" s="7">
        <v>45440</v>
      </c>
      <c r="C615" s="13">
        <f t="shared" si="73"/>
        <v>2024</v>
      </c>
      <c r="D615" s="7" t="str">
        <f t="shared" si="74"/>
        <v>May</v>
      </c>
      <c r="E615" s="7" t="str">
        <f t="shared" si="75"/>
        <v>Tue</v>
      </c>
      <c r="F615" t="s">
        <v>314</v>
      </c>
      <c r="G615" t="s">
        <v>41</v>
      </c>
      <c r="H615" t="s">
        <v>17</v>
      </c>
      <c r="I615" s="2" t="str">
        <f t="shared" si="72"/>
        <v>South</v>
      </c>
      <c r="J615" t="s">
        <v>306</v>
      </c>
      <c r="K615" t="s">
        <v>23</v>
      </c>
      <c r="L615">
        <v>4</v>
      </c>
      <c r="M615">
        <v>120</v>
      </c>
      <c r="N615">
        <f t="shared" si="76"/>
        <v>480</v>
      </c>
      <c r="O615">
        <f t="shared" si="77"/>
        <v>48</v>
      </c>
      <c r="P615" t="str">
        <f t="shared" si="78"/>
        <v>Standard Order</v>
      </c>
      <c r="Q615" t="str">
        <f t="shared" si="79"/>
        <v>Weekday</v>
      </c>
    </row>
    <row r="616" spans="1:17" x14ac:dyDescent="0.35">
      <c r="A616" t="s">
        <v>766</v>
      </c>
      <c r="B616" s="7">
        <v>45322</v>
      </c>
      <c r="C616" s="13">
        <f t="shared" si="73"/>
        <v>2024</v>
      </c>
      <c r="D616" s="7" t="str">
        <f t="shared" si="74"/>
        <v>Jan</v>
      </c>
      <c r="E616" s="7" t="str">
        <f t="shared" si="75"/>
        <v>Wed</v>
      </c>
      <c r="F616" t="s">
        <v>89</v>
      </c>
      <c r="G616" t="s">
        <v>62</v>
      </c>
      <c r="H616" t="s">
        <v>22</v>
      </c>
      <c r="I616" s="2" t="str">
        <f t="shared" si="72"/>
        <v>West</v>
      </c>
      <c r="J616" t="s">
        <v>56</v>
      </c>
      <c r="K616" t="s">
        <v>32</v>
      </c>
      <c r="L616">
        <v>5</v>
      </c>
      <c r="M616">
        <v>120</v>
      </c>
      <c r="N616">
        <f t="shared" si="76"/>
        <v>600</v>
      </c>
      <c r="O616">
        <f t="shared" si="77"/>
        <v>60</v>
      </c>
      <c r="P616" t="str">
        <f t="shared" si="78"/>
        <v>Large Order</v>
      </c>
      <c r="Q616" t="str">
        <f t="shared" si="79"/>
        <v>Weekday</v>
      </c>
    </row>
    <row r="617" spans="1:17" x14ac:dyDescent="0.35">
      <c r="A617" t="s">
        <v>767</v>
      </c>
      <c r="B617" s="7">
        <v>45418</v>
      </c>
      <c r="C617" s="13">
        <f t="shared" si="73"/>
        <v>2024</v>
      </c>
      <c r="D617" s="7" t="str">
        <f t="shared" si="74"/>
        <v>May</v>
      </c>
      <c r="E617" s="7" t="str">
        <f t="shared" si="75"/>
        <v>Mon</v>
      </c>
      <c r="F617" t="s">
        <v>332</v>
      </c>
      <c r="G617" t="s">
        <v>35</v>
      </c>
      <c r="H617" t="s">
        <v>22</v>
      </c>
      <c r="I617" s="2" t="str">
        <f t="shared" si="72"/>
        <v>West</v>
      </c>
      <c r="J617" t="s">
        <v>27</v>
      </c>
      <c r="K617" t="s">
        <v>32</v>
      </c>
      <c r="L617">
        <v>5</v>
      </c>
      <c r="M617">
        <v>120</v>
      </c>
      <c r="N617">
        <f t="shared" si="76"/>
        <v>600</v>
      </c>
      <c r="O617">
        <f t="shared" si="77"/>
        <v>60</v>
      </c>
      <c r="P617" t="str">
        <f t="shared" si="78"/>
        <v>Large Order</v>
      </c>
      <c r="Q617" t="str">
        <f t="shared" si="79"/>
        <v>Weekday</v>
      </c>
    </row>
    <row r="618" spans="1:17" x14ac:dyDescent="0.35">
      <c r="A618" t="s">
        <v>768</v>
      </c>
      <c r="B618" s="7">
        <v>45613</v>
      </c>
      <c r="C618" s="13">
        <f t="shared" si="73"/>
        <v>2024</v>
      </c>
      <c r="D618" s="7" t="str">
        <f t="shared" si="74"/>
        <v>Nov</v>
      </c>
      <c r="E618" s="7" t="str">
        <f t="shared" si="75"/>
        <v>Sun</v>
      </c>
      <c r="F618" t="s">
        <v>572</v>
      </c>
      <c r="G618" t="s">
        <v>10</v>
      </c>
      <c r="H618" t="s">
        <v>17</v>
      </c>
      <c r="I618" s="2" t="str">
        <f t="shared" si="72"/>
        <v>West</v>
      </c>
      <c r="J618" t="s">
        <v>27</v>
      </c>
      <c r="K618" t="s">
        <v>32</v>
      </c>
      <c r="L618">
        <v>3</v>
      </c>
      <c r="M618">
        <v>120</v>
      </c>
      <c r="N618">
        <f t="shared" si="76"/>
        <v>360</v>
      </c>
      <c r="O618">
        <f t="shared" si="77"/>
        <v>36</v>
      </c>
      <c r="P618" t="str">
        <f t="shared" si="78"/>
        <v>Standard Order</v>
      </c>
      <c r="Q618" t="str">
        <f t="shared" si="79"/>
        <v>Weekend</v>
      </c>
    </row>
    <row r="619" spans="1:17" x14ac:dyDescent="0.35">
      <c r="A619" t="s">
        <v>769</v>
      </c>
      <c r="B619" s="7">
        <v>45647</v>
      </c>
      <c r="C619" s="13">
        <f t="shared" si="73"/>
        <v>2024</v>
      </c>
      <c r="D619" s="7" t="str">
        <f t="shared" si="74"/>
        <v>Dec</v>
      </c>
      <c r="E619" s="7" t="str">
        <f t="shared" si="75"/>
        <v>Sat</v>
      </c>
      <c r="F619" t="s">
        <v>200</v>
      </c>
      <c r="G619" t="s">
        <v>72</v>
      </c>
      <c r="H619" t="s">
        <v>17</v>
      </c>
      <c r="I619" s="2" t="str">
        <f t="shared" si="72"/>
        <v>East</v>
      </c>
      <c r="J619" t="s">
        <v>27</v>
      </c>
      <c r="K619" t="s">
        <v>13</v>
      </c>
      <c r="L619">
        <v>19</v>
      </c>
      <c r="M619">
        <v>120</v>
      </c>
      <c r="N619">
        <f t="shared" si="76"/>
        <v>2280</v>
      </c>
      <c r="O619">
        <f t="shared" si="77"/>
        <v>228</v>
      </c>
      <c r="P619" t="str">
        <f t="shared" si="78"/>
        <v>Large Order</v>
      </c>
      <c r="Q619" t="str">
        <f t="shared" si="79"/>
        <v>Weekend</v>
      </c>
    </row>
    <row r="620" spans="1:17" x14ac:dyDescent="0.35">
      <c r="A620" t="s">
        <v>770</v>
      </c>
      <c r="B620" s="7">
        <v>45526</v>
      </c>
      <c r="C620" s="13">
        <f t="shared" si="73"/>
        <v>2024</v>
      </c>
      <c r="D620" s="7" t="str">
        <f t="shared" si="74"/>
        <v>Aug</v>
      </c>
      <c r="E620" s="7" t="str">
        <f t="shared" si="75"/>
        <v>Thu</v>
      </c>
      <c r="F620" t="s">
        <v>541</v>
      </c>
      <c r="G620" t="s">
        <v>10</v>
      </c>
      <c r="H620" t="s">
        <v>22</v>
      </c>
      <c r="I620" s="2" t="str">
        <f t="shared" si="72"/>
        <v>East</v>
      </c>
      <c r="J620" t="s">
        <v>42</v>
      </c>
      <c r="K620" t="s">
        <v>23</v>
      </c>
      <c r="L620">
        <v>18</v>
      </c>
      <c r="M620">
        <v>120</v>
      </c>
      <c r="N620">
        <f t="shared" si="76"/>
        <v>2160</v>
      </c>
      <c r="O620">
        <f t="shared" si="77"/>
        <v>216</v>
      </c>
      <c r="P620" t="str">
        <f t="shared" si="78"/>
        <v>Large Order</v>
      </c>
      <c r="Q620" t="str">
        <f t="shared" si="79"/>
        <v>Weekday</v>
      </c>
    </row>
    <row r="621" spans="1:17" x14ac:dyDescent="0.35">
      <c r="A621" t="s">
        <v>771</v>
      </c>
      <c r="B621" s="7">
        <v>45400</v>
      </c>
      <c r="C621" s="13">
        <f t="shared" si="73"/>
        <v>2024</v>
      </c>
      <c r="D621" s="7" t="str">
        <f t="shared" si="74"/>
        <v>Apr</v>
      </c>
      <c r="E621" s="7" t="str">
        <f t="shared" si="75"/>
        <v>Thu</v>
      </c>
      <c r="F621" t="s">
        <v>432</v>
      </c>
      <c r="G621" t="s">
        <v>74</v>
      </c>
      <c r="H621" t="s">
        <v>17</v>
      </c>
      <c r="I621" s="2" t="str">
        <f t="shared" si="72"/>
        <v>North</v>
      </c>
      <c r="J621" t="s">
        <v>42</v>
      </c>
      <c r="K621" t="s">
        <v>28</v>
      </c>
      <c r="L621">
        <v>11</v>
      </c>
      <c r="M621">
        <v>120</v>
      </c>
      <c r="N621">
        <f t="shared" si="76"/>
        <v>1320</v>
      </c>
      <c r="O621">
        <f t="shared" si="77"/>
        <v>132</v>
      </c>
      <c r="P621" t="str">
        <f t="shared" si="78"/>
        <v>Large Order</v>
      </c>
      <c r="Q621" t="str">
        <f t="shared" si="79"/>
        <v>Weekday</v>
      </c>
    </row>
    <row r="622" spans="1:17" x14ac:dyDescent="0.35">
      <c r="A622" t="s">
        <v>772</v>
      </c>
      <c r="B622" s="7">
        <v>45581</v>
      </c>
      <c r="C622" s="13">
        <f t="shared" si="73"/>
        <v>2024</v>
      </c>
      <c r="D622" s="7" t="str">
        <f t="shared" si="74"/>
        <v>Oct</v>
      </c>
      <c r="E622" s="7" t="str">
        <f t="shared" si="75"/>
        <v>Wed</v>
      </c>
      <c r="F622" t="s">
        <v>374</v>
      </c>
      <c r="G622" t="s">
        <v>79</v>
      </c>
      <c r="H622" t="s">
        <v>17</v>
      </c>
      <c r="I622" s="2" t="str">
        <f t="shared" si="72"/>
        <v>West</v>
      </c>
      <c r="J622" t="s">
        <v>12</v>
      </c>
      <c r="K622" t="s">
        <v>23</v>
      </c>
      <c r="L622">
        <v>4</v>
      </c>
      <c r="M622">
        <v>120</v>
      </c>
      <c r="N622">
        <f t="shared" si="76"/>
        <v>480</v>
      </c>
      <c r="O622">
        <f t="shared" si="77"/>
        <v>48</v>
      </c>
      <c r="P622" t="str">
        <f t="shared" si="78"/>
        <v>Standard Order</v>
      </c>
      <c r="Q622" t="str">
        <f t="shared" si="79"/>
        <v>Weekday</v>
      </c>
    </row>
    <row r="623" spans="1:17" x14ac:dyDescent="0.35">
      <c r="A623" t="s">
        <v>773</v>
      </c>
      <c r="B623" s="7">
        <v>45300</v>
      </c>
      <c r="C623" s="13">
        <f t="shared" si="73"/>
        <v>2024</v>
      </c>
      <c r="D623" s="7" t="str">
        <f t="shared" si="74"/>
        <v>Jan</v>
      </c>
      <c r="E623" s="7" t="str">
        <f t="shared" si="75"/>
        <v>Tue</v>
      </c>
      <c r="F623" t="s">
        <v>114</v>
      </c>
      <c r="G623" t="s">
        <v>70</v>
      </c>
      <c r="H623" t="s">
        <v>11</v>
      </c>
      <c r="I623" s="2" t="str">
        <f t="shared" si="72"/>
        <v>East</v>
      </c>
      <c r="J623" t="s">
        <v>27</v>
      </c>
      <c r="K623" t="s">
        <v>23</v>
      </c>
      <c r="L623">
        <v>1</v>
      </c>
      <c r="M623">
        <v>120</v>
      </c>
      <c r="N623">
        <f t="shared" si="76"/>
        <v>120</v>
      </c>
      <c r="O623">
        <f t="shared" si="77"/>
        <v>12</v>
      </c>
      <c r="P623" t="str">
        <f t="shared" si="78"/>
        <v>Standard Order</v>
      </c>
      <c r="Q623" t="str">
        <f t="shared" si="79"/>
        <v>Weekday</v>
      </c>
    </row>
    <row r="624" spans="1:17" x14ac:dyDescent="0.35">
      <c r="A624" t="s">
        <v>774</v>
      </c>
      <c r="B624" s="7">
        <v>45395</v>
      </c>
      <c r="C624" s="13">
        <f t="shared" si="73"/>
        <v>2024</v>
      </c>
      <c r="D624" s="7" t="str">
        <f t="shared" si="74"/>
        <v>Apr</v>
      </c>
      <c r="E624" s="7" t="str">
        <f t="shared" si="75"/>
        <v>Sat</v>
      </c>
      <c r="F624" t="s">
        <v>465</v>
      </c>
      <c r="G624" t="s">
        <v>45</v>
      </c>
      <c r="H624" t="s">
        <v>11</v>
      </c>
      <c r="I624" s="2" t="str">
        <f t="shared" si="72"/>
        <v>South</v>
      </c>
      <c r="J624" t="s">
        <v>42</v>
      </c>
      <c r="K624" t="s">
        <v>32</v>
      </c>
      <c r="L624">
        <v>9</v>
      </c>
      <c r="M624">
        <v>120</v>
      </c>
      <c r="N624">
        <f t="shared" si="76"/>
        <v>1080</v>
      </c>
      <c r="O624">
        <f t="shared" si="77"/>
        <v>108</v>
      </c>
      <c r="P624" t="str">
        <f t="shared" si="78"/>
        <v>Large Order</v>
      </c>
      <c r="Q624" t="str">
        <f t="shared" si="79"/>
        <v>Weekend</v>
      </c>
    </row>
    <row r="625" spans="1:17" x14ac:dyDescent="0.35">
      <c r="A625" t="s">
        <v>775</v>
      </c>
      <c r="B625" s="7">
        <v>45420</v>
      </c>
      <c r="C625" s="13">
        <f t="shared" si="73"/>
        <v>2024</v>
      </c>
      <c r="D625" s="7" t="str">
        <f t="shared" si="74"/>
        <v>May</v>
      </c>
      <c r="E625" s="7" t="str">
        <f t="shared" si="75"/>
        <v>Wed</v>
      </c>
      <c r="F625" t="s">
        <v>81</v>
      </c>
      <c r="G625" t="s">
        <v>79</v>
      </c>
      <c r="H625" t="s">
        <v>17</v>
      </c>
      <c r="I625" s="2" t="str">
        <f t="shared" si="72"/>
        <v>North</v>
      </c>
      <c r="J625" t="s">
        <v>56</v>
      </c>
      <c r="K625" t="s">
        <v>28</v>
      </c>
      <c r="L625">
        <v>13</v>
      </c>
      <c r="M625">
        <v>120</v>
      </c>
      <c r="N625">
        <f t="shared" si="76"/>
        <v>1560</v>
      </c>
      <c r="O625">
        <f t="shared" si="77"/>
        <v>156</v>
      </c>
      <c r="P625" t="str">
        <f t="shared" si="78"/>
        <v>Large Order</v>
      </c>
      <c r="Q625" t="str">
        <f t="shared" si="79"/>
        <v>Weekday</v>
      </c>
    </row>
    <row r="626" spans="1:17" x14ac:dyDescent="0.35">
      <c r="A626" t="s">
        <v>776</v>
      </c>
      <c r="B626" s="7">
        <v>45511</v>
      </c>
      <c r="C626" s="13">
        <f t="shared" si="73"/>
        <v>2024</v>
      </c>
      <c r="D626" s="7" t="str">
        <f t="shared" si="74"/>
        <v>Aug</v>
      </c>
      <c r="E626" s="7" t="str">
        <f t="shared" si="75"/>
        <v>Wed</v>
      </c>
      <c r="F626" t="s">
        <v>350</v>
      </c>
      <c r="G626" t="s">
        <v>96</v>
      </c>
      <c r="H626" t="s">
        <v>11</v>
      </c>
      <c r="I626" s="2" t="str">
        <f t="shared" si="72"/>
        <v>West</v>
      </c>
      <c r="J626" t="s">
        <v>12</v>
      </c>
      <c r="K626" t="s">
        <v>28</v>
      </c>
      <c r="L626">
        <v>7</v>
      </c>
      <c r="M626">
        <v>120</v>
      </c>
      <c r="N626">
        <f t="shared" si="76"/>
        <v>840</v>
      </c>
      <c r="O626">
        <f t="shared" si="77"/>
        <v>84</v>
      </c>
      <c r="P626" t="str">
        <f t="shared" si="78"/>
        <v>Large Order</v>
      </c>
      <c r="Q626" t="str">
        <f t="shared" si="79"/>
        <v>Weekday</v>
      </c>
    </row>
    <row r="627" spans="1:17" x14ac:dyDescent="0.35">
      <c r="A627" t="s">
        <v>777</v>
      </c>
      <c r="B627" s="7">
        <v>45595</v>
      </c>
      <c r="C627" s="13">
        <f t="shared" si="73"/>
        <v>2024</v>
      </c>
      <c r="D627" s="7" t="str">
        <f t="shared" si="74"/>
        <v>Oct</v>
      </c>
      <c r="E627" s="7" t="str">
        <f t="shared" si="75"/>
        <v>Wed</v>
      </c>
      <c r="F627" t="s">
        <v>240</v>
      </c>
      <c r="G627" t="s">
        <v>96</v>
      </c>
      <c r="H627" t="s">
        <v>22</v>
      </c>
      <c r="I627" s="2" t="str">
        <f t="shared" si="72"/>
        <v>West</v>
      </c>
      <c r="J627" t="s">
        <v>27</v>
      </c>
      <c r="K627" t="s">
        <v>13</v>
      </c>
      <c r="L627">
        <v>1</v>
      </c>
      <c r="M627">
        <v>120</v>
      </c>
      <c r="N627">
        <f t="shared" si="76"/>
        <v>120</v>
      </c>
      <c r="O627">
        <f t="shared" si="77"/>
        <v>12</v>
      </c>
      <c r="P627" t="str">
        <f t="shared" si="78"/>
        <v>Standard Order</v>
      </c>
      <c r="Q627" t="str">
        <f t="shared" si="79"/>
        <v>Weekday</v>
      </c>
    </row>
    <row r="628" spans="1:17" x14ac:dyDescent="0.35">
      <c r="A628" t="s">
        <v>778</v>
      </c>
      <c r="B628" s="7">
        <v>45508</v>
      </c>
      <c r="C628" s="13">
        <f t="shared" si="73"/>
        <v>2024</v>
      </c>
      <c r="D628" s="7" t="str">
        <f t="shared" si="74"/>
        <v>Aug</v>
      </c>
      <c r="E628" s="7" t="str">
        <f t="shared" si="75"/>
        <v>Sun</v>
      </c>
      <c r="F628" t="s">
        <v>465</v>
      </c>
      <c r="G628" t="s">
        <v>10</v>
      </c>
      <c r="H628" t="s">
        <v>11</v>
      </c>
      <c r="I628" s="2" t="str">
        <f t="shared" si="72"/>
        <v>East</v>
      </c>
      <c r="J628" t="s">
        <v>27</v>
      </c>
      <c r="K628" t="s">
        <v>13</v>
      </c>
      <c r="L628">
        <v>8</v>
      </c>
      <c r="M628">
        <v>120</v>
      </c>
      <c r="N628">
        <f t="shared" si="76"/>
        <v>960</v>
      </c>
      <c r="O628">
        <f t="shared" si="77"/>
        <v>96</v>
      </c>
      <c r="P628" t="str">
        <f t="shared" si="78"/>
        <v>Large Order</v>
      </c>
      <c r="Q628" t="str">
        <f t="shared" si="79"/>
        <v>Weekend</v>
      </c>
    </row>
    <row r="629" spans="1:17" x14ac:dyDescent="0.35">
      <c r="A629" t="s">
        <v>779</v>
      </c>
      <c r="B629" s="7">
        <v>45344</v>
      </c>
      <c r="C629" s="13">
        <f t="shared" si="73"/>
        <v>2024</v>
      </c>
      <c r="D629" s="7" t="str">
        <f t="shared" si="74"/>
        <v>Feb</v>
      </c>
      <c r="E629" s="7" t="str">
        <f t="shared" si="75"/>
        <v>Thu</v>
      </c>
      <c r="F629" t="s">
        <v>38</v>
      </c>
      <c r="G629" t="s">
        <v>16</v>
      </c>
      <c r="H629" t="s">
        <v>17</v>
      </c>
      <c r="I629" s="2" t="str">
        <f t="shared" si="72"/>
        <v>North</v>
      </c>
      <c r="J629" t="s">
        <v>42</v>
      </c>
      <c r="K629" t="s">
        <v>28</v>
      </c>
      <c r="L629">
        <v>13</v>
      </c>
      <c r="M629">
        <v>120</v>
      </c>
      <c r="N629">
        <f t="shared" si="76"/>
        <v>1560</v>
      </c>
      <c r="O629">
        <f t="shared" si="77"/>
        <v>156</v>
      </c>
      <c r="P629" t="str">
        <f t="shared" si="78"/>
        <v>Large Order</v>
      </c>
      <c r="Q629" t="str">
        <f t="shared" si="79"/>
        <v>Weekday</v>
      </c>
    </row>
    <row r="630" spans="1:17" x14ac:dyDescent="0.35">
      <c r="A630" t="s">
        <v>780</v>
      </c>
      <c r="B630" s="7">
        <v>45620</v>
      </c>
      <c r="C630" s="13">
        <f t="shared" si="73"/>
        <v>2024</v>
      </c>
      <c r="D630" s="7" t="str">
        <f t="shared" si="74"/>
        <v>Nov</v>
      </c>
      <c r="E630" s="7" t="str">
        <f t="shared" si="75"/>
        <v>Sun</v>
      </c>
      <c r="F630" t="s">
        <v>422</v>
      </c>
      <c r="G630" t="s">
        <v>160</v>
      </c>
      <c r="H630" t="s">
        <v>11</v>
      </c>
      <c r="I630" s="2" t="str">
        <f t="shared" si="72"/>
        <v>South</v>
      </c>
      <c r="J630" t="s">
        <v>12</v>
      </c>
      <c r="K630" t="s">
        <v>28</v>
      </c>
      <c r="L630">
        <v>19</v>
      </c>
      <c r="M630">
        <v>120</v>
      </c>
      <c r="N630">
        <f t="shared" si="76"/>
        <v>2280</v>
      </c>
      <c r="O630">
        <f t="shared" si="77"/>
        <v>228</v>
      </c>
      <c r="P630" t="str">
        <f t="shared" si="78"/>
        <v>Large Order</v>
      </c>
      <c r="Q630" t="str">
        <f t="shared" si="79"/>
        <v>Weekend</v>
      </c>
    </row>
    <row r="631" spans="1:17" x14ac:dyDescent="0.35">
      <c r="A631" t="s">
        <v>781</v>
      </c>
      <c r="B631" s="7">
        <v>45517</v>
      </c>
      <c r="C631" s="13">
        <f t="shared" si="73"/>
        <v>2024</v>
      </c>
      <c r="D631" s="7" t="str">
        <f t="shared" si="74"/>
        <v>Aug</v>
      </c>
      <c r="E631" s="7" t="str">
        <f t="shared" si="75"/>
        <v>Tue</v>
      </c>
      <c r="F631" t="s">
        <v>20</v>
      </c>
      <c r="G631" t="s">
        <v>21</v>
      </c>
      <c r="H631" t="s">
        <v>22</v>
      </c>
      <c r="I631" s="2" t="str">
        <f t="shared" si="72"/>
        <v>North</v>
      </c>
      <c r="J631" t="s">
        <v>56</v>
      </c>
      <c r="K631" t="s">
        <v>36</v>
      </c>
      <c r="L631">
        <v>5</v>
      </c>
      <c r="M631">
        <v>120</v>
      </c>
      <c r="N631">
        <f t="shared" si="76"/>
        <v>600</v>
      </c>
      <c r="O631">
        <f t="shared" si="77"/>
        <v>60</v>
      </c>
      <c r="P631" t="str">
        <f t="shared" si="78"/>
        <v>Large Order</v>
      </c>
      <c r="Q631" t="str">
        <f t="shared" si="79"/>
        <v>Weekday</v>
      </c>
    </row>
    <row r="632" spans="1:17" x14ac:dyDescent="0.35">
      <c r="A632" t="s">
        <v>782</v>
      </c>
      <c r="B632" s="7">
        <v>45643</v>
      </c>
      <c r="C632" s="13">
        <f t="shared" si="73"/>
        <v>2024</v>
      </c>
      <c r="D632" s="7" t="str">
        <f t="shared" si="74"/>
        <v>Dec</v>
      </c>
      <c r="E632" s="7" t="str">
        <f t="shared" si="75"/>
        <v>Tue</v>
      </c>
      <c r="F632" t="s">
        <v>396</v>
      </c>
      <c r="G632" t="s">
        <v>102</v>
      </c>
      <c r="H632" t="s">
        <v>11</v>
      </c>
      <c r="I632" s="2" t="str">
        <f t="shared" si="72"/>
        <v>East</v>
      </c>
      <c r="J632" t="s">
        <v>12</v>
      </c>
      <c r="K632" t="s">
        <v>36</v>
      </c>
      <c r="L632">
        <v>5</v>
      </c>
      <c r="M632">
        <v>120</v>
      </c>
      <c r="N632">
        <f t="shared" si="76"/>
        <v>600</v>
      </c>
      <c r="O632">
        <f t="shared" si="77"/>
        <v>60</v>
      </c>
      <c r="P632" t="str">
        <f t="shared" si="78"/>
        <v>Large Order</v>
      </c>
      <c r="Q632" t="str">
        <f t="shared" si="79"/>
        <v>Weekday</v>
      </c>
    </row>
    <row r="633" spans="1:17" x14ac:dyDescent="0.35">
      <c r="A633" t="s">
        <v>783</v>
      </c>
      <c r="B633" s="7">
        <v>45488</v>
      </c>
      <c r="C633" s="13">
        <f t="shared" si="73"/>
        <v>2024</v>
      </c>
      <c r="D633" s="7" t="str">
        <f t="shared" si="74"/>
        <v>Jul</v>
      </c>
      <c r="E633" s="7" t="str">
        <f t="shared" si="75"/>
        <v>Mon</v>
      </c>
      <c r="F633" t="s">
        <v>20</v>
      </c>
      <c r="G633" t="s">
        <v>16</v>
      </c>
      <c r="H633" t="s">
        <v>17</v>
      </c>
      <c r="I633" s="2" t="str">
        <f t="shared" si="72"/>
        <v>Central</v>
      </c>
      <c r="J633" t="s">
        <v>42</v>
      </c>
      <c r="K633" t="s">
        <v>13</v>
      </c>
      <c r="L633">
        <v>8</v>
      </c>
      <c r="M633">
        <v>120</v>
      </c>
      <c r="N633">
        <f t="shared" si="76"/>
        <v>960</v>
      </c>
      <c r="O633">
        <f t="shared" si="77"/>
        <v>96</v>
      </c>
      <c r="P633" t="str">
        <f t="shared" si="78"/>
        <v>Large Order</v>
      </c>
      <c r="Q633" t="str">
        <f t="shared" si="79"/>
        <v>Weekday</v>
      </c>
    </row>
    <row r="634" spans="1:17" x14ac:dyDescent="0.35">
      <c r="A634" t="s">
        <v>784</v>
      </c>
      <c r="B634" s="7">
        <v>45419</v>
      </c>
      <c r="C634" s="13">
        <f t="shared" si="73"/>
        <v>2024</v>
      </c>
      <c r="D634" s="7" t="str">
        <f t="shared" si="74"/>
        <v>May</v>
      </c>
      <c r="E634" s="7" t="str">
        <f t="shared" si="75"/>
        <v>Tue</v>
      </c>
      <c r="F634" t="s">
        <v>378</v>
      </c>
      <c r="G634" t="s">
        <v>84</v>
      </c>
      <c r="H634" t="s">
        <v>22</v>
      </c>
      <c r="I634" s="2" t="str">
        <f t="shared" si="72"/>
        <v>Central</v>
      </c>
      <c r="J634" t="s">
        <v>306</v>
      </c>
      <c r="K634" t="s">
        <v>13</v>
      </c>
      <c r="L634">
        <v>20</v>
      </c>
      <c r="M634">
        <v>120</v>
      </c>
      <c r="N634">
        <f t="shared" si="76"/>
        <v>2400</v>
      </c>
      <c r="O634">
        <f t="shared" si="77"/>
        <v>240</v>
      </c>
      <c r="P634" t="str">
        <f t="shared" si="78"/>
        <v>Large Order</v>
      </c>
      <c r="Q634" t="str">
        <f t="shared" si="79"/>
        <v>Weekday</v>
      </c>
    </row>
    <row r="635" spans="1:17" x14ac:dyDescent="0.35">
      <c r="A635" t="s">
        <v>785</v>
      </c>
      <c r="B635" s="7">
        <v>45629</v>
      </c>
      <c r="C635" s="13">
        <f t="shared" si="73"/>
        <v>2024</v>
      </c>
      <c r="D635" s="7" t="str">
        <f t="shared" si="74"/>
        <v>Dec</v>
      </c>
      <c r="E635" s="7" t="str">
        <f t="shared" si="75"/>
        <v>Tue</v>
      </c>
      <c r="F635" t="s">
        <v>68</v>
      </c>
      <c r="G635" t="s">
        <v>109</v>
      </c>
      <c r="H635" t="s">
        <v>11</v>
      </c>
      <c r="I635" s="2" t="str">
        <f t="shared" si="72"/>
        <v>South</v>
      </c>
      <c r="J635" t="s">
        <v>306</v>
      </c>
      <c r="K635" t="s">
        <v>23</v>
      </c>
      <c r="L635">
        <v>17</v>
      </c>
      <c r="M635">
        <v>120</v>
      </c>
      <c r="N635">
        <f t="shared" si="76"/>
        <v>2040</v>
      </c>
      <c r="O635">
        <f t="shared" si="77"/>
        <v>204</v>
      </c>
      <c r="P635" t="str">
        <f t="shared" si="78"/>
        <v>Large Order</v>
      </c>
      <c r="Q635" t="str">
        <f t="shared" si="79"/>
        <v>Weekday</v>
      </c>
    </row>
    <row r="636" spans="1:17" x14ac:dyDescent="0.35">
      <c r="A636" t="s">
        <v>786</v>
      </c>
      <c r="B636" s="7">
        <v>45443</v>
      </c>
      <c r="C636" s="13">
        <f t="shared" si="73"/>
        <v>2024</v>
      </c>
      <c r="D636" s="7" t="str">
        <f t="shared" si="74"/>
        <v>May</v>
      </c>
      <c r="E636" s="7" t="str">
        <f t="shared" si="75"/>
        <v>Fri</v>
      </c>
      <c r="F636" t="s">
        <v>736</v>
      </c>
      <c r="G636" t="s">
        <v>35</v>
      </c>
      <c r="H636" t="s">
        <v>11</v>
      </c>
      <c r="I636" s="2" t="str">
        <f t="shared" si="72"/>
        <v>Central</v>
      </c>
      <c r="J636" t="s">
        <v>56</v>
      </c>
      <c r="K636" t="s">
        <v>23</v>
      </c>
      <c r="L636">
        <v>13</v>
      </c>
      <c r="M636">
        <v>120</v>
      </c>
      <c r="N636">
        <f t="shared" si="76"/>
        <v>1560</v>
      </c>
      <c r="O636">
        <f t="shared" si="77"/>
        <v>156</v>
      </c>
      <c r="P636" t="str">
        <f t="shared" si="78"/>
        <v>Large Order</v>
      </c>
      <c r="Q636" t="str">
        <f t="shared" si="79"/>
        <v>Weekday</v>
      </c>
    </row>
    <row r="637" spans="1:17" x14ac:dyDescent="0.35">
      <c r="A637" t="s">
        <v>787</v>
      </c>
      <c r="B637" s="7">
        <v>45618</v>
      </c>
      <c r="C637" s="13">
        <f t="shared" si="73"/>
        <v>2024</v>
      </c>
      <c r="D637" s="7" t="str">
        <f t="shared" si="74"/>
        <v>Nov</v>
      </c>
      <c r="E637" s="7" t="str">
        <f t="shared" si="75"/>
        <v>Fri</v>
      </c>
      <c r="F637" t="s">
        <v>327</v>
      </c>
      <c r="G637" t="s">
        <v>96</v>
      </c>
      <c r="H637" t="s">
        <v>11</v>
      </c>
      <c r="I637" s="2" t="str">
        <f t="shared" si="72"/>
        <v>East</v>
      </c>
      <c r="J637" t="s">
        <v>306</v>
      </c>
      <c r="K637" t="s">
        <v>28</v>
      </c>
      <c r="L637">
        <v>12</v>
      </c>
      <c r="M637">
        <v>120</v>
      </c>
      <c r="N637">
        <f t="shared" si="76"/>
        <v>1440</v>
      </c>
      <c r="O637">
        <f t="shared" si="77"/>
        <v>144</v>
      </c>
      <c r="P637" t="str">
        <f t="shared" si="78"/>
        <v>Large Order</v>
      </c>
      <c r="Q637" t="str">
        <f t="shared" si="79"/>
        <v>Weekday</v>
      </c>
    </row>
    <row r="638" spans="1:17" x14ac:dyDescent="0.35">
      <c r="A638" t="s">
        <v>788</v>
      </c>
      <c r="B638" s="7">
        <v>45490</v>
      </c>
      <c r="C638" s="13">
        <f t="shared" si="73"/>
        <v>2024</v>
      </c>
      <c r="D638" s="7" t="str">
        <f t="shared" si="74"/>
        <v>Jul</v>
      </c>
      <c r="E638" s="7" t="str">
        <f t="shared" si="75"/>
        <v>Wed</v>
      </c>
      <c r="F638" t="s">
        <v>614</v>
      </c>
      <c r="G638" t="s">
        <v>174</v>
      </c>
      <c r="H638" t="s">
        <v>17</v>
      </c>
      <c r="I638" s="2" t="str">
        <f t="shared" si="72"/>
        <v>North</v>
      </c>
      <c r="J638" t="s">
        <v>42</v>
      </c>
      <c r="K638" t="s">
        <v>13</v>
      </c>
      <c r="L638">
        <v>6</v>
      </c>
      <c r="M638">
        <v>120</v>
      </c>
      <c r="N638">
        <f t="shared" si="76"/>
        <v>720</v>
      </c>
      <c r="O638">
        <f t="shared" si="77"/>
        <v>72</v>
      </c>
      <c r="P638" t="str">
        <f t="shared" si="78"/>
        <v>Large Order</v>
      </c>
      <c r="Q638" t="str">
        <f t="shared" si="79"/>
        <v>Weekday</v>
      </c>
    </row>
    <row r="639" spans="1:17" x14ac:dyDescent="0.35">
      <c r="A639" t="s">
        <v>789</v>
      </c>
      <c r="B639" s="7">
        <v>45300</v>
      </c>
      <c r="C639" s="13">
        <f t="shared" si="73"/>
        <v>2024</v>
      </c>
      <c r="D639" s="7" t="str">
        <f t="shared" si="74"/>
        <v>Jan</v>
      </c>
      <c r="E639" s="7" t="str">
        <f t="shared" si="75"/>
        <v>Tue</v>
      </c>
      <c r="F639" t="s">
        <v>449</v>
      </c>
      <c r="G639" t="s">
        <v>26</v>
      </c>
      <c r="H639" t="s">
        <v>11</v>
      </c>
      <c r="I639" s="2" t="str">
        <f t="shared" si="72"/>
        <v>Central</v>
      </c>
      <c r="J639" t="s">
        <v>12</v>
      </c>
      <c r="K639" t="s">
        <v>13</v>
      </c>
      <c r="L639">
        <v>7</v>
      </c>
      <c r="M639">
        <v>120</v>
      </c>
      <c r="N639">
        <f t="shared" si="76"/>
        <v>840</v>
      </c>
      <c r="O639">
        <f t="shared" si="77"/>
        <v>84</v>
      </c>
      <c r="P639" t="str">
        <f t="shared" si="78"/>
        <v>Large Order</v>
      </c>
      <c r="Q639" t="str">
        <f t="shared" si="79"/>
        <v>Weekday</v>
      </c>
    </row>
    <row r="640" spans="1:17" x14ac:dyDescent="0.35">
      <c r="A640" t="s">
        <v>790</v>
      </c>
      <c r="B640" s="7">
        <v>45495</v>
      </c>
      <c r="C640" s="13">
        <f t="shared" si="73"/>
        <v>2024</v>
      </c>
      <c r="D640" s="7" t="str">
        <f t="shared" si="74"/>
        <v>Jul</v>
      </c>
      <c r="E640" s="7" t="str">
        <f t="shared" si="75"/>
        <v>Mon</v>
      </c>
      <c r="F640" t="s">
        <v>358</v>
      </c>
      <c r="G640" t="s">
        <v>119</v>
      </c>
      <c r="H640" t="s">
        <v>17</v>
      </c>
      <c r="I640" s="2" t="str">
        <f t="shared" si="72"/>
        <v>Central</v>
      </c>
      <c r="J640" t="s">
        <v>306</v>
      </c>
      <c r="K640" t="s">
        <v>23</v>
      </c>
      <c r="L640">
        <v>14</v>
      </c>
      <c r="M640">
        <v>120</v>
      </c>
      <c r="N640">
        <f t="shared" si="76"/>
        <v>1680</v>
      </c>
      <c r="O640">
        <f t="shared" si="77"/>
        <v>168</v>
      </c>
      <c r="P640" t="str">
        <f t="shared" si="78"/>
        <v>Large Order</v>
      </c>
      <c r="Q640" t="str">
        <f t="shared" si="79"/>
        <v>Weekday</v>
      </c>
    </row>
    <row r="641" spans="1:17" x14ac:dyDescent="0.35">
      <c r="A641" t="s">
        <v>791</v>
      </c>
      <c r="B641" s="7">
        <v>45334</v>
      </c>
      <c r="C641" s="13">
        <f t="shared" si="73"/>
        <v>2024</v>
      </c>
      <c r="D641" s="7" t="str">
        <f t="shared" si="74"/>
        <v>Feb</v>
      </c>
      <c r="E641" s="7" t="str">
        <f t="shared" si="75"/>
        <v>Mon</v>
      </c>
      <c r="F641" t="s">
        <v>541</v>
      </c>
      <c r="G641" t="s">
        <v>109</v>
      </c>
      <c r="H641" t="s">
        <v>22</v>
      </c>
      <c r="I641" s="2" t="str">
        <f t="shared" si="72"/>
        <v>South</v>
      </c>
      <c r="J641" t="s">
        <v>306</v>
      </c>
      <c r="K641" t="s">
        <v>32</v>
      </c>
      <c r="L641">
        <v>5</v>
      </c>
      <c r="M641">
        <v>120</v>
      </c>
      <c r="N641">
        <f t="shared" si="76"/>
        <v>600</v>
      </c>
      <c r="O641">
        <f t="shared" si="77"/>
        <v>60</v>
      </c>
      <c r="P641" t="str">
        <f t="shared" si="78"/>
        <v>Large Order</v>
      </c>
      <c r="Q641" t="str">
        <f t="shared" si="79"/>
        <v>Weekday</v>
      </c>
    </row>
    <row r="642" spans="1:17" x14ac:dyDescent="0.35">
      <c r="A642" t="s">
        <v>792</v>
      </c>
      <c r="B642" s="7">
        <v>45332</v>
      </c>
      <c r="C642" s="13">
        <f t="shared" si="73"/>
        <v>2024</v>
      </c>
      <c r="D642" s="7" t="str">
        <f t="shared" si="74"/>
        <v>Feb</v>
      </c>
      <c r="E642" s="7" t="str">
        <f t="shared" si="75"/>
        <v>Sat</v>
      </c>
      <c r="F642" t="s">
        <v>345</v>
      </c>
      <c r="G642" t="s">
        <v>174</v>
      </c>
      <c r="H642" t="s">
        <v>11</v>
      </c>
      <c r="I642" s="2" t="str">
        <f t="shared" si="72"/>
        <v>South</v>
      </c>
      <c r="J642" t="s">
        <v>56</v>
      </c>
      <c r="K642" t="s">
        <v>13</v>
      </c>
      <c r="L642">
        <v>11</v>
      </c>
      <c r="M642">
        <v>120</v>
      </c>
      <c r="N642">
        <f t="shared" si="76"/>
        <v>1320</v>
      </c>
      <c r="O642">
        <f t="shared" si="77"/>
        <v>132</v>
      </c>
      <c r="P642" t="str">
        <f t="shared" si="78"/>
        <v>Large Order</v>
      </c>
      <c r="Q642" t="str">
        <f t="shared" si="79"/>
        <v>Weekend</v>
      </c>
    </row>
    <row r="643" spans="1:17" x14ac:dyDescent="0.35">
      <c r="A643" t="s">
        <v>793</v>
      </c>
      <c r="B643" s="7">
        <v>45450</v>
      </c>
      <c r="C643" s="13">
        <f t="shared" si="73"/>
        <v>2024</v>
      </c>
      <c r="D643" s="7" t="str">
        <f t="shared" si="74"/>
        <v>Jun</v>
      </c>
      <c r="E643" s="7" t="str">
        <f t="shared" si="75"/>
        <v>Fri</v>
      </c>
      <c r="F643" t="s">
        <v>424</v>
      </c>
      <c r="G643" t="s">
        <v>79</v>
      </c>
      <c r="H643" t="s">
        <v>17</v>
      </c>
      <c r="I643" s="2" t="str">
        <f t="shared" ref="I643:I706" si="80">TRIM(J644)</f>
        <v>Central</v>
      </c>
      <c r="J643" t="s">
        <v>56</v>
      </c>
      <c r="K643" t="s">
        <v>23</v>
      </c>
      <c r="L643">
        <v>8</v>
      </c>
      <c r="M643">
        <v>120</v>
      </c>
      <c r="N643">
        <f t="shared" si="76"/>
        <v>960</v>
      </c>
      <c r="O643">
        <f t="shared" si="77"/>
        <v>96</v>
      </c>
      <c r="P643" t="str">
        <f t="shared" si="78"/>
        <v>Large Order</v>
      </c>
      <c r="Q643" t="str">
        <f t="shared" si="79"/>
        <v>Weekday</v>
      </c>
    </row>
    <row r="644" spans="1:17" x14ac:dyDescent="0.35">
      <c r="A644" t="s">
        <v>794</v>
      </c>
      <c r="B644" s="7">
        <v>45351</v>
      </c>
      <c r="C644" s="13">
        <f t="shared" ref="C644:C707" si="81">YEAR(B644)</f>
        <v>2024</v>
      </c>
      <c r="D644" s="7" t="str">
        <f t="shared" ref="D644:D707" si="82">TEXT(B644,"mmm")</f>
        <v>Feb</v>
      </c>
      <c r="E644" s="7" t="str">
        <f t="shared" ref="E644:E707" si="83">TEXT(B644,"ddd")</f>
        <v>Thu</v>
      </c>
      <c r="F644" t="s">
        <v>366</v>
      </c>
      <c r="G644" t="s">
        <v>79</v>
      </c>
      <c r="H644" t="s">
        <v>22</v>
      </c>
      <c r="I644" s="2" t="str">
        <f t="shared" si="80"/>
        <v>South</v>
      </c>
      <c r="J644" t="s">
        <v>306</v>
      </c>
      <c r="K644" t="s">
        <v>28</v>
      </c>
      <c r="L644">
        <v>10</v>
      </c>
      <c r="M644">
        <v>120</v>
      </c>
      <c r="N644">
        <f t="shared" ref="N644:N707" si="84">M644*L644</f>
        <v>1200</v>
      </c>
      <c r="O644">
        <f t="shared" ref="O644:O707" si="85">N644*0.1</f>
        <v>120</v>
      </c>
      <c r="P644" t="str">
        <f t="shared" ref="P644:P707" si="86">IF(N644&gt;500,"Large Order","Standard Order")</f>
        <v>Large Order</v>
      </c>
      <c r="Q644" t="str">
        <f t="shared" ref="Q644:Q707" si="87">IF(OR(TRIM(E644)="Sat",TRIM(E644)="Sun"),"Weekend","Weekday")</f>
        <v>Weekday</v>
      </c>
    </row>
    <row r="645" spans="1:17" x14ac:dyDescent="0.35">
      <c r="A645" t="s">
        <v>795</v>
      </c>
      <c r="B645" s="7">
        <v>45353</v>
      </c>
      <c r="C645" s="13">
        <f t="shared" si="81"/>
        <v>2024</v>
      </c>
      <c r="D645" s="7" t="str">
        <f t="shared" si="82"/>
        <v>Mar</v>
      </c>
      <c r="E645" s="7" t="str">
        <f t="shared" si="83"/>
        <v>Sat</v>
      </c>
      <c r="F645" t="s">
        <v>142</v>
      </c>
      <c r="G645" t="s">
        <v>62</v>
      </c>
      <c r="H645" t="s">
        <v>22</v>
      </c>
      <c r="I645" s="2" t="str">
        <f t="shared" si="80"/>
        <v>East</v>
      </c>
      <c r="J645" t="s">
        <v>56</v>
      </c>
      <c r="K645" t="s">
        <v>32</v>
      </c>
      <c r="L645">
        <v>1</v>
      </c>
      <c r="M645">
        <v>120</v>
      </c>
      <c r="N645">
        <f t="shared" si="84"/>
        <v>120</v>
      </c>
      <c r="O645">
        <f t="shared" si="85"/>
        <v>12</v>
      </c>
      <c r="P645" t="str">
        <f t="shared" si="86"/>
        <v>Standard Order</v>
      </c>
      <c r="Q645" t="str">
        <f t="shared" si="87"/>
        <v>Weekend</v>
      </c>
    </row>
    <row r="646" spans="1:17" x14ac:dyDescent="0.35">
      <c r="A646" t="s">
        <v>796</v>
      </c>
      <c r="B646" s="7">
        <v>45559</v>
      </c>
      <c r="C646" s="13">
        <f t="shared" si="81"/>
        <v>2024</v>
      </c>
      <c r="D646" s="7" t="str">
        <f t="shared" si="82"/>
        <v>Sep</v>
      </c>
      <c r="E646" s="7" t="str">
        <f t="shared" si="83"/>
        <v>Tue</v>
      </c>
      <c r="F646" t="s">
        <v>363</v>
      </c>
      <c r="G646" t="s">
        <v>45</v>
      </c>
      <c r="H646" t="s">
        <v>22</v>
      </c>
      <c r="I646" s="2" t="str">
        <f t="shared" si="80"/>
        <v>East</v>
      </c>
      <c r="J646" t="s">
        <v>42</v>
      </c>
      <c r="K646" t="s">
        <v>32</v>
      </c>
      <c r="L646">
        <v>12</v>
      </c>
      <c r="M646">
        <v>120</v>
      </c>
      <c r="N646">
        <f t="shared" si="84"/>
        <v>1440</v>
      </c>
      <c r="O646">
        <f t="shared" si="85"/>
        <v>144</v>
      </c>
      <c r="P646" t="str">
        <f t="shared" si="86"/>
        <v>Large Order</v>
      </c>
      <c r="Q646" t="str">
        <f t="shared" si="87"/>
        <v>Weekday</v>
      </c>
    </row>
    <row r="647" spans="1:17" x14ac:dyDescent="0.35">
      <c r="A647" t="s">
        <v>797</v>
      </c>
      <c r="B647" s="7">
        <v>45352</v>
      </c>
      <c r="C647" s="13">
        <f t="shared" si="81"/>
        <v>2024</v>
      </c>
      <c r="D647" s="7" t="str">
        <f t="shared" si="82"/>
        <v>Mar</v>
      </c>
      <c r="E647" s="7" t="str">
        <f t="shared" si="83"/>
        <v>Fri</v>
      </c>
      <c r="F647" t="s">
        <v>337</v>
      </c>
      <c r="G647" t="s">
        <v>87</v>
      </c>
      <c r="H647" t="s">
        <v>11</v>
      </c>
      <c r="I647" s="2" t="str">
        <f t="shared" si="80"/>
        <v>North</v>
      </c>
      <c r="J647" t="s">
        <v>42</v>
      </c>
      <c r="K647" t="s">
        <v>32</v>
      </c>
      <c r="L647">
        <v>9</v>
      </c>
      <c r="M647">
        <v>120</v>
      </c>
      <c r="N647">
        <f t="shared" si="84"/>
        <v>1080</v>
      </c>
      <c r="O647">
        <f t="shared" si="85"/>
        <v>108</v>
      </c>
      <c r="P647" t="str">
        <f t="shared" si="86"/>
        <v>Large Order</v>
      </c>
      <c r="Q647" t="str">
        <f t="shared" si="87"/>
        <v>Weekday</v>
      </c>
    </row>
    <row r="648" spans="1:17" x14ac:dyDescent="0.35">
      <c r="A648" t="s">
        <v>798</v>
      </c>
      <c r="B648" s="7">
        <v>45656</v>
      </c>
      <c r="C648" s="13">
        <f t="shared" si="81"/>
        <v>2024</v>
      </c>
      <c r="D648" s="7" t="str">
        <f t="shared" si="82"/>
        <v>Dec</v>
      </c>
      <c r="E648" s="7" t="str">
        <f t="shared" si="83"/>
        <v>Mon</v>
      </c>
      <c r="F648" t="s">
        <v>314</v>
      </c>
      <c r="G648" t="s">
        <v>35</v>
      </c>
      <c r="H648" t="s">
        <v>22</v>
      </c>
      <c r="I648" s="2" t="str">
        <f t="shared" si="80"/>
        <v>East</v>
      </c>
      <c r="J648" t="s">
        <v>12</v>
      </c>
      <c r="K648" t="s">
        <v>13</v>
      </c>
      <c r="L648">
        <v>15</v>
      </c>
      <c r="M648">
        <v>120</v>
      </c>
      <c r="N648">
        <f t="shared" si="84"/>
        <v>1800</v>
      </c>
      <c r="O648">
        <f t="shared" si="85"/>
        <v>180</v>
      </c>
      <c r="P648" t="str">
        <f t="shared" si="86"/>
        <v>Large Order</v>
      </c>
      <c r="Q648" t="str">
        <f t="shared" si="87"/>
        <v>Weekday</v>
      </c>
    </row>
    <row r="649" spans="1:17" x14ac:dyDescent="0.35">
      <c r="A649" t="s">
        <v>799</v>
      </c>
      <c r="B649" s="7">
        <v>45547</v>
      </c>
      <c r="C649" s="13">
        <f t="shared" si="81"/>
        <v>2024</v>
      </c>
      <c r="D649" s="7" t="str">
        <f t="shared" si="82"/>
        <v>Sep</v>
      </c>
      <c r="E649" s="7" t="str">
        <f t="shared" si="83"/>
        <v>Thu</v>
      </c>
      <c r="F649" t="s">
        <v>614</v>
      </c>
      <c r="G649" t="s">
        <v>45</v>
      </c>
      <c r="H649" t="s">
        <v>11</v>
      </c>
      <c r="I649" s="2" t="str">
        <f t="shared" si="80"/>
        <v>South</v>
      </c>
      <c r="J649" t="s">
        <v>42</v>
      </c>
      <c r="K649" t="s">
        <v>36</v>
      </c>
      <c r="L649">
        <v>9</v>
      </c>
      <c r="M649">
        <v>120</v>
      </c>
      <c r="N649">
        <f t="shared" si="84"/>
        <v>1080</v>
      </c>
      <c r="O649">
        <f t="shared" si="85"/>
        <v>108</v>
      </c>
      <c r="P649" t="str">
        <f t="shared" si="86"/>
        <v>Large Order</v>
      </c>
      <c r="Q649" t="str">
        <f t="shared" si="87"/>
        <v>Weekday</v>
      </c>
    </row>
    <row r="650" spans="1:17" x14ac:dyDescent="0.35">
      <c r="A650" t="s">
        <v>800</v>
      </c>
      <c r="B650" s="7">
        <v>45637</v>
      </c>
      <c r="C650" s="13">
        <f t="shared" si="81"/>
        <v>2024</v>
      </c>
      <c r="D650" s="7" t="str">
        <f t="shared" si="82"/>
        <v>Dec</v>
      </c>
      <c r="E650" s="7" t="str">
        <f t="shared" si="83"/>
        <v>Wed</v>
      </c>
      <c r="F650" t="s">
        <v>329</v>
      </c>
      <c r="G650" t="s">
        <v>84</v>
      </c>
      <c r="H650" t="s">
        <v>11</v>
      </c>
      <c r="I650" s="2" t="str">
        <f t="shared" si="80"/>
        <v>East</v>
      </c>
      <c r="J650" t="s">
        <v>56</v>
      </c>
      <c r="K650" t="s">
        <v>13</v>
      </c>
      <c r="L650">
        <v>17</v>
      </c>
      <c r="M650">
        <v>120</v>
      </c>
      <c r="N650">
        <f t="shared" si="84"/>
        <v>2040</v>
      </c>
      <c r="O650">
        <f t="shared" si="85"/>
        <v>204</v>
      </c>
      <c r="P650" t="str">
        <f t="shared" si="86"/>
        <v>Large Order</v>
      </c>
      <c r="Q650" t="str">
        <f t="shared" si="87"/>
        <v>Weekday</v>
      </c>
    </row>
    <row r="651" spans="1:17" x14ac:dyDescent="0.35">
      <c r="A651" t="s">
        <v>801</v>
      </c>
      <c r="B651" s="7">
        <v>45417</v>
      </c>
      <c r="C651" s="13">
        <f t="shared" si="81"/>
        <v>2024</v>
      </c>
      <c r="D651" s="7" t="str">
        <f t="shared" si="82"/>
        <v>May</v>
      </c>
      <c r="E651" s="7" t="str">
        <f t="shared" si="83"/>
        <v>Sun</v>
      </c>
      <c r="F651" t="s">
        <v>116</v>
      </c>
      <c r="G651" t="s">
        <v>31</v>
      </c>
      <c r="H651" t="s">
        <v>17</v>
      </c>
      <c r="I651" s="2" t="str">
        <f t="shared" si="80"/>
        <v>West</v>
      </c>
      <c r="J651" t="s">
        <v>42</v>
      </c>
      <c r="K651" t="s">
        <v>13</v>
      </c>
      <c r="L651">
        <v>5</v>
      </c>
      <c r="M651">
        <v>120</v>
      </c>
      <c r="N651">
        <f t="shared" si="84"/>
        <v>600</v>
      </c>
      <c r="O651">
        <f t="shared" si="85"/>
        <v>60</v>
      </c>
      <c r="P651" t="str">
        <f t="shared" si="86"/>
        <v>Large Order</v>
      </c>
      <c r="Q651" t="str">
        <f t="shared" si="87"/>
        <v>Weekend</v>
      </c>
    </row>
    <row r="652" spans="1:17" x14ac:dyDescent="0.35">
      <c r="A652" t="s">
        <v>802</v>
      </c>
      <c r="B652" s="7">
        <v>45575</v>
      </c>
      <c r="C652" s="13">
        <f t="shared" si="81"/>
        <v>2024</v>
      </c>
      <c r="D652" s="7" t="str">
        <f t="shared" si="82"/>
        <v>Oct</v>
      </c>
      <c r="E652" s="7" t="str">
        <f t="shared" si="83"/>
        <v>Thu</v>
      </c>
      <c r="F652" t="s">
        <v>436</v>
      </c>
      <c r="G652" t="s">
        <v>197</v>
      </c>
      <c r="H652" t="s">
        <v>22</v>
      </c>
      <c r="I652" s="2" t="str">
        <f t="shared" si="80"/>
        <v>East</v>
      </c>
      <c r="J652" t="s">
        <v>27</v>
      </c>
      <c r="K652" t="s">
        <v>32</v>
      </c>
      <c r="L652">
        <v>11</v>
      </c>
      <c r="M652">
        <v>120</v>
      </c>
      <c r="N652">
        <f t="shared" si="84"/>
        <v>1320</v>
      </c>
      <c r="O652">
        <f t="shared" si="85"/>
        <v>132</v>
      </c>
      <c r="P652" t="str">
        <f t="shared" si="86"/>
        <v>Large Order</v>
      </c>
      <c r="Q652" t="str">
        <f t="shared" si="87"/>
        <v>Weekday</v>
      </c>
    </row>
    <row r="653" spans="1:17" x14ac:dyDescent="0.35">
      <c r="A653" t="s">
        <v>803</v>
      </c>
      <c r="B653" s="7">
        <v>45430</v>
      </c>
      <c r="C653" s="13">
        <f t="shared" si="81"/>
        <v>2024</v>
      </c>
      <c r="D653" s="7" t="str">
        <f t="shared" si="82"/>
        <v>May</v>
      </c>
      <c r="E653" s="7" t="str">
        <f t="shared" si="83"/>
        <v>Sat</v>
      </c>
      <c r="F653" t="s">
        <v>208</v>
      </c>
      <c r="G653" t="s">
        <v>102</v>
      </c>
      <c r="H653" t="s">
        <v>22</v>
      </c>
      <c r="I653" s="2" t="str">
        <f t="shared" si="80"/>
        <v>North</v>
      </c>
      <c r="J653" t="s">
        <v>42</v>
      </c>
      <c r="K653" t="s">
        <v>13</v>
      </c>
      <c r="L653">
        <v>17</v>
      </c>
      <c r="M653">
        <v>120</v>
      </c>
      <c r="N653">
        <f t="shared" si="84"/>
        <v>2040</v>
      </c>
      <c r="O653">
        <f t="shared" si="85"/>
        <v>204</v>
      </c>
      <c r="P653" t="str">
        <f t="shared" si="86"/>
        <v>Large Order</v>
      </c>
      <c r="Q653" t="str">
        <f t="shared" si="87"/>
        <v>Weekend</v>
      </c>
    </row>
    <row r="654" spans="1:17" x14ac:dyDescent="0.35">
      <c r="A654" t="s">
        <v>804</v>
      </c>
      <c r="B654" s="7">
        <v>45383</v>
      </c>
      <c r="C654" s="13">
        <f t="shared" si="81"/>
        <v>2024</v>
      </c>
      <c r="D654" s="7" t="str">
        <f t="shared" si="82"/>
        <v>Apr</v>
      </c>
      <c r="E654" s="7" t="str">
        <f t="shared" si="83"/>
        <v>Mon</v>
      </c>
      <c r="F654" t="s">
        <v>240</v>
      </c>
      <c r="G654" t="s">
        <v>31</v>
      </c>
      <c r="H654" t="s">
        <v>22</v>
      </c>
      <c r="I654" s="2" t="str">
        <f t="shared" si="80"/>
        <v>Central</v>
      </c>
      <c r="J654" t="s">
        <v>12</v>
      </c>
      <c r="K654" t="s">
        <v>32</v>
      </c>
      <c r="L654">
        <v>3</v>
      </c>
      <c r="M654">
        <v>120</v>
      </c>
      <c r="N654">
        <f t="shared" si="84"/>
        <v>360</v>
      </c>
      <c r="O654">
        <f t="shared" si="85"/>
        <v>36</v>
      </c>
      <c r="P654" t="str">
        <f t="shared" si="86"/>
        <v>Standard Order</v>
      </c>
      <c r="Q654" t="str">
        <f t="shared" si="87"/>
        <v>Weekday</v>
      </c>
    </row>
    <row r="655" spans="1:17" x14ac:dyDescent="0.35">
      <c r="A655" t="s">
        <v>805</v>
      </c>
      <c r="B655" s="7">
        <v>45451</v>
      </c>
      <c r="C655" s="13">
        <f t="shared" si="81"/>
        <v>2024</v>
      </c>
      <c r="D655" s="7" t="str">
        <f t="shared" si="82"/>
        <v>Jun</v>
      </c>
      <c r="E655" s="7" t="str">
        <f t="shared" si="83"/>
        <v>Sat</v>
      </c>
      <c r="F655" t="s">
        <v>187</v>
      </c>
      <c r="G655" t="s">
        <v>70</v>
      </c>
      <c r="H655" t="s">
        <v>11</v>
      </c>
      <c r="I655" s="2" t="str">
        <f t="shared" si="80"/>
        <v>Central</v>
      </c>
      <c r="J655" t="s">
        <v>306</v>
      </c>
      <c r="K655" t="s">
        <v>32</v>
      </c>
      <c r="L655">
        <v>1</v>
      </c>
      <c r="M655">
        <v>120</v>
      </c>
      <c r="N655">
        <f t="shared" si="84"/>
        <v>120</v>
      </c>
      <c r="O655">
        <f t="shared" si="85"/>
        <v>12</v>
      </c>
      <c r="P655" t="str">
        <f t="shared" si="86"/>
        <v>Standard Order</v>
      </c>
      <c r="Q655" t="str">
        <f t="shared" si="87"/>
        <v>Weekend</v>
      </c>
    </row>
    <row r="656" spans="1:17" x14ac:dyDescent="0.35">
      <c r="A656" t="s">
        <v>806</v>
      </c>
      <c r="B656" s="7">
        <v>45580</v>
      </c>
      <c r="C656" s="13">
        <f t="shared" si="81"/>
        <v>2024</v>
      </c>
      <c r="D656" s="7" t="str">
        <f t="shared" si="82"/>
        <v>Oct</v>
      </c>
      <c r="E656" s="7" t="str">
        <f t="shared" si="83"/>
        <v>Tue</v>
      </c>
      <c r="F656" t="s">
        <v>728</v>
      </c>
      <c r="G656" t="s">
        <v>197</v>
      </c>
      <c r="H656" t="s">
        <v>17</v>
      </c>
      <c r="I656" s="2" t="str">
        <f t="shared" si="80"/>
        <v>South</v>
      </c>
      <c r="J656" t="s">
        <v>306</v>
      </c>
      <c r="K656" t="s">
        <v>23</v>
      </c>
      <c r="L656">
        <v>15</v>
      </c>
      <c r="M656">
        <v>120</v>
      </c>
      <c r="N656">
        <f t="shared" si="84"/>
        <v>1800</v>
      </c>
      <c r="O656">
        <f t="shared" si="85"/>
        <v>180</v>
      </c>
      <c r="P656" t="str">
        <f t="shared" si="86"/>
        <v>Large Order</v>
      </c>
      <c r="Q656" t="str">
        <f t="shared" si="87"/>
        <v>Weekday</v>
      </c>
    </row>
    <row r="657" spans="1:17" x14ac:dyDescent="0.35">
      <c r="A657" t="s">
        <v>807</v>
      </c>
      <c r="B657" s="7">
        <v>45392</v>
      </c>
      <c r="C657" s="13">
        <f t="shared" si="81"/>
        <v>2024</v>
      </c>
      <c r="D657" s="7" t="str">
        <f t="shared" si="82"/>
        <v>Apr</v>
      </c>
      <c r="E657" s="7" t="str">
        <f t="shared" si="83"/>
        <v>Wed</v>
      </c>
      <c r="F657" t="s">
        <v>388</v>
      </c>
      <c r="G657" t="s">
        <v>16</v>
      </c>
      <c r="H657" t="s">
        <v>22</v>
      </c>
      <c r="I657" s="2" t="str">
        <f t="shared" si="80"/>
        <v>North</v>
      </c>
      <c r="J657" t="s">
        <v>56</v>
      </c>
      <c r="K657" t="s">
        <v>13</v>
      </c>
      <c r="L657">
        <v>1</v>
      </c>
      <c r="M657">
        <v>120</v>
      </c>
      <c r="N657">
        <f t="shared" si="84"/>
        <v>120</v>
      </c>
      <c r="O657">
        <f t="shared" si="85"/>
        <v>12</v>
      </c>
      <c r="P657" t="str">
        <f t="shared" si="86"/>
        <v>Standard Order</v>
      </c>
      <c r="Q657" t="str">
        <f t="shared" si="87"/>
        <v>Weekday</v>
      </c>
    </row>
    <row r="658" spans="1:17" x14ac:dyDescent="0.35">
      <c r="A658" t="s">
        <v>808</v>
      </c>
      <c r="B658" s="7">
        <v>45411</v>
      </c>
      <c r="C658" s="13">
        <f t="shared" si="81"/>
        <v>2024</v>
      </c>
      <c r="D658" s="7" t="str">
        <f t="shared" si="82"/>
        <v>Apr</v>
      </c>
      <c r="E658" s="7" t="str">
        <f t="shared" si="83"/>
        <v>Mon</v>
      </c>
      <c r="F658" t="s">
        <v>591</v>
      </c>
      <c r="G658" t="s">
        <v>72</v>
      </c>
      <c r="H658" t="s">
        <v>17</v>
      </c>
      <c r="I658" s="2" t="str">
        <f t="shared" si="80"/>
        <v>Central</v>
      </c>
      <c r="J658" t="s">
        <v>12</v>
      </c>
      <c r="K658" t="s">
        <v>23</v>
      </c>
      <c r="L658">
        <v>1</v>
      </c>
      <c r="M658">
        <v>120</v>
      </c>
      <c r="N658">
        <f t="shared" si="84"/>
        <v>120</v>
      </c>
      <c r="O658">
        <f t="shared" si="85"/>
        <v>12</v>
      </c>
      <c r="P658" t="str">
        <f t="shared" si="86"/>
        <v>Standard Order</v>
      </c>
      <c r="Q658" t="str">
        <f t="shared" si="87"/>
        <v>Weekday</v>
      </c>
    </row>
    <row r="659" spans="1:17" x14ac:dyDescent="0.35">
      <c r="A659" t="s">
        <v>809</v>
      </c>
      <c r="B659" s="7">
        <v>45449</v>
      </c>
      <c r="C659" s="13">
        <f t="shared" si="81"/>
        <v>2024</v>
      </c>
      <c r="D659" s="7" t="str">
        <f t="shared" si="82"/>
        <v>Jun</v>
      </c>
      <c r="E659" s="7" t="str">
        <f t="shared" si="83"/>
        <v>Thu</v>
      </c>
      <c r="F659" t="s">
        <v>15</v>
      </c>
      <c r="G659" t="s">
        <v>197</v>
      </c>
      <c r="H659" t="s">
        <v>11</v>
      </c>
      <c r="I659" s="2" t="str">
        <f t="shared" si="80"/>
        <v>North</v>
      </c>
      <c r="J659" t="s">
        <v>306</v>
      </c>
      <c r="K659" t="s">
        <v>13</v>
      </c>
      <c r="L659">
        <v>14</v>
      </c>
      <c r="M659">
        <v>120</v>
      </c>
      <c r="N659">
        <f t="shared" si="84"/>
        <v>1680</v>
      </c>
      <c r="O659">
        <f t="shared" si="85"/>
        <v>168</v>
      </c>
      <c r="P659" t="str">
        <f t="shared" si="86"/>
        <v>Large Order</v>
      </c>
      <c r="Q659" t="str">
        <f t="shared" si="87"/>
        <v>Weekday</v>
      </c>
    </row>
    <row r="660" spans="1:17" x14ac:dyDescent="0.35">
      <c r="A660" t="s">
        <v>810</v>
      </c>
      <c r="B660" s="7">
        <v>45364</v>
      </c>
      <c r="C660" s="13">
        <f t="shared" si="81"/>
        <v>2024</v>
      </c>
      <c r="D660" s="7" t="str">
        <f t="shared" si="82"/>
        <v>Mar</v>
      </c>
      <c r="E660" s="7" t="str">
        <f t="shared" si="83"/>
        <v>Wed</v>
      </c>
      <c r="F660" t="s">
        <v>436</v>
      </c>
      <c r="G660" t="s">
        <v>79</v>
      </c>
      <c r="H660" t="s">
        <v>17</v>
      </c>
      <c r="I660" s="2" t="str">
        <f t="shared" si="80"/>
        <v>West</v>
      </c>
      <c r="J660" t="s">
        <v>12</v>
      </c>
      <c r="K660" t="s">
        <v>36</v>
      </c>
      <c r="L660">
        <v>8</v>
      </c>
      <c r="M660">
        <v>120</v>
      </c>
      <c r="N660">
        <f t="shared" si="84"/>
        <v>960</v>
      </c>
      <c r="O660">
        <f t="shared" si="85"/>
        <v>96</v>
      </c>
      <c r="P660" t="str">
        <f t="shared" si="86"/>
        <v>Large Order</v>
      </c>
      <c r="Q660" t="str">
        <f t="shared" si="87"/>
        <v>Weekday</v>
      </c>
    </row>
    <row r="661" spans="1:17" x14ac:dyDescent="0.35">
      <c r="A661" t="s">
        <v>811</v>
      </c>
      <c r="B661" s="7">
        <v>45503</v>
      </c>
      <c r="C661" s="13">
        <f t="shared" si="81"/>
        <v>2024</v>
      </c>
      <c r="D661" s="7" t="str">
        <f t="shared" si="82"/>
        <v>Jul</v>
      </c>
      <c r="E661" s="7" t="str">
        <f t="shared" si="83"/>
        <v>Tue</v>
      </c>
      <c r="F661" t="s">
        <v>424</v>
      </c>
      <c r="G661" t="s">
        <v>84</v>
      </c>
      <c r="H661" t="s">
        <v>17</v>
      </c>
      <c r="I661" s="2" t="str">
        <f t="shared" si="80"/>
        <v>North</v>
      </c>
      <c r="J661" t="s">
        <v>27</v>
      </c>
      <c r="K661" t="s">
        <v>36</v>
      </c>
      <c r="L661">
        <v>3</v>
      </c>
      <c r="M661">
        <v>120</v>
      </c>
      <c r="N661">
        <f t="shared" si="84"/>
        <v>360</v>
      </c>
      <c r="O661">
        <f t="shared" si="85"/>
        <v>36</v>
      </c>
      <c r="P661" t="str">
        <f t="shared" si="86"/>
        <v>Standard Order</v>
      </c>
      <c r="Q661" t="str">
        <f t="shared" si="87"/>
        <v>Weekday</v>
      </c>
    </row>
    <row r="662" spans="1:17" x14ac:dyDescent="0.35">
      <c r="A662" t="s">
        <v>812</v>
      </c>
      <c r="B662" s="7">
        <v>45360</v>
      </c>
      <c r="C662" s="13">
        <f t="shared" si="81"/>
        <v>2024</v>
      </c>
      <c r="D662" s="7" t="str">
        <f t="shared" si="82"/>
        <v>Mar</v>
      </c>
      <c r="E662" s="7" t="str">
        <f t="shared" si="83"/>
        <v>Sat</v>
      </c>
      <c r="F662" t="s">
        <v>541</v>
      </c>
      <c r="G662" t="s">
        <v>59</v>
      </c>
      <c r="H662" t="s">
        <v>17</v>
      </c>
      <c r="I662" s="2" t="str">
        <f t="shared" si="80"/>
        <v>East</v>
      </c>
      <c r="J662" t="s">
        <v>12</v>
      </c>
      <c r="K662" t="s">
        <v>28</v>
      </c>
      <c r="L662">
        <v>19</v>
      </c>
      <c r="M662">
        <v>120</v>
      </c>
      <c r="N662">
        <f t="shared" si="84"/>
        <v>2280</v>
      </c>
      <c r="O662">
        <f t="shared" si="85"/>
        <v>228</v>
      </c>
      <c r="P662" t="str">
        <f t="shared" si="86"/>
        <v>Large Order</v>
      </c>
      <c r="Q662" t="str">
        <f t="shared" si="87"/>
        <v>Weekend</v>
      </c>
    </row>
    <row r="663" spans="1:17" x14ac:dyDescent="0.35">
      <c r="A663" t="s">
        <v>813</v>
      </c>
      <c r="B663" s="7">
        <v>45413</v>
      </c>
      <c r="C663" s="13">
        <f t="shared" si="81"/>
        <v>2024</v>
      </c>
      <c r="D663" s="7" t="str">
        <f t="shared" si="82"/>
        <v>May</v>
      </c>
      <c r="E663" s="7" t="str">
        <f t="shared" si="83"/>
        <v>Wed</v>
      </c>
      <c r="F663" t="s">
        <v>61</v>
      </c>
      <c r="G663" t="s">
        <v>31</v>
      </c>
      <c r="H663" t="s">
        <v>17</v>
      </c>
      <c r="I663" s="2" t="str">
        <f t="shared" si="80"/>
        <v>South</v>
      </c>
      <c r="J663" t="s">
        <v>42</v>
      </c>
      <c r="K663" t="s">
        <v>32</v>
      </c>
      <c r="L663">
        <v>11</v>
      </c>
      <c r="M663">
        <v>120</v>
      </c>
      <c r="N663">
        <f t="shared" si="84"/>
        <v>1320</v>
      </c>
      <c r="O663">
        <f t="shared" si="85"/>
        <v>132</v>
      </c>
      <c r="P663" t="str">
        <f t="shared" si="86"/>
        <v>Large Order</v>
      </c>
      <c r="Q663" t="str">
        <f t="shared" si="87"/>
        <v>Weekday</v>
      </c>
    </row>
    <row r="664" spans="1:17" x14ac:dyDescent="0.35">
      <c r="A664" t="s">
        <v>814</v>
      </c>
      <c r="B664" s="7">
        <v>45411</v>
      </c>
      <c r="C664" s="13">
        <f t="shared" si="81"/>
        <v>2024</v>
      </c>
      <c r="D664" s="7" t="str">
        <f t="shared" si="82"/>
        <v>Apr</v>
      </c>
      <c r="E664" s="7" t="str">
        <f t="shared" si="83"/>
        <v>Mon</v>
      </c>
      <c r="F664" t="s">
        <v>208</v>
      </c>
      <c r="G664" t="s">
        <v>119</v>
      </c>
      <c r="H664" t="s">
        <v>11</v>
      </c>
      <c r="I664" s="2" t="str">
        <f t="shared" si="80"/>
        <v>East</v>
      </c>
      <c r="J664" t="s">
        <v>56</v>
      </c>
      <c r="K664" t="s">
        <v>13</v>
      </c>
      <c r="L664">
        <v>19</v>
      </c>
      <c r="M664">
        <v>120</v>
      </c>
      <c r="N664">
        <f t="shared" si="84"/>
        <v>2280</v>
      </c>
      <c r="O664">
        <f t="shared" si="85"/>
        <v>228</v>
      </c>
      <c r="P664" t="str">
        <f t="shared" si="86"/>
        <v>Large Order</v>
      </c>
      <c r="Q664" t="str">
        <f t="shared" si="87"/>
        <v>Weekday</v>
      </c>
    </row>
    <row r="665" spans="1:17" x14ac:dyDescent="0.35">
      <c r="A665" t="s">
        <v>815</v>
      </c>
      <c r="B665" s="7">
        <v>45376</v>
      </c>
      <c r="C665" s="13">
        <f t="shared" si="81"/>
        <v>2024</v>
      </c>
      <c r="D665" s="7" t="str">
        <f t="shared" si="82"/>
        <v>Mar</v>
      </c>
      <c r="E665" s="7" t="str">
        <f t="shared" si="83"/>
        <v>Mon</v>
      </c>
      <c r="F665" t="s">
        <v>430</v>
      </c>
      <c r="G665" t="s">
        <v>87</v>
      </c>
      <c r="H665" t="s">
        <v>17</v>
      </c>
      <c r="I665" s="2" t="str">
        <f t="shared" si="80"/>
        <v>East</v>
      </c>
      <c r="J665" t="s">
        <v>42</v>
      </c>
      <c r="K665" t="s">
        <v>28</v>
      </c>
      <c r="L665">
        <v>4</v>
      </c>
      <c r="M665">
        <v>120</v>
      </c>
      <c r="N665">
        <f t="shared" si="84"/>
        <v>480</v>
      </c>
      <c r="O665">
        <f t="shared" si="85"/>
        <v>48</v>
      </c>
      <c r="P665" t="str">
        <f t="shared" si="86"/>
        <v>Standard Order</v>
      </c>
      <c r="Q665" t="str">
        <f t="shared" si="87"/>
        <v>Weekday</v>
      </c>
    </row>
    <row r="666" spans="1:17" x14ac:dyDescent="0.35">
      <c r="A666" t="s">
        <v>816</v>
      </c>
      <c r="B666" s="7">
        <v>45523</v>
      </c>
      <c r="C666" s="13">
        <f t="shared" si="81"/>
        <v>2024</v>
      </c>
      <c r="D666" s="7" t="str">
        <f t="shared" si="82"/>
        <v>Aug</v>
      </c>
      <c r="E666" s="7" t="str">
        <f t="shared" si="83"/>
        <v>Mon</v>
      </c>
      <c r="F666" t="s">
        <v>147</v>
      </c>
      <c r="G666" t="s">
        <v>102</v>
      </c>
      <c r="H666" t="s">
        <v>17</v>
      </c>
      <c r="I666" s="2" t="str">
        <f t="shared" si="80"/>
        <v>North</v>
      </c>
      <c r="J666" t="s">
        <v>42</v>
      </c>
      <c r="K666" t="s">
        <v>32</v>
      </c>
      <c r="L666">
        <v>3</v>
      </c>
      <c r="M666">
        <v>120</v>
      </c>
      <c r="N666">
        <f t="shared" si="84"/>
        <v>360</v>
      </c>
      <c r="O666">
        <f t="shared" si="85"/>
        <v>36</v>
      </c>
      <c r="P666" t="str">
        <f t="shared" si="86"/>
        <v>Standard Order</v>
      </c>
      <c r="Q666" t="str">
        <f t="shared" si="87"/>
        <v>Weekday</v>
      </c>
    </row>
    <row r="667" spans="1:17" x14ac:dyDescent="0.35">
      <c r="A667" t="s">
        <v>817</v>
      </c>
      <c r="B667" s="7">
        <v>45652</v>
      </c>
      <c r="C667" s="13">
        <f t="shared" si="81"/>
        <v>2024</v>
      </c>
      <c r="D667" s="7" t="str">
        <f t="shared" si="82"/>
        <v>Dec</v>
      </c>
      <c r="E667" s="7" t="str">
        <f t="shared" si="83"/>
        <v>Thu</v>
      </c>
      <c r="F667" t="s">
        <v>424</v>
      </c>
      <c r="G667" t="s">
        <v>65</v>
      </c>
      <c r="H667" t="s">
        <v>22</v>
      </c>
      <c r="I667" s="2" t="str">
        <f t="shared" si="80"/>
        <v>North</v>
      </c>
      <c r="J667" t="s">
        <v>12</v>
      </c>
      <c r="K667" t="s">
        <v>28</v>
      </c>
      <c r="L667">
        <v>11</v>
      </c>
      <c r="M667">
        <v>120</v>
      </c>
      <c r="N667">
        <f t="shared" si="84"/>
        <v>1320</v>
      </c>
      <c r="O667">
        <f t="shared" si="85"/>
        <v>132</v>
      </c>
      <c r="P667" t="str">
        <f t="shared" si="86"/>
        <v>Large Order</v>
      </c>
      <c r="Q667" t="str">
        <f t="shared" si="87"/>
        <v>Weekday</v>
      </c>
    </row>
    <row r="668" spans="1:17" x14ac:dyDescent="0.35">
      <c r="A668" t="s">
        <v>818</v>
      </c>
      <c r="B668" s="7">
        <v>45474</v>
      </c>
      <c r="C668" s="13">
        <f t="shared" si="81"/>
        <v>2024</v>
      </c>
      <c r="D668" s="7" t="str">
        <f t="shared" si="82"/>
        <v>Jul</v>
      </c>
      <c r="E668" s="7" t="str">
        <f t="shared" si="83"/>
        <v>Mon</v>
      </c>
      <c r="F668" t="s">
        <v>106</v>
      </c>
      <c r="G668" t="s">
        <v>41</v>
      </c>
      <c r="H668" t="s">
        <v>22</v>
      </c>
      <c r="I668" s="2" t="str">
        <f t="shared" si="80"/>
        <v>Central</v>
      </c>
      <c r="J668" t="s">
        <v>12</v>
      </c>
      <c r="K668" t="s">
        <v>28</v>
      </c>
      <c r="L668">
        <v>10</v>
      </c>
      <c r="M668">
        <v>120</v>
      </c>
      <c r="N668">
        <f t="shared" si="84"/>
        <v>1200</v>
      </c>
      <c r="O668">
        <f t="shared" si="85"/>
        <v>120</v>
      </c>
      <c r="P668" t="str">
        <f t="shared" si="86"/>
        <v>Large Order</v>
      </c>
      <c r="Q668" t="str">
        <f t="shared" si="87"/>
        <v>Weekday</v>
      </c>
    </row>
    <row r="669" spans="1:17" x14ac:dyDescent="0.35">
      <c r="A669" t="s">
        <v>819</v>
      </c>
      <c r="B669" s="7">
        <v>45307</v>
      </c>
      <c r="C669" s="13">
        <f t="shared" si="81"/>
        <v>2024</v>
      </c>
      <c r="D669" s="7" t="str">
        <f t="shared" si="82"/>
        <v>Jan</v>
      </c>
      <c r="E669" s="7" t="str">
        <f t="shared" si="83"/>
        <v>Tue</v>
      </c>
      <c r="F669" t="s">
        <v>341</v>
      </c>
      <c r="G669" t="s">
        <v>84</v>
      </c>
      <c r="H669" t="s">
        <v>17</v>
      </c>
      <c r="I669" s="2" t="str">
        <f t="shared" si="80"/>
        <v>North</v>
      </c>
      <c r="J669" t="s">
        <v>306</v>
      </c>
      <c r="K669" t="s">
        <v>23</v>
      </c>
      <c r="L669">
        <v>18</v>
      </c>
      <c r="M669">
        <v>120</v>
      </c>
      <c r="N669">
        <f t="shared" si="84"/>
        <v>2160</v>
      </c>
      <c r="O669">
        <f t="shared" si="85"/>
        <v>216</v>
      </c>
      <c r="P669" t="str">
        <f t="shared" si="86"/>
        <v>Large Order</v>
      </c>
      <c r="Q669" t="str">
        <f t="shared" si="87"/>
        <v>Weekday</v>
      </c>
    </row>
    <row r="670" spans="1:17" x14ac:dyDescent="0.35">
      <c r="A670" t="s">
        <v>820</v>
      </c>
      <c r="B670" s="7">
        <v>45344</v>
      </c>
      <c r="C670" s="13">
        <f t="shared" si="81"/>
        <v>2024</v>
      </c>
      <c r="D670" s="7" t="str">
        <f t="shared" si="82"/>
        <v>Feb</v>
      </c>
      <c r="E670" s="7" t="str">
        <f t="shared" si="83"/>
        <v>Thu</v>
      </c>
      <c r="F670" t="s">
        <v>99</v>
      </c>
      <c r="G670" t="s">
        <v>79</v>
      </c>
      <c r="H670" t="s">
        <v>11</v>
      </c>
      <c r="I670" s="2" t="str">
        <f t="shared" si="80"/>
        <v>North</v>
      </c>
      <c r="J670" t="s">
        <v>12</v>
      </c>
      <c r="K670" t="s">
        <v>23</v>
      </c>
      <c r="L670">
        <v>8</v>
      </c>
      <c r="M670">
        <v>120</v>
      </c>
      <c r="N670">
        <f t="shared" si="84"/>
        <v>960</v>
      </c>
      <c r="O670">
        <f t="shared" si="85"/>
        <v>96</v>
      </c>
      <c r="P670" t="str">
        <f t="shared" si="86"/>
        <v>Large Order</v>
      </c>
      <c r="Q670" t="str">
        <f t="shared" si="87"/>
        <v>Weekday</v>
      </c>
    </row>
    <row r="671" spans="1:17" x14ac:dyDescent="0.35">
      <c r="A671" t="s">
        <v>821</v>
      </c>
      <c r="B671" s="7">
        <v>45482</v>
      </c>
      <c r="C671" s="13">
        <f t="shared" si="81"/>
        <v>2024</v>
      </c>
      <c r="D671" s="7" t="str">
        <f t="shared" si="82"/>
        <v>Jul</v>
      </c>
      <c r="E671" s="7" t="str">
        <f t="shared" si="83"/>
        <v>Tue</v>
      </c>
      <c r="F671" t="s">
        <v>455</v>
      </c>
      <c r="G671" t="s">
        <v>59</v>
      </c>
      <c r="H671" t="s">
        <v>22</v>
      </c>
      <c r="I671" s="2" t="str">
        <f t="shared" si="80"/>
        <v>West</v>
      </c>
      <c r="J671" t="s">
        <v>12</v>
      </c>
      <c r="K671" t="s">
        <v>13</v>
      </c>
      <c r="L671">
        <v>19</v>
      </c>
      <c r="M671">
        <v>120</v>
      </c>
      <c r="N671">
        <f t="shared" si="84"/>
        <v>2280</v>
      </c>
      <c r="O671">
        <f t="shared" si="85"/>
        <v>228</v>
      </c>
      <c r="P671" t="str">
        <f t="shared" si="86"/>
        <v>Large Order</v>
      </c>
      <c r="Q671" t="str">
        <f t="shared" si="87"/>
        <v>Weekday</v>
      </c>
    </row>
    <row r="672" spans="1:17" x14ac:dyDescent="0.35">
      <c r="A672" t="s">
        <v>822</v>
      </c>
      <c r="B672" s="7">
        <v>45303</v>
      </c>
      <c r="C672" s="13">
        <f t="shared" si="81"/>
        <v>2024</v>
      </c>
      <c r="D672" s="7" t="str">
        <f t="shared" si="82"/>
        <v>Jan</v>
      </c>
      <c r="E672" s="7" t="str">
        <f t="shared" si="83"/>
        <v>Fri</v>
      </c>
      <c r="F672" t="s">
        <v>58</v>
      </c>
      <c r="G672" t="s">
        <v>16</v>
      </c>
      <c r="H672" t="s">
        <v>11</v>
      </c>
      <c r="I672" s="2" t="str">
        <f t="shared" si="80"/>
        <v>North</v>
      </c>
      <c r="J672" t="s">
        <v>27</v>
      </c>
      <c r="K672" t="s">
        <v>32</v>
      </c>
      <c r="L672">
        <v>3</v>
      </c>
      <c r="M672">
        <v>120</v>
      </c>
      <c r="N672">
        <f t="shared" si="84"/>
        <v>360</v>
      </c>
      <c r="O672">
        <f t="shared" si="85"/>
        <v>36</v>
      </c>
      <c r="P672" t="str">
        <f t="shared" si="86"/>
        <v>Standard Order</v>
      </c>
      <c r="Q672" t="str">
        <f t="shared" si="87"/>
        <v>Weekday</v>
      </c>
    </row>
    <row r="673" spans="1:17" x14ac:dyDescent="0.35">
      <c r="A673" t="s">
        <v>823</v>
      </c>
      <c r="B673" s="7">
        <v>45354</v>
      </c>
      <c r="C673" s="13">
        <f t="shared" si="81"/>
        <v>2024</v>
      </c>
      <c r="D673" s="7" t="str">
        <f t="shared" si="82"/>
        <v>Mar</v>
      </c>
      <c r="E673" s="7" t="str">
        <f t="shared" si="83"/>
        <v>Sun</v>
      </c>
      <c r="F673" t="s">
        <v>116</v>
      </c>
      <c r="G673" t="s">
        <v>45</v>
      </c>
      <c r="H673" t="s">
        <v>17</v>
      </c>
      <c r="I673" s="2" t="str">
        <f t="shared" si="80"/>
        <v>West</v>
      </c>
      <c r="J673" t="s">
        <v>12</v>
      </c>
      <c r="K673" t="s">
        <v>23</v>
      </c>
      <c r="L673">
        <v>19</v>
      </c>
      <c r="M673">
        <v>120</v>
      </c>
      <c r="N673">
        <f t="shared" si="84"/>
        <v>2280</v>
      </c>
      <c r="O673">
        <f t="shared" si="85"/>
        <v>228</v>
      </c>
      <c r="P673" t="str">
        <f t="shared" si="86"/>
        <v>Large Order</v>
      </c>
      <c r="Q673" t="str">
        <f t="shared" si="87"/>
        <v>Weekend</v>
      </c>
    </row>
    <row r="674" spans="1:17" x14ac:dyDescent="0.35">
      <c r="A674" t="s">
        <v>824</v>
      </c>
      <c r="B674" s="7">
        <v>45546</v>
      </c>
      <c r="C674" s="13">
        <f t="shared" si="81"/>
        <v>2024</v>
      </c>
      <c r="D674" s="7" t="str">
        <f t="shared" si="82"/>
        <v>Sep</v>
      </c>
      <c r="E674" s="7" t="str">
        <f t="shared" si="83"/>
        <v>Wed</v>
      </c>
      <c r="F674" t="s">
        <v>64</v>
      </c>
      <c r="G674" t="s">
        <v>45</v>
      </c>
      <c r="H674" t="s">
        <v>17</v>
      </c>
      <c r="I674" s="2" t="str">
        <f t="shared" si="80"/>
        <v>South</v>
      </c>
      <c r="J674" t="s">
        <v>27</v>
      </c>
      <c r="K674" t="s">
        <v>28</v>
      </c>
      <c r="L674">
        <v>12</v>
      </c>
      <c r="M674">
        <v>120</v>
      </c>
      <c r="N674">
        <f t="shared" si="84"/>
        <v>1440</v>
      </c>
      <c r="O674">
        <f t="shared" si="85"/>
        <v>144</v>
      </c>
      <c r="P674" t="str">
        <f t="shared" si="86"/>
        <v>Large Order</v>
      </c>
      <c r="Q674" t="str">
        <f t="shared" si="87"/>
        <v>Weekday</v>
      </c>
    </row>
    <row r="675" spans="1:17" x14ac:dyDescent="0.35">
      <c r="A675" t="s">
        <v>825</v>
      </c>
      <c r="B675" s="7">
        <v>45432</v>
      </c>
      <c r="C675" s="13">
        <f t="shared" si="81"/>
        <v>2024</v>
      </c>
      <c r="D675" s="7" t="str">
        <f t="shared" si="82"/>
        <v>May</v>
      </c>
      <c r="E675" s="7" t="str">
        <f t="shared" si="83"/>
        <v>Mon</v>
      </c>
      <c r="F675" t="s">
        <v>89</v>
      </c>
      <c r="G675" t="s">
        <v>79</v>
      </c>
      <c r="H675" t="s">
        <v>17</v>
      </c>
      <c r="I675" s="2" t="str">
        <f t="shared" si="80"/>
        <v>West</v>
      </c>
      <c r="J675" t="s">
        <v>56</v>
      </c>
      <c r="K675" t="s">
        <v>28</v>
      </c>
      <c r="L675">
        <v>20</v>
      </c>
      <c r="M675">
        <v>120</v>
      </c>
      <c r="N675">
        <f t="shared" si="84"/>
        <v>2400</v>
      </c>
      <c r="O675">
        <f t="shared" si="85"/>
        <v>240</v>
      </c>
      <c r="P675" t="str">
        <f t="shared" si="86"/>
        <v>Large Order</v>
      </c>
      <c r="Q675" t="str">
        <f t="shared" si="87"/>
        <v>Weekday</v>
      </c>
    </row>
    <row r="676" spans="1:17" x14ac:dyDescent="0.35">
      <c r="A676" t="s">
        <v>826</v>
      </c>
      <c r="B676" s="7">
        <v>45623</v>
      </c>
      <c r="C676" s="13">
        <f t="shared" si="81"/>
        <v>2024</v>
      </c>
      <c r="D676" s="7" t="str">
        <f t="shared" si="82"/>
        <v>Nov</v>
      </c>
      <c r="E676" s="7" t="str">
        <f t="shared" si="83"/>
        <v>Wed</v>
      </c>
      <c r="F676" t="s">
        <v>61</v>
      </c>
      <c r="G676" t="s">
        <v>174</v>
      </c>
      <c r="H676" t="s">
        <v>17</v>
      </c>
      <c r="I676" s="2" t="str">
        <f t="shared" si="80"/>
        <v>South</v>
      </c>
      <c r="J676" t="s">
        <v>27</v>
      </c>
      <c r="K676" t="s">
        <v>32</v>
      </c>
      <c r="L676">
        <v>16</v>
      </c>
      <c r="M676">
        <v>120</v>
      </c>
      <c r="N676">
        <f t="shared" si="84"/>
        <v>1920</v>
      </c>
      <c r="O676">
        <f t="shared" si="85"/>
        <v>192</v>
      </c>
      <c r="P676" t="str">
        <f t="shared" si="86"/>
        <v>Large Order</v>
      </c>
      <c r="Q676" t="str">
        <f t="shared" si="87"/>
        <v>Weekday</v>
      </c>
    </row>
    <row r="677" spans="1:17" x14ac:dyDescent="0.35">
      <c r="A677" t="s">
        <v>827</v>
      </c>
      <c r="B677" s="7">
        <v>45488</v>
      </c>
      <c r="C677" s="13">
        <f t="shared" si="81"/>
        <v>2024</v>
      </c>
      <c r="D677" s="7" t="str">
        <f t="shared" si="82"/>
        <v>Jul</v>
      </c>
      <c r="E677" s="7" t="str">
        <f t="shared" si="83"/>
        <v>Mon</v>
      </c>
      <c r="F677" t="s">
        <v>99</v>
      </c>
      <c r="G677" t="s">
        <v>21</v>
      </c>
      <c r="H677" t="s">
        <v>17</v>
      </c>
      <c r="I677" s="2" t="str">
        <f t="shared" si="80"/>
        <v>East</v>
      </c>
      <c r="J677" t="s">
        <v>56</v>
      </c>
      <c r="K677" t="s">
        <v>36</v>
      </c>
      <c r="L677">
        <v>17</v>
      </c>
      <c r="M677">
        <v>120</v>
      </c>
      <c r="N677">
        <f t="shared" si="84"/>
        <v>2040</v>
      </c>
      <c r="O677">
        <f t="shared" si="85"/>
        <v>204</v>
      </c>
      <c r="P677" t="str">
        <f t="shared" si="86"/>
        <v>Large Order</v>
      </c>
      <c r="Q677" t="str">
        <f t="shared" si="87"/>
        <v>Weekday</v>
      </c>
    </row>
    <row r="678" spans="1:17" x14ac:dyDescent="0.35">
      <c r="A678" t="s">
        <v>828</v>
      </c>
      <c r="B678" s="7">
        <v>45301</v>
      </c>
      <c r="C678" s="13">
        <f t="shared" si="81"/>
        <v>2024</v>
      </c>
      <c r="D678" s="7" t="str">
        <f t="shared" si="82"/>
        <v>Jan</v>
      </c>
      <c r="E678" s="7" t="str">
        <f t="shared" si="83"/>
        <v>Wed</v>
      </c>
      <c r="F678" t="s">
        <v>159</v>
      </c>
      <c r="G678" t="s">
        <v>35</v>
      </c>
      <c r="H678" t="s">
        <v>22</v>
      </c>
      <c r="I678" s="2" t="str">
        <f t="shared" si="80"/>
        <v>West</v>
      </c>
      <c r="J678" t="s">
        <v>42</v>
      </c>
      <c r="K678" t="s">
        <v>32</v>
      </c>
      <c r="L678">
        <v>18</v>
      </c>
      <c r="M678">
        <v>120</v>
      </c>
      <c r="N678">
        <f t="shared" si="84"/>
        <v>2160</v>
      </c>
      <c r="O678">
        <f t="shared" si="85"/>
        <v>216</v>
      </c>
      <c r="P678" t="str">
        <f t="shared" si="86"/>
        <v>Large Order</v>
      </c>
      <c r="Q678" t="str">
        <f t="shared" si="87"/>
        <v>Weekday</v>
      </c>
    </row>
    <row r="679" spans="1:17" x14ac:dyDescent="0.35">
      <c r="A679" t="s">
        <v>829</v>
      </c>
      <c r="B679" s="7">
        <v>45581</v>
      </c>
      <c r="C679" s="13">
        <f t="shared" si="81"/>
        <v>2024</v>
      </c>
      <c r="D679" s="7" t="str">
        <f t="shared" si="82"/>
        <v>Oct</v>
      </c>
      <c r="E679" s="7" t="str">
        <f t="shared" si="83"/>
        <v>Wed</v>
      </c>
      <c r="F679" t="s">
        <v>358</v>
      </c>
      <c r="G679" t="s">
        <v>26</v>
      </c>
      <c r="H679" t="s">
        <v>17</v>
      </c>
      <c r="I679" s="2" t="str">
        <f t="shared" si="80"/>
        <v>North</v>
      </c>
      <c r="J679" t="s">
        <v>27</v>
      </c>
      <c r="K679" t="s">
        <v>36</v>
      </c>
      <c r="L679">
        <v>6</v>
      </c>
      <c r="M679">
        <v>120</v>
      </c>
      <c r="N679">
        <f t="shared" si="84"/>
        <v>720</v>
      </c>
      <c r="O679">
        <f t="shared" si="85"/>
        <v>72</v>
      </c>
      <c r="P679" t="str">
        <f t="shared" si="86"/>
        <v>Large Order</v>
      </c>
      <c r="Q679" t="str">
        <f t="shared" si="87"/>
        <v>Weekday</v>
      </c>
    </row>
    <row r="680" spans="1:17" x14ac:dyDescent="0.35">
      <c r="A680" t="s">
        <v>830</v>
      </c>
      <c r="B680" s="7">
        <v>45404</v>
      </c>
      <c r="C680" s="13">
        <f t="shared" si="81"/>
        <v>2024</v>
      </c>
      <c r="D680" s="7" t="str">
        <f t="shared" si="82"/>
        <v>Apr</v>
      </c>
      <c r="E680" s="7" t="str">
        <f t="shared" si="83"/>
        <v>Mon</v>
      </c>
      <c r="F680" t="s">
        <v>64</v>
      </c>
      <c r="G680" t="s">
        <v>35</v>
      </c>
      <c r="H680" t="s">
        <v>17</v>
      </c>
      <c r="I680" s="2" t="str">
        <f t="shared" si="80"/>
        <v>South</v>
      </c>
      <c r="J680" t="s">
        <v>12</v>
      </c>
      <c r="K680" t="s">
        <v>36</v>
      </c>
      <c r="L680">
        <v>17</v>
      </c>
      <c r="M680">
        <v>120</v>
      </c>
      <c r="N680">
        <f t="shared" si="84"/>
        <v>2040</v>
      </c>
      <c r="O680">
        <f t="shared" si="85"/>
        <v>204</v>
      </c>
      <c r="P680" t="str">
        <f t="shared" si="86"/>
        <v>Large Order</v>
      </c>
      <c r="Q680" t="str">
        <f t="shared" si="87"/>
        <v>Weekday</v>
      </c>
    </row>
    <row r="681" spans="1:17" x14ac:dyDescent="0.35">
      <c r="A681" t="s">
        <v>831</v>
      </c>
      <c r="B681" s="7">
        <v>45411</v>
      </c>
      <c r="C681" s="13">
        <f t="shared" si="81"/>
        <v>2024</v>
      </c>
      <c r="D681" s="7" t="str">
        <f t="shared" si="82"/>
        <v>Apr</v>
      </c>
      <c r="E681" s="7" t="str">
        <f t="shared" si="83"/>
        <v>Mon</v>
      </c>
      <c r="F681" t="s">
        <v>111</v>
      </c>
      <c r="G681" t="s">
        <v>41</v>
      </c>
      <c r="H681" t="s">
        <v>11</v>
      </c>
      <c r="I681" s="2" t="str">
        <f t="shared" si="80"/>
        <v>East</v>
      </c>
      <c r="J681" t="s">
        <v>56</v>
      </c>
      <c r="K681" t="s">
        <v>13</v>
      </c>
      <c r="L681">
        <v>8</v>
      </c>
      <c r="M681">
        <v>120</v>
      </c>
      <c r="N681">
        <f t="shared" si="84"/>
        <v>960</v>
      </c>
      <c r="O681">
        <f t="shared" si="85"/>
        <v>96</v>
      </c>
      <c r="P681" t="str">
        <f t="shared" si="86"/>
        <v>Large Order</v>
      </c>
      <c r="Q681" t="str">
        <f t="shared" si="87"/>
        <v>Weekday</v>
      </c>
    </row>
    <row r="682" spans="1:17" x14ac:dyDescent="0.35">
      <c r="A682" t="s">
        <v>832</v>
      </c>
      <c r="B682" s="7">
        <v>45404</v>
      </c>
      <c r="C682" s="13">
        <f t="shared" si="81"/>
        <v>2024</v>
      </c>
      <c r="D682" s="7" t="str">
        <f t="shared" si="82"/>
        <v>Apr</v>
      </c>
      <c r="E682" s="7" t="str">
        <f t="shared" si="83"/>
        <v>Mon</v>
      </c>
      <c r="F682" t="s">
        <v>314</v>
      </c>
      <c r="G682" t="s">
        <v>45</v>
      </c>
      <c r="H682" t="s">
        <v>17</v>
      </c>
      <c r="I682" s="2" t="str">
        <f t="shared" si="80"/>
        <v>North</v>
      </c>
      <c r="J682" t="s">
        <v>42</v>
      </c>
      <c r="K682" t="s">
        <v>32</v>
      </c>
      <c r="L682">
        <v>6</v>
      </c>
      <c r="M682">
        <v>120</v>
      </c>
      <c r="N682">
        <f t="shared" si="84"/>
        <v>720</v>
      </c>
      <c r="O682">
        <f t="shared" si="85"/>
        <v>72</v>
      </c>
      <c r="P682" t="str">
        <f t="shared" si="86"/>
        <v>Large Order</v>
      </c>
      <c r="Q682" t="str">
        <f t="shared" si="87"/>
        <v>Weekday</v>
      </c>
    </row>
    <row r="683" spans="1:17" x14ac:dyDescent="0.35">
      <c r="A683" t="s">
        <v>833</v>
      </c>
      <c r="B683" s="7">
        <v>45649</v>
      </c>
      <c r="C683" s="13">
        <f t="shared" si="81"/>
        <v>2024</v>
      </c>
      <c r="D683" s="7" t="str">
        <f t="shared" si="82"/>
        <v>Dec</v>
      </c>
      <c r="E683" s="7" t="str">
        <f t="shared" si="83"/>
        <v>Mon</v>
      </c>
      <c r="F683" t="s">
        <v>182</v>
      </c>
      <c r="G683" t="s">
        <v>62</v>
      </c>
      <c r="H683" t="s">
        <v>22</v>
      </c>
      <c r="I683" s="2" t="str">
        <f t="shared" si="80"/>
        <v>West</v>
      </c>
      <c r="J683" t="s">
        <v>12</v>
      </c>
      <c r="K683" t="s">
        <v>36</v>
      </c>
      <c r="L683">
        <v>12</v>
      </c>
      <c r="M683">
        <v>120</v>
      </c>
      <c r="N683">
        <f t="shared" si="84"/>
        <v>1440</v>
      </c>
      <c r="O683">
        <f t="shared" si="85"/>
        <v>144</v>
      </c>
      <c r="P683" t="str">
        <f t="shared" si="86"/>
        <v>Large Order</v>
      </c>
      <c r="Q683" t="str">
        <f t="shared" si="87"/>
        <v>Weekday</v>
      </c>
    </row>
    <row r="684" spans="1:17" x14ac:dyDescent="0.35">
      <c r="A684" t="s">
        <v>834</v>
      </c>
      <c r="B684" s="7">
        <v>45364</v>
      </c>
      <c r="C684" s="13">
        <f t="shared" si="81"/>
        <v>2024</v>
      </c>
      <c r="D684" s="7" t="str">
        <f t="shared" si="82"/>
        <v>Mar</v>
      </c>
      <c r="E684" s="7" t="str">
        <f t="shared" si="83"/>
        <v>Wed</v>
      </c>
      <c r="F684" t="s">
        <v>614</v>
      </c>
      <c r="G684" t="s">
        <v>174</v>
      </c>
      <c r="H684" t="s">
        <v>11</v>
      </c>
      <c r="I684" s="2" t="str">
        <f t="shared" si="80"/>
        <v>Central</v>
      </c>
      <c r="J684" t="s">
        <v>27</v>
      </c>
      <c r="K684" t="s">
        <v>13</v>
      </c>
      <c r="L684">
        <v>10</v>
      </c>
      <c r="M684">
        <v>120</v>
      </c>
      <c r="N684">
        <f t="shared" si="84"/>
        <v>1200</v>
      </c>
      <c r="O684">
        <f t="shared" si="85"/>
        <v>120</v>
      </c>
      <c r="P684" t="str">
        <f t="shared" si="86"/>
        <v>Large Order</v>
      </c>
      <c r="Q684" t="str">
        <f t="shared" si="87"/>
        <v>Weekday</v>
      </c>
    </row>
    <row r="685" spans="1:17" x14ac:dyDescent="0.35">
      <c r="A685" t="s">
        <v>835</v>
      </c>
      <c r="B685" s="7">
        <v>45338</v>
      </c>
      <c r="C685" s="13">
        <f t="shared" si="81"/>
        <v>2024</v>
      </c>
      <c r="D685" s="7" t="str">
        <f t="shared" si="82"/>
        <v>Feb</v>
      </c>
      <c r="E685" s="7" t="str">
        <f t="shared" si="83"/>
        <v>Fri</v>
      </c>
      <c r="F685" t="s">
        <v>131</v>
      </c>
      <c r="G685" t="s">
        <v>197</v>
      </c>
      <c r="H685" t="s">
        <v>11</v>
      </c>
      <c r="I685" s="2" t="str">
        <f t="shared" si="80"/>
        <v>South</v>
      </c>
      <c r="J685" t="s">
        <v>306</v>
      </c>
      <c r="K685" t="s">
        <v>13</v>
      </c>
      <c r="L685">
        <v>1</v>
      </c>
      <c r="M685">
        <v>120</v>
      </c>
      <c r="N685">
        <f t="shared" si="84"/>
        <v>120</v>
      </c>
      <c r="O685">
        <f t="shared" si="85"/>
        <v>12</v>
      </c>
      <c r="P685" t="str">
        <f t="shared" si="86"/>
        <v>Standard Order</v>
      </c>
      <c r="Q685" t="str">
        <f t="shared" si="87"/>
        <v>Weekday</v>
      </c>
    </row>
    <row r="686" spans="1:17" x14ac:dyDescent="0.35">
      <c r="A686" t="s">
        <v>836</v>
      </c>
      <c r="B686" s="7">
        <v>45461</v>
      </c>
      <c r="C686" s="13">
        <f t="shared" si="81"/>
        <v>2024</v>
      </c>
      <c r="D686" s="7" t="str">
        <f t="shared" si="82"/>
        <v>Jun</v>
      </c>
      <c r="E686" s="7" t="str">
        <f t="shared" si="83"/>
        <v>Tue</v>
      </c>
      <c r="F686" t="s">
        <v>594</v>
      </c>
      <c r="G686" t="s">
        <v>72</v>
      </c>
      <c r="H686" t="s">
        <v>11</v>
      </c>
      <c r="I686" s="2" t="str">
        <f t="shared" si="80"/>
        <v>Central</v>
      </c>
      <c r="J686" t="s">
        <v>56</v>
      </c>
      <c r="K686" t="s">
        <v>32</v>
      </c>
      <c r="L686">
        <v>6</v>
      </c>
      <c r="M686">
        <v>120</v>
      </c>
      <c r="N686">
        <f t="shared" si="84"/>
        <v>720</v>
      </c>
      <c r="O686">
        <f t="shared" si="85"/>
        <v>72</v>
      </c>
      <c r="P686" t="str">
        <f t="shared" si="86"/>
        <v>Large Order</v>
      </c>
      <c r="Q686" t="str">
        <f t="shared" si="87"/>
        <v>Weekday</v>
      </c>
    </row>
    <row r="687" spans="1:17" x14ac:dyDescent="0.35">
      <c r="A687" t="s">
        <v>837</v>
      </c>
      <c r="B687" s="7">
        <v>45322</v>
      </c>
      <c r="C687" s="13">
        <f t="shared" si="81"/>
        <v>2024</v>
      </c>
      <c r="D687" s="7" t="str">
        <f t="shared" si="82"/>
        <v>Jan</v>
      </c>
      <c r="E687" s="7" t="str">
        <f t="shared" si="83"/>
        <v>Wed</v>
      </c>
      <c r="F687" t="s">
        <v>138</v>
      </c>
      <c r="G687" t="s">
        <v>62</v>
      </c>
      <c r="H687" t="s">
        <v>11</v>
      </c>
      <c r="I687" s="2" t="str">
        <f t="shared" si="80"/>
        <v>West</v>
      </c>
      <c r="J687" t="s">
        <v>306</v>
      </c>
      <c r="K687" t="s">
        <v>36</v>
      </c>
      <c r="L687">
        <v>5</v>
      </c>
      <c r="M687">
        <v>120</v>
      </c>
      <c r="N687">
        <f t="shared" si="84"/>
        <v>600</v>
      </c>
      <c r="O687">
        <f t="shared" si="85"/>
        <v>60</v>
      </c>
      <c r="P687" t="str">
        <f t="shared" si="86"/>
        <v>Large Order</v>
      </c>
      <c r="Q687" t="str">
        <f t="shared" si="87"/>
        <v>Weekday</v>
      </c>
    </row>
    <row r="688" spans="1:17" x14ac:dyDescent="0.35">
      <c r="A688" t="s">
        <v>838</v>
      </c>
      <c r="B688" s="7">
        <v>45478</v>
      </c>
      <c r="C688" s="13">
        <f t="shared" si="81"/>
        <v>2024</v>
      </c>
      <c r="D688" s="7" t="str">
        <f t="shared" si="82"/>
        <v>Jul</v>
      </c>
      <c r="E688" s="7" t="str">
        <f t="shared" si="83"/>
        <v>Fri</v>
      </c>
      <c r="F688" t="s">
        <v>208</v>
      </c>
      <c r="G688" t="s">
        <v>59</v>
      </c>
      <c r="H688" t="s">
        <v>17</v>
      </c>
      <c r="I688" s="2" t="str">
        <f t="shared" si="80"/>
        <v>West</v>
      </c>
      <c r="J688" t="s">
        <v>27</v>
      </c>
      <c r="K688" t="s">
        <v>32</v>
      </c>
      <c r="L688">
        <v>4</v>
      </c>
      <c r="M688">
        <v>120</v>
      </c>
      <c r="N688">
        <f t="shared" si="84"/>
        <v>480</v>
      </c>
      <c r="O688">
        <f t="shared" si="85"/>
        <v>48</v>
      </c>
      <c r="P688" t="str">
        <f t="shared" si="86"/>
        <v>Standard Order</v>
      </c>
      <c r="Q688" t="str">
        <f t="shared" si="87"/>
        <v>Weekday</v>
      </c>
    </row>
    <row r="689" spans="1:17" x14ac:dyDescent="0.35">
      <c r="A689" t="s">
        <v>839</v>
      </c>
      <c r="B689" s="7">
        <v>45361</v>
      </c>
      <c r="C689" s="13">
        <f t="shared" si="81"/>
        <v>2024</v>
      </c>
      <c r="D689" s="7" t="str">
        <f t="shared" si="82"/>
        <v>Mar</v>
      </c>
      <c r="E689" s="7" t="str">
        <f t="shared" si="83"/>
        <v>Sun</v>
      </c>
      <c r="F689" t="s">
        <v>111</v>
      </c>
      <c r="G689" t="s">
        <v>21</v>
      </c>
      <c r="H689" t="s">
        <v>22</v>
      </c>
      <c r="I689" s="2" t="str">
        <f t="shared" si="80"/>
        <v>Central</v>
      </c>
      <c r="J689" t="s">
        <v>27</v>
      </c>
      <c r="K689" t="s">
        <v>28</v>
      </c>
      <c r="L689">
        <v>16</v>
      </c>
      <c r="M689">
        <v>120</v>
      </c>
      <c r="N689">
        <f t="shared" si="84"/>
        <v>1920</v>
      </c>
      <c r="O689">
        <f t="shared" si="85"/>
        <v>192</v>
      </c>
      <c r="P689" t="str">
        <f t="shared" si="86"/>
        <v>Large Order</v>
      </c>
      <c r="Q689" t="str">
        <f t="shared" si="87"/>
        <v>Weekend</v>
      </c>
    </row>
    <row r="690" spans="1:17" x14ac:dyDescent="0.35">
      <c r="A690" t="s">
        <v>840</v>
      </c>
      <c r="B690" s="7">
        <v>45654</v>
      </c>
      <c r="C690" s="13">
        <f t="shared" si="81"/>
        <v>2024</v>
      </c>
      <c r="D690" s="7" t="str">
        <f t="shared" si="82"/>
        <v>Dec</v>
      </c>
      <c r="E690" s="7" t="str">
        <f t="shared" si="83"/>
        <v>Sat</v>
      </c>
      <c r="F690" t="s">
        <v>642</v>
      </c>
      <c r="G690" t="s">
        <v>48</v>
      </c>
      <c r="H690" t="s">
        <v>22</v>
      </c>
      <c r="I690" s="2" t="str">
        <f t="shared" si="80"/>
        <v>East</v>
      </c>
      <c r="J690" t="s">
        <v>306</v>
      </c>
      <c r="K690" t="s">
        <v>28</v>
      </c>
      <c r="L690">
        <v>8</v>
      </c>
      <c r="M690">
        <v>120</v>
      </c>
      <c r="N690">
        <f t="shared" si="84"/>
        <v>960</v>
      </c>
      <c r="O690">
        <f t="shared" si="85"/>
        <v>96</v>
      </c>
      <c r="P690" t="str">
        <f t="shared" si="86"/>
        <v>Large Order</v>
      </c>
      <c r="Q690" t="str">
        <f t="shared" si="87"/>
        <v>Weekend</v>
      </c>
    </row>
    <row r="691" spans="1:17" x14ac:dyDescent="0.35">
      <c r="A691" t="s">
        <v>841</v>
      </c>
      <c r="B691" s="7">
        <v>45485</v>
      </c>
      <c r="C691" s="13">
        <f t="shared" si="81"/>
        <v>2024</v>
      </c>
      <c r="D691" s="7" t="str">
        <f t="shared" si="82"/>
        <v>Jul</v>
      </c>
      <c r="E691" s="7" t="str">
        <f t="shared" si="83"/>
        <v>Fri</v>
      </c>
      <c r="F691" t="s">
        <v>147</v>
      </c>
      <c r="G691" t="s">
        <v>16</v>
      </c>
      <c r="H691" t="s">
        <v>22</v>
      </c>
      <c r="I691" s="2" t="str">
        <f t="shared" si="80"/>
        <v>North</v>
      </c>
      <c r="J691" t="s">
        <v>42</v>
      </c>
      <c r="K691" t="s">
        <v>36</v>
      </c>
      <c r="L691">
        <v>6</v>
      </c>
      <c r="M691">
        <v>120</v>
      </c>
      <c r="N691">
        <f t="shared" si="84"/>
        <v>720</v>
      </c>
      <c r="O691">
        <f t="shared" si="85"/>
        <v>72</v>
      </c>
      <c r="P691" t="str">
        <f t="shared" si="86"/>
        <v>Large Order</v>
      </c>
      <c r="Q691" t="str">
        <f t="shared" si="87"/>
        <v>Weekday</v>
      </c>
    </row>
    <row r="692" spans="1:17" x14ac:dyDescent="0.35">
      <c r="A692" t="s">
        <v>842</v>
      </c>
      <c r="B692" s="7">
        <v>45492</v>
      </c>
      <c r="C692" s="13">
        <f t="shared" si="81"/>
        <v>2024</v>
      </c>
      <c r="D692" s="7" t="str">
        <f t="shared" si="82"/>
        <v>Jul</v>
      </c>
      <c r="E692" s="7" t="str">
        <f t="shared" si="83"/>
        <v>Fri</v>
      </c>
      <c r="F692" t="s">
        <v>337</v>
      </c>
      <c r="G692" t="s">
        <v>45</v>
      </c>
      <c r="H692" t="s">
        <v>22</v>
      </c>
      <c r="I692" s="2" t="str">
        <f t="shared" si="80"/>
        <v>North</v>
      </c>
      <c r="J692" t="s">
        <v>12</v>
      </c>
      <c r="K692" t="s">
        <v>36</v>
      </c>
      <c r="L692">
        <v>20</v>
      </c>
      <c r="M692">
        <v>120</v>
      </c>
      <c r="N692">
        <f t="shared" si="84"/>
        <v>2400</v>
      </c>
      <c r="O692">
        <f t="shared" si="85"/>
        <v>240</v>
      </c>
      <c r="P692" t="str">
        <f t="shared" si="86"/>
        <v>Large Order</v>
      </c>
      <c r="Q692" t="str">
        <f t="shared" si="87"/>
        <v>Weekday</v>
      </c>
    </row>
    <row r="693" spans="1:17" x14ac:dyDescent="0.35">
      <c r="A693" t="s">
        <v>843</v>
      </c>
      <c r="B693" s="7">
        <v>45405</v>
      </c>
      <c r="C693" s="13">
        <f t="shared" si="81"/>
        <v>2024</v>
      </c>
      <c r="D693" s="7" t="str">
        <f t="shared" si="82"/>
        <v>Apr</v>
      </c>
      <c r="E693" s="7" t="str">
        <f t="shared" si="83"/>
        <v>Tue</v>
      </c>
      <c r="F693" t="s">
        <v>541</v>
      </c>
      <c r="G693" t="s">
        <v>35</v>
      </c>
      <c r="H693" t="s">
        <v>22</v>
      </c>
      <c r="I693" s="2" t="str">
        <f t="shared" si="80"/>
        <v>South</v>
      </c>
      <c r="J693" t="s">
        <v>12</v>
      </c>
      <c r="K693" t="s">
        <v>13</v>
      </c>
      <c r="L693">
        <v>5</v>
      </c>
      <c r="M693">
        <v>120</v>
      </c>
      <c r="N693">
        <f t="shared" si="84"/>
        <v>600</v>
      </c>
      <c r="O693">
        <f t="shared" si="85"/>
        <v>60</v>
      </c>
      <c r="P693" t="str">
        <f t="shared" si="86"/>
        <v>Large Order</v>
      </c>
      <c r="Q693" t="str">
        <f t="shared" si="87"/>
        <v>Weekday</v>
      </c>
    </row>
    <row r="694" spans="1:17" x14ac:dyDescent="0.35">
      <c r="A694" t="s">
        <v>844</v>
      </c>
      <c r="B694" s="7">
        <v>45413</v>
      </c>
      <c r="C694" s="13">
        <f t="shared" si="81"/>
        <v>2024</v>
      </c>
      <c r="D694" s="7" t="str">
        <f t="shared" si="82"/>
        <v>May</v>
      </c>
      <c r="E694" s="7" t="str">
        <f t="shared" si="83"/>
        <v>Wed</v>
      </c>
      <c r="F694" t="s">
        <v>20</v>
      </c>
      <c r="G694" t="s">
        <v>21</v>
      </c>
      <c r="H694" t="s">
        <v>17</v>
      </c>
      <c r="I694" s="2" t="str">
        <f t="shared" si="80"/>
        <v>South</v>
      </c>
      <c r="J694" t="s">
        <v>56</v>
      </c>
      <c r="K694" t="s">
        <v>32</v>
      </c>
      <c r="L694">
        <v>3</v>
      </c>
      <c r="M694">
        <v>120</v>
      </c>
      <c r="N694">
        <f t="shared" si="84"/>
        <v>360</v>
      </c>
      <c r="O694">
        <f t="shared" si="85"/>
        <v>36</v>
      </c>
      <c r="P694" t="str">
        <f t="shared" si="86"/>
        <v>Standard Order</v>
      </c>
      <c r="Q694" t="str">
        <f t="shared" si="87"/>
        <v>Weekday</v>
      </c>
    </row>
    <row r="695" spans="1:17" x14ac:dyDescent="0.35">
      <c r="A695" t="s">
        <v>845</v>
      </c>
      <c r="B695" s="7">
        <v>45520</v>
      </c>
      <c r="C695" s="13">
        <f t="shared" si="81"/>
        <v>2024</v>
      </c>
      <c r="D695" s="7" t="str">
        <f t="shared" si="82"/>
        <v>Aug</v>
      </c>
      <c r="E695" s="7" t="str">
        <f t="shared" si="83"/>
        <v>Fri</v>
      </c>
      <c r="F695" t="s">
        <v>142</v>
      </c>
      <c r="G695" t="s">
        <v>197</v>
      </c>
      <c r="H695" t="s">
        <v>17</v>
      </c>
      <c r="I695" s="2" t="str">
        <f t="shared" si="80"/>
        <v>West</v>
      </c>
      <c r="J695" t="s">
        <v>56</v>
      </c>
      <c r="K695" t="s">
        <v>13</v>
      </c>
      <c r="L695">
        <v>3</v>
      </c>
      <c r="M695">
        <v>120</v>
      </c>
      <c r="N695">
        <f t="shared" si="84"/>
        <v>360</v>
      </c>
      <c r="O695">
        <f t="shared" si="85"/>
        <v>36</v>
      </c>
      <c r="P695" t="str">
        <f t="shared" si="86"/>
        <v>Standard Order</v>
      </c>
      <c r="Q695" t="str">
        <f t="shared" si="87"/>
        <v>Weekday</v>
      </c>
    </row>
    <row r="696" spans="1:17" x14ac:dyDescent="0.35">
      <c r="A696" t="s">
        <v>846</v>
      </c>
      <c r="B696" s="7">
        <v>45292</v>
      </c>
      <c r="C696" s="13">
        <f t="shared" si="81"/>
        <v>2024</v>
      </c>
      <c r="D696" s="7" t="str">
        <f t="shared" si="82"/>
        <v>Jan</v>
      </c>
      <c r="E696" s="7" t="str">
        <f t="shared" si="83"/>
        <v>Mon</v>
      </c>
      <c r="F696" t="s">
        <v>9</v>
      </c>
      <c r="G696" t="s">
        <v>84</v>
      </c>
      <c r="H696" t="s">
        <v>17</v>
      </c>
      <c r="I696" s="2" t="str">
        <f t="shared" si="80"/>
        <v>Central</v>
      </c>
      <c r="J696" t="s">
        <v>27</v>
      </c>
      <c r="K696" t="s">
        <v>23</v>
      </c>
      <c r="L696">
        <v>14</v>
      </c>
      <c r="M696">
        <v>120</v>
      </c>
      <c r="N696">
        <f t="shared" si="84"/>
        <v>1680</v>
      </c>
      <c r="O696">
        <f t="shared" si="85"/>
        <v>168</v>
      </c>
      <c r="P696" t="str">
        <f t="shared" si="86"/>
        <v>Large Order</v>
      </c>
      <c r="Q696" t="str">
        <f t="shared" si="87"/>
        <v>Weekday</v>
      </c>
    </row>
    <row r="697" spans="1:17" x14ac:dyDescent="0.35">
      <c r="A697" t="s">
        <v>847</v>
      </c>
      <c r="B697" s="7">
        <v>45544</v>
      </c>
      <c r="C697" s="13">
        <f t="shared" si="81"/>
        <v>2024</v>
      </c>
      <c r="D697" s="7" t="str">
        <f t="shared" si="82"/>
        <v>Sep</v>
      </c>
      <c r="E697" s="7" t="str">
        <f t="shared" si="83"/>
        <v>Mon</v>
      </c>
      <c r="F697" t="s">
        <v>159</v>
      </c>
      <c r="G697" t="s">
        <v>31</v>
      </c>
      <c r="H697" t="s">
        <v>17</v>
      </c>
      <c r="I697" s="2" t="str">
        <f t="shared" si="80"/>
        <v>South</v>
      </c>
      <c r="J697" t="s">
        <v>306</v>
      </c>
      <c r="K697" t="s">
        <v>36</v>
      </c>
      <c r="L697">
        <v>4</v>
      </c>
      <c r="M697">
        <v>120</v>
      </c>
      <c r="N697">
        <f t="shared" si="84"/>
        <v>480</v>
      </c>
      <c r="O697">
        <f t="shared" si="85"/>
        <v>48</v>
      </c>
      <c r="P697" t="str">
        <f t="shared" si="86"/>
        <v>Standard Order</v>
      </c>
      <c r="Q697" t="str">
        <f t="shared" si="87"/>
        <v>Weekday</v>
      </c>
    </row>
    <row r="698" spans="1:17" x14ac:dyDescent="0.35">
      <c r="A698" t="s">
        <v>848</v>
      </c>
      <c r="B698" s="7">
        <v>45625</v>
      </c>
      <c r="C698" s="13">
        <f t="shared" si="81"/>
        <v>2024</v>
      </c>
      <c r="D698" s="7" t="str">
        <f t="shared" si="82"/>
        <v>Nov</v>
      </c>
      <c r="E698" s="7" t="str">
        <f t="shared" si="83"/>
        <v>Fri</v>
      </c>
      <c r="F698" t="s">
        <v>332</v>
      </c>
      <c r="G698" t="s">
        <v>45</v>
      </c>
      <c r="H698" t="s">
        <v>22</v>
      </c>
      <c r="I698" s="2" t="str">
        <f t="shared" si="80"/>
        <v>East</v>
      </c>
      <c r="J698" t="s">
        <v>56</v>
      </c>
      <c r="K698" t="s">
        <v>13</v>
      </c>
      <c r="L698">
        <v>15</v>
      </c>
      <c r="M698">
        <v>120</v>
      </c>
      <c r="N698">
        <f t="shared" si="84"/>
        <v>1800</v>
      </c>
      <c r="O698">
        <f t="shared" si="85"/>
        <v>180</v>
      </c>
      <c r="P698" t="str">
        <f t="shared" si="86"/>
        <v>Large Order</v>
      </c>
      <c r="Q698" t="str">
        <f t="shared" si="87"/>
        <v>Weekday</v>
      </c>
    </row>
    <row r="699" spans="1:17" x14ac:dyDescent="0.35">
      <c r="A699" t="s">
        <v>849</v>
      </c>
      <c r="B699" s="7">
        <v>45442</v>
      </c>
      <c r="C699" s="13">
        <f t="shared" si="81"/>
        <v>2024</v>
      </c>
      <c r="D699" s="7" t="str">
        <f t="shared" si="82"/>
        <v>May</v>
      </c>
      <c r="E699" s="7" t="str">
        <f t="shared" si="83"/>
        <v>Thu</v>
      </c>
      <c r="F699" t="s">
        <v>138</v>
      </c>
      <c r="G699" t="s">
        <v>102</v>
      </c>
      <c r="H699" t="s">
        <v>17</v>
      </c>
      <c r="I699" s="2" t="str">
        <f t="shared" si="80"/>
        <v>Central</v>
      </c>
      <c r="J699" t="s">
        <v>42</v>
      </c>
      <c r="K699" t="s">
        <v>23</v>
      </c>
      <c r="L699">
        <v>3</v>
      </c>
      <c r="M699">
        <v>120</v>
      </c>
      <c r="N699">
        <f t="shared" si="84"/>
        <v>360</v>
      </c>
      <c r="O699">
        <f t="shared" si="85"/>
        <v>36</v>
      </c>
      <c r="P699" t="str">
        <f t="shared" si="86"/>
        <v>Standard Order</v>
      </c>
      <c r="Q699" t="str">
        <f t="shared" si="87"/>
        <v>Weekday</v>
      </c>
    </row>
    <row r="700" spans="1:17" x14ac:dyDescent="0.35">
      <c r="A700" t="s">
        <v>850</v>
      </c>
      <c r="B700" s="7">
        <v>45374</v>
      </c>
      <c r="C700" s="13">
        <f t="shared" si="81"/>
        <v>2024</v>
      </c>
      <c r="D700" s="7" t="str">
        <f t="shared" si="82"/>
        <v>Mar</v>
      </c>
      <c r="E700" s="7" t="str">
        <f t="shared" si="83"/>
        <v>Sat</v>
      </c>
      <c r="F700" t="s">
        <v>388</v>
      </c>
      <c r="G700" t="s">
        <v>10</v>
      </c>
      <c r="H700" t="s">
        <v>11</v>
      </c>
      <c r="I700" s="2" t="str">
        <f t="shared" si="80"/>
        <v>West</v>
      </c>
      <c r="J700" t="s">
        <v>306</v>
      </c>
      <c r="K700" t="s">
        <v>36</v>
      </c>
      <c r="L700">
        <v>11</v>
      </c>
      <c r="M700">
        <v>120</v>
      </c>
      <c r="N700">
        <f t="shared" si="84"/>
        <v>1320</v>
      </c>
      <c r="O700">
        <f t="shared" si="85"/>
        <v>132</v>
      </c>
      <c r="P700" t="str">
        <f t="shared" si="86"/>
        <v>Large Order</v>
      </c>
      <c r="Q700" t="str">
        <f t="shared" si="87"/>
        <v>Weekend</v>
      </c>
    </row>
    <row r="701" spans="1:17" x14ac:dyDescent="0.35">
      <c r="A701" t="s">
        <v>851</v>
      </c>
      <c r="B701" s="7">
        <v>45539</v>
      </c>
      <c r="C701" s="13">
        <f t="shared" si="81"/>
        <v>2024</v>
      </c>
      <c r="D701" s="7" t="str">
        <f t="shared" si="82"/>
        <v>Sep</v>
      </c>
      <c r="E701" s="7" t="str">
        <f t="shared" si="83"/>
        <v>Wed</v>
      </c>
      <c r="F701" t="s">
        <v>369</v>
      </c>
      <c r="G701" t="s">
        <v>21</v>
      </c>
      <c r="H701" t="s">
        <v>11</v>
      </c>
      <c r="I701" s="2" t="str">
        <f t="shared" si="80"/>
        <v>East</v>
      </c>
      <c r="J701" t="s">
        <v>27</v>
      </c>
      <c r="K701" t="s">
        <v>23</v>
      </c>
      <c r="L701">
        <v>6</v>
      </c>
      <c r="M701">
        <v>120</v>
      </c>
      <c r="N701">
        <f t="shared" si="84"/>
        <v>720</v>
      </c>
      <c r="O701">
        <f t="shared" si="85"/>
        <v>72</v>
      </c>
      <c r="P701" t="str">
        <f t="shared" si="86"/>
        <v>Large Order</v>
      </c>
      <c r="Q701" t="str">
        <f t="shared" si="87"/>
        <v>Weekday</v>
      </c>
    </row>
    <row r="702" spans="1:17" x14ac:dyDescent="0.35">
      <c r="A702" t="s">
        <v>852</v>
      </c>
      <c r="B702" s="7">
        <v>45372</v>
      </c>
      <c r="C702" s="13">
        <f t="shared" si="81"/>
        <v>2024</v>
      </c>
      <c r="D702" s="7" t="str">
        <f t="shared" si="82"/>
        <v>Mar</v>
      </c>
      <c r="E702" s="7" t="str">
        <f t="shared" si="83"/>
        <v>Thu</v>
      </c>
      <c r="F702" t="s">
        <v>9</v>
      </c>
      <c r="G702" t="s">
        <v>65</v>
      </c>
      <c r="H702" t="s">
        <v>11</v>
      </c>
      <c r="I702" s="2" t="str">
        <f t="shared" si="80"/>
        <v>East</v>
      </c>
      <c r="J702" t="s">
        <v>42</v>
      </c>
      <c r="K702" t="s">
        <v>36</v>
      </c>
      <c r="L702">
        <v>7</v>
      </c>
      <c r="M702">
        <v>120</v>
      </c>
      <c r="N702">
        <f t="shared" si="84"/>
        <v>840</v>
      </c>
      <c r="O702">
        <f t="shared" si="85"/>
        <v>84</v>
      </c>
      <c r="P702" t="str">
        <f t="shared" si="86"/>
        <v>Large Order</v>
      </c>
      <c r="Q702" t="str">
        <f t="shared" si="87"/>
        <v>Weekday</v>
      </c>
    </row>
    <row r="703" spans="1:17" x14ac:dyDescent="0.35">
      <c r="A703" t="s">
        <v>853</v>
      </c>
      <c r="B703" s="7">
        <v>45568</v>
      </c>
      <c r="C703" s="13">
        <f t="shared" si="81"/>
        <v>2024</v>
      </c>
      <c r="D703" s="7" t="str">
        <f t="shared" si="82"/>
        <v>Oct</v>
      </c>
      <c r="E703" s="7" t="str">
        <f t="shared" si="83"/>
        <v>Thu</v>
      </c>
      <c r="F703" t="s">
        <v>86</v>
      </c>
      <c r="G703" t="s">
        <v>74</v>
      </c>
      <c r="H703" t="s">
        <v>22</v>
      </c>
      <c r="I703" s="2" t="str">
        <f t="shared" si="80"/>
        <v>South</v>
      </c>
      <c r="J703" t="s">
        <v>42</v>
      </c>
      <c r="K703" t="s">
        <v>23</v>
      </c>
      <c r="L703">
        <v>8</v>
      </c>
      <c r="M703">
        <v>120</v>
      </c>
      <c r="N703">
        <f t="shared" si="84"/>
        <v>960</v>
      </c>
      <c r="O703">
        <f t="shared" si="85"/>
        <v>96</v>
      </c>
      <c r="P703" t="str">
        <f t="shared" si="86"/>
        <v>Large Order</v>
      </c>
      <c r="Q703" t="str">
        <f t="shared" si="87"/>
        <v>Weekday</v>
      </c>
    </row>
    <row r="704" spans="1:17" x14ac:dyDescent="0.35">
      <c r="A704" t="s">
        <v>854</v>
      </c>
      <c r="B704" s="7">
        <v>45584</v>
      </c>
      <c r="C704" s="13">
        <f t="shared" si="81"/>
        <v>2024</v>
      </c>
      <c r="D704" s="7" t="str">
        <f t="shared" si="82"/>
        <v>Oct</v>
      </c>
      <c r="E704" s="7" t="str">
        <f t="shared" si="83"/>
        <v>Sat</v>
      </c>
      <c r="F704" t="s">
        <v>378</v>
      </c>
      <c r="G704" t="s">
        <v>79</v>
      </c>
      <c r="H704" t="s">
        <v>17</v>
      </c>
      <c r="I704" s="2" t="str">
        <f t="shared" si="80"/>
        <v>Central</v>
      </c>
      <c r="J704" t="s">
        <v>56</v>
      </c>
      <c r="K704" t="s">
        <v>13</v>
      </c>
      <c r="L704">
        <v>12</v>
      </c>
      <c r="M704">
        <v>120</v>
      </c>
      <c r="N704">
        <f t="shared" si="84"/>
        <v>1440</v>
      </c>
      <c r="O704">
        <f t="shared" si="85"/>
        <v>144</v>
      </c>
      <c r="P704" t="str">
        <f t="shared" si="86"/>
        <v>Large Order</v>
      </c>
      <c r="Q704" t="str">
        <f t="shared" si="87"/>
        <v>Weekend</v>
      </c>
    </row>
    <row r="705" spans="1:17" x14ac:dyDescent="0.35">
      <c r="A705" t="s">
        <v>855</v>
      </c>
      <c r="B705" s="7">
        <v>45442</v>
      </c>
      <c r="C705" s="13">
        <f t="shared" si="81"/>
        <v>2024</v>
      </c>
      <c r="D705" s="7" t="str">
        <f t="shared" si="82"/>
        <v>May</v>
      </c>
      <c r="E705" s="7" t="str">
        <f t="shared" si="83"/>
        <v>Thu</v>
      </c>
      <c r="F705" t="s">
        <v>371</v>
      </c>
      <c r="G705" t="s">
        <v>35</v>
      </c>
      <c r="H705" t="s">
        <v>22</v>
      </c>
      <c r="I705" s="2" t="str">
        <f t="shared" si="80"/>
        <v>North</v>
      </c>
      <c r="J705" t="s">
        <v>306</v>
      </c>
      <c r="K705" t="s">
        <v>28</v>
      </c>
      <c r="L705">
        <v>7</v>
      </c>
      <c r="M705">
        <v>120</v>
      </c>
      <c r="N705">
        <f t="shared" si="84"/>
        <v>840</v>
      </c>
      <c r="O705">
        <f t="shared" si="85"/>
        <v>84</v>
      </c>
      <c r="P705" t="str">
        <f t="shared" si="86"/>
        <v>Large Order</v>
      </c>
      <c r="Q705" t="str">
        <f t="shared" si="87"/>
        <v>Weekday</v>
      </c>
    </row>
    <row r="706" spans="1:17" x14ac:dyDescent="0.35">
      <c r="A706" t="s">
        <v>856</v>
      </c>
      <c r="B706" s="7">
        <v>45379</v>
      </c>
      <c r="C706" s="13">
        <f t="shared" si="81"/>
        <v>2024</v>
      </c>
      <c r="D706" s="7" t="str">
        <f t="shared" si="82"/>
        <v>Mar</v>
      </c>
      <c r="E706" s="7" t="str">
        <f t="shared" si="83"/>
        <v>Thu</v>
      </c>
      <c r="F706" t="s">
        <v>541</v>
      </c>
      <c r="G706" t="s">
        <v>35</v>
      </c>
      <c r="H706" t="s">
        <v>17</v>
      </c>
      <c r="I706" s="2" t="str">
        <f t="shared" si="80"/>
        <v>East</v>
      </c>
      <c r="J706" t="s">
        <v>12</v>
      </c>
      <c r="K706" t="s">
        <v>23</v>
      </c>
      <c r="L706">
        <v>4</v>
      </c>
      <c r="M706">
        <v>120</v>
      </c>
      <c r="N706">
        <f t="shared" si="84"/>
        <v>480</v>
      </c>
      <c r="O706">
        <f t="shared" si="85"/>
        <v>48</v>
      </c>
      <c r="P706" t="str">
        <f t="shared" si="86"/>
        <v>Standard Order</v>
      </c>
      <c r="Q706" t="str">
        <f t="shared" si="87"/>
        <v>Weekday</v>
      </c>
    </row>
    <row r="707" spans="1:17" x14ac:dyDescent="0.35">
      <c r="A707" t="s">
        <v>857</v>
      </c>
      <c r="B707" s="7">
        <v>45533</v>
      </c>
      <c r="C707" s="13">
        <f t="shared" si="81"/>
        <v>2024</v>
      </c>
      <c r="D707" s="7" t="str">
        <f t="shared" si="82"/>
        <v>Aug</v>
      </c>
      <c r="E707" s="7" t="str">
        <f t="shared" si="83"/>
        <v>Thu</v>
      </c>
      <c r="F707" t="s">
        <v>374</v>
      </c>
      <c r="G707" t="s">
        <v>10</v>
      </c>
      <c r="H707" t="s">
        <v>22</v>
      </c>
      <c r="I707" s="2" t="str">
        <f t="shared" ref="I707:I770" si="88">TRIM(J708)</f>
        <v>West</v>
      </c>
      <c r="J707" t="s">
        <v>42</v>
      </c>
      <c r="K707" t="s">
        <v>32</v>
      </c>
      <c r="L707">
        <v>18</v>
      </c>
      <c r="M707">
        <v>120</v>
      </c>
      <c r="N707">
        <f t="shared" si="84"/>
        <v>2160</v>
      </c>
      <c r="O707">
        <f t="shared" si="85"/>
        <v>216</v>
      </c>
      <c r="P707" t="str">
        <f t="shared" si="86"/>
        <v>Large Order</v>
      </c>
      <c r="Q707" t="str">
        <f t="shared" si="87"/>
        <v>Weekday</v>
      </c>
    </row>
    <row r="708" spans="1:17" x14ac:dyDescent="0.35">
      <c r="A708" t="s">
        <v>858</v>
      </c>
      <c r="B708" s="7">
        <v>45487</v>
      </c>
      <c r="C708" s="13">
        <f t="shared" ref="C708:C771" si="89">YEAR(B708)</f>
        <v>2024</v>
      </c>
      <c r="D708" s="7" t="str">
        <f t="shared" ref="D708:D771" si="90">TEXT(B708,"mmm")</f>
        <v>Jul</v>
      </c>
      <c r="E708" s="7" t="str">
        <f t="shared" ref="E708:E771" si="91">TEXT(B708,"ddd")</f>
        <v>Sun</v>
      </c>
      <c r="F708" t="s">
        <v>200</v>
      </c>
      <c r="G708" t="s">
        <v>79</v>
      </c>
      <c r="H708" t="s">
        <v>11</v>
      </c>
      <c r="I708" s="2" t="str">
        <f t="shared" si="88"/>
        <v>North</v>
      </c>
      <c r="J708" t="s">
        <v>27</v>
      </c>
      <c r="K708" t="s">
        <v>32</v>
      </c>
      <c r="L708">
        <v>9</v>
      </c>
      <c r="M708">
        <v>120</v>
      </c>
      <c r="N708">
        <f t="shared" ref="N708:N771" si="92">M708*L708</f>
        <v>1080</v>
      </c>
      <c r="O708">
        <f t="shared" ref="O708:O771" si="93">N708*0.1</f>
        <v>108</v>
      </c>
      <c r="P708" t="str">
        <f t="shared" ref="P708:P771" si="94">IF(N708&gt;500,"Large Order","Standard Order")</f>
        <v>Large Order</v>
      </c>
      <c r="Q708" t="str">
        <f t="shared" ref="Q708:Q771" si="95">IF(OR(TRIM(E708)="Sat",TRIM(E708)="Sun"),"Weekend","Weekday")</f>
        <v>Weekend</v>
      </c>
    </row>
    <row r="709" spans="1:17" x14ac:dyDescent="0.35">
      <c r="A709" t="s">
        <v>859</v>
      </c>
      <c r="B709" s="7">
        <v>45407</v>
      </c>
      <c r="C709" s="13">
        <f t="shared" si="89"/>
        <v>2024</v>
      </c>
      <c r="D709" s="7" t="str">
        <f t="shared" si="90"/>
        <v>Apr</v>
      </c>
      <c r="E709" s="7" t="str">
        <f t="shared" si="91"/>
        <v>Thu</v>
      </c>
      <c r="F709" t="s">
        <v>101</v>
      </c>
      <c r="G709" t="s">
        <v>16</v>
      </c>
      <c r="H709" t="s">
        <v>22</v>
      </c>
      <c r="I709" s="2" t="str">
        <f t="shared" si="88"/>
        <v>South</v>
      </c>
      <c r="J709" t="s">
        <v>12</v>
      </c>
      <c r="K709" t="s">
        <v>32</v>
      </c>
      <c r="L709">
        <v>4</v>
      </c>
      <c r="M709">
        <v>120</v>
      </c>
      <c r="N709">
        <f t="shared" si="92"/>
        <v>480</v>
      </c>
      <c r="O709">
        <f t="shared" si="93"/>
        <v>48</v>
      </c>
      <c r="P709" t="str">
        <f t="shared" si="94"/>
        <v>Standard Order</v>
      </c>
      <c r="Q709" t="str">
        <f t="shared" si="95"/>
        <v>Weekday</v>
      </c>
    </row>
    <row r="710" spans="1:17" x14ac:dyDescent="0.35">
      <c r="A710" t="s">
        <v>860</v>
      </c>
      <c r="B710" s="7">
        <v>45569</v>
      </c>
      <c r="C710" s="13">
        <f t="shared" si="89"/>
        <v>2024</v>
      </c>
      <c r="D710" s="7" t="str">
        <f t="shared" si="90"/>
        <v>Oct</v>
      </c>
      <c r="E710" s="7" t="str">
        <f t="shared" si="91"/>
        <v>Fri</v>
      </c>
      <c r="F710" t="s">
        <v>408</v>
      </c>
      <c r="G710" t="s">
        <v>174</v>
      </c>
      <c r="H710" t="s">
        <v>22</v>
      </c>
      <c r="I710" s="2" t="str">
        <f t="shared" si="88"/>
        <v>West</v>
      </c>
      <c r="J710" t="s">
        <v>56</v>
      </c>
      <c r="K710" t="s">
        <v>36</v>
      </c>
      <c r="L710">
        <v>2</v>
      </c>
      <c r="M710">
        <v>120</v>
      </c>
      <c r="N710">
        <f t="shared" si="92"/>
        <v>240</v>
      </c>
      <c r="O710">
        <f t="shared" si="93"/>
        <v>24</v>
      </c>
      <c r="P710" t="str">
        <f t="shared" si="94"/>
        <v>Standard Order</v>
      </c>
      <c r="Q710" t="str">
        <f t="shared" si="95"/>
        <v>Weekday</v>
      </c>
    </row>
    <row r="711" spans="1:17" x14ac:dyDescent="0.35">
      <c r="A711" t="s">
        <v>861</v>
      </c>
      <c r="B711" s="7">
        <v>45506</v>
      </c>
      <c r="C711" s="13">
        <f t="shared" si="89"/>
        <v>2024</v>
      </c>
      <c r="D711" s="7" t="str">
        <f t="shared" si="90"/>
        <v>Aug</v>
      </c>
      <c r="E711" s="7" t="str">
        <f t="shared" si="91"/>
        <v>Fri</v>
      </c>
      <c r="F711" t="s">
        <v>312</v>
      </c>
      <c r="G711" t="s">
        <v>59</v>
      </c>
      <c r="H711" t="s">
        <v>22</v>
      </c>
      <c r="I711" s="2" t="str">
        <f t="shared" si="88"/>
        <v>Central</v>
      </c>
      <c r="J711" t="s">
        <v>27</v>
      </c>
      <c r="K711" t="s">
        <v>13</v>
      </c>
      <c r="L711">
        <v>8</v>
      </c>
      <c r="M711">
        <v>120</v>
      </c>
      <c r="N711">
        <f t="shared" si="92"/>
        <v>960</v>
      </c>
      <c r="O711">
        <f t="shared" si="93"/>
        <v>96</v>
      </c>
      <c r="P711" t="str">
        <f t="shared" si="94"/>
        <v>Large Order</v>
      </c>
      <c r="Q711" t="str">
        <f t="shared" si="95"/>
        <v>Weekday</v>
      </c>
    </row>
    <row r="712" spans="1:17" x14ac:dyDescent="0.35">
      <c r="A712" t="s">
        <v>862</v>
      </c>
      <c r="B712" s="7">
        <v>45494</v>
      </c>
      <c r="C712" s="13">
        <f t="shared" si="89"/>
        <v>2024</v>
      </c>
      <c r="D712" s="7" t="str">
        <f t="shared" si="90"/>
        <v>Jul</v>
      </c>
      <c r="E712" s="7" t="str">
        <f t="shared" si="91"/>
        <v>Sun</v>
      </c>
      <c r="F712" t="s">
        <v>436</v>
      </c>
      <c r="G712" t="s">
        <v>59</v>
      </c>
      <c r="H712" t="s">
        <v>11</v>
      </c>
      <c r="I712" s="2" t="str">
        <f t="shared" si="88"/>
        <v>South</v>
      </c>
      <c r="J712" t="s">
        <v>306</v>
      </c>
      <c r="K712" t="s">
        <v>36</v>
      </c>
      <c r="L712">
        <v>17</v>
      </c>
      <c r="M712">
        <v>120</v>
      </c>
      <c r="N712">
        <f t="shared" si="92"/>
        <v>2040</v>
      </c>
      <c r="O712">
        <f t="shared" si="93"/>
        <v>204</v>
      </c>
      <c r="P712" t="str">
        <f t="shared" si="94"/>
        <v>Large Order</v>
      </c>
      <c r="Q712" t="str">
        <f t="shared" si="95"/>
        <v>Weekend</v>
      </c>
    </row>
    <row r="713" spans="1:17" x14ac:dyDescent="0.35">
      <c r="A713" t="s">
        <v>863</v>
      </c>
      <c r="B713" s="7">
        <v>45367</v>
      </c>
      <c r="C713" s="13">
        <f t="shared" si="89"/>
        <v>2024</v>
      </c>
      <c r="D713" s="7" t="str">
        <f t="shared" si="90"/>
        <v>Mar</v>
      </c>
      <c r="E713" s="7" t="str">
        <f t="shared" si="91"/>
        <v>Sat</v>
      </c>
      <c r="F713" t="s">
        <v>114</v>
      </c>
      <c r="G713" t="s">
        <v>45</v>
      </c>
      <c r="H713" t="s">
        <v>17</v>
      </c>
      <c r="I713" s="2" t="str">
        <f t="shared" si="88"/>
        <v>West</v>
      </c>
      <c r="J713" t="s">
        <v>56</v>
      </c>
      <c r="K713" t="s">
        <v>28</v>
      </c>
      <c r="L713">
        <v>7</v>
      </c>
      <c r="M713">
        <v>120</v>
      </c>
      <c r="N713">
        <f t="shared" si="92"/>
        <v>840</v>
      </c>
      <c r="O713">
        <f t="shared" si="93"/>
        <v>84</v>
      </c>
      <c r="P713" t="str">
        <f t="shared" si="94"/>
        <v>Large Order</v>
      </c>
      <c r="Q713" t="str">
        <f t="shared" si="95"/>
        <v>Weekend</v>
      </c>
    </row>
    <row r="714" spans="1:17" x14ac:dyDescent="0.35">
      <c r="A714" t="s">
        <v>864</v>
      </c>
      <c r="B714" s="7">
        <v>45313</v>
      </c>
      <c r="C714" s="13">
        <f t="shared" si="89"/>
        <v>2024</v>
      </c>
      <c r="D714" s="7" t="str">
        <f t="shared" si="90"/>
        <v>Jan</v>
      </c>
      <c r="E714" s="7" t="str">
        <f t="shared" si="91"/>
        <v>Mon</v>
      </c>
      <c r="F714" t="s">
        <v>309</v>
      </c>
      <c r="G714" t="s">
        <v>65</v>
      </c>
      <c r="H714" t="s">
        <v>11</v>
      </c>
      <c r="I714" s="2" t="str">
        <f t="shared" si="88"/>
        <v>North</v>
      </c>
      <c r="J714" t="s">
        <v>27</v>
      </c>
      <c r="K714" t="s">
        <v>32</v>
      </c>
      <c r="L714">
        <v>5</v>
      </c>
      <c r="M714">
        <v>120</v>
      </c>
      <c r="N714">
        <f t="shared" si="92"/>
        <v>600</v>
      </c>
      <c r="O714">
        <f t="shared" si="93"/>
        <v>60</v>
      </c>
      <c r="P714" t="str">
        <f t="shared" si="94"/>
        <v>Large Order</v>
      </c>
      <c r="Q714" t="str">
        <f t="shared" si="95"/>
        <v>Weekday</v>
      </c>
    </row>
    <row r="715" spans="1:17" x14ac:dyDescent="0.35">
      <c r="A715" t="s">
        <v>865</v>
      </c>
      <c r="B715" s="7">
        <v>45455</v>
      </c>
      <c r="C715" s="13">
        <f t="shared" si="89"/>
        <v>2024</v>
      </c>
      <c r="D715" s="7" t="str">
        <f t="shared" si="90"/>
        <v>Jun</v>
      </c>
      <c r="E715" s="7" t="str">
        <f t="shared" si="91"/>
        <v>Wed</v>
      </c>
      <c r="F715" t="s">
        <v>388</v>
      </c>
      <c r="G715" t="s">
        <v>31</v>
      </c>
      <c r="H715" t="s">
        <v>11</v>
      </c>
      <c r="I715" s="2" t="str">
        <f t="shared" si="88"/>
        <v>North</v>
      </c>
      <c r="J715" t="s">
        <v>12</v>
      </c>
      <c r="K715" t="s">
        <v>32</v>
      </c>
      <c r="L715">
        <v>18</v>
      </c>
      <c r="M715">
        <v>120</v>
      </c>
      <c r="N715">
        <f t="shared" si="92"/>
        <v>2160</v>
      </c>
      <c r="O715">
        <f t="shared" si="93"/>
        <v>216</v>
      </c>
      <c r="P715" t="str">
        <f t="shared" si="94"/>
        <v>Large Order</v>
      </c>
      <c r="Q715" t="str">
        <f t="shared" si="95"/>
        <v>Weekday</v>
      </c>
    </row>
    <row r="716" spans="1:17" x14ac:dyDescent="0.35">
      <c r="A716" t="s">
        <v>866</v>
      </c>
      <c r="B716" s="7">
        <v>45433</v>
      </c>
      <c r="C716" s="13">
        <f t="shared" si="89"/>
        <v>2024</v>
      </c>
      <c r="D716" s="7" t="str">
        <f t="shared" si="90"/>
        <v>May</v>
      </c>
      <c r="E716" s="7" t="str">
        <f t="shared" si="91"/>
        <v>Tue</v>
      </c>
      <c r="F716" t="s">
        <v>363</v>
      </c>
      <c r="G716" t="s">
        <v>62</v>
      </c>
      <c r="H716" t="s">
        <v>17</v>
      </c>
      <c r="I716" s="2" t="str">
        <f t="shared" si="88"/>
        <v>South</v>
      </c>
      <c r="J716" t="s">
        <v>12</v>
      </c>
      <c r="K716" t="s">
        <v>23</v>
      </c>
      <c r="L716">
        <v>20</v>
      </c>
      <c r="M716">
        <v>120</v>
      </c>
      <c r="N716">
        <f t="shared" si="92"/>
        <v>2400</v>
      </c>
      <c r="O716">
        <f t="shared" si="93"/>
        <v>240</v>
      </c>
      <c r="P716" t="str">
        <f t="shared" si="94"/>
        <v>Large Order</v>
      </c>
      <c r="Q716" t="str">
        <f t="shared" si="95"/>
        <v>Weekday</v>
      </c>
    </row>
    <row r="717" spans="1:17" x14ac:dyDescent="0.35">
      <c r="A717" t="s">
        <v>867</v>
      </c>
      <c r="B717" s="7">
        <v>45349</v>
      </c>
      <c r="C717" s="13">
        <f t="shared" si="89"/>
        <v>2024</v>
      </c>
      <c r="D717" s="7" t="str">
        <f t="shared" si="90"/>
        <v>Feb</v>
      </c>
      <c r="E717" s="7" t="str">
        <f t="shared" si="91"/>
        <v>Tue</v>
      </c>
      <c r="F717" t="s">
        <v>572</v>
      </c>
      <c r="G717" t="s">
        <v>59</v>
      </c>
      <c r="H717" t="s">
        <v>11</v>
      </c>
      <c r="I717" s="2" t="str">
        <f t="shared" si="88"/>
        <v>East</v>
      </c>
      <c r="J717" t="s">
        <v>56</v>
      </c>
      <c r="K717" t="s">
        <v>13</v>
      </c>
      <c r="L717">
        <v>19</v>
      </c>
      <c r="M717">
        <v>120</v>
      </c>
      <c r="N717">
        <f t="shared" si="92"/>
        <v>2280</v>
      </c>
      <c r="O717">
        <f t="shared" si="93"/>
        <v>228</v>
      </c>
      <c r="P717" t="str">
        <f t="shared" si="94"/>
        <v>Large Order</v>
      </c>
      <c r="Q717" t="str">
        <f t="shared" si="95"/>
        <v>Weekday</v>
      </c>
    </row>
    <row r="718" spans="1:17" x14ac:dyDescent="0.35">
      <c r="A718" t="s">
        <v>868</v>
      </c>
      <c r="B718" s="7">
        <v>45346</v>
      </c>
      <c r="C718" s="13">
        <f t="shared" si="89"/>
        <v>2024</v>
      </c>
      <c r="D718" s="7" t="str">
        <f t="shared" si="90"/>
        <v>Feb</v>
      </c>
      <c r="E718" s="7" t="str">
        <f t="shared" si="91"/>
        <v>Sat</v>
      </c>
      <c r="F718" t="s">
        <v>614</v>
      </c>
      <c r="G718" t="s">
        <v>174</v>
      </c>
      <c r="H718" t="s">
        <v>11</v>
      </c>
      <c r="I718" s="2" t="str">
        <f t="shared" si="88"/>
        <v>Central</v>
      </c>
      <c r="J718" t="s">
        <v>42</v>
      </c>
      <c r="K718" t="s">
        <v>32</v>
      </c>
      <c r="L718">
        <v>12</v>
      </c>
      <c r="M718">
        <v>120</v>
      </c>
      <c r="N718">
        <f t="shared" si="92"/>
        <v>1440</v>
      </c>
      <c r="O718">
        <f t="shared" si="93"/>
        <v>144</v>
      </c>
      <c r="P718" t="str">
        <f t="shared" si="94"/>
        <v>Large Order</v>
      </c>
      <c r="Q718" t="str">
        <f t="shared" si="95"/>
        <v>Weekend</v>
      </c>
    </row>
    <row r="719" spans="1:17" x14ac:dyDescent="0.35">
      <c r="A719" t="s">
        <v>869</v>
      </c>
      <c r="B719" s="7">
        <v>45488</v>
      </c>
      <c r="C719" s="13">
        <f t="shared" si="89"/>
        <v>2024</v>
      </c>
      <c r="D719" s="7" t="str">
        <f t="shared" si="90"/>
        <v>Jul</v>
      </c>
      <c r="E719" s="7" t="str">
        <f t="shared" si="91"/>
        <v>Mon</v>
      </c>
      <c r="F719" t="s">
        <v>350</v>
      </c>
      <c r="G719" t="s">
        <v>109</v>
      </c>
      <c r="H719" t="s">
        <v>17</v>
      </c>
      <c r="I719" s="2" t="str">
        <f t="shared" si="88"/>
        <v>Central</v>
      </c>
      <c r="J719" t="s">
        <v>306</v>
      </c>
      <c r="K719" t="s">
        <v>32</v>
      </c>
      <c r="L719">
        <v>16</v>
      </c>
      <c r="M719">
        <v>120</v>
      </c>
      <c r="N719">
        <f t="shared" si="92"/>
        <v>1920</v>
      </c>
      <c r="O719">
        <f t="shared" si="93"/>
        <v>192</v>
      </c>
      <c r="P719" t="str">
        <f t="shared" si="94"/>
        <v>Large Order</v>
      </c>
      <c r="Q719" t="str">
        <f t="shared" si="95"/>
        <v>Weekday</v>
      </c>
    </row>
    <row r="720" spans="1:17" x14ac:dyDescent="0.35">
      <c r="A720" t="s">
        <v>870</v>
      </c>
      <c r="B720" s="7">
        <v>45498</v>
      </c>
      <c r="C720" s="13">
        <f t="shared" si="89"/>
        <v>2024</v>
      </c>
      <c r="D720" s="7" t="str">
        <f t="shared" si="90"/>
        <v>Jul</v>
      </c>
      <c r="E720" s="7" t="str">
        <f t="shared" si="91"/>
        <v>Thu</v>
      </c>
      <c r="F720" t="s">
        <v>167</v>
      </c>
      <c r="G720" t="s">
        <v>41</v>
      </c>
      <c r="H720" t="s">
        <v>22</v>
      </c>
      <c r="I720" s="2" t="str">
        <f t="shared" si="88"/>
        <v>West</v>
      </c>
      <c r="J720" t="s">
        <v>306</v>
      </c>
      <c r="K720" t="s">
        <v>32</v>
      </c>
      <c r="L720">
        <v>13</v>
      </c>
      <c r="M720">
        <v>120</v>
      </c>
      <c r="N720">
        <f t="shared" si="92"/>
        <v>1560</v>
      </c>
      <c r="O720">
        <f t="shared" si="93"/>
        <v>156</v>
      </c>
      <c r="P720" t="str">
        <f t="shared" si="94"/>
        <v>Large Order</v>
      </c>
      <c r="Q720" t="str">
        <f t="shared" si="95"/>
        <v>Weekday</v>
      </c>
    </row>
    <row r="721" spans="1:17" x14ac:dyDescent="0.35">
      <c r="A721" t="s">
        <v>871</v>
      </c>
      <c r="B721" s="7">
        <v>45645</v>
      </c>
      <c r="C721" s="13">
        <f t="shared" si="89"/>
        <v>2024</v>
      </c>
      <c r="D721" s="7" t="str">
        <f t="shared" si="90"/>
        <v>Dec</v>
      </c>
      <c r="E721" s="7" t="str">
        <f t="shared" si="91"/>
        <v>Thu</v>
      </c>
      <c r="F721" t="s">
        <v>93</v>
      </c>
      <c r="G721" t="s">
        <v>26</v>
      </c>
      <c r="H721" t="s">
        <v>11</v>
      </c>
      <c r="I721" s="2" t="str">
        <f t="shared" si="88"/>
        <v>North</v>
      </c>
      <c r="J721" t="s">
        <v>27</v>
      </c>
      <c r="K721" t="s">
        <v>32</v>
      </c>
      <c r="L721">
        <v>12</v>
      </c>
      <c r="M721">
        <v>120</v>
      </c>
      <c r="N721">
        <f t="shared" si="92"/>
        <v>1440</v>
      </c>
      <c r="O721">
        <f t="shared" si="93"/>
        <v>144</v>
      </c>
      <c r="P721" t="str">
        <f t="shared" si="94"/>
        <v>Large Order</v>
      </c>
      <c r="Q721" t="str">
        <f t="shared" si="95"/>
        <v>Weekday</v>
      </c>
    </row>
    <row r="722" spans="1:17" x14ac:dyDescent="0.35">
      <c r="A722" t="s">
        <v>872</v>
      </c>
      <c r="B722" s="7">
        <v>45451</v>
      </c>
      <c r="C722" s="13">
        <f t="shared" si="89"/>
        <v>2024</v>
      </c>
      <c r="D722" s="7" t="str">
        <f t="shared" si="90"/>
        <v>Jun</v>
      </c>
      <c r="E722" s="7" t="str">
        <f t="shared" si="91"/>
        <v>Sat</v>
      </c>
      <c r="F722" t="s">
        <v>89</v>
      </c>
      <c r="G722" t="s">
        <v>197</v>
      </c>
      <c r="H722" t="s">
        <v>17</v>
      </c>
      <c r="I722" s="2" t="str">
        <f t="shared" si="88"/>
        <v>West</v>
      </c>
      <c r="J722" t="s">
        <v>12</v>
      </c>
      <c r="K722" t="s">
        <v>23</v>
      </c>
      <c r="L722">
        <v>5</v>
      </c>
      <c r="M722">
        <v>120</v>
      </c>
      <c r="N722">
        <f t="shared" si="92"/>
        <v>600</v>
      </c>
      <c r="O722">
        <f t="shared" si="93"/>
        <v>60</v>
      </c>
      <c r="P722" t="str">
        <f t="shared" si="94"/>
        <v>Large Order</v>
      </c>
      <c r="Q722" t="str">
        <f t="shared" si="95"/>
        <v>Weekend</v>
      </c>
    </row>
    <row r="723" spans="1:17" x14ac:dyDescent="0.35">
      <c r="A723" t="s">
        <v>873</v>
      </c>
      <c r="B723" s="7">
        <v>45456</v>
      </c>
      <c r="C723" s="13">
        <f t="shared" si="89"/>
        <v>2024</v>
      </c>
      <c r="D723" s="7" t="str">
        <f t="shared" si="90"/>
        <v>Jun</v>
      </c>
      <c r="E723" s="7" t="str">
        <f t="shared" si="91"/>
        <v>Thu</v>
      </c>
      <c r="F723" t="s">
        <v>101</v>
      </c>
      <c r="G723" t="s">
        <v>109</v>
      </c>
      <c r="H723" t="s">
        <v>22</v>
      </c>
      <c r="I723" s="2" t="str">
        <f t="shared" si="88"/>
        <v>Central</v>
      </c>
      <c r="J723" t="s">
        <v>27</v>
      </c>
      <c r="K723" t="s">
        <v>28</v>
      </c>
      <c r="L723">
        <v>3</v>
      </c>
      <c r="M723">
        <v>120</v>
      </c>
      <c r="N723">
        <f t="shared" si="92"/>
        <v>360</v>
      </c>
      <c r="O723">
        <f t="shared" si="93"/>
        <v>36</v>
      </c>
      <c r="P723" t="str">
        <f t="shared" si="94"/>
        <v>Standard Order</v>
      </c>
      <c r="Q723" t="str">
        <f t="shared" si="95"/>
        <v>Weekday</v>
      </c>
    </row>
    <row r="724" spans="1:17" x14ac:dyDescent="0.35">
      <c r="A724" t="s">
        <v>874</v>
      </c>
      <c r="B724" s="7">
        <v>45500</v>
      </c>
      <c r="C724" s="13">
        <f t="shared" si="89"/>
        <v>2024</v>
      </c>
      <c r="D724" s="7" t="str">
        <f t="shared" si="90"/>
        <v>Jul</v>
      </c>
      <c r="E724" s="7" t="str">
        <f t="shared" si="91"/>
        <v>Sat</v>
      </c>
      <c r="F724" t="s">
        <v>304</v>
      </c>
      <c r="G724" t="s">
        <v>48</v>
      </c>
      <c r="H724" t="s">
        <v>17</v>
      </c>
      <c r="I724" s="2" t="str">
        <f t="shared" si="88"/>
        <v>Central</v>
      </c>
      <c r="J724" t="s">
        <v>306</v>
      </c>
      <c r="K724" t="s">
        <v>28</v>
      </c>
      <c r="L724">
        <v>2</v>
      </c>
      <c r="M724">
        <v>120</v>
      </c>
      <c r="N724">
        <f t="shared" si="92"/>
        <v>240</v>
      </c>
      <c r="O724">
        <f t="shared" si="93"/>
        <v>24</v>
      </c>
      <c r="P724" t="str">
        <f t="shared" si="94"/>
        <v>Standard Order</v>
      </c>
      <c r="Q724" t="str">
        <f t="shared" si="95"/>
        <v>Weekend</v>
      </c>
    </row>
    <row r="725" spans="1:17" x14ac:dyDescent="0.35">
      <c r="A725" t="s">
        <v>875</v>
      </c>
      <c r="B725" s="7">
        <v>45325</v>
      </c>
      <c r="C725" s="13">
        <f t="shared" si="89"/>
        <v>2024</v>
      </c>
      <c r="D725" s="7" t="str">
        <f t="shared" si="90"/>
        <v>Feb</v>
      </c>
      <c r="E725" s="7" t="str">
        <f t="shared" si="91"/>
        <v>Sat</v>
      </c>
      <c r="F725" t="s">
        <v>147</v>
      </c>
      <c r="G725" t="s">
        <v>31</v>
      </c>
      <c r="H725" t="s">
        <v>22</v>
      </c>
      <c r="I725" s="2" t="str">
        <f t="shared" si="88"/>
        <v>South</v>
      </c>
      <c r="J725" t="s">
        <v>306</v>
      </c>
      <c r="K725" t="s">
        <v>36</v>
      </c>
      <c r="L725">
        <v>5</v>
      </c>
      <c r="M725">
        <v>120</v>
      </c>
      <c r="N725">
        <f t="shared" si="92"/>
        <v>600</v>
      </c>
      <c r="O725">
        <f t="shared" si="93"/>
        <v>60</v>
      </c>
      <c r="P725" t="str">
        <f t="shared" si="94"/>
        <v>Large Order</v>
      </c>
      <c r="Q725" t="str">
        <f t="shared" si="95"/>
        <v>Weekend</v>
      </c>
    </row>
    <row r="726" spans="1:17" x14ac:dyDescent="0.35">
      <c r="A726" t="s">
        <v>876</v>
      </c>
      <c r="B726" s="7">
        <v>45583</v>
      </c>
      <c r="C726" s="13">
        <f t="shared" si="89"/>
        <v>2024</v>
      </c>
      <c r="D726" s="7" t="str">
        <f t="shared" si="90"/>
        <v>Oct</v>
      </c>
      <c r="E726" s="7" t="str">
        <f t="shared" si="91"/>
        <v>Fri</v>
      </c>
      <c r="F726" t="s">
        <v>64</v>
      </c>
      <c r="G726" t="s">
        <v>65</v>
      </c>
      <c r="H726" t="s">
        <v>11</v>
      </c>
      <c r="I726" s="2" t="str">
        <f t="shared" si="88"/>
        <v>South</v>
      </c>
      <c r="J726" t="s">
        <v>56</v>
      </c>
      <c r="K726" t="s">
        <v>23</v>
      </c>
      <c r="L726">
        <v>2</v>
      </c>
      <c r="M726">
        <v>120</v>
      </c>
      <c r="N726">
        <f t="shared" si="92"/>
        <v>240</v>
      </c>
      <c r="O726">
        <f t="shared" si="93"/>
        <v>24</v>
      </c>
      <c r="P726" t="str">
        <f t="shared" si="94"/>
        <v>Standard Order</v>
      </c>
      <c r="Q726" t="str">
        <f t="shared" si="95"/>
        <v>Weekday</v>
      </c>
    </row>
    <row r="727" spans="1:17" x14ac:dyDescent="0.35">
      <c r="A727" t="s">
        <v>877</v>
      </c>
      <c r="B727" s="7">
        <v>45317</v>
      </c>
      <c r="C727" s="13">
        <f t="shared" si="89"/>
        <v>2024</v>
      </c>
      <c r="D727" s="7" t="str">
        <f t="shared" si="90"/>
        <v>Jan</v>
      </c>
      <c r="E727" s="7" t="str">
        <f t="shared" si="91"/>
        <v>Fri</v>
      </c>
      <c r="F727" t="s">
        <v>83</v>
      </c>
      <c r="G727" t="s">
        <v>26</v>
      </c>
      <c r="H727" t="s">
        <v>22</v>
      </c>
      <c r="I727" s="2" t="str">
        <f t="shared" si="88"/>
        <v>North</v>
      </c>
      <c r="J727" t="s">
        <v>56</v>
      </c>
      <c r="K727" t="s">
        <v>36</v>
      </c>
      <c r="L727">
        <v>12</v>
      </c>
      <c r="M727">
        <v>120</v>
      </c>
      <c r="N727">
        <f t="shared" si="92"/>
        <v>1440</v>
      </c>
      <c r="O727">
        <f t="shared" si="93"/>
        <v>144</v>
      </c>
      <c r="P727" t="str">
        <f t="shared" si="94"/>
        <v>Large Order</v>
      </c>
      <c r="Q727" t="str">
        <f t="shared" si="95"/>
        <v>Weekday</v>
      </c>
    </row>
    <row r="728" spans="1:17" x14ac:dyDescent="0.35">
      <c r="A728" t="s">
        <v>878</v>
      </c>
      <c r="B728" s="7">
        <v>45495</v>
      </c>
      <c r="C728" s="13">
        <f t="shared" si="89"/>
        <v>2024</v>
      </c>
      <c r="D728" s="7" t="str">
        <f t="shared" si="90"/>
        <v>Jul</v>
      </c>
      <c r="E728" s="7" t="str">
        <f t="shared" si="91"/>
        <v>Mon</v>
      </c>
      <c r="F728" t="s">
        <v>541</v>
      </c>
      <c r="G728" t="s">
        <v>197</v>
      </c>
      <c r="H728" t="s">
        <v>11</v>
      </c>
      <c r="I728" s="2" t="str">
        <f t="shared" si="88"/>
        <v>Central</v>
      </c>
      <c r="J728" t="s">
        <v>12</v>
      </c>
      <c r="K728" t="s">
        <v>23</v>
      </c>
      <c r="L728">
        <v>12</v>
      </c>
      <c r="M728">
        <v>120</v>
      </c>
      <c r="N728">
        <f t="shared" si="92"/>
        <v>1440</v>
      </c>
      <c r="O728">
        <f t="shared" si="93"/>
        <v>144</v>
      </c>
      <c r="P728" t="str">
        <f t="shared" si="94"/>
        <v>Large Order</v>
      </c>
      <c r="Q728" t="str">
        <f t="shared" si="95"/>
        <v>Weekday</v>
      </c>
    </row>
    <row r="729" spans="1:17" x14ac:dyDescent="0.35">
      <c r="A729" t="s">
        <v>879</v>
      </c>
      <c r="B729" s="7">
        <v>45382</v>
      </c>
      <c r="C729" s="13">
        <f t="shared" si="89"/>
        <v>2024</v>
      </c>
      <c r="D729" s="7" t="str">
        <f t="shared" si="90"/>
        <v>Mar</v>
      </c>
      <c r="E729" s="7" t="str">
        <f t="shared" si="91"/>
        <v>Sun</v>
      </c>
      <c r="F729" t="s">
        <v>553</v>
      </c>
      <c r="G729" t="s">
        <v>48</v>
      </c>
      <c r="H729" t="s">
        <v>22</v>
      </c>
      <c r="I729" s="2" t="str">
        <f t="shared" si="88"/>
        <v>North</v>
      </c>
      <c r="J729" t="s">
        <v>306</v>
      </c>
      <c r="K729" t="s">
        <v>32</v>
      </c>
      <c r="L729">
        <v>12</v>
      </c>
      <c r="M729">
        <v>120</v>
      </c>
      <c r="N729">
        <f t="shared" si="92"/>
        <v>1440</v>
      </c>
      <c r="O729">
        <f t="shared" si="93"/>
        <v>144</v>
      </c>
      <c r="P729" t="str">
        <f t="shared" si="94"/>
        <v>Large Order</v>
      </c>
      <c r="Q729" t="str">
        <f t="shared" si="95"/>
        <v>Weekend</v>
      </c>
    </row>
    <row r="730" spans="1:17" x14ac:dyDescent="0.35">
      <c r="A730" t="s">
        <v>880</v>
      </c>
      <c r="B730" s="7">
        <v>45644</v>
      </c>
      <c r="C730" s="13">
        <f t="shared" si="89"/>
        <v>2024</v>
      </c>
      <c r="D730" s="7" t="str">
        <f t="shared" si="90"/>
        <v>Dec</v>
      </c>
      <c r="E730" s="7" t="str">
        <f t="shared" si="91"/>
        <v>Wed</v>
      </c>
      <c r="F730" t="s">
        <v>203</v>
      </c>
      <c r="G730" t="s">
        <v>31</v>
      </c>
      <c r="H730" t="s">
        <v>17</v>
      </c>
      <c r="I730" s="2" t="str">
        <f t="shared" si="88"/>
        <v>South</v>
      </c>
      <c r="J730" t="s">
        <v>12</v>
      </c>
      <c r="K730" t="s">
        <v>36</v>
      </c>
      <c r="L730">
        <v>2</v>
      </c>
      <c r="M730">
        <v>120</v>
      </c>
      <c r="N730">
        <f t="shared" si="92"/>
        <v>240</v>
      </c>
      <c r="O730">
        <f t="shared" si="93"/>
        <v>24</v>
      </c>
      <c r="P730" t="str">
        <f t="shared" si="94"/>
        <v>Standard Order</v>
      </c>
      <c r="Q730" t="str">
        <f t="shared" si="95"/>
        <v>Weekday</v>
      </c>
    </row>
    <row r="731" spans="1:17" x14ac:dyDescent="0.35">
      <c r="A731" t="s">
        <v>881</v>
      </c>
      <c r="B731" s="7">
        <v>45401</v>
      </c>
      <c r="C731" s="13">
        <f t="shared" si="89"/>
        <v>2024</v>
      </c>
      <c r="D731" s="7" t="str">
        <f t="shared" si="90"/>
        <v>Apr</v>
      </c>
      <c r="E731" s="7" t="str">
        <f t="shared" si="91"/>
        <v>Fri</v>
      </c>
      <c r="F731" t="s">
        <v>240</v>
      </c>
      <c r="G731" t="s">
        <v>41</v>
      </c>
      <c r="H731" t="s">
        <v>22</v>
      </c>
      <c r="I731" s="2" t="str">
        <f t="shared" si="88"/>
        <v>North</v>
      </c>
      <c r="J731" t="s">
        <v>56</v>
      </c>
      <c r="K731" t="s">
        <v>23</v>
      </c>
      <c r="L731">
        <v>7</v>
      </c>
      <c r="M731">
        <v>120</v>
      </c>
      <c r="N731">
        <f t="shared" si="92"/>
        <v>840</v>
      </c>
      <c r="O731">
        <f t="shared" si="93"/>
        <v>84</v>
      </c>
      <c r="P731" t="str">
        <f t="shared" si="94"/>
        <v>Large Order</v>
      </c>
      <c r="Q731" t="str">
        <f t="shared" si="95"/>
        <v>Weekday</v>
      </c>
    </row>
    <row r="732" spans="1:17" x14ac:dyDescent="0.35">
      <c r="A732" t="s">
        <v>882</v>
      </c>
      <c r="B732" s="7">
        <v>45554</v>
      </c>
      <c r="C732" s="13">
        <f t="shared" si="89"/>
        <v>2024</v>
      </c>
      <c r="D732" s="7" t="str">
        <f t="shared" si="90"/>
        <v>Sep</v>
      </c>
      <c r="E732" s="7" t="str">
        <f t="shared" si="91"/>
        <v>Thu</v>
      </c>
      <c r="F732" t="s">
        <v>138</v>
      </c>
      <c r="G732" t="s">
        <v>35</v>
      </c>
      <c r="H732" t="s">
        <v>22</v>
      </c>
      <c r="I732" s="2" t="str">
        <f t="shared" si="88"/>
        <v>Central</v>
      </c>
      <c r="J732" t="s">
        <v>12</v>
      </c>
      <c r="K732" t="s">
        <v>36</v>
      </c>
      <c r="L732">
        <v>5</v>
      </c>
      <c r="M732">
        <v>120</v>
      </c>
      <c r="N732">
        <f t="shared" si="92"/>
        <v>600</v>
      </c>
      <c r="O732">
        <f t="shared" si="93"/>
        <v>60</v>
      </c>
      <c r="P732" t="str">
        <f t="shared" si="94"/>
        <v>Large Order</v>
      </c>
      <c r="Q732" t="str">
        <f t="shared" si="95"/>
        <v>Weekday</v>
      </c>
    </row>
    <row r="733" spans="1:17" x14ac:dyDescent="0.35">
      <c r="A733" t="s">
        <v>883</v>
      </c>
      <c r="B733" s="7">
        <v>45296</v>
      </c>
      <c r="C733" s="13">
        <f t="shared" si="89"/>
        <v>2024</v>
      </c>
      <c r="D733" s="7" t="str">
        <f t="shared" si="90"/>
        <v>Jan</v>
      </c>
      <c r="E733" s="7" t="str">
        <f t="shared" si="91"/>
        <v>Fri</v>
      </c>
      <c r="F733" t="s">
        <v>240</v>
      </c>
      <c r="G733" t="s">
        <v>74</v>
      </c>
      <c r="H733" t="s">
        <v>17</v>
      </c>
      <c r="I733" s="2" t="str">
        <f t="shared" si="88"/>
        <v>South</v>
      </c>
      <c r="J733" t="s">
        <v>306</v>
      </c>
      <c r="K733" t="s">
        <v>23</v>
      </c>
      <c r="L733">
        <v>9</v>
      </c>
      <c r="M733">
        <v>120</v>
      </c>
      <c r="N733">
        <f t="shared" si="92"/>
        <v>1080</v>
      </c>
      <c r="O733">
        <f t="shared" si="93"/>
        <v>108</v>
      </c>
      <c r="P733" t="str">
        <f t="shared" si="94"/>
        <v>Large Order</v>
      </c>
      <c r="Q733" t="str">
        <f t="shared" si="95"/>
        <v>Weekday</v>
      </c>
    </row>
    <row r="734" spans="1:17" x14ac:dyDescent="0.35">
      <c r="A734" t="s">
        <v>884</v>
      </c>
      <c r="B734" s="7">
        <v>45470</v>
      </c>
      <c r="C734" s="13">
        <f t="shared" si="89"/>
        <v>2024</v>
      </c>
      <c r="D734" s="7" t="str">
        <f t="shared" si="90"/>
        <v>Jun</v>
      </c>
      <c r="E734" s="7" t="str">
        <f t="shared" si="91"/>
        <v>Thu</v>
      </c>
      <c r="F734" t="s">
        <v>366</v>
      </c>
      <c r="G734" t="s">
        <v>70</v>
      </c>
      <c r="H734" t="s">
        <v>17</v>
      </c>
      <c r="I734" s="2" t="str">
        <f t="shared" si="88"/>
        <v>North</v>
      </c>
      <c r="J734" t="s">
        <v>56</v>
      </c>
      <c r="K734" t="s">
        <v>36</v>
      </c>
      <c r="L734">
        <v>10</v>
      </c>
      <c r="M734">
        <v>120</v>
      </c>
      <c r="N734">
        <f t="shared" si="92"/>
        <v>1200</v>
      </c>
      <c r="O734">
        <f t="shared" si="93"/>
        <v>120</v>
      </c>
      <c r="P734" t="str">
        <f t="shared" si="94"/>
        <v>Large Order</v>
      </c>
      <c r="Q734" t="str">
        <f t="shared" si="95"/>
        <v>Weekday</v>
      </c>
    </row>
    <row r="735" spans="1:17" x14ac:dyDescent="0.35">
      <c r="A735" t="s">
        <v>885</v>
      </c>
      <c r="B735" s="7">
        <v>45495</v>
      </c>
      <c r="C735" s="13">
        <f t="shared" si="89"/>
        <v>2024</v>
      </c>
      <c r="D735" s="7" t="str">
        <f t="shared" si="90"/>
        <v>Jul</v>
      </c>
      <c r="E735" s="7" t="str">
        <f t="shared" si="91"/>
        <v>Mon</v>
      </c>
      <c r="F735" t="s">
        <v>361</v>
      </c>
      <c r="G735" t="s">
        <v>160</v>
      </c>
      <c r="H735" t="s">
        <v>11</v>
      </c>
      <c r="I735" s="2" t="str">
        <f t="shared" si="88"/>
        <v>North</v>
      </c>
      <c r="J735" t="s">
        <v>12</v>
      </c>
      <c r="K735" t="s">
        <v>36</v>
      </c>
      <c r="L735">
        <v>12</v>
      </c>
      <c r="M735">
        <v>120</v>
      </c>
      <c r="N735">
        <f t="shared" si="92"/>
        <v>1440</v>
      </c>
      <c r="O735">
        <f t="shared" si="93"/>
        <v>144</v>
      </c>
      <c r="P735" t="str">
        <f t="shared" si="94"/>
        <v>Large Order</v>
      </c>
      <c r="Q735" t="str">
        <f t="shared" si="95"/>
        <v>Weekday</v>
      </c>
    </row>
    <row r="736" spans="1:17" x14ac:dyDescent="0.35">
      <c r="A736" t="s">
        <v>886</v>
      </c>
      <c r="B736" s="7">
        <v>45603</v>
      </c>
      <c r="C736" s="13">
        <f t="shared" si="89"/>
        <v>2024</v>
      </c>
      <c r="D736" s="7" t="str">
        <f t="shared" si="90"/>
        <v>Nov</v>
      </c>
      <c r="E736" s="7" t="str">
        <f t="shared" si="91"/>
        <v>Thu</v>
      </c>
      <c r="F736" t="s">
        <v>55</v>
      </c>
      <c r="G736" t="s">
        <v>35</v>
      </c>
      <c r="H736" t="s">
        <v>17</v>
      </c>
      <c r="I736" s="2" t="str">
        <f t="shared" si="88"/>
        <v>East</v>
      </c>
      <c r="J736" t="s">
        <v>12</v>
      </c>
      <c r="K736" t="s">
        <v>32</v>
      </c>
      <c r="L736">
        <v>3</v>
      </c>
      <c r="M736">
        <v>120</v>
      </c>
      <c r="N736">
        <f t="shared" si="92"/>
        <v>360</v>
      </c>
      <c r="O736">
        <f t="shared" si="93"/>
        <v>36</v>
      </c>
      <c r="P736" t="str">
        <f t="shared" si="94"/>
        <v>Standard Order</v>
      </c>
      <c r="Q736" t="str">
        <f t="shared" si="95"/>
        <v>Weekday</v>
      </c>
    </row>
    <row r="737" spans="1:17" x14ac:dyDescent="0.35">
      <c r="A737" t="s">
        <v>887</v>
      </c>
      <c r="B737" s="7">
        <v>45619</v>
      </c>
      <c r="C737" s="13">
        <f t="shared" si="89"/>
        <v>2024</v>
      </c>
      <c r="D737" s="7" t="str">
        <f t="shared" si="90"/>
        <v>Nov</v>
      </c>
      <c r="E737" s="7" t="str">
        <f t="shared" si="91"/>
        <v>Sat</v>
      </c>
      <c r="F737" t="s">
        <v>187</v>
      </c>
      <c r="G737" t="s">
        <v>21</v>
      </c>
      <c r="H737" t="s">
        <v>17</v>
      </c>
      <c r="I737" s="2" t="str">
        <f t="shared" si="88"/>
        <v>West</v>
      </c>
      <c r="J737" t="s">
        <v>42</v>
      </c>
      <c r="K737" t="s">
        <v>36</v>
      </c>
      <c r="L737">
        <v>10</v>
      </c>
      <c r="M737">
        <v>120</v>
      </c>
      <c r="N737">
        <f t="shared" si="92"/>
        <v>1200</v>
      </c>
      <c r="O737">
        <f t="shared" si="93"/>
        <v>120</v>
      </c>
      <c r="P737" t="str">
        <f t="shared" si="94"/>
        <v>Large Order</v>
      </c>
      <c r="Q737" t="str">
        <f t="shared" si="95"/>
        <v>Weekend</v>
      </c>
    </row>
    <row r="738" spans="1:17" x14ac:dyDescent="0.35">
      <c r="A738" t="s">
        <v>888</v>
      </c>
      <c r="B738" s="7">
        <v>45415</v>
      </c>
      <c r="C738" s="13">
        <f t="shared" si="89"/>
        <v>2024</v>
      </c>
      <c r="D738" s="7" t="str">
        <f t="shared" si="90"/>
        <v>May</v>
      </c>
      <c r="E738" s="7" t="str">
        <f t="shared" si="91"/>
        <v>Fri</v>
      </c>
      <c r="F738" t="s">
        <v>131</v>
      </c>
      <c r="G738" t="s">
        <v>41</v>
      </c>
      <c r="H738" t="s">
        <v>22</v>
      </c>
      <c r="I738" s="2" t="str">
        <f t="shared" si="88"/>
        <v>East</v>
      </c>
      <c r="J738" t="s">
        <v>27</v>
      </c>
      <c r="K738" t="s">
        <v>13</v>
      </c>
      <c r="L738">
        <v>11</v>
      </c>
      <c r="M738">
        <v>120</v>
      </c>
      <c r="N738">
        <f t="shared" si="92"/>
        <v>1320</v>
      </c>
      <c r="O738">
        <f t="shared" si="93"/>
        <v>132</v>
      </c>
      <c r="P738" t="str">
        <f t="shared" si="94"/>
        <v>Large Order</v>
      </c>
      <c r="Q738" t="str">
        <f t="shared" si="95"/>
        <v>Weekday</v>
      </c>
    </row>
    <row r="739" spans="1:17" x14ac:dyDescent="0.35">
      <c r="A739" t="s">
        <v>889</v>
      </c>
      <c r="B739" s="7">
        <v>45627</v>
      </c>
      <c r="C739" s="13">
        <f t="shared" si="89"/>
        <v>2024</v>
      </c>
      <c r="D739" s="7" t="str">
        <f t="shared" si="90"/>
        <v>Dec</v>
      </c>
      <c r="E739" s="7" t="str">
        <f t="shared" si="91"/>
        <v>Sun</v>
      </c>
      <c r="F739" t="s">
        <v>432</v>
      </c>
      <c r="G739" t="s">
        <v>87</v>
      </c>
      <c r="H739" t="s">
        <v>17</v>
      </c>
      <c r="I739" s="2" t="str">
        <f t="shared" si="88"/>
        <v>South</v>
      </c>
      <c r="J739" t="s">
        <v>42</v>
      </c>
      <c r="K739" t="s">
        <v>13</v>
      </c>
      <c r="L739">
        <v>13</v>
      </c>
      <c r="M739">
        <v>120</v>
      </c>
      <c r="N739">
        <f t="shared" si="92"/>
        <v>1560</v>
      </c>
      <c r="O739">
        <f t="shared" si="93"/>
        <v>156</v>
      </c>
      <c r="P739" t="str">
        <f t="shared" si="94"/>
        <v>Large Order</v>
      </c>
      <c r="Q739" t="str">
        <f t="shared" si="95"/>
        <v>Weekend</v>
      </c>
    </row>
    <row r="740" spans="1:17" x14ac:dyDescent="0.35">
      <c r="A740" t="s">
        <v>890</v>
      </c>
      <c r="B740" s="7">
        <v>45590</v>
      </c>
      <c r="C740" s="13">
        <f t="shared" si="89"/>
        <v>2024</v>
      </c>
      <c r="D740" s="7" t="str">
        <f t="shared" si="90"/>
        <v>Oct</v>
      </c>
      <c r="E740" s="7" t="str">
        <f t="shared" si="91"/>
        <v>Fri</v>
      </c>
      <c r="F740" t="s">
        <v>369</v>
      </c>
      <c r="G740" t="s">
        <v>72</v>
      </c>
      <c r="H740" t="s">
        <v>22</v>
      </c>
      <c r="I740" s="2" t="str">
        <f t="shared" si="88"/>
        <v>East</v>
      </c>
      <c r="J740" t="s">
        <v>56</v>
      </c>
      <c r="K740" t="s">
        <v>23</v>
      </c>
      <c r="L740">
        <v>8</v>
      </c>
      <c r="M740">
        <v>120</v>
      </c>
      <c r="N740">
        <f t="shared" si="92"/>
        <v>960</v>
      </c>
      <c r="O740">
        <f t="shared" si="93"/>
        <v>96</v>
      </c>
      <c r="P740" t="str">
        <f t="shared" si="94"/>
        <v>Large Order</v>
      </c>
      <c r="Q740" t="str">
        <f t="shared" si="95"/>
        <v>Weekday</v>
      </c>
    </row>
    <row r="741" spans="1:17" x14ac:dyDescent="0.35">
      <c r="A741" t="s">
        <v>891</v>
      </c>
      <c r="B741" s="7">
        <v>45635</v>
      </c>
      <c r="C741" s="13">
        <f t="shared" si="89"/>
        <v>2024</v>
      </c>
      <c r="D741" s="7" t="str">
        <f t="shared" si="90"/>
        <v>Dec</v>
      </c>
      <c r="E741" s="7" t="str">
        <f t="shared" si="91"/>
        <v>Mon</v>
      </c>
      <c r="F741" t="s">
        <v>182</v>
      </c>
      <c r="G741" t="s">
        <v>45</v>
      </c>
      <c r="H741" t="s">
        <v>22</v>
      </c>
      <c r="I741" s="2" t="str">
        <f t="shared" si="88"/>
        <v>East</v>
      </c>
      <c r="J741" t="s">
        <v>42</v>
      </c>
      <c r="K741" t="s">
        <v>13</v>
      </c>
      <c r="L741">
        <v>18</v>
      </c>
      <c r="M741">
        <v>120</v>
      </c>
      <c r="N741">
        <f t="shared" si="92"/>
        <v>2160</v>
      </c>
      <c r="O741">
        <f t="shared" si="93"/>
        <v>216</v>
      </c>
      <c r="P741" t="str">
        <f t="shared" si="94"/>
        <v>Large Order</v>
      </c>
      <c r="Q741" t="str">
        <f t="shared" si="95"/>
        <v>Weekday</v>
      </c>
    </row>
    <row r="742" spans="1:17" x14ac:dyDescent="0.35">
      <c r="A742" t="s">
        <v>892</v>
      </c>
      <c r="B742" s="7">
        <v>45533</v>
      </c>
      <c r="C742" s="13">
        <f t="shared" si="89"/>
        <v>2024</v>
      </c>
      <c r="D742" s="7" t="str">
        <f t="shared" si="90"/>
        <v>Aug</v>
      </c>
      <c r="E742" s="7" t="str">
        <f t="shared" si="91"/>
        <v>Thu</v>
      </c>
      <c r="F742" t="s">
        <v>34</v>
      </c>
      <c r="G742" t="s">
        <v>84</v>
      </c>
      <c r="H742" t="s">
        <v>22</v>
      </c>
      <c r="I742" s="2" t="str">
        <f t="shared" si="88"/>
        <v>North</v>
      </c>
      <c r="J742" t="s">
        <v>42</v>
      </c>
      <c r="K742" t="s">
        <v>28</v>
      </c>
      <c r="L742">
        <v>18</v>
      </c>
      <c r="M742">
        <v>120</v>
      </c>
      <c r="N742">
        <f t="shared" si="92"/>
        <v>2160</v>
      </c>
      <c r="O742">
        <f t="shared" si="93"/>
        <v>216</v>
      </c>
      <c r="P742" t="str">
        <f t="shared" si="94"/>
        <v>Large Order</v>
      </c>
      <c r="Q742" t="str">
        <f t="shared" si="95"/>
        <v>Weekday</v>
      </c>
    </row>
    <row r="743" spans="1:17" x14ac:dyDescent="0.35">
      <c r="A743" t="s">
        <v>893</v>
      </c>
      <c r="B743" s="7">
        <v>45640</v>
      </c>
      <c r="C743" s="13">
        <f t="shared" si="89"/>
        <v>2024</v>
      </c>
      <c r="D743" s="7" t="str">
        <f t="shared" si="90"/>
        <v>Dec</v>
      </c>
      <c r="E743" s="7" t="str">
        <f t="shared" si="91"/>
        <v>Sat</v>
      </c>
      <c r="F743" t="s">
        <v>118</v>
      </c>
      <c r="G743" t="s">
        <v>197</v>
      </c>
      <c r="H743" t="s">
        <v>22</v>
      </c>
      <c r="I743" s="2" t="str">
        <f t="shared" si="88"/>
        <v>East</v>
      </c>
      <c r="J743" t="s">
        <v>12</v>
      </c>
      <c r="K743" t="s">
        <v>32</v>
      </c>
      <c r="L743">
        <v>12</v>
      </c>
      <c r="M743">
        <v>120</v>
      </c>
      <c r="N743">
        <f t="shared" si="92"/>
        <v>1440</v>
      </c>
      <c r="O743">
        <f t="shared" si="93"/>
        <v>144</v>
      </c>
      <c r="P743" t="str">
        <f t="shared" si="94"/>
        <v>Large Order</v>
      </c>
      <c r="Q743" t="str">
        <f t="shared" si="95"/>
        <v>Weekend</v>
      </c>
    </row>
    <row r="744" spans="1:17" x14ac:dyDescent="0.35">
      <c r="A744" t="s">
        <v>894</v>
      </c>
      <c r="B744" s="7">
        <v>45507</v>
      </c>
      <c r="C744" s="13">
        <f t="shared" si="89"/>
        <v>2024</v>
      </c>
      <c r="D744" s="7" t="str">
        <f t="shared" si="90"/>
        <v>Aug</v>
      </c>
      <c r="E744" s="7" t="str">
        <f t="shared" si="91"/>
        <v>Sat</v>
      </c>
      <c r="F744" t="s">
        <v>728</v>
      </c>
      <c r="G744" t="s">
        <v>26</v>
      </c>
      <c r="H744" t="s">
        <v>17</v>
      </c>
      <c r="I744" s="2" t="str">
        <f t="shared" si="88"/>
        <v>Central</v>
      </c>
      <c r="J744" t="s">
        <v>42</v>
      </c>
      <c r="K744" t="s">
        <v>13</v>
      </c>
      <c r="L744">
        <v>19</v>
      </c>
      <c r="M744">
        <v>120</v>
      </c>
      <c r="N744">
        <f t="shared" si="92"/>
        <v>2280</v>
      </c>
      <c r="O744">
        <f t="shared" si="93"/>
        <v>228</v>
      </c>
      <c r="P744" t="str">
        <f t="shared" si="94"/>
        <v>Large Order</v>
      </c>
      <c r="Q744" t="str">
        <f t="shared" si="95"/>
        <v>Weekend</v>
      </c>
    </row>
    <row r="745" spans="1:17" x14ac:dyDescent="0.35">
      <c r="A745" t="s">
        <v>895</v>
      </c>
      <c r="B745" s="7">
        <v>45532</v>
      </c>
      <c r="C745" s="13">
        <f t="shared" si="89"/>
        <v>2024</v>
      </c>
      <c r="D745" s="7" t="str">
        <f t="shared" si="90"/>
        <v>Aug</v>
      </c>
      <c r="E745" s="7" t="str">
        <f t="shared" si="91"/>
        <v>Wed</v>
      </c>
      <c r="F745" t="s">
        <v>9</v>
      </c>
      <c r="G745" t="s">
        <v>59</v>
      </c>
      <c r="H745" t="s">
        <v>22</v>
      </c>
      <c r="I745" s="2" t="str">
        <f t="shared" si="88"/>
        <v>West</v>
      </c>
      <c r="J745" t="s">
        <v>306</v>
      </c>
      <c r="K745" t="s">
        <v>28</v>
      </c>
      <c r="L745">
        <v>20</v>
      </c>
      <c r="M745">
        <v>120</v>
      </c>
      <c r="N745">
        <f t="shared" si="92"/>
        <v>2400</v>
      </c>
      <c r="O745">
        <f t="shared" si="93"/>
        <v>240</v>
      </c>
      <c r="P745" t="str">
        <f t="shared" si="94"/>
        <v>Large Order</v>
      </c>
      <c r="Q745" t="str">
        <f t="shared" si="95"/>
        <v>Weekday</v>
      </c>
    </row>
    <row r="746" spans="1:17" x14ac:dyDescent="0.35">
      <c r="A746" t="s">
        <v>896</v>
      </c>
      <c r="B746" s="7">
        <v>45548</v>
      </c>
      <c r="C746" s="13">
        <f t="shared" si="89"/>
        <v>2024</v>
      </c>
      <c r="D746" s="7" t="str">
        <f t="shared" si="90"/>
        <v>Sep</v>
      </c>
      <c r="E746" s="7" t="str">
        <f t="shared" si="91"/>
        <v>Fri</v>
      </c>
      <c r="F746" t="s">
        <v>114</v>
      </c>
      <c r="G746" t="s">
        <v>160</v>
      </c>
      <c r="H746" t="s">
        <v>22</v>
      </c>
      <c r="I746" s="2" t="str">
        <f t="shared" si="88"/>
        <v>West</v>
      </c>
      <c r="J746" t="s">
        <v>27</v>
      </c>
      <c r="K746" t="s">
        <v>28</v>
      </c>
      <c r="L746">
        <v>10</v>
      </c>
      <c r="M746">
        <v>120</v>
      </c>
      <c r="N746">
        <f t="shared" si="92"/>
        <v>1200</v>
      </c>
      <c r="O746">
        <f t="shared" si="93"/>
        <v>120</v>
      </c>
      <c r="P746" t="str">
        <f t="shared" si="94"/>
        <v>Large Order</v>
      </c>
      <c r="Q746" t="str">
        <f t="shared" si="95"/>
        <v>Weekday</v>
      </c>
    </row>
    <row r="747" spans="1:17" x14ac:dyDescent="0.35">
      <c r="A747" t="s">
        <v>897</v>
      </c>
      <c r="B747" s="7">
        <v>45362</v>
      </c>
      <c r="C747" s="13">
        <f t="shared" si="89"/>
        <v>2024</v>
      </c>
      <c r="D747" s="7" t="str">
        <f t="shared" si="90"/>
        <v>Mar</v>
      </c>
      <c r="E747" s="7" t="str">
        <f t="shared" si="91"/>
        <v>Mon</v>
      </c>
      <c r="F747" t="s">
        <v>104</v>
      </c>
      <c r="G747" t="s">
        <v>59</v>
      </c>
      <c r="H747" t="s">
        <v>17</v>
      </c>
      <c r="I747" s="2" t="str">
        <f t="shared" si="88"/>
        <v>South</v>
      </c>
      <c r="J747" t="s">
        <v>27</v>
      </c>
      <c r="K747" t="s">
        <v>28</v>
      </c>
      <c r="L747">
        <v>15</v>
      </c>
      <c r="M747">
        <v>120</v>
      </c>
      <c r="N747">
        <f t="shared" si="92"/>
        <v>1800</v>
      </c>
      <c r="O747">
        <f t="shared" si="93"/>
        <v>180</v>
      </c>
      <c r="P747" t="str">
        <f t="shared" si="94"/>
        <v>Large Order</v>
      </c>
      <c r="Q747" t="str">
        <f t="shared" si="95"/>
        <v>Weekday</v>
      </c>
    </row>
    <row r="748" spans="1:17" x14ac:dyDescent="0.35">
      <c r="A748" t="s">
        <v>898</v>
      </c>
      <c r="B748" s="7">
        <v>45333</v>
      </c>
      <c r="C748" s="13">
        <f t="shared" si="89"/>
        <v>2024</v>
      </c>
      <c r="D748" s="7" t="str">
        <f t="shared" si="90"/>
        <v>Feb</v>
      </c>
      <c r="E748" s="7" t="str">
        <f t="shared" si="91"/>
        <v>Sun</v>
      </c>
      <c r="F748" t="s">
        <v>374</v>
      </c>
      <c r="G748" t="s">
        <v>72</v>
      </c>
      <c r="H748" t="s">
        <v>17</v>
      </c>
      <c r="I748" s="2" t="str">
        <f t="shared" si="88"/>
        <v>Central</v>
      </c>
      <c r="J748" t="s">
        <v>56</v>
      </c>
      <c r="K748" t="s">
        <v>32</v>
      </c>
      <c r="L748">
        <v>2</v>
      </c>
      <c r="M748">
        <v>120</v>
      </c>
      <c r="N748">
        <f t="shared" si="92"/>
        <v>240</v>
      </c>
      <c r="O748">
        <f t="shared" si="93"/>
        <v>24</v>
      </c>
      <c r="P748" t="str">
        <f t="shared" si="94"/>
        <v>Standard Order</v>
      </c>
      <c r="Q748" t="str">
        <f t="shared" si="95"/>
        <v>Weekend</v>
      </c>
    </row>
    <row r="749" spans="1:17" x14ac:dyDescent="0.35">
      <c r="A749" t="s">
        <v>899</v>
      </c>
      <c r="B749" s="7">
        <v>45399</v>
      </c>
      <c r="C749" s="13">
        <f t="shared" si="89"/>
        <v>2024</v>
      </c>
      <c r="D749" s="7" t="str">
        <f t="shared" si="90"/>
        <v>Apr</v>
      </c>
      <c r="E749" s="7" t="str">
        <f t="shared" si="91"/>
        <v>Wed</v>
      </c>
      <c r="F749" t="s">
        <v>332</v>
      </c>
      <c r="G749" t="s">
        <v>119</v>
      </c>
      <c r="H749" t="s">
        <v>11</v>
      </c>
      <c r="I749" s="2" t="str">
        <f t="shared" si="88"/>
        <v>West</v>
      </c>
      <c r="J749" t="s">
        <v>306</v>
      </c>
      <c r="K749" t="s">
        <v>13</v>
      </c>
      <c r="L749">
        <v>6</v>
      </c>
      <c r="M749">
        <v>120</v>
      </c>
      <c r="N749">
        <f t="shared" si="92"/>
        <v>720</v>
      </c>
      <c r="O749">
        <f t="shared" si="93"/>
        <v>72</v>
      </c>
      <c r="P749" t="str">
        <f t="shared" si="94"/>
        <v>Large Order</v>
      </c>
      <c r="Q749" t="str">
        <f t="shared" si="95"/>
        <v>Weekday</v>
      </c>
    </row>
    <row r="750" spans="1:17" x14ac:dyDescent="0.35">
      <c r="A750" t="s">
        <v>900</v>
      </c>
      <c r="B750" s="7">
        <v>45358</v>
      </c>
      <c r="C750" s="13">
        <f t="shared" si="89"/>
        <v>2024</v>
      </c>
      <c r="D750" s="7" t="str">
        <f t="shared" si="90"/>
        <v>Mar</v>
      </c>
      <c r="E750" s="7" t="str">
        <f t="shared" si="91"/>
        <v>Thu</v>
      </c>
      <c r="F750" t="s">
        <v>594</v>
      </c>
      <c r="G750" t="s">
        <v>31</v>
      </c>
      <c r="H750" t="s">
        <v>17</v>
      </c>
      <c r="I750" s="2" t="str">
        <f t="shared" si="88"/>
        <v>South</v>
      </c>
      <c r="J750" t="s">
        <v>27</v>
      </c>
      <c r="K750" t="s">
        <v>23</v>
      </c>
      <c r="L750">
        <v>14</v>
      </c>
      <c r="M750">
        <v>120</v>
      </c>
      <c r="N750">
        <f t="shared" si="92"/>
        <v>1680</v>
      </c>
      <c r="O750">
        <f t="shared" si="93"/>
        <v>168</v>
      </c>
      <c r="P750" t="str">
        <f t="shared" si="94"/>
        <v>Large Order</v>
      </c>
      <c r="Q750" t="str">
        <f t="shared" si="95"/>
        <v>Weekday</v>
      </c>
    </row>
    <row r="751" spans="1:17" x14ac:dyDescent="0.35">
      <c r="A751" t="s">
        <v>901</v>
      </c>
      <c r="B751" s="7">
        <v>45294</v>
      </c>
      <c r="C751" s="13">
        <f t="shared" si="89"/>
        <v>2024</v>
      </c>
      <c r="D751" s="7" t="str">
        <f t="shared" si="90"/>
        <v>Jan</v>
      </c>
      <c r="E751" s="7" t="str">
        <f t="shared" si="91"/>
        <v>Wed</v>
      </c>
      <c r="F751" t="s">
        <v>122</v>
      </c>
      <c r="G751" t="s">
        <v>84</v>
      </c>
      <c r="H751" t="s">
        <v>22</v>
      </c>
      <c r="I751" s="2" t="str">
        <f t="shared" si="88"/>
        <v>North</v>
      </c>
      <c r="J751" t="s">
        <v>56</v>
      </c>
      <c r="K751" t="s">
        <v>32</v>
      </c>
      <c r="L751">
        <v>12</v>
      </c>
      <c r="M751">
        <v>120</v>
      </c>
      <c r="N751">
        <f t="shared" si="92"/>
        <v>1440</v>
      </c>
      <c r="O751">
        <f t="shared" si="93"/>
        <v>144</v>
      </c>
      <c r="P751" t="str">
        <f t="shared" si="94"/>
        <v>Large Order</v>
      </c>
      <c r="Q751" t="str">
        <f t="shared" si="95"/>
        <v>Weekday</v>
      </c>
    </row>
    <row r="752" spans="1:17" x14ac:dyDescent="0.35">
      <c r="A752" t="s">
        <v>902</v>
      </c>
      <c r="B752" s="7">
        <v>45563</v>
      </c>
      <c r="C752" s="13">
        <f t="shared" si="89"/>
        <v>2024</v>
      </c>
      <c r="D752" s="7" t="str">
        <f t="shared" si="90"/>
        <v>Sep</v>
      </c>
      <c r="E752" s="7" t="str">
        <f t="shared" si="91"/>
        <v>Sat</v>
      </c>
      <c r="F752" t="s">
        <v>150</v>
      </c>
      <c r="G752" t="s">
        <v>21</v>
      </c>
      <c r="H752" t="s">
        <v>11</v>
      </c>
      <c r="I752" s="2" t="str">
        <f t="shared" si="88"/>
        <v>West</v>
      </c>
      <c r="J752" t="s">
        <v>12</v>
      </c>
      <c r="K752" t="s">
        <v>32</v>
      </c>
      <c r="L752">
        <v>8</v>
      </c>
      <c r="M752">
        <v>120</v>
      </c>
      <c r="N752">
        <f t="shared" si="92"/>
        <v>960</v>
      </c>
      <c r="O752">
        <f t="shared" si="93"/>
        <v>96</v>
      </c>
      <c r="P752" t="str">
        <f t="shared" si="94"/>
        <v>Large Order</v>
      </c>
      <c r="Q752" t="str">
        <f t="shared" si="95"/>
        <v>Weekend</v>
      </c>
    </row>
    <row r="753" spans="1:17" x14ac:dyDescent="0.35">
      <c r="A753" t="s">
        <v>903</v>
      </c>
      <c r="B753" s="7">
        <v>45451</v>
      </c>
      <c r="C753" s="13">
        <f t="shared" si="89"/>
        <v>2024</v>
      </c>
      <c r="D753" s="7" t="str">
        <f t="shared" si="90"/>
        <v>Jun</v>
      </c>
      <c r="E753" s="7" t="str">
        <f t="shared" si="91"/>
        <v>Sat</v>
      </c>
      <c r="F753" t="s">
        <v>34</v>
      </c>
      <c r="G753" t="s">
        <v>160</v>
      </c>
      <c r="H753" t="s">
        <v>11</v>
      </c>
      <c r="I753" s="2" t="str">
        <f t="shared" si="88"/>
        <v>West</v>
      </c>
      <c r="J753" t="s">
        <v>27</v>
      </c>
      <c r="K753" t="s">
        <v>13</v>
      </c>
      <c r="L753">
        <v>19</v>
      </c>
      <c r="M753">
        <v>120</v>
      </c>
      <c r="N753">
        <f t="shared" si="92"/>
        <v>2280</v>
      </c>
      <c r="O753">
        <f t="shared" si="93"/>
        <v>228</v>
      </c>
      <c r="P753" t="str">
        <f t="shared" si="94"/>
        <v>Large Order</v>
      </c>
      <c r="Q753" t="str">
        <f t="shared" si="95"/>
        <v>Weekend</v>
      </c>
    </row>
    <row r="754" spans="1:17" x14ac:dyDescent="0.35">
      <c r="A754" t="s">
        <v>904</v>
      </c>
      <c r="B754" s="7">
        <v>45315</v>
      </c>
      <c r="C754" s="13">
        <f t="shared" si="89"/>
        <v>2024</v>
      </c>
      <c r="D754" s="7" t="str">
        <f t="shared" si="90"/>
        <v>Jan</v>
      </c>
      <c r="E754" s="7" t="str">
        <f t="shared" si="91"/>
        <v>Wed</v>
      </c>
      <c r="F754" t="s">
        <v>68</v>
      </c>
      <c r="G754" t="s">
        <v>84</v>
      </c>
      <c r="H754" t="s">
        <v>17</v>
      </c>
      <c r="I754" s="2" t="str">
        <f t="shared" si="88"/>
        <v>East</v>
      </c>
      <c r="J754" t="s">
        <v>27</v>
      </c>
      <c r="K754" t="s">
        <v>32</v>
      </c>
      <c r="L754">
        <v>17</v>
      </c>
      <c r="M754">
        <v>120</v>
      </c>
      <c r="N754">
        <f t="shared" si="92"/>
        <v>2040</v>
      </c>
      <c r="O754">
        <f t="shared" si="93"/>
        <v>204</v>
      </c>
      <c r="P754" t="str">
        <f t="shared" si="94"/>
        <v>Large Order</v>
      </c>
      <c r="Q754" t="str">
        <f t="shared" si="95"/>
        <v>Weekday</v>
      </c>
    </row>
    <row r="755" spans="1:17" x14ac:dyDescent="0.35">
      <c r="A755" t="s">
        <v>905</v>
      </c>
      <c r="B755" s="7">
        <v>45514</v>
      </c>
      <c r="C755" s="13">
        <f t="shared" si="89"/>
        <v>2024</v>
      </c>
      <c r="D755" s="7" t="str">
        <f t="shared" si="90"/>
        <v>Aug</v>
      </c>
      <c r="E755" s="7" t="str">
        <f t="shared" si="91"/>
        <v>Sat</v>
      </c>
      <c r="F755" t="s">
        <v>455</v>
      </c>
      <c r="G755" t="s">
        <v>35</v>
      </c>
      <c r="H755" t="s">
        <v>11</v>
      </c>
      <c r="I755" s="2" t="str">
        <f t="shared" si="88"/>
        <v>South</v>
      </c>
      <c r="J755" t="s">
        <v>42</v>
      </c>
      <c r="K755" t="s">
        <v>28</v>
      </c>
      <c r="L755">
        <v>12</v>
      </c>
      <c r="M755">
        <v>120</v>
      </c>
      <c r="N755">
        <f t="shared" si="92"/>
        <v>1440</v>
      </c>
      <c r="O755">
        <f t="shared" si="93"/>
        <v>144</v>
      </c>
      <c r="P755" t="str">
        <f t="shared" si="94"/>
        <v>Large Order</v>
      </c>
      <c r="Q755" t="str">
        <f t="shared" si="95"/>
        <v>Weekend</v>
      </c>
    </row>
    <row r="756" spans="1:17" x14ac:dyDescent="0.35">
      <c r="A756" t="s">
        <v>906</v>
      </c>
      <c r="B756" s="7">
        <v>45498</v>
      </c>
      <c r="C756" s="13">
        <f t="shared" si="89"/>
        <v>2024</v>
      </c>
      <c r="D756" s="7" t="str">
        <f t="shared" si="90"/>
        <v>Jul</v>
      </c>
      <c r="E756" s="7" t="str">
        <f t="shared" si="91"/>
        <v>Thu</v>
      </c>
      <c r="F756" t="s">
        <v>138</v>
      </c>
      <c r="G756" t="s">
        <v>84</v>
      </c>
      <c r="H756" t="s">
        <v>11</v>
      </c>
      <c r="I756" s="2" t="str">
        <f t="shared" si="88"/>
        <v>North</v>
      </c>
      <c r="J756" t="s">
        <v>56</v>
      </c>
      <c r="K756" t="s">
        <v>13</v>
      </c>
      <c r="L756">
        <v>5</v>
      </c>
      <c r="M756">
        <v>120</v>
      </c>
      <c r="N756">
        <f t="shared" si="92"/>
        <v>600</v>
      </c>
      <c r="O756">
        <f t="shared" si="93"/>
        <v>60</v>
      </c>
      <c r="P756" t="str">
        <f t="shared" si="94"/>
        <v>Large Order</v>
      </c>
      <c r="Q756" t="str">
        <f t="shared" si="95"/>
        <v>Weekday</v>
      </c>
    </row>
    <row r="757" spans="1:17" x14ac:dyDescent="0.35">
      <c r="A757" t="s">
        <v>907</v>
      </c>
      <c r="B757" s="7">
        <v>45593</v>
      </c>
      <c r="C757" s="13">
        <f t="shared" si="89"/>
        <v>2024</v>
      </c>
      <c r="D757" s="7" t="str">
        <f t="shared" si="90"/>
        <v>Oct</v>
      </c>
      <c r="E757" s="7" t="str">
        <f t="shared" si="91"/>
        <v>Mon</v>
      </c>
      <c r="F757" t="s">
        <v>358</v>
      </c>
      <c r="G757" t="s">
        <v>48</v>
      </c>
      <c r="H757" t="s">
        <v>11</v>
      </c>
      <c r="I757" s="2" t="str">
        <f t="shared" si="88"/>
        <v>Central</v>
      </c>
      <c r="J757" t="s">
        <v>12</v>
      </c>
      <c r="K757" t="s">
        <v>32</v>
      </c>
      <c r="L757">
        <v>2</v>
      </c>
      <c r="M757">
        <v>120</v>
      </c>
      <c r="N757">
        <f t="shared" si="92"/>
        <v>240</v>
      </c>
      <c r="O757">
        <f t="shared" si="93"/>
        <v>24</v>
      </c>
      <c r="P757" t="str">
        <f t="shared" si="94"/>
        <v>Standard Order</v>
      </c>
      <c r="Q757" t="str">
        <f t="shared" si="95"/>
        <v>Weekday</v>
      </c>
    </row>
    <row r="758" spans="1:17" x14ac:dyDescent="0.35">
      <c r="A758" t="s">
        <v>908</v>
      </c>
      <c r="B758" s="7">
        <v>45565</v>
      </c>
      <c r="C758" s="13">
        <f t="shared" si="89"/>
        <v>2024</v>
      </c>
      <c r="D758" s="7" t="str">
        <f t="shared" si="90"/>
        <v>Sep</v>
      </c>
      <c r="E758" s="7" t="str">
        <f t="shared" si="91"/>
        <v>Mon</v>
      </c>
      <c r="F758" t="s">
        <v>381</v>
      </c>
      <c r="G758" t="s">
        <v>79</v>
      </c>
      <c r="H758" t="s">
        <v>11</v>
      </c>
      <c r="I758" s="2" t="str">
        <f t="shared" si="88"/>
        <v>West</v>
      </c>
      <c r="J758" t="s">
        <v>306</v>
      </c>
      <c r="K758" t="s">
        <v>13</v>
      </c>
      <c r="L758">
        <v>4</v>
      </c>
      <c r="M758">
        <v>120</v>
      </c>
      <c r="N758">
        <f t="shared" si="92"/>
        <v>480</v>
      </c>
      <c r="O758">
        <f t="shared" si="93"/>
        <v>48</v>
      </c>
      <c r="P758" t="str">
        <f t="shared" si="94"/>
        <v>Standard Order</v>
      </c>
      <c r="Q758" t="str">
        <f t="shared" si="95"/>
        <v>Weekday</v>
      </c>
    </row>
    <row r="759" spans="1:17" x14ac:dyDescent="0.35">
      <c r="A759" t="s">
        <v>909</v>
      </c>
      <c r="B759" s="7">
        <v>45316</v>
      </c>
      <c r="C759" s="13">
        <f t="shared" si="89"/>
        <v>2024</v>
      </c>
      <c r="D759" s="7" t="str">
        <f t="shared" si="90"/>
        <v>Jan</v>
      </c>
      <c r="E759" s="7" t="str">
        <f t="shared" si="91"/>
        <v>Thu</v>
      </c>
      <c r="F759" t="s">
        <v>465</v>
      </c>
      <c r="G759" t="s">
        <v>70</v>
      </c>
      <c r="H759" t="s">
        <v>11</v>
      </c>
      <c r="I759" s="2" t="str">
        <f t="shared" si="88"/>
        <v>South</v>
      </c>
      <c r="J759" t="s">
        <v>27</v>
      </c>
      <c r="K759" t="s">
        <v>32</v>
      </c>
      <c r="L759">
        <v>13</v>
      </c>
      <c r="M759">
        <v>120</v>
      </c>
      <c r="N759">
        <f t="shared" si="92"/>
        <v>1560</v>
      </c>
      <c r="O759">
        <f t="shared" si="93"/>
        <v>156</v>
      </c>
      <c r="P759" t="str">
        <f t="shared" si="94"/>
        <v>Large Order</v>
      </c>
      <c r="Q759" t="str">
        <f t="shared" si="95"/>
        <v>Weekday</v>
      </c>
    </row>
    <row r="760" spans="1:17" x14ac:dyDescent="0.35">
      <c r="A760" t="s">
        <v>910</v>
      </c>
      <c r="B760" s="7">
        <v>45534</v>
      </c>
      <c r="C760" s="13">
        <f t="shared" si="89"/>
        <v>2024</v>
      </c>
      <c r="D760" s="7" t="str">
        <f t="shared" si="90"/>
        <v>Aug</v>
      </c>
      <c r="E760" s="7" t="str">
        <f t="shared" si="91"/>
        <v>Fri</v>
      </c>
      <c r="F760" t="s">
        <v>424</v>
      </c>
      <c r="G760" t="s">
        <v>62</v>
      </c>
      <c r="H760" t="s">
        <v>11</v>
      </c>
      <c r="I760" s="2" t="str">
        <f t="shared" si="88"/>
        <v>Central</v>
      </c>
      <c r="J760" t="s">
        <v>56</v>
      </c>
      <c r="K760" t="s">
        <v>13</v>
      </c>
      <c r="L760">
        <v>1</v>
      </c>
      <c r="M760">
        <v>120</v>
      </c>
      <c r="N760">
        <f t="shared" si="92"/>
        <v>120</v>
      </c>
      <c r="O760">
        <f t="shared" si="93"/>
        <v>12</v>
      </c>
      <c r="P760" t="str">
        <f t="shared" si="94"/>
        <v>Standard Order</v>
      </c>
      <c r="Q760" t="str">
        <f t="shared" si="95"/>
        <v>Weekday</v>
      </c>
    </row>
    <row r="761" spans="1:17" x14ac:dyDescent="0.35">
      <c r="A761" t="s">
        <v>911</v>
      </c>
      <c r="B761" s="7">
        <v>45631</v>
      </c>
      <c r="C761" s="13">
        <f t="shared" si="89"/>
        <v>2024</v>
      </c>
      <c r="D761" s="7" t="str">
        <f t="shared" si="90"/>
        <v>Dec</v>
      </c>
      <c r="E761" s="7" t="str">
        <f t="shared" si="91"/>
        <v>Thu</v>
      </c>
      <c r="F761" t="s">
        <v>363</v>
      </c>
      <c r="G761" t="s">
        <v>109</v>
      </c>
      <c r="H761" t="s">
        <v>17</v>
      </c>
      <c r="I761" s="2" t="str">
        <f t="shared" si="88"/>
        <v>North</v>
      </c>
      <c r="J761" t="s">
        <v>306</v>
      </c>
      <c r="K761" t="s">
        <v>13</v>
      </c>
      <c r="L761">
        <v>5</v>
      </c>
      <c r="M761">
        <v>120</v>
      </c>
      <c r="N761">
        <f t="shared" si="92"/>
        <v>600</v>
      </c>
      <c r="O761">
        <f t="shared" si="93"/>
        <v>60</v>
      </c>
      <c r="P761" t="str">
        <f t="shared" si="94"/>
        <v>Large Order</v>
      </c>
      <c r="Q761" t="str">
        <f t="shared" si="95"/>
        <v>Weekday</v>
      </c>
    </row>
    <row r="762" spans="1:17" x14ac:dyDescent="0.35">
      <c r="A762" t="s">
        <v>912</v>
      </c>
      <c r="B762" s="7">
        <v>45553</v>
      </c>
      <c r="C762" s="13">
        <f t="shared" si="89"/>
        <v>2024</v>
      </c>
      <c r="D762" s="7" t="str">
        <f t="shared" si="90"/>
        <v>Sep</v>
      </c>
      <c r="E762" s="7" t="str">
        <f t="shared" si="91"/>
        <v>Wed</v>
      </c>
      <c r="F762" t="s">
        <v>329</v>
      </c>
      <c r="G762" t="s">
        <v>74</v>
      </c>
      <c r="H762" t="s">
        <v>22</v>
      </c>
      <c r="I762" s="2" t="str">
        <f t="shared" si="88"/>
        <v>East</v>
      </c>
      <c r="J762" t="s">
        <v>12</v>
      </c>
      <c r="K762" t="s">
        <v>23</v>
      </c>
      <c r="L762">
        <v>4</v>
      </c>
      <c r="M762">
        <v>120</v>
      </c>
      <c r="N762">
        <f t="shared" si="92"/>
        <v>480</v>
      </c>
      <c r="O762">
        <f t="shared" si="93"/>
        <v>48</v>
      </c>
      <c r="P762" t="str">
        <f t="shared" si="94"/>
        <v>Standard Order</v>
      </c>
      <c r="Q762" t="str">
        <f t="shared" si="95"/>
        <v>Weekday</v>
      </c>
    </row>
    <row r="763" spans="1:17" x14ac:dyDescent="0.35">
      <c r="A763" t="s">
        <v>913</v>
      </c>
      <c r="B763" s="7">
        <v>45393</v>
      </c>
      <c r="C763" s="13">
        <f t="shared" si="89"/>
        <v>2024</v>
      </c>
      <c r="D763" s="7" t="str">
        <f t="shared" si="90"/>
        <v>Apr</v>
      </c>
      <c r="E763" s="7" t="str">
        <f t="shared" si="91"/>
        <v>Thu</v>
      </c>
      <c r="F763" t="s">
        <v>493</v>
      </c>
      <c r="G763" t="s">
        <v>160</v>
      </c>
      <c r="H763" t="s">
        <v>11</v>
      </c>
      <c r="I763" s="2" t="str">
        <f t="shared" si="88"/>
        <v>Central</v>
      </c>
      <c r="J763" t="s">
        <v>42</v>
      </c>
      <c r="K763" t="s">
        <v>23</v>
      </c>
      <c r="L763">
        <v>7</v>
      </c>
      <c r="M763">
        <v>120</v>
      </c>
      <c r="N763">
        <f t="shared" si="92"/>
        <v>840</v>
      </c>
      <c r="O763">
        <f t="shared" si="93"/>
        <v>84</v>
      </c>
      <c r="P763" t="str">
        <f t="shared" si="94"/>
        <v>Large Order</v>
      </c>
      <c r="Q763" t="str">
        <f t="shared" si="95"/>
        <v>Weekday</v>
      </c>
    </row>
    <row r="764" spans="1:17" x14ac:dyDescent="0.35">
      <c r="A764" t="s">
        <v>914</v>
      </c>
      <c r="B764" s="7">
        <v>45443</v>
      </c>
      <c r="C764" s="13">
        <f t="shared" si="89"/>
        <v>2024</v>
      </c>
      <c r="D764" s="7" t="str">
        <f t="shared" si="90"/>
        <v>May</v>
      </c>
      <c r="E764" s="7" t="str">
        <f t="shared" si="91"/>
        <v>Fri</v>
      </c>
      <c r="F764" t="s">
        <v>111</v>
      </c>
      <c r="G764" t="s">
        <v>35</v>
      </c>
      <c r="H764" t="s">
        <v>11</v>
      </c>
      <c r="I764" s="2" t="str">
        <f t="shared" si="88"/>
        <v>North</v>
      </c>
      <c r="J764" t="s">
        <v>306</v>
      </c>
      <c r="K764" t="s">
        <v>23</v>
      </c>
      <c r="L764">
        <v>7</v>
      </c>
      <c r="M764">
        <v>120</v>
      </c>
      <c r="N764">
        <f t="shared" si="92"/>
        <v>840</v>
      </c>
      <c r="O764">
        <f t="shared" si="93"/>
        <v>84</v>
      </c>
      <c r="P764" t="str">
        <f t="shared" si="94"/>
        <v>Large Order</v>
      </c>
      <c r="Q764" t="str">
        <f t="shared" si="95"/>
        <v>Weekday</v>
      </c>
    </row>
    <row r="765" spans="1:17" x14ac:dyDescent="0.35">
      <c r="A765" t="s">
        <v>915</v>
      </c>
      <c r="B765" s="7">
        <v>45461</v>
      </c>
      <c r="C765" s="13">
        <f t="shared" si="89"/>
        <v>2024</v>
      </c>
      <c r="D765" s="7" t="str">
        <f t="shared" si="90"/>
        <v>Jun</v>
      </c>
      <c r="E765" s="7" t="str">
        <f t="shared" si="91"/>
        <v>Tue</v>
      </c>
      <c r="F765" t="s">
        <v>93</v>
      </c>
      <c r="G765" t="s">
        <v>41</v>
      </c>
      <c r="H765" t="s">
        <v>11</v>
      </c>
      <c r="I765" s="2" t="str">
        <f t="shared" si="88"/>
        <v>North</v>
      </c>
      <c r="J765" t="s">
        <v>12</v>
      </c>
      <c r="K765" t="s">
        <v>36</v>
      </c>
      <c r="L765">
        <v>3</v>
      </c>
      <c r="M765">
        <v>120</v>
      </c>
      <c r="N765">
        <f t="shared" si="92"/>
        <v>360</v>
      </c>
      <c r="O765">
        <f t="shared" si="93"/>
        <v>36</v>
      </c>
      <c r="P765" t="str">
        <f t="shared" si="94"/>
        <v>Standard Order</v>
      </c>
      <c r="Q765" t="str">
        <f t="shared" si="95"/>
        <v>Weekday</v>
      </c>
    </row>
    <row r="766" spans="1:17" x14ac:dyDescent="0.35">
      <c r="A766" t="s">
        <v>916</v>
      </c>
      <c r="B766" s="7">
        <v>45634</v>
      </c>
      <c r="C766" s="13">
        <f t="shared" si="89"/>
        <v>2024</v>
      </c>
      <c r="D766" s="7" t="str">
        <f t="shared" si="90"/>
        <v>Dec</v>
      </c>
      <c r="E766" s="7" t="str">
        <f t="shared" si="91"/>
        <v>Sun</v>
      </c>
      <c r="F766" t="s">
        <v>432</v>
      </c>
      <c r="G766" t="s">
        <v>119</v>
      </c>
      <c r="H766" t="s">
        <v>11</v>
      </c>
      <c r="I766" s="2" t="str">
        <f t="shared" si="88"/>
        <v>West</v>
      </c>
      <c r="J766" t="s">
        <v>12</v>
      </c>
      <c r="K766" t="s">
        <v>13</v>
      </c>
      <c r="L766">
        <v>17</v>
      </c>
      <c r="M766">
        <v>120</v>
      </c>
      <c r="N766">
        <f t="shared" si="92"/>
        <v>2040</v>
      </c>
      <c r="O766">
        <f t="shared" si="93"/>
        <v>204</v>
      </c>
      <c r="P766" t="str">
        <f t="shared" si="94"/>
        <v>Large Order</v>
      </c>
      <c r="Q766" t="str">
        <f t="shared" si="95"/>
        <v>Weekend</v>
      </c>
    </row>
    <row r="767" spans="1:17" x14ac:dyDescent="0.35">
      <c r="A767" t="s">
        <v>917</v>
      </c>
      <c r="B767" s="7">
        <v>45423</v>
      </c>
      <c r="C767" s="13">
        <f t="shared" si="89"/>
        <v>2024</v>
      </c>
      <c r="D767" s="7" t="str">
        <f t="shared" si="90"/>
        <v>May</v>
      </c>
      <c r="E767" s="7" t="str">
        <f t="shared" si="91"/>
        <v>Sat</v>
      </c>
      <c r="F767" t="s">
        <v>736</v>
      </c>
      <c r="G767" t="s">
        <v>74</v>
      </c>
      <c r="H767" t="s">
        <v>11</v>
      </c>
      <c r="I767" s="2" t="str">
        <f t="shared" si="88"/>
        <v>East</v>
      </c>
      <c r="J767" t="s">
        <v>27</v>
      </c>
      <c r="K767" t="s">
        <v>13</v>
      </c>
      <c r="L767">
        <v>9</v>
      </c>
      <c r="M767">
        <v>120</v>
      </c>
      <c r="N767">
        <f t="shared" si="92"/>
        <v>1080</v>
      </c>
      <c r="O767">
        <f t="shared" si="93"/>
        <v>108</v>
      </c>
      <c r="P767" t="str">
        <f t="shared" si="94"/>
        <v>Large Order</v>
      </c>
      <c r="Q767" t="str">
        <f t="shared" si="95"/>
        <v>Weekend</v>
      </c>
    </row>
    <row r="768" spans="1:17" x14ac:dyDescent="0.35">
      <c r="A768" t="s">
        <v>918</v>
      </c>
      <c r="B768" s="7">
        <v>45381</v>
      </c>
      <c r="C768" s="13">
        <f t="shared" si="89"/>
        <v>2024</v>
      </c>
      <c r="D768" s="7" t="str">
        <f t="shared" si="90"/>
        <v>Mar</v>
      </c>
      <c r="E768" s="7" t="str">
        <f t="shared" si="91"/>
        <v>Sat</v>
      </c>
      <c r="F768" t="s">
        <v>116</v>
      </c>
      <c r="G768" t="s">
        <v>41</v>
      </c>
      <c r="H768" t="s">
        <v>17</v>
      </c>
      <c r="I768" s="2" t="str">
        <f t="shared" si="88"/>
        <v>North</v>
      </c>
      <c r="J768" t="s">
        <v>42</v>
      </c>
      <c r="K768" t="s">
        <v>13</v>
      </c>
      <c r="L768">
        <v>11</v>
      </c>
      <c r="M768">
        <v>120</v>
      </c>
      <c r="N768">
        <f t="shared" si="92"/>
        <v>1320</v>
      </c>
      <c r="O768">
        <f t="shared" si="93"/>
        <v>132</v>
      </c>
      <c r="P768" t="str">
        <f t="shared" si="94"/>
        <v>Large Order</v>
      </c>
      <c r="Q768" t="str">
        <f t="shared" si="95"/>
        <v>Weekend</v>
      </c>
    </row>
    <row r="769" spans="1:17" x14ac:dyDescent="0.35">
      <c r="A769" t="s">
        <v>919</v>
      </c>
      <c r="B769" s="7">
        <v>45340</v>
      </c>
      <c r="C769" s="13">
        <f t="shared" si="89"/>
        <v>2024</v>
      </c>
      <c r="D769" s="7" t="str">
        <f t="shared" si="90"/>
        <v>Feb</v>
      </c>
      <c r="E769" s="7" t="str">
        <f t="shared" si="91"/>
        <v>Sun</v>
      </c>
      <c r="F769" t="s">
        <v>332</v>
      </c>
      <c r="G769" t="s">
        <v>16</v>
      </c>
      <c r="H769" t="s">
        <v>11</v>
      </c>
      <c r="I769" s="2" t="str">
        <f t="shared" si="88"/>
        <v>North</v>
      </c>
      <c r="J769" t="s">
        <v>12</v>
      </c>
      <c r="K769" t="s">
        <v>23</v>
      </c>
      <c r="L769">
        <v>6</v>
      </c>
      <c r="M769">
        <v>120</v>
      </c>
      <c r="N769">
        <f t="shared" si="92"/>
        <v>720</v>
      </c>
      <c r="O769">
        <f t="shared" si="93"/>
        <v>72</v>
      </c>
      <c r="P769" t="str">
        <f t="shared" si="94"/>
        <v>Large Order</v>
      </c>
      <c r="Q769" t="str">
        <f t="shared" si="95"/>
        <v>Weekend</v>
      </c>
    </row>
    <row r="770" spans="1:17" x14ac:dyDescent="0.35">
      <c r="A770" t="s">
        <v>920</v>
      </c>
      <c r="B770" s="7">
        <v>45610</v>
      </c>
      <c r="C770" s="13">
        <f t="shared" si="89"/>
        <v>2024</v>
      </c>
      <c r="D770" s="7" t="str">
        <f t="shared" si="90"/>
        <v>Nov</v>
      </c>
      <c r="E770" s="7" t="str">
        <f t="shared" si="91"/>
        <v>Thu</v>
      </c>
      <c r="F770" t="s">
        <v>101</v>
      </c>
      <c r="G770" t="s">
        <v>48</v>
      </c>
      <c r="H770" t="s">
        <v>22</v>
      </c>
      <c r="I770" s="2" t="str">
        <f t="shared" si="88"/>
        <v>West</v>
      </c>
      <c r="J770" t="s">
        <v>12</v>
      </c>
      <c r="K770" t="s">
        <v>23</v>
      </c>
      <c r="L770">
        <v>11</v>
      </c>
      <c r="M770">
        <v>120</v>
      </c>
      <c r="N770">
        <f t="shared" si="92"/>
        <v>1320</v>
      </c>
      <c r="O770">
        <f t="shared" si="93"/>
        <v>132</v>
      </c>
      <c r="P770" t="str">
        <f t="shared" si="94"/>
        <v>Large Order</v>
      </c>
      <c r="Q770" t="str">
        <f t="shared" si="95"/>
        <v>Weekday</v>
      </c>
    </row>
    <row r="771" spans="1:17" x14ac:dyDescent="0.35">
      <c r="A771" t="s">
        <v>921</v>
      </c>
      <c r="B771" s="7">
        <v>45496</v>
      </c>
      <c r="C771" s="13">
        <f t="shared" si="89"/>
        <v>2024</v>
      </c>
      <c r="D771" s="7" t="str">
        <f t="shared" si="90"/>
        <v>Jul</v>
      </c>
      <c r="E771" s="7" t="str">
        <f t="shared" si="91"/>
        <v>Tue</v>
      </c>
      <c r="F771" t="s">
        <v>366</v>
      </c>
      <c r="G771" t="s">
        <v>62</v>
      </c>
      <c r="H771" t="s">
        <v>17</v>
      </c>
      <c r="I771" s="2" t="str">
        <f t="shared" ref="I771:I834" si="96">TRIM(J772)</f>
        <v>North</v>
      </c>
      <c r="J771" t="s">
        <v>27</v>
      </c>
      <c r="K771" t="s">
        <v>28</v>
      </c>
      <c r="L771">
        <v>16</v>
      </c>
      <c r="M771">
        <v>120</v>
      </c>
      <c r="N771">
        <f t="shared" si="92"/>
        <v>1920</v>
      </c>
      <c r="O771">
        <f t="shared" si="93"/>
        <v>192</v>
      </c>
      <c r="P771" t="str">
        <f t="shared" si="94"/>
        <v>Large Order</v>
      </c>
      <c r="Q771" t="str">
        <f t="shared" si="95"/>
        <v>Weekday</v>
      </c>
    </row>
    <row r="772" spans="1:17" x14ac:dyDescent="0.35">
      <c r="A772" t="s">
        <v>922</v>
      </c>
      <c r="B772" s="7">
        <v>45349</v>
      </c>
      <c r="C772" s="13">
        <f t="shared" ref="C772:C835" si="97">YEAR(B772)</f>
        <v>2024</v>
      </c>
      <c r="D772" s="7" t="str">
        <f t="shared" ref="D772:D835" si="98">TEXT(B772,"mmm")</f>
        <v>Feb</v>
      </c>
      <c r="E772" s="7" t="str">
        <f t="shared" ref="E772:E835" si="99">TEXT(B772,"ddd")</f>
        <v>Tue</v>
      </c>
      <c r="F772" t="s">
        <v>34</v>
      </c>
      <c r="G772" t="s">
        <v>45</v>
      </c>
      <c r="H772" t="s">
        <v>22</v>
      </c>
      <c r="I772" s="2" t="str">
        <f t="shared" si="96"/>
        <v>West</v>
      </c>
      <c r="J772" t="s">
        <v>12</v>
      </c>
      <c r="K772" t="s">
        <v>36</v>
      </c>
      <c r="L772">
        <v>4</v>
      </c>
      <c r="M772">
        <v>120</v>
      </c>
      <c r="N772">
        <f t="shared" ref="N772:N835" si="100">M772*L772</f>
        <v>480</v>
      </c>
      <c r="O772">
        <f t="shared" ref="O772:O835" si="101">N772*0.1</f>
        <v>48</v>
      </c>
      <c r="P772" t="str">
        <f t="shared" ref="P772:P835" si="102">IF(N772&gt;500,"Large Order","Standard Order")</f>
        <v>Standard Order</v>
      </c>
      <c r="Q772" t="str">
        <f t="shared" ref="Q772:Q835" si="103">IF(OR(TRIM(E772)="Sat",TRIM(E772)="Sun"),"Weekend","Weekday")</f>
        <v>Weekday</v>
      </c>
    </row>
    <row r="773" spans="1:17" x14ac:dyDescent="0.35">
      <c r="A773" t="s">
        <v>923</v>
      </c>
      <c r="B773" s="7">
        <v>45539</v>
      </c>
      <c r="C773" s="13">
        <f t="shared" si="97"/>
        <v>2024</v>
      </c>
      <c r="D773" s="7" t="str">
        <f t="shared" si="98"/>
        <v>Sep</v>
      </c>
      <c r="E773" s="7" t="str">
        <f t="shared" si="99"/>
        <v>Wed</v>
      </c>
      <c r="F773" t="s">
        <v>614</v>
      </c>
      <c r="G773" t="s">
        <v>45</v>
      </c>
      <c r="H773" t="s">
        <v>22</v>
      </c>
      <c r="I773" s="2" t="str">
        <f t="shared" si="96"/>
        <v>South</v>
      </c>
      <c r="J773" t="s">
        <v>27</v>
      </c>
      <c r="K773" t="s">
        <v>32</v>
      </c>
      <c r="L773">
        <v>20</v>
      </c>
      <c r="M773">
        <v>120</v>
      </c>
      <c r="N773">
        <f t="shared" si="100"/>
        <v>2400</v>
      </c>
      <c r="O773">
        <f t="shared" si="101"/>
        <v>240</v>
      </c>
      <c r="P773" t="str">
        <f t="shared" si="102"/>
        <v>Large Order</v>
      </c>
      <c r="Q773" t="str">
        <f t="shared" si="103"/>
        <v>Weekday</v>
      </c>
    </row>
    <row r="774" spans="1:17" x14ac:dyDescent="0.35">
      <c r="A774" t="s">
        <v>924</v>
      </c>
      <c r="B774" s="7">
        <v>45605</v>
      </c>
      <c r="C774" s="13">
        <f t="shared" si="97"/>
        <v>2024</v>
      </c>
      <c r="D774" s="7" t="str">
        <f t="shared" si="98"/>
        <v>Nov</v>
      </c>
      <c r="E774" s="7" t="str">
        <f t="shared" si="99"/>
        <v>Sat</v>
      </c>
      <c r="F774" t="s">
        <v>64</v>
      </c>
      <c r="G774" t="s">
        <v>35</v>
      </c>
      <c r="H774" t="s">
        <v>22</v>
      </c>
      <c r="I774" s="2" t="str">
        <f t="shared" si="96"/>
        <v>East</v>
      </c>
      <c r="J774" t="s">
        <v>56</v>
      </c>
      <c r="K774" t="s">
        <v>23</v>
      </c>
      <c r="L774">
        <v>16</v>
      </c>
      <c r="M774">
        <v>120</v>
      </c>
      <c r="N774">
        <f t="shared" si="100"/>
        <v>1920</v>
      </c>
      <c r="O774">
        <f t="shared" si="101"/>
        <v>192</v>
      </c>
      <c r="P774" t="str">
        <f t="shared" si="102"/>
        <v>Large Order</v>
      </c>
      <c r="Q774" t="str">
        <f t="shared" si="103"/>
        <v>Weekend</v>
      </c>
    </row>
    <row r="775" spans="1:17" x14ac:dyDescent="0.35">
      <c r="A775" t="s">
        <v>925</v>
      </c>
      <c r="B775" s="7">
        <v>45517</v>
      </c>
      <c r="C775" s="13">
        <f t="shared" si="97"/>
        <v>2024</v>
      </c>
      <c r="D775" s="7" t="str">
        <f t="shared" si="98"/>
        <v>Aug</v>
      </c>
      <c r="E775" s="7" t="str">
        <f t="shared" si="99"/>
        <v>Tue</v>
      </c>
      <c r="F775" t="s">
        <v>116</v>
      </c>
      <c r="G775" t="s">
        <v>21</v>
      </c>
      <c r="H775" t="s">
        <v>11</v>
      </c>
      <c r="I775" s="2" t="str">
        <f t="shared" si="96"/>
        <v>South</v>
      </c>
      <c r="J775" t="s">
        <v>42</v>
      </c>
      <c r="K775" t="s">
        <v>36</v>
      </c>
      <c r="L775">
        <v>11</v>
      </c>
      <c r="M775">
        <v>120</v>
      </c>
      <c r="N775">
        <f t="shared" si="100"/>
        <v>1320</v>
      </c>
      <c r="O775">
        <f t="shared" si="101"/>
        <v>132</v>
      </c>
      <c r="P775" t="str">
        <f t="shared" si="102"/>
        <v>Large Order</v>
      </c>
      <c r="Q775" t="str">
        <f t="shared" si="103"/>
        <v>Weekday</v>
      </c>
    </row>
    <row r="776" spans="1:17" x14ac:dyDescent="0.35">
      <c r="A776" t="s">
        <v>926</v>
      </c>
      <c r="B776" s="7">
        <v>45587</v>
      </c>
      <c r="C776" s="13">
        <f t="shared" si="97"/>
        <v>2024</v>
      </c>
      <c r="D776" s="7" t="str">
        <f t="shared" si="98"/>
        <v>Oct</v>
      </c>
      <c r="E776" s="7" t="str">
        <f t="shared" si="99"/>
        <v>Tue</v>
      </c>
      <c r="F776" t="s">
        <v>329</v>
      </c>
      <c r="G776" t="s">
        <v>41</v>
      </c>
      <c r="H776" t="s">
        <v>22</v>
      </c>
      <c r="I776" s="2" t="str">
        <f t="shared" si="96"/>
        <v>South</v>
      </c>
      <c r="J776" t="s">
        <v>56</v>
      </c>
      <c r="K776" t="s">
        <v>36</v>
      </c>
      <c r="L776">
        <v>11</v>
      </c>
      <c r="M776">
        <v>120</v>
      </c>
      <c r="N776">
        <f t="shared" si="100"/>
        <v>1320</v>
      </c>
      <c r="O776">
        <f t="shared" si="101"/>
        <v>132</v>
      </c>
      <c r="P776" t="str">
        <f t="shared" si="102"/>
        <v>Large Order</v>
      </c>
      <c r="Q776" t="str">
        <f t="shared" si="103"/>
        <v>Weekday</v>
      </c>
    </row>
    <row r="777" spans="1:17" x14ac:dyDescent="0.35">
      <c r="A777" t="s">
        <v>927</v>
      </c>
      <c r="B777" s="7">
        <v>45340</v>
      </c>
      <c r="C777" s="13">
        <f t="shared" si="97"/>
        <v>2024</v>
      </c>
      <c r="D777" s="7" t="str">
        <f t="shared" si="98"/>
        <v>Feb</v>
      </c>
      <c r="E777" s="7" t="str">
        <f t="shared" si="99"/>
        <v>Sun</v>
      </c>
      <c r="F777" t="s">
        <v>348</v>
      </c>
      <c r="G777" t="s">
        <v>35</v>
      </c>
      <c r="H777" t="s">
        <v>22</v>
      </c>
      <c r="I777" s="2" t="str">
        <f t="shared" si="96"/>
        <v>North</v>
      </c>
      <c r="J777" t="s">
        <v>56</v>
      </c>
      <c r="K777" t="s">
        <v>23</v>
      </c>
      <c r="L777">
        <v>12</v>
      </c>
      <c r="M777">
        <v>120</v>
      </c>
      <c r="N777">
        <f t="shared" si="100"/>
        <v>1440</v>
      </c>
      <c r="O777">
        <f t="shared" si="101"/>
        <v>144</v>
      </c>
      <c r="P777" t="str">
        <f t="shared" si="102"/>
        <v>Large Order</v>
      </c>
      <c r="Q777" t="str">
        <f t="shared" si="103"/>
        <v>Weekend</v>
      </c>
    </row>
    <row r="778" spans="1:17" x14ac:dyDescent="0.35">
      <c r="A778" t="s">
        <v>928</v>
      </c>
      <c r="B778" s="7">
        <v>45368</v>
      </c>
      <c r="C778" s="13">
        <f t="shared" si="97"/>
        <v>2024</v>
      </c>
      <c r="D778" s="7" t="str">
        <f t="shared" si="98"/>
        <v>Mar</v>
      </c>
      <c r="E778" s="7" t="str">
        <f t="shared" si="99"/>
        <v>Sun</v>
      </c>
      <c r="F778" t="s">
        <v>642</v>
      </c>
      <c r="G778" t="s">
        <v>96</v>
      </c>
      <c r="H778" t="s">
        <v>22</v>
      </c>
      <c r="I778" s="2" t="str">
        <f t="shared" si="96"/>
        <v>West</v>
      </c>
      <c r="J778" t="s">
        <v>12</v>
      </c>
      <c r="K778" t="s">
        <v>23</v>
      </c>
      <c r="L778">
        <v>6</v>
      </c>
      <c r="M778">
        <v>120</v>
      </c>
      <c r="N778">
        <f t="shared" si="100"/>
        <v>720</v>
      </c>
      <c r="O778">
        <f t="shared" si="101"/>
        <v>72</v>
      </c>
      <c r="P778" t="str">
        <f t="shared" si="102"/>
        <v>Large Order</v>
      </c>
      <c r="Q778" t="str">
        <f t="shared" si="103"/>
        <v>Weekend</v>
      </c>
    </row>
    <row r="779" spans="1:17" x14ac:dyDescent="0.35">
      <c r="A779" t="s">
        <v>929</v>
      </c>
      <c r="B779" s="7">
        <v>45545</v>
      </c>
      <c r="C779" s="13">
        <f t="shared" si="97"/>
        <v>2024</v>
      </c>
      <c r="D779" s="7" t="str">
        <f t="shared" si="98"/>
        <v>Sep</v>
      </c>
      <c r="E779" s="7" t="str">
        <f t="shared" si="99"/>
        <v>Tue</v>
      </c>
      <c r="F779" t="s">
        <v>30</v>
      </c>
      <c r="G779" t="s">
        <v>72</v>
      </c>
      <c r="H779" t="s">
        <v>11</v>
      </c>
      <c r="I779" s="2" t="str">
        <f t="shared" si="96"/>
        <v>Central</v>
      </c>
      <c r="J779" t="s">
        <v>27</v>
      </c>
      <c r="K779" t="s">
        <v>32</v>
      </c>
      <c r="L779">
        <v>8</v>
      </c>
      <c r="M779">
        <v>120</v>
      </c>
      <c r="N779">
        <f t="shared" si="100"/>
        <v>960</v>
      </c>
      <c r="O779">
        <f t="shared" si="101"/>
        <v>96</v>
      </c>
      <c r="P779" t="str">
        <f t="shared" si="102"/>
        <v>Large Order</v>
      </c>
      <c r="Q779" t="str">
        <f t="shared" si="103"/>
        <v>Weekday</v>
      </c>
    </row>
    <row r="780" spans="1:17" x14ac:dyDescent="0.35">
      <c r="A780" t="s">
        <v>930</v>
      </c>
      <c r="B780" s="7">
        <v>45317</v>
      </c>
      <c r="C780" s="13">
        <f t="shared" si="97"/>
        <v>2024</v>
      </c>
      <c r="D780" s="7" t="str">
        <f t="shared" si="98"/>
        <v>Jan</v>
      </c>
      <c r="E780" s="7" t="str">
        <f t="shared" si="99"/>
        <v>Fri</v>
      </c>
      <c r="F780" t="s">
        <v>358</v>
      </c>
      <c r="G780" t="s">
        <v>21</v>
      </c>
      <c r="H780" t="s">
        <v>11</v>
      </c>
      <c r="I780" s="2" t="str">
        <f t="shared" si="96"/>
        <v>Central</v>
      </c>
      <c r="J780" t="s">
        <v>306</v>
      </c>
      <c r="K780" t="s">
        <v>28</v>
      </c>
      <c r="L780">
        <v>13</v>
      </c>
      <c r="M780">
        <v>120</v>
      </c>
      <c r="N780">
        <f t="shared" si="100"/>
        <v>1560</v>
      </c>
      <c r="O780">
        <f t="shared" si="101"/>
        <v>156</v>
      </c>
      <c r="P780" t="str">
        <f t="shared" si="102"/>
        <v>Large Order</v>
      </c>
      <c r="Q780" t="str">
        <f t="shared" si="103"/>
        <v>Weekday</v>
      </c>
    </row>
    <row r="781" spans="1:17" x14ac:dyDescent="0.35">
      <c r="A781" t="s">
        <v>931</v>
      </c>
      <c r="B781" s="7">
        <v>45332</v>
      </c>
      <c r="C781" s="13">
        <f t="shared" si="97"/>
        <v>2024</v>
      </c>
      <c r="D781" s="7" t="str">
        <f t="shared" si="98"/>
        <v>Feb</v>
      </c>
      <c r="E781" s="7" t="str">
        <f t="shared" si="99"/>
        <v>Sat</v>
      </c>
      <c r="F781" t="s">
        <v>366</v>
      </c>
      <c r="G781" t="s">
        <v>70</v>
      </c>
      <c r="H781" t="s">
        <v>17</v>
      </c>
      <c r="I781" s="2" t="str">
        <f t="shared" si="96"/>
        <v>North</v>
      </c>
      <c r="J781" t="s">
        <v>306</v>
      </c>
      <c r="K781" t="s">
        <v>23</v>
      </c>
      <c r="L781">
        <v>3</v>
      </c>
      <c r="M781">
        <v>120</v>
      </c>
      <c r="N781">
        <f t="shared" si="100"/>
        <v>360</v>
      </c>
      <c r="O781">
        <f t="shared" si="101"/>
        <v>36</v>
      </c>
      <c r="P781" t="str">
        <f t="shared" si="102"/>
        <v>Standard Order</v>
      </c>
      <c r="Q781" t="str">
        <f t="shared" si="103"/>
        <v>Weekend</v>
      </c>
    </row>
    <row r="782" spans="1:17" x14ac:dyDescent="0.35">
      <c r="A782" t="s">
        <v>932</v>
      </c>
      <c r="B782" s="7">
        <v>45453</v>
      </c>
      <c r="C782" s="13">
        <f t="shared" si="97"/>
        <v>2024</v>
      </c>
      <c r="D782" s="7" t="str">
        <f t="shared" si="98"/>
        <v>Jun</v>
      </c>
      <c r="E782" s="7" t="str">
        <f t="shared" si="99"/>
        <v>Mon</v>
      </c>
      <c r="F782" t="s">
        <v>114</v>
      </c>
      <c r="G782" t="s">
        <v>102</v>
      </c>
      <c r="H782" t="s">
        <v>17</v>
      </c>
      <c r="I782" s="2" t="str">
        <f t="shared" si="96"/>
        <v>Central</v>
      </c>
      <c r="J782" t="s">
        <v>12</v>
      </c>
      <c r="K782" t="s">
        <v>36</v>
      </c>
      <c r="L782">
        <v>13</v>
      </c>
      <c r="M782">
        <v>120</v>
      </c>
      <c r="N782">
        <f t="shared" si="100"/>
        <v>1560</v>
      </c>
      <c r="O782">
        <f t="shared" si="101"/>
        <v>156</v>
      </c>
      <c r="P782" t="str">
        <f t="shared" si="102"/>
        <v>Large Order</v>
      </c>
      <c r="Q782" t="str">
        <f t="shared" si="103"/>
        <v>Weekday</v>
      </c>
    </row>
    <row r="783" spans="1:17" x14ac:dyDescent="0.35">
      <c r="A783" t="s">
        <v>933</v>
      </c>
      <c r="B783" s="7">
        <v>45573</v>
      </c>
      <c r="C783" s="13">
        <f t="shared" si="97"/>
        <v>2024</v>
      </c>
      <c r="D783" s="7" t="str">
        <f t="shared" si="98"/>
        <v>Oct</v>
      </c>
      <c r="E783" s="7" t="str">
        <f t="shared" si="99"/>
        <v>Tue</v>
      </c>
      <c r="F783" t="s">
        <v>25</v>
      </c>
      <c r="G783" t="s">
        <v>109</v>
      </c>
      <c r="H783" t="s">
        <v>11</v>
      </c>
      <c r="I783" s="2" t="str">
        <f t="shared" si="96"/>
        <v>West</v>
      </c>
      <c r="J783" t="s">
        <v>306</v>
      </c>
      <c r="K783" t="s">
        <v>36</v>
      </c>
      <c r="L783">
        <v>10</v>
      </c>
      <c r="M783">
        <v>120</v>
      </c>
      <c r="N783">
        <f t="shared" si="100"/>
        <v>1200</v>
      </c>
      <c r="O783">
        <f t="shared" si="101"/>
        <v>120</v>
      </c>
      <c r="P783" t="str">
        <f t="shared" si="102"/>
        <v>Large Order</v>
      </c>
      <c r="Q783" t="str">
        <f t="shared" si="103"/>
        <v>Weekday</v>
      </c>
    </row>
    <row r="784" spans="1:17" x14ac:dyDescent="0.35">
      <c r="A784" t="s">
        <v>934</v>
      </c>
      <c r="B784" s="7">
        <v>45397</v>
      </c>
      <c r="C784" s="13">
        <f t="shared" si="97"/>
        <v>2024</v>
      </c>
      <c r="D784" s="7" t="str">
        <f t="shared" si="98"/>
        <v>Apr</v>
      </c>
      <c r="E784" s="7" t="str">
        <f t="shared" si="99"/>
        <v>Mon</v>
      </c>
      <c r="F784" t="s">
        <v>350</v>
      </c>
      <c r="G784" t="s">
        <v>72</v>
      </c>
      <c r="H784" t="s">
        <v>22</v>
      </c>
      <c r="I784" s="2" t="str">
        <f t="shared" si="96"/>
        <v>Central</v>
      </c>
      <c r="J784" t="s">
        <v>27</v>
      </c>
      <c r="K784" t="s">
        <v>28</v>
      </c>
      <c r="L784">
        <v>12</v>
      </c>
      <c r="M784">
        <v>120</v>
      </c>
      <c r="N784">
        <f t="shared" si="100"/>
        <v>1440</v>
      </c>
      <c r="O784">
        <f t="shared" si="101"/>
        <v>144</v>
      </c>
      <c r="P784" t="str">
        <f t="shared" si="102"/>
        <v>Large Order</v>
      </c>
      <c r="Q784" t="str">
        <f t="shared" si="103"/>
        <v>Weekday</v>
      </c>
    </row>
    <row r="785" spans="1:17" x14ac:dyDescent="0.35">
      <c r="A785" t="s">
        <v>935</v>
      </c>
      <c r="B785" s="7">
        <v>45524</v>
      </c>
      <c r="C785" s="13">
        <f t="shared" si="97"/>
        <v>2024</v>
      </c>
      <c r="D785" s="7" t="str">
        <f t="shared" si="98"/>
        <v>Aug</v>
      </c>
      <c r="E785" s="7" t="str">
        <f t="shared" si="99"/>
        <v>Tue</v>
      </c>
      <c r="F785" t="s">
        <v>118</v>
      </c>
      <c r="G785" t="s">
        <v>109</v>
      </c>
      <c r="H785" t="s">
        <v>22</v>
      </c>
      <c r="I785" s="2" t="str">
        <f t="shared" si="96"/>
        <v>South</v>
      </c>
      <c r="J785" t="s">
        <v>306</v>
      </c>
      <c r="K785" t="s">
        <v>32</v>
      </c>
      <c r="L785">
        <v>16</v>
      </c>
      <c r="M785">
        <v>120</v>
      </c>
      <c r="N785">
        <f t="shared" si="100"/>
        <v>1920</v>
      </c>
      <c r="O785">
        <f t="shared" si="101"/>
        <v>192</v>
      </c>
      <c r="P785" t="str">
        <f t="shared" si="102"/>
        <v>Large Order</v>
      </c>
      <c r="Q785" t="str">
        <f t="shared" si="103"/>
        <v>Weekday</v>
      </c>
    </row>
    <row r="786" spans="1:17" x14ac:dyDescent="0.35">
      <c r="A786" t="s">
        <v>936</v>
      </c>
      <c r="B786" s="7">
        <v>45523</v>
      </c>
      <c r="C786" s="13">
        <f t="shared" si="97"/>
        <v>2024</v>
      </c>
      <c r="D786" s="7" t="str">
        <f t="shared" si="98"/>
        <v>Aug</v>
      </c>
      <c r="E786" s="7" t="str">
        <f t="shared" si="99"/>
        <v>Mon</v>
      </c>
      <c r="F786" t="s">
        <v>40</v>
      </c>
      <c r="G786" t="s">
        <v>96</v>
      </c>
      <c r="H786" t="s">
        <v>11</v>
      </c>
      <c r="I786" s="2" t="str">
        <f t="shared" si="96"/>
        <v>North</v>
      </c>
      <c r="J786" t="s">
        <v>56</v>
      </c>
      <c r="K786" t="s">
        <v>32</v>
      </c>
      <c r="L786">
        <v>11</v>
      </c>
      <c r="M786">
        <v>120</v>
      </c>
      <c r="N786">
        <f t="shared" si="100"/>
        <v>1320</v>
      </c>
      <c r="O786">
        <f t="shared" si="101"/>
        <v>132</v>
      </c>
      <c r="P786" t="str">
        <f t="shared" si="102"/>
        <v>Large Order</v>
      </c>
      <c r="Q786" t="str">
        <f t="shared" si="103"/>
        <v>Weekday</v>
      </c>
    </row>
    <row r="787" spans="1:17" x14ac:dyDescent="0.35">
      <c r="A787" t="s">
        <v>937</v>
      </c>
      <c r="B787" s="7">
        <v>45572</v>
      </c>
      <c r="C787" s="13">
        <f t="shared" si="97"/>
        <v>2024</v>
      </c>
      <c r="D787" s="7" t="str">
        <f t="shared" si="98"/>
        <v>Oct</v>
      </c>
      <c r="E787" s="7" t="str">
        <f t="shared" si="99"/>
        <v>Mon</v>
      </c>
      <c r="F787" t="s">
        <v>363</v>
      </c>
      <c r="G787" t="s">
        <v>79</v>
      </c>
      <c r="H787" t="s">
        <v>17</v>
      </c>
      <c r="I787" s="2" t="str">
        <f t="shared" si="96"/>
        <v>South</v>
      </c>
      <c r="J787" t="s">
        <v>12</v>
      </c>
      <c r="K787" t="s">
        <v>23</v>
      </c>
      <c r="L787">
        <v>6</v>
      </c>
      <c r="M787">
        <v>120</v>
      </c>
      <c r="N787">
        <f t="shared" si="100"/>
        <v>720</v>
      </c>
      <c r="O787">
        <f t="shared" si="101"/>
        <v>72</v>
      </c>
      <c r="P787" t="str">
        <f t="shared" si="102"/>
        <v>Large Order</v>
      </c>
      <c r="Q787" t="str">
        <f t="shared" si="103"/>
        <v>Weekday</v>
      </c>
    </row>
    <row r="788" spans="1:17" x14ac:dyDescent="0.35">
      <c r="A788" t="s">
        <v>938</v>
      </c>
      <c r="B788" s="7">
        <v>45346</v>
      </c>
      <c r="C788" s="13">
        <f t="shared" si="97"/>
        <v>2024</v>
      </c>
      <c r="D788" s="7" t="str">
        <f t="shared" si="98"/>
        <v>Feb</v>
      </c>
      <c r="E788" s="7" t="str">
        <f t="shared" si="99"/>
        <v>Sat</v>
      </c>
      <c r="F788" t="s">
        <v>230</v>
      </c>
      <c r="G788" t="s">
        <v>65</v>
      </c>
      <c r="H788" t="s">
        <v>22</v>
      </c>
      <c r="I788" s="2" t="str">
        <f t="shared" si="96"/>
        <v>East</v>
      </c>
      <c r="J788" t="s">
        <v>56</v>
      </c>
      <c r="K788" t="s">
        <v>23</v>
      </c>
      <c r="L788">
        <v>4</v>
      </c>
      <c r="M788">
        <v>120</v>
      </c>
      <c r="N788">
        <f t="shared" si="100"/>
        <v>480</v>
      </c>
      <c r="O788">
        <f t="shared" si="101"/>
        <v>48</v>
      </c>
      <c r="P788" t="str">
        <f t="shared" si="102"/>
        <v>Standard Order</v>
      </c>
      <c r="Q788" t="str">
        <f t="shared" si="103"/>
        <v>Weekend</v>
      </c>
    </row>
    <row r="789" spans="1:17" x14ac:dyDescent="0.35">
      <c r="A789" t="s">
        <v>939</v>
      </c>
      <c r="B789" s="7">
        <v>45402</v>
      </c>
      <c r="C789" s="13">
        <f t="shared" si="97"/>
        <v>2024</v>
      </c>
      <c r="D789" s="7" t="str">
        <f t="shared" si="98"/>
        <v>Apr</v>
      </c>
      <c r="E789" s="7" t="str">
        <f t="shared" si="99"/>
        <v>Sat</v>
      </c>
      <c r="F789" t="s">
        <v>366</v>
      </c>
      <c r="G789" t="s">
        <v>102</v>
      </c>
      <c r="H789" t="s">
        <v>11</v>
      </c>
      <c r="I789" s="2" t="str">
        <f t="shared" si="96"/>
        <v>West</v>
      </c>
      <c r="J789" t="s">
        <v>42</v>
      </c>
      <c r="K789" t="s">
        <v>36</v>
      </c>
      <c r="L789">
        <v>14</v>
      </c>
      <c r="M789">
        <v>120</v>
      </c>
      <c r="N789">
        <f t="shared" si="100"/>
        <v>1680</v>
      </c>
      <c r="O789">
        <f t="shared" si="101"/>
        <v>168</v>
      </c>
      <c r="P789" t="str">
        <f t="shared" si="102"/>
        <v>Large Order</v>
      </c>
      <c r="Q789" t="str">
        <f t="shared" si="103"/>
        <v>Weekend</v>
      </c>
    </row>
    <row r="790" spans="1:17" x14ac:dyDescent="0.35">
      <c r="A790" t="s">
        <v>940</v>
      </c>
      <c r="B790" s="7">
        <v>45355</v>
      </c>
      <c r="C790" s="13">
        <f t="shared" si="97"/>
        <v>2024</v>
      </c>
      <c r="D790" s="7" t="str">
        <f t="shared" si="98"/>
        <v>Mar</v>
      </c>
      <c r="E790" s="7" t="str">
        <f t="shared" si="99"/>
        <v>Mon</v>
      </c>
      <c r="F790" t="s">
        <v>337</v>
      </c>
      <c r="G790" t="s">
        <v>41</v>
      </c>
      <c r="H790" t="s">
        <v>17</v>
      </c>
      <c r="I790" s="2" t="str">
        <f t="shared" si="96"/>
        <v>North</v>
      </c>
      <c r="J790" t="s">
        <v>27</v>
      </c>
      <c r="K790" t="s">
        <v>28</v>
      </c>
      <c r="L790">
        <v>19</v>
      </c>
      <c r="M790">
        <v>120</v>
      </c>
      <c r="N790">
        <f t="shared" si="100"/>
        <v>2280</v>
      </c>
      <c r="O790">
        <f t="shared" si="101"/>
        <v>228</v>
      </c>
      <c r="P790" t="str">
        <f t="shared" si="102"/>
        <v>Large Order</v>
      </c>
      <c r="Q790" t="str">
        <f t="shared" si="103"/>
        <v>Weekday</v>
      </c>
    </row>
    <row r="791" spans="1:17" x14ac:dyDescent="0.35">
      <c r="A791" t="s">
        <v>941</v>
      </c>
      <c r="B791" s="7">
        <v>45547</v>
      </c>
      <c r="C791" s="13">
        <f t="shared" si="97"/>
        <v>2024</v>
      </c>
      <c r="D791" s="7" t="str">
        <f t="shared" si="98"/>
        <v>Sep</v>
      </c>
      <c r="E791" s="7" t="str">
        <f t="shared" si="99"/>
        <v>Thu</v>
      </c>
      <c r="F791" t="s">
        <v>25</v>
      </c>
      <c r="G791" t="s">
        <v>174</v>
      </c>
      <c r="H791" t="s">
        <v>22</v>
      </c>
      <c r="I791" s="2" t="str">
        <f t="shared" si="96"/>
        <v>Central</v>
      </c>
      <c r="J791" t="s">
        <v>12</v>
      </c>
      <c r="K791" t="s">
        <v>23</v>
      </c>
      <c r="L791">
        <v>14</v>
      </c>
      <c r="M791">
        <v>120</v>
      </c>
      <c r="N791">
        <f t="shared" si="100"/>
        <v>1680</v>
      </c>
      <c r="O791">
        <f t="shared" si="101"/>
        <v>168</v>
      </c>
      <c r="P791" t="str">
        <f t="shared" si="102"/>
        <v>Large Order</v>
      </c>
      <c r="Q791" t="str">
        <f t="shared" si="103"/>
        <v>Weekday</v>
      </c>
    </row>
    <row r="792" spans="1:17" x14ac:dyDescent="0.35">
      <c r="A792" t="s">
        <v>942</v>
      </c>
      <c r="B792" s="7">
        <v>45552</v>
      </c>
      <c r="C792" s="13">
        <f t="shared" si="97"/>
        <v>2024</v>
      </c>
      <c r="D792" s="7" t="str">
        <f t="shared" si="98"/>
        <v>Sep</v>
      </c>
      <c r="E792" s="7" t="str">
        <f t="shared" si="99"/>
        <v>Tue</v>
      </c>
      <c r="F792" t="s">
        <v>420</v>
      </c>
      <c r="G792" t="s">
        <v>45</v>
      </c>
      <c r="H792" t="s">
        <v>11</v>
      </c>
      <c r="I792" s="2" t="str">
        <f t="shared" si="96"/>
        <v>West</v>
      </c>
      <c r="J792" t="s">
        <v>306</v>
      </c>
      <c r="K792" t="s">
        <v>36</v>
      </c>
      <c r="L792">
        <v>5</v>
      </c>
      <c r="M792">
        <v>120</v>
      </c>
      <c r="N792">
        <f t="shared" si="100"/>
        <v>600</v>
      </c>
      <c r="O792">
        <f t="shared" si="101"/>
        <v>60</v>
      </c>
      <c r="P792" t="str">
        <f t="shared" si="102"/>
        <v>Large Order</v>
      </c>
      <c r="Q792" t="str">
        <f t="shared" si="103"/>
        <v>Weekday</v>
      </c>
    </row>
    <row r="793" spans="1:17" x14ac:dyDescent="0.35">
      <c r="A793" t="s">
        <v>943</v>
      </c>
      <c r="B793" s="7">
        <v>45602</v>
      </c>
      <c r="C793" s="13">
        <f t="shared" si="97"/>
        <v>2024</v>
      </c>
      <c r="D793" s="7" t="str">
        <f t="shared" si="98"/>
        <v>Nov</v>
      </c>
      <c r="E793" s="7" t="str">
        <f t="shared" si="99"/>
        <v>Wed</v>
      </c>
      <c r="F793" t="s">
        <v>187</v>
      </c>
      <c r="G793" t="s">
        <v>87</v>
      </c>
      <c r="H793" t="s">
        <v>22</v>
      </c>
      <c r="I793" s="2" t="str">
        <f t="shared" si="96"/>
        <v>East</v>
      </c>
      <c r="J793" t="s">
        <v>27</v>
      </c>
      <c r="K793" t="s">
        <v>28</v>
      </c>
      <c r="L793">
        <v>20</v>
      </c>
      <c r="M793">
        <v>120</v>
      </c>
      <c r="N793">
        <f t="shared" si="100"/>
        <v>2400</v>
      </c>
      <c r="O793">
        <f t="shared" si="101"/>
        <v>240</v>
      </c>
      <c r="P793" t="str">
        <f t="shared" si="102"/>
        <v>Large Order</v>
      </c>
      <c r="Q793" t="str">
        <f t="shared" si="103"/>
        <v>Weekday</v>
      </c>
    </row>
    <row r="794" spans="1:17" x14ac:dyDescent="0.35">
      <c r="A794" t="s">
        <v>944</v>
      </c>
      <c r="B794" s="7">
        <v>45432</v>
      </c>
      <c r="C794" s="13">
        <f t="shared" si="97"/>
        <v>2024</v>
      </c>
      <c r="D794" s="7" t="str">
        <f t="shared" si="98"/>
        <v>May</v>
      </c>
      <c r="E794" s="7" t="str">
        <f t="shared" si="99"/>
        <v>Mon</v>
      </c>
      <c r="F794" t="s">
        <v>106</v>
      </c>
      <c r="G794" t="s">
        <v>70</v>
      </c>
      <c r="H794" t="s">
        <v>17</v>
      </c>
      <c r="I794" s="2" t="str">
        <f t="shared" si="96"/>
        <v>East</v>
      </c>
      <c r="J794" t="s">
        <v>42</v>
      </c>
      <c r="K794" t="s">
        <v>36</v>
      </c>
      <c r="L794">
        <v>5</v>
      </c>
      <c r="M794">
        <v>120</v>
      </c>
      <c r="N794">
        <f t="shared" si="100"/>
        <v>600</v>
      </c>
      <c r="O794">
        <f t="shared" si="101"/>
        <v>60</v>
      </c>
      <c r="P794" t="str">
        <f t="shared" si="102"/>
        <v>Large Order</v>
      </c>
      <c r="Q794" t="str">
        <f t="shared" si="103"/>
        <v>Weekday</v>
      </c>
    </row>
    <row r="795" spans="1:17" x14ac:dyDescent="0.35">
      <c r="A795" t="s">
        <v>945</v>
      </c>
      <c r="B795" s="7">
        <v>45650</v>
      </c>
      <c r="C795" s="13">
        <f t="shared" si="97"/>
        <v>2024</v>
      </c>
      <c r="D795" s="7" t="str">
        <f t="shared" si="98"/>
        <v>Dec</v>
      </c>
      <c r="E795" s="7" t="str">
        <f t="shared" si="99"/>
        <v>Tue</v>
      </c>
      <c r="F795" t="s">
        <v>323</v>
      </c>
      <c r="G795" t="s">
        <v>62</v>
      </c>
      <c r="H795" t="s">
        <v>22</v>
      </c>
      <c r="I795" s="2" t="str">
        <f t="shared" si="96"/>
        <v>South</v>
      </c>
      <c r="J795" t="s">
        <v>42</v>
      </c>
      <c r="K795" t="s">
        <v>36</v>
      </c>
      <c r="L795">
        <v>18</v>
      </c>
      <c r="M795">
        <v>120</v>
      </c>
      <c r="N795">
        <f t="shared" si="100"/>
        <v>2160</v>
      </c>
      <c r="O795">
        <f t="shared" si="101"/>
        <v>216</v>
      </c>
      <c r="P795" t="str">
        <f t="shared" si="102"/>
        <v>Large Order</v>
      </c>
      <c r="Q795" t="str">
        <f t="shared" si="103"/>
        <v>Weekday</v>
      </c>
    </row>
    <row r="796" spans="1:17" x14ac:dyDescent="0.35">
      <c r="A796" t="s">
        <v>946</v>
      </c>
      <c r="B796" s="7">
        <v>45615</v>
      </c>
      <c r="C796" s="13">
        <f t="shared" si="97"/>
        <v>2024</v>
      </c>
      <c r="D796" s="7" t="str">
        <f t="shared" si="98"/>
        <v>Nov</v>
      </c>
      <c r="E796" s="7" t="str">
        <f t="shared" si="99"/>
        <v>Tue</v>
      </c>
      <c r="F796" t="s">
        <v>133</v>
      </c>
      <c r="G796" t="s">
        <v>109</v>
      </c>
      <c r="H796" t="s">
        <v>11</v>
      </c>
      <c r="I796" s="2" t="str">
        <f t="shared" si="96"/>
        <v>Central</v>
      </c>
      <c r="J796" t="s">
        <v>56</v>
      </c>
      <c r="K796" t="s">
        <v>28</v>
      </c>
      <c r="L796">
        <v>10</v>
      </c>
      <c r="M796">
        <v>120</v>
      </c>
      <c r="N796">
        <f t="shared" si="100"/>
        <v>1200</v>
      </c>
      <c r="O796">
        <f t="shared" si="101"/>
        <v>120</v>
      </c>
      <c r="P796" t="str">
        <f t="shared" si="102"/>
        <v>Large Order</v>
      </c>
      <c r="Q796" t="str">
        <f t="shared" si="103"/>
        <v>Weekday</v>
      </c>
    </row>
    <row r="797" spans="1:17" x14ac:dyDescent="0.35">
      <c r="A797" t="s">
        <v>947</v>
      </c>
      <c r="B797" s="7">
        <v>45655</v>
      </c>
      <c r="C797" s="13">
        <f t="shared" si="97"/>
        <v>2024</v>
      </c>
      <c r="D797" s="7" t="str">
        <f t="shared" si="98"/>
        <v>Dec</v>
      </c>
      <c r="E797" s="7" t="str">
        <f t="shared" si="99"/>
        <v>Sun</v>
      </c>
      <c r="F797" t="s">
        <v>350</v>
      </c>
      <c r="G797" t="s">
        <v>174</v>
      </c>
      <c r="H797" t="s">
        <v>11</v>
      </c>
      <c r="I797" s="2" t="str">
        <f t="shared" si="96"/>
        <v>Central</v>
      </c>
      <c r="J797" t="s">
        <v>306</v>
      </c>
      <c r="K797" t="s">
        <v>32</v>
      </c>
      <c r="L797">
        <v>11</v>
      </c>
      <c r="M797">
        <v>120</v>
      </c>
      <c r="N797">
        <f t="shared" si="100"/>
        <v>1320</v>
      </c>
      <c r="O797">
        <f t="shared" si="101"/>
        <v>132</v>
      </c>
      <c r="P797" t="str">
        <f t="shared" si="102"/>
        <v>Large Order</v>
      </c>
      <c r="Q797" t="str">
        <f t="shared" si="103"/>
        <v>Weekend</v>
      </c>
    </row>
    <row r="798" spans="1:17" x14ac:dyDescent="0.35">
      <c r="A798" t="s">
        <v>948</v>
      </c>
      <c r="B798" s="7">
        <v>45579</v>
      </c>
      <c r="C798" s="13">
        <f t="shared" si="97"/>
        <v>2024</v>
      </c>
      <c r="D798" s="7" t="str">
        <f t="shared" si="98"/>
        <v>Oct</v>
      </c>
      <c r="E798" s="7" t="str">
        <f t="shared" si="99"/>
        <v>Mon</v>
      </c>
      <c r="F798" t="s">
        <v>517</v>
      </c>
      <c r="G798" t="s">
        <v>41</v>
      </c>
      <c r="H798" t="s">
        <v>22</v>
      </c>
      <c r="I798" s="2" t="str">
        <f t="shared" si="96"/>
        <v>Central</v>
      </c>
      <c r="J798" t="s">
        <v>306</v>
      </c>
      <c r="K798" t="s">
        <v>36</v>
      </c>
      <c r="L798">
        <v>14</v>
      </c>
      <c r="M798">
        <v>120</v>
      </c>
      <c r="N798">
        <f t="shared" si="100"/>
        <v>1680</v>
      </c>
      <c r="O798">
        <f t="shared" si="101"/>
        <v>168</v>
      </c>
      <c r="P798" t="str">
        <f t="shared" si="102"/>
        <v>Large Order</v>
      </c>
      <c r="Q798" t="str">
        <f t="shared" si="103"/>
        <v>Weekday</v>
      </c>
    </row>
    <row r="799" spans="1:17" x14ac:dyDescent="0.35">
      <c r="A799" t="s">
        <v>949</v>
      </c>
      <c r="B799" s="7">
        <v>45438</v>
      </c>
      <c r="C799" s="13">
        <f t="shared" si="97"/>
        <v>2024</v>
      </c>
      <c r="D799" s="7" t="str">
        <f t="shared" si="98"/>
        <v>May</v>
      </c>
      <c r="E799" s="7" t="str">
        <f t="shared" si="99"/>
        <v>Sun</v>
      </c>
      <c r="F799" t="s">
        <v>309</v>
      </c>
      <c r="G799" t="s">
        <v>102</v>
      </c>
      <c r="H799" t="s">
        <v>11</v>
      </c>
      <c r="I799" s="2" t="str">
        <f t="shared" si="96"/>
        <v>East</v>
      </c>
      <c r="J799" t="s">
        <v>306</v>
      </c>
      <c r="K799" t="s">
        <v>13</v>
      </c>
      <c r="L799">
        <v>1</v>
      </c>
      <c r="M799">
        <v>120</v>
      </c>
      <c r="N799">
        <f t="shared" si="100"/>
        <v>120</v>
      </c>
      <c r="O799">
        <f t="shared" si="101"/>
        <v>12</v>
      </c>
      <c r="P799" t="str">
        <f t="shared" si="102"/>
        <v>Standard Order</v>
      </c>
      <c r="Q799" t="str">
        <f t="shared" si="103"/>
        <v>Weekend</v>
      </c>
    </row>
    <row r="800" spans="1:17" x14ac:dyDescent="0.35">
      <c r="A800" t="s">
        <v>950</v>
      </c>
      <c r="B800" s="7">
        <v>45635</v>
      </c>
      <c r="C800" s="13">
        <f t="shared" si="97"/>
        <v>2024</v>
      </c>
      <c r="D800" s="7" t="str">
        <f t="shared" si="98"/>
        <v>Dec</v>
      </c>
      <c r="E800" s="7" t="str">
        <f t="shared" si="99"/>
        <v>Mon</v>
      </c>
      <c r="F800" t="s">
        <v>131</v>
      </c>
      <c r="G800" t="s">
        <v>119</v>
      </c>
      <c r="H800" t="s">
        <v>11</v>
      </c>
      <c r="I800" s="2" t="str">
        <f t="shared" si="96"/>
        <v>East</v>
      </c>
      <c r="J800" t="s">
        <v>42</v>
      </c>
      <c r="K800" t="s">
        <v>32</v>
      </c>
      <c r="L800">
        <v>6</v>
      </c>
      <c r="M800">
        <v>120</v>
      </c>
      <c r="N800">
        <f t="shared" si="100"/>
        <v>720</v>
      </c>
      <c r="O800">
        <f t="shared" si="101"/>
        <v>72</v>
      </c>
      <c r="P800" t="str">
        <f t="shared" si="102"/>
        <v>Large Order</v>
      </c>
      <c r="Q800" t="str">
        <f t="shared" si="103"/>
        <v>Weekday</v>
      </c>
    </row>
    <row r="801" spans="1:17" x14ac:dyDescent="0.35">
      <c r="A801" t="s">
        <v>951</v>
      </c>
      <c r="B801" s="7">
        <v>45366</v>
      </c>
      <c r="C801" s="13">
        <f t="shared" si="97"/>
        <v>2024</v>
      </c>
      <c r="D801" s="7" t="str">
        <f t="shared" si="98"/>
        <v>Mar</v>
      </c>
      <c r="E801" s="7" t="str">
        <f t="shared" si="99"/>
        <v>Fri</v>
      </c>
      <c r="F801" t="s">
        <v>131</v>
      </c>
      <c r="G801" t="s">
        <v>65</v>
      </c>
      <c r="H801" t="s">
        <v>22</v>
      </c>
      <c r="I801" s="2" t="str">
        <f t="shared" si="96"/>
        <v>Central</v>
      </c>
      <c r="J801" t="s">
        <v>42</v>
      </c>
      <c r="K801" t="s">
        <v>23</v>
      </c>
      <c r="L801">
        <v>18</v>
      </c>
      <c r="M801">
        <v>120</v>
      </c>
      <c r="N801">
        <f t="shared" si="100"/>
        <v>2160</v>
      </c>
      <c r="O801">
        <f t="shared" si="101"/>
        <v>216</v>
      </c>
      <c r="P801" t="str">
        <f t="shared" si="102"/>
        <v>Large Order</v>
      </c>
      <c r="Q801" t="str">
        <f t="shared" si="103"/>
        <v>Weekday</v>
      </c>
    </row>
    <row r="802" spans="1:17" x14ac:dyDescent="0.35">
      <c r="A802" t="s">
        <v>952</v>
      </c>
      <c r="B802" s="7">
        <v>45344</v>
      </c>
      <c r="C802" s="13">
        <f t="shared" si="97"/>
        <v>2024</v>
      </c>
      <c r="D802" s="7" t="str">
        <f t="shared" si="98"/>
        <v>Feb</v>
      </c>
      <c r="E802" s="7" t="str">
        <f t="shared" si="99"/>
        <v>Thu</v>
      </c>
      <c r="F802" t="s">
        <v>594</v>
      </c>
      <c r="G802" t="s">
        <v>197</v>
      </c>
      <c r="H802" t="s">
        <v>22</v>
      </c>
      <c r="I802" s="2" t="str">
        <f t="shared" si="96"/>
        <v>North</v>
      </c>
      <c r="J802" t="s">
        <v>306</v>
      </c>
      <c r="K802" t="s">
        <v>36</v>
      </c>
      <c r="L802">
        <v>18</v>
      </c>
      <c r="M802">
        <v>120</v>
      </c>
      <c r="N802">
        <f t="shared" si="100"/>
        <v>2160</v>
      </c>
      <c r="O802">
        <f t="shared" si="101"/>
        <v>216</v>
      </c>
      <c r="P802" t="str">
        <f t="shared" si="102"/>
        <v>Large Order</v>
      </c>
      <c r="Q802" t="str">
        <f t="shared" si="103"/>
        <v>Weekday</v>
      </c>
    </row>
    <row r="803" spans="1:17" x14ac:dyDescent="0.35">
      <c r="A803" t="s">
        <v>953</v>
      </c>
      <c r="B803" s="7">
        <v>45648</v>
      </c>
      <c r="C803" s="13">
        <f t="shared" si="97"/>
        <v>2024</v>
      </c>
      <c r="D803" s="7" t="str">
        <f t="shared" si="98"/>
        <v>Dec</v>
      </c>
      <c r="E803" s="7" t="str">
        <f t="shared" si="99"/>
        <v>Sun</v>
      </c>
      <c r="F803" t="s">
        <v>55</v>
      </c>
      <c r="G803" t="s">
        <v>31</v>
      </c>
      <c r="H803" t="s">
        <v>22</v>
      </c>
      <c r="I803" s="2" t="str">
        <f t="shared" si="96"/>
        <v>East</v>
      </c>
      <c r="J803" t="s">
        <v>12</v>
      </c>
      <c r="K803" t="s">
        <v>32</v>
      </c>
      <c r="L803">
        <v>13</v>
      </c>
      <c r="M803">
        <v>120</v>
      </c>
      <c r="N803">
        <f t="shared" si="100"/>
        <v>1560</v>
      </c>
      <c r="O803">
        <f t="shared" si="101"/>
        <v>156</v>
      </c>
      <c r="P803" t="str">
        <f t="shared" si="102"/>
        <v>Large Order</v>
      </c>
      <c r="Q803" t="str">
        <f t="shared" si="103"/>
        <v>Weekend</v>
      </c>
    </row>
    <row r="804" spans="1:17" x14ac:dyDescent="0.35">
      <c r="A804" t="s">
        <v>954</v>
      </c>
      <c r="B804" s="7">
        <v>45574</v>
      </c>
      <c r="C804" s="13">
        <f t="shared" si="97"/>
        <v>2024</v>
      </c>
      <c r="D804" s="7" t="str">
        <f t="shared" si="98"/>
        <v>Oct</v>
      </c>
      <c r="E804" s="7" t="str">
        <f t="shared" si="99"/>
        <v>Wed</v>
      </c>
      <c r="F804" t="s">
        <v>9</v>
      </c>
      <c r="G804" t="s">
        <v>65</v>
      </c>
      <c r="H804" t="s">
        <v>11</v>
      </c>
      <c r="I804" s="2" t="str">
        <f t="shared" si="96"/>
        <v>East</v>
      </c>
      <c r="J804" t="s">
        <v>42</v>
      </c>
      <c r="K804" t="s">
        <v>23</v>
      </c>
      <c r="L804">
        <v>20</v>
      </c>
      <c r="M804">
        <v>120</v>
      </c>
      <c r="N804">
        <f t="shared" si="100"/>
        <v>2400</v>
      </c>
      <c r="O804">
        <f t="shared" si="101"/>
        <v>240</v>
      </c>
      <c r="P804" t="str">
        <f t="shared" si="102"/>
        <v>Large Order</v>
      </c>
      <c r="Q804" t="str">
        <f t="shared" si="103"/>
        <v>Weekday</v>
      </c>
    </row>
    <row r="805" spans="1:17" x14ac:dyDescent="0.35">
      <c r="A805" t="s">
        <v>955</v>
      </c>
      <c r="B805" s="7">
        <v>45407</v>
      </c>
      <c r="C805" s="13">
        <f t="shared" si="97"/>
        <v>2024</v>
      </c>
      <c r="D805" s="7" t="str">
        <f t="shared" si="98"/>
        <v>Apr</v>
      </c>
      <c r="E805" s="7" t="str">
        <f t="shared" si="99"/>
        <v>Thu</v>
      </c>
      <c r="F805" t="s">
        <v>541</v>
      </c>
      <c r="G805" t="s">
        <v>119</v>
      </c>
      <c r="H805" t="s">
        <v>22</v>
      </c>
      <c r="I805" s="2" t="str">
        <f t="shared" si="96"/>
        <v>South</v>
      </c>
      <c r="J805" t="s">
        <v>42</v>
      </c>
      <c r="K805" t="s">
        <v>36</v>
      </c>
      <c r="L805">
        <v>19</v>
      </c>
      <c r="M805">
        <v>120</v>
      </c>
      <c r="N805">
        <f t="shared" si="100"/>
        <v>2280</v>
      </c>
      <c r="O805">
        <f t="shared" si="101"/>
        <v>228</v>
      </c>
      <c r="P805" t="str">
        <f t="shared" si="102"/>
        <v>Large Order</v>
      </c>
      <c r="Q805" t="str">
        <f t="shared" si="103"/>
        <v>Weekday</v>
      </c>
    </row>
    <row r="806" spans="1:17" x14ac:dyDescent="0.35">
      <c r="A806" t="s">
        <v>956</v>
      </c>
      <c r="B806" s="7">
        <v>45392</v>
      </c>
      <c r="C806" s="13">
        <f t="shared" si="97"/>
        <v>2024</v>
      </c>
      <c r="D806" s="7" t="str">
        <f t="shared" si="98"/>
        <v>Apr</v>
      </c>
      <c r="E806" s="7" t="str">
        <f t="shared" si="99"/>
        <v>Wed</v>
      </c>
      <c r="F806" t="s">
        <v>420</v>
      </c>
      <c r="G806" t="s">
        <v>74</v>
      </c>
      <c r="H806" t="s">
        <v>22</v>
      </c>
      <c r="I806" s="2" t="str">
        <f t="shared" si="96"/>
        <v>Central</v>
      </c>
      <c r="J806" t="s">
        <v>56</v>
      </c>
      <c r="K806" t="s">
        <v>13</v>
      </c>
      <c r="L806">
        <v>15</v>
      </c>
      <c r="M806">
        <v>120</v>
      </c>
      <c r="N806">
        <f t="shared" si="100"/>
        <v>1800</v>
      </c>
      <c r="O806">
        <f t="shared" si="101"/>
        <v>180</v>
      </c>
      <c r="P806" t="str">
        <f t="shared" si="102"/>
        <v>Large Order</v>
      </c>
      <c r="Q806" t="str">
        <f t="shared" si="103"/>
        <v>Weekday</v>
      </c>
    </row>
    <row r="807" spans="1:17" x14ac:dyDescent="0.35">
      <c r="A807" t="s">
        <v>957</v>
      </c>
      <c r="B807" s="7">
        <v>45387</v>
      </c>
      <c r="C807" s="13">
        <f t="shared" si="97"/>
        <v>2024</v>
      </c>
      <c r="D807" s="7" t="str">
        <f t="shared" si="98"/>
        <v>Apr</v>
      </c>
      <c r="E807" s="7" t="str">
        <f t="shared" si="99"/>
        <v>Fri</v>
      </c>
      <c r="F807" t="s">
        <v>235</v>
      </c>
      <c r="G807" t="s">
        <v>102</v>
      </c>
      <c r="H807" t="s">
        <v>22</v>
      </c>
      <c r="I807" s="2" t="str">
        <f t="shared" si="96"/>
        <v>South</v>
      </c>
      <c r="J807" t="s">
        <v>306</v>
      </c>
      <c r="K807" t="s">
        <v>32</v>
      </c>
      <c r="L807">
        <v>13</v>
      </c>
      <c r="M807">
        <v>120</v>
      </c>
      <c r="N807">
        <f t="shared" si="100"/>
        <v>1560</v>
      </c>
      <c r="O807">
        <f t="shared" si="101"/>
        <v>156</v>
      </c>
      <c r="P807" t="str">
        <f t="shared" si="102"/>
        <v>Large Order</v>
      </c>
      <c r="Q807" t="str">
        <f t="shared" si="103"/>
        <v>Weekday</v>
      </c>
    </row>
    <row r="808" spans="1:17" x14ac:dyDescent="0.35">
      <c r="A808" t="s">
        <v>958</v>
      </c>
      <c r="B808" s="7">
        <v>45576</v>
      </c>
      <c r="C808" s="13">
        <f t="shared" si="97"/>
        <v>2024</v>
      </c>
      <c r="D808" s="7" t="str">
        <f t="shared" si="98"/>
        <v>Oct</v>
      </c>
      <c r="E808" s="7" t="str">
        <f t="shared" si="99"/>
        <v>Fri</v>
      </c>
      <c r="F808" t="s">
        <v>86</v>
      </c>
      <c r="G808" t="s">
        <v>59</v>
      </c>
      <c r="H808" t="s">
        <v>11</v>
      </c>
      <c r="I808" s="2" t="str">
        <f t="shared" si="96"/>
        <v>South</v>
      </c>
      <c r="J808" t="s">
        <v>56</v>
      </c>
      <c r="K808" t="s">
        <v>23</v>
      </c>
      <c r="L808">
        <v>9</v>
      </c>
      <c r="M808">
        <v>120</v>
      </c>
      <c r="N808">
        <f t="shared" si="100"/>
        <v>1080</v>
      </c>
      <c r="O808">
        <f t="shared" si="101"/>
        <v>108</v>
      </c>
      <c r="P808" t="str">
        <f t="shared" si="102"/>
        <v>Large Order</v>
      </c>
      <c r="Q808" t="str">
        <f t="shared" si="103"/>
        <v>Weekday</v>
      </c>
    </row>
    <row r="809" spans="1:17" x14ac:dyDescent="0.35">
      <c r="A809" t="s">
        <v>959</v>
      </c>
      <c r="B809" s="7">
        <v>45655</v>
      </c>
      <c r="C809" s="13">
        <f t="shared" si="97"/>
        <v>2024</v>
      </c>
      <c r="D809" s="7" t="str">
        <f t="shared" si="98"/>
        <v>Dec</v>
      </c>
      <c r="E809" s="7" t="str">
        <f t="shared" si="99"/>
        <v>Sun</v>
      </c>
      <c r="F809" t="s">
        <v>125</v>
      </c>
      <c r="G809" t="s">
        <v>72</v>
      </c>
      <c r="H809" t="s">
        <v>11</v>
      </c>
      <c r="I809" s="2" t="str">
        <f t="shared" si="96"/>
        <v>Central</v>
      </c>
      <c r="J809" t="s">
        <v>56</v>
      </c>
      <c r="K809" t="s">
        <v>36</v>
      </c>
      <c r="L809">
        <v>20</v>
      </c>
      <c r="M809">
        <v>120</v>
      </c>
      <c r="N809">
        <f t="shared" si="100"/>
        <v>2400</v>
      </c>
      <c r="O809">
        <f t="shared" si="101"/>
        <v>240</v>
      </c>
      <c r="P809" t="str">
        <f t="shared" si="102"/>
        <v>Large Order</v>
      </c>
      <c r="Q809" t="str">
        <f t="shared" si="103"/>
        <v>Weekend</v>
      </c>
    </row>
    <row r="810" spans="1:17" x14ac:dyDescent="0.35">
      <c r="A810" t="s">
        <v>960</v>
      </c>
      <c r="B810" s="7">
        <v>45630</v>
      </c>
      <c r="C810" s="13">
        <f t="shared" si="97"/>
        <v>2024</v>
      </c>
      <c r="D810" s="7" t="str">
        <f t="shared" si="98"/>
        <v>Dec</v>
      </c>
      <c r="E810" s="7" t="str">
        <f t="shared" si="99"/>
        <v>Wed</v>
      </c>
      <c r="F810" t="s">
        <v>68</v>
      </c>
      <c r="G810" t="s">
        <v>174</v>
      </c>
      <c r="H810" t="s">
        <v>17</v>
      </c>
      <c r="I810" s="2" t="str">
        <f t="shared" si="96"/>
        <v>Central</v>
      </c>
      <c r="J810" t="s">
        <v>306</v>
      </c>
      <c r="K810" t="s">
        <v>32</v>
      </c>
      <c r="L810">
        <v>12</v>
      </c>
      <c r="M810">
        <v>120</v>
      </c>
      <c r="N810">
        <f t="shared" si="100"/>
        <v>1440</v>
      </c>
      <c r="O810">
        <f t="shared" si="101"/>
        <v>144</v>
      </c>
      <c r="P810" t="str">
        <f t="shared" si="102"/>
        <v>Large Order</v>
      </c>
      <c r="Q810" t="str">
        <f t="shared" si="103"/>
        <v>Weekday</v>
      </c>
    </row>
    <row r="811" spans="1:17" x14ac:dyDescent="0.35">
      <c r="A811" t="s">
        <v>961</v>
      </c>
      <c r="B811" s="7">
        <v>45561</v>
      </c>
      <c r="C811" s="13">
        <f t="shared" si="97"/>
        <v>2024</v>
      </c>
      <c r="D811" s="7" t="str">
        <f t="shared" si="98"/>
        <v>Sep</v>
      </c>
      <c r="E811" s="7" t="str">
        <f t="shared" si="99"/>
        <v>Thu</v>
      </c>
      <c r="F811" t="s">
        <v>240</v>
      </c>
      <c r="G811" t="s">
        <v>10</v>
      </c>
      <c r="H811" t="s">
        <v>11</v>
      </c>
      <c r="I811" s="2" t="str">
        <f t="shared" si="96"/>
        <v>East</v>
      </c>
      <c r="J811" t="s">
        <v>306</v>
      </c>
      <c r="K811" t="s">
        <v>36</v>
      </c>
      <c r="L811">
        <v>17</v>
      </c>
      <c r="M811">
        <v>120</v>
      </c>
      <c r="N811">
        <f t="shared" si="100"/>
        <v>2040</v>
      </c>
      <c r="O811">
        <f t="shared" si="101"/>
        <v>204</v>
      </c>
      <c r="P811" t="str">
        <f t="shared" si="102"/>
        <v>Large Order</v>
      </c>
      <c r="Q811" t="str">
        <f t="shared" si="103"/>
        <v>Weekday</v>
      </c>
    </row>
    <row r="812" spans="1:17" x14ac:dyDescent="0.35">
      <c r="A812" t="s">
        <v>962</v>
      </c>
      <c r="B812" s="7">
        <v>45566</v>
      </c>
      <c r="C812" s="13">
        <f t="shared" si="97"/>
        <v>2024</v>
      </c>
      <c r="D812" s="7" t="str">
        <f t="shared" si="98"/>
        <v>Oct</v>
      </c>
      <c r="E812" s="7" t="str">
        <f t="shared" si="99"/>
        <v>Tue</v>
      </c>
      <c r="F812" t="s">
        <v>341</v>
      </c>
      <c r="G812" t="s">
        <v>197</v>
      </c>
      <c r="H812" t="s">
        <v>11</v>
      </c>
      <c r="I812" s="2" t="str">
        <f t="shared" si="96"/>
        <v>Central</v>
      </c>
      <c r="J812" t="s">
        <v>42</v>
      </c>
      <c r="K812" t="s">
        <v>32</v>
      </c>
      <c r="L812">
        <v>7</v>
      </c>
      <c r="M812">
        <v>120</v>
      </c>
      <c r="N812">
        <f t="shared" si="100"/>
        <v>840</v>
      </c>
      <c r="O812">
        <f t="shared" si="101"/>
        <v>84</v>
      </c>
      <c r="P812" t="str">
        <f t="shared" si="102"/>
        <v>Large Order</v>
      </c>
      <c r="Q812" t="str">
        <f t="shared" si="103"/>
        <v>Weekday</v>
      </c>
    </row>
    <row r="813" spans="1:17" x14ac:dyDescent="0.35">
      <c r="A813" t="s">
        <v>963</v>
      </c>
      <c r="B813" s="7">
        <v>45476</v>
      </c>
      <c r="C813" s="13">
        <f t="shared" si="97"/>
        <v>2024</v>
      </c>
      <c r="D813" s="7" t="str">
        <f t="shared" si="98"/>
        <v>Jul</v>
      </c>
      <c r="E813" s="7" t="str">
        <f t="shared" si="99"/>
        <v>Wed</v>
      </c>
      <c r="F813" t="s">
        <v>61</v>
      </c>
      <c r="G813" t="s">
        <v>160</v>
      </c>
      <c r="H813" t="s">
        <v>11</v>
      </c>
      <c r="I813" s="2" t="str">
        <f t="shared" si="96"/>
        <v>West</v>
      </c>
      <c r="J813" t="s">
        <v>306</v>
      </c>
      <c r="K813" t="s">
        <v>13</v>
      </c>
      <c r="L813">
        <v>16</v>
      </c>
      <c r="M813">
        <v>120</v>
      </c>
      <c r="N813">
        <f t="shared" si="100"/>
        <v>1920</v>
      </c>
      <c r="O813">
        <f t="shared" si="101"/>
        <v>192</v>
      </c>
      <c r="P813" t="str">
        <f t="shared" si="102"/>
        <v>Large Order</v>
      </c>
      <c r="Q813" t="str">
        <f t="shared" si="103"/>
        <v>Weekday</v>
      </c>
    </row>
    <row r="814" spans="1:17" x14ac:dyDescent="0.35">
      <c r="A814" t="s">
        <v>964</v>
      </c>
      <c r="B814" s="7">
        <v>45350</v>
      </c>
      <c r="C814" s="13">
        <f t="shared" si="97"/>
        <v>2024</v>
      </c>
      <c r="D814" s="7" t="str">
        <f t="shared" si="98"/>
        <v>Feb</v>
      </c>
      <c r="E814" s="7" t="str">
        <f t="shared" si="99"/>
        <v>Wed</v>
      </c>
      <c r="F814" t="s">
        <v>317</v>
      </c>
      <c r="G814" t="s">
        <v>197</v>
      </c>
      <c r="H814" t="s">
        <v>17</v>
      </c>
      <c r="I814" s="2" t="str">
        <f t="shared" si="96"/>
        <v>West</v>
      </c>
      <c r="J814" t="s">
        <v>27</v>
      </c>
      <c r="K814" t="s">
        <v>28</v>
      </c>
      <c r="L814">
        <v>20</v>
      </c>
      <c r="M814">
        <v>120</v>
      </c>
      <c r="N814">
        <f t="shared" si="100"/>
        <v>2400</v>
      </c>
      <c r="O814">
        <f t="shared" si="101"/>
        <v>240</v>
      </c>
      <c r="P814" t="str">
        <f t="shared" si="102"/>
        <v>Large Order</v>
      </c>
      <c r="Q814" t="str">
        <f t="shared" si="103"/>
        <v>Weekday</v>
      </c>
    </row>
    <row r="815" spans="1:17" x14ac:dyDescent="0.35">
      <c r="A815" t="s">
        <v>965</v>
      </c>
      <c r="B815" s="7">
        <v>45312</v>
      </c>
      <c r="C815" s="13">
        <f t="shared" si="97"/>
        <v>2024</v>
      </c>
      <c r="D815" s="7" t="str">
        <f t="shared" si="98"/>
        <v>Jan</v>
      </c>
      <c r="E815" s="7" t="str">
        <f t="shared" si="99"/>
        <v>Sun</v>
      </c>
      <c r="F815" t="s">
        <v>455</v>
      </c>
      <c r="G815" t="s">
        <v>102</v>
      </c>
      <c r="H815" t="s">
        <v>17</v>
      </c>
      <c r="I815" s="2" t="str">
        <f t="shared" si="96"/>
        <v>Central</v>
      </c>
      <c r="J815" t="s">
        <v>27</v>
      </c>
      <c r="K815" t="s">
        <v>32</v>
      </c>
      <c r="L815">
        <v>13</v>
      </c>
      <c r="M815">
        <v>120</v>
      </c>
      <c r="N815">
        <f t="shared" si="100"/>
        <v>1560</v>
      </c>
      <c r="O815">
        <f t="shared" si="101"/>
        <v>156</v>
      </c>
      <c r="P815" t="str">
        <f t="shared" si="102"/>
        <v>Large Order</v>
      </c>
      <c r="Q815" t="str">
        <f t="shared" si="103"/>
        <v>Weekend</v>
      </c>
    </row>
    <row r="816" spans="1:17" x14ac:dyDescent="0.35">
      <c r="A816" t="s">
        <v>966</v>
      </c>
      <c r="B816" s="7">
        <v>45304</v>
      </c>
      <c r="C816" s="13">
        <f t="shared" si="97"/>
        <v>2024</v>
      </c>
      <c r="D816" s="7" t="str">
        <f t="shared" si="98"/>
        <v>Jan</v>
      </c>
      <c r="E816" s="7" t="str">
        <f t="shared" si="99"/>
        <v>Sat</v>
      </c>
      <c r="F816" t="s">
        <v>363</v>
      </c>
      <c r="G816" t="s">
        <v>160</v>
      </c>
      <c r="H816" t="s">
        <v>17</v>
      </c>
      <c r="I816" s="2" t="str">
        <f t="shared" si="96"/>
        <v>Central</v>
      </c>
      <c r="J816" t="s">
        <v>306</v>
      </c>
      <c r="K816" t="s">
        <v>32</v>
      </c>
      <c r="L816">
        <v>15</v>
      </c>
      <c r="M816">
        <v>120</v>
      </c>
      <c r="N816">
        <f t="shared" si="100"/>
        <v>1800</v>
      </c>
      <c r="O816">
        <f t="shared" si="101"/>
        <v>180</v>
      </c>
      <c r="P816" t="str">
        <f t="shared" si="102"/>
        <v>Large Order</v>
      </c>
      <c r="Q816" t="str">
        <f t="shared" si="103"/>
        <v>Weekend</v>
      </c>
    </row>
    <row r="817" spans="1:17" x14ac:dyDescent="0.35">
      <c r="A817" t="s">
        <v>967</v>
      </c>
      <c r="B817" s="7">
        <v>45625</v>
      </c>
      <c r="C817" s="13">
        <f t="shared" si="97"/>
        <v>2024</v>
      </c>
      <c r="D817" s="7" t="str">
        <f t="shared" si="98"/>
        <v>Nov</v>
      </c>
      <c r="E817" s="7" t="str">
        <f t="shared" si="99"/>
        <v>Fri</v>
      </c>
      <c r="F817" t="s">
        <v>150</v>
      </c>
      <c r="G817" t="s">
        <v>10</v>
      </c>
      <c r="H817" t="s">
        <v>17</v>
      </c>
      <c r="I817" s="2" t="str">
        <f t="shared" si="96"/>
        <v>North</v>
      </c>
      <c r="J817" t="s">
        <v>306</v>
      </c>
      <c r="K817" t="s">
        <v>36</v>
      </c>
      <c r="L817">
        <v>4</v>
      </c>
      <c r="M817">
        <v>120</v>
      </c>
      <c r="N817">
        <f t="shared" si="100"/>
        <v>480</v>
      </c>
      <c r="O817">
        <f t="shared" si="101"/>
        <v>48</v>
      </c>
      <c r="P817" t="str">
        <f t="shared" si="102"/>
        <v>Standard Order</v>
      </c>
      <c r="Q817" t="str">
        <f t="shared" si="103"/>
        <v>Weekday</v>
      </c>
    </row>
    <row r="818" spans="1:17" x14ac:dyDescent="0.35">
      <c r="A818" t="s">
        <v>968</v>
      </c>
      <c r="B818" s="7">
        <v>45565</v>
      </c>
      <c r="C818" s="13">
        <f t="shared" si="97"/>
        <v>2024</v>
      </c>
      <c r="D818" s="7" t="str">
        <f t="shared" si="98"/>
        <v>Sep</v>
      </c>
      <c r="E818" s="7" t="str">
        <f t="shared" si="99"/>
        <v>Mon</v>
      </c>
      <c r="F818" t="s">
        <v>25</v>
      </c>
      <c r="G818" t="s">
        <v>65</v>
      </c>
      <c r="H818" t="s">
        <v>22</v>
      </c>
      <c r="I818" s="2" t="str">
        <f t="shared" si="96"/>
        <v>West</v>
      </c>
      <c r="J818" t="s">
        <v>12</v>
      </c>
      <c r="K818" t="s">
        <v>23</v>
      </c>
      <c r="L818">
        <v>7</v>
      </c>
      <c r="M818">
        <v>120</v>
      </c>
      <c r="N818">
        <f t="shared" si="100"/>
        <v>840</v>
      </c>
      <c r="O818">
        <f t="shared" si="101"/>
        <v>84</v>
      </c>
      <c r="P818" t="str">
        <f t="shared" si="102"/>
        <v>Large Order</v>
      </c>
      <c r="Q818" t="str">
        <f t="shared" si="103"/>
        <v>Weekday</v>
      </c>
    </row>
    <row r="819" spans="1:17" x14ac:dyDescent="0.35">
      <c r="A819" t="s">
        <v>969</v>
      </c>
      <c r="B819" s="7">
        <v>45345</v>
      </c>
      <c r="C819" s="13">
        <f t="shared" si="97"/>
        <v>2024</v>
      </c>
      <c r="D819" s="7" t="str">
        <f t="shared" si="98"/>
        <v>Feb</v>
      </c>
      <c r="E819" s="7" t="str">
        <f t="shared" si="99"/>
        <v>Fri</v>
      </c>
      <c r="F819" t="s">
        <v>95</v>
      </c>
      <c r="G819" t="s">
        <v>21</v>
      </c>
      <c r="H819" t="s">
        <v>22</v>
      </c>
      <c r="I819" s="2" t="str">
        <f t="shared" si="96"/>
        <v>East</v>
      </c>
      <c r="J819" t="s">
        <v>27</v>
      </c>
      <c r="K819" t="s">
        <v>28</v>
      </c>
      <c r="L819">
        <v>3</v>
      </c>
      <c r="M819">
        <v>120</v>
      </c>
      <c r="N819">
        <f t="shared" si="100"/>
        <v>360</v>
      </c>
      <c r="O819">
        <f t="shared" si="101"/>
        <v>36</v>
      </c>
      <c r="P819" t="str">
        <f t="shared" si="102"/>
        <v>Standard Order</v>
      </c>
      <c r="Q819" t="str">
        <f t="shared" si="103"/>
        <v>Weekday</v>
      </c>
    </row>
    <row r="820" spans="1:17" x14ac:dyDescent="0.35">
      <c r="A820" t="s">
        <v>970</v>
      </c>
      <c r="B820" s="7">
        <v>45304</v>
      </c>
      <c r="C820" s="13">
        <f t="shared" si="97"/>
        <v>2024</v>
      </c>
      <c r="D820" s="7" t="str">
        <f t="shared" si="98"/>
        <v>Jan</v>
      </c>
      <c r="E820" s="7" t="str">
        <f t="shared" si="99"/>
        <v>Sat</v>
      </c>
      <c r="F820" t="s">
        <v>366</v>
      </c>
      <c r="G820" t="s">
        <v>79</v>
      </c>
      <c r="H820" t="s">
        <v>22</v>
      </c>
      <c r="I820" s="2" t="str">
        <f t="shared" si="96"/>
        <v>Central</v>
      </c>
      <c r="J820" t="s">
        <v>42</v>
      </c>
      <c r="K820" t="s">
        <v>28</v>
      </c>
      <c r="L820">
        <v>3</v>
      </c>
      <c r="M820">
        <v>120</v>
      </c>
      <c r="N820">
        <f t="shared" si="100"/>
        <v>360</v>
      </c>
      <c r="O820">
        <f t="shared" si="101"/>
        <v>36</v>
      </c>
      <c r="P820" t="str">
        <f t="shared" si="102"/>
        <v>Standard Order</v>
      </c>
      <c r="Q820" t="str">
        <f t="shared" si="103"/>
        <v>Weekend</v>
      </c>
    </row>
    <row r="821" spans="1:17" x14ac:dyDescent="0.35">
      <c r="A821" t="s">
        <v>971</v>
      </c>
      <c r="B821" s="7">
        <v>45420</v>
      </c>
      <c r="C821" s="13">
        <f t="shared" si="97"/>
        <v>2024</v>
      </c>
      <c r="D821" s="7" t="str">
        <f t="shared" si="98"/>
        <v>May</v>
      </c>
      <c r="E821" s="7" t="str">
        <f t="shared" si="99"/>
        <v>Wed</v>
      </c>
      <c r="F821" t="s">
        <v>642</v>
      </c>
      <c r="G821" t="s">
        <v>197</v>
      </c>
      <c r="H821" t="s">
        <v>11</v>
      </c>
      <c r="I821" s="2" t="str">
        <f t="shared" si="96"/>
        <v>East</v>
      </c>
      <c r="J821" t="s">
        <v>306</v>
      </c>
      <c r="K821" t="s">
        <v>23</v>
      </c>
      <c r="L821">
        <v>9</v>
      </c>
      <c r="M821">
        <v>120</v>
      </c>
      <c r="N821">
        <f t="shared" si="100"/>
        <v>1080</v>
      </c>
      <c r="O821">
        <f t="shared" si="101"/>
        <v>108</v>
      </c>
      <c r="P821" t="str">
        <f t="shared" si="102"/>
        <v>Large Order</v>
      </c>
      <c r="Q821" t="str">
        <f t="shared" si="103"/>
        <v>Weekday</v>
      </c>
    </row>
    <row r="822" spans="1:17" x14ac:dyDescent="0.35">
      <c r="A822" t="s">
        <v>972</v>
      </c>
      <c r="B822" s="7">
        <v>45614</v>
      </c>
      <c r="C822" s="13">
        <f t="shared" si="97"/>
        <v>2024</v>
      </c>
      <c r="D822" s="7" t="str">
        <f t="shared" si="98"/>
        <v>Nov</v>
      </c>
      <c r="E822" s="7" t="str">
        <f t="shared" si="99"/>
        <v>Mon</v>
      </c>
      <c r="F822" t="s">
        <v>341</v>
      </c>
      <c r="G822" t="s">
        <v>96</v>
      </c>
      <c r="H822" t="s">
        <v>17</v>
      </c>
      <c r="I822" s="2" t="str">
        <f t="shared" si="96"/>
        <v>Central</v>
      </c>
      <c r="J822" t="s">
        <v>42</v>
      </c>
      <c r="K822" t="s">
        <v>36</v>
      </c>
      <c r="L822">
        <v>13</v>
      </c>
      <c r="M822">
        <v>120</v>
      </c>
      <c r="N822">
        <f t="shared" si="100"/>
        <v>1560</v>
      </c>
      <c r="O822">
        <f t="shared" si="101"/>
        <v>156</v>
      </c>
      <c r="P822" t="str">
        <f t="shared" si="102"/>
        <v>Large Order</v>
      </c>
      <c r="Q822" t="str">
        <f t="shared" si="103"/>
        <v>Weekday</v>
      </c>
    </row>
    <row r="823" spans="1:17" x14ac:dyDescent="0.35">
      <c r="A823" t="s">
        <v>973</v>
      </c>
      <c r="B823" s="7">
        <v>45295</v>
      </c>
      <c r="C823" s="13">
        <f t="shared" si="97"/>
        <v>2024</v>
      </c>
      <c r="D823" s="7" t="str">
        <f t="shared" si="98"/>
        <v>Jan</v>
      </c>
      <c r="E823" s="7" t="str">
        <f t="shared" si="99"/>
        <v>Thu</v>
      </c>
      <c r="F823" t="s">
        <v>736</v>
      </c>
      <c r="G823" t="s">
        <v>10</v>
      </c>
      <c r="H823" t="s">
        <v>22</v>
      </c>
      <c r="I823" s="2" t="str">
        <f t="shared" si="96"/>
        <v>East</v>
      </c>
      <c r="J823" t="s">
        <v>306</v>
      </c>
      <c r="K823" t="s">
        <v>13</v>
      </c>
      <c r="L823">
        <v>19</v>
      </c>
      <c r="M823">
        <v>120</v>
      </c>
      <c r="N823">
        <f t="shared" si="100"/>
        <v>2280</v>
      </c>
      <c r="O823">
        <f t="shared" si="101"/>
        <v>228</v>
      </c>
      <c r="P823" t="str">
        <f t="shared" si="102"/>
        <v>Large Order</v>
      </c>
      <c r="Q823" t="str">
        <f t="shared" si="103"/>
        <v>Weekday</v>
      </c>
    </row>
    <row r="824" spans="1:17" x14ac:dyDescent="0.35">
      <c r="A824" t="s">
        <v>974</v>
      </c>
      <c r="B824" s="7">
        <v>45475</v>
      </c>
      <c r="C824" s="13">
        <f t="shared" si="97"/>
        <v>2024</v>
      </c>
      <c r="D824" s="7" t="str">
        <f t="shared" si="98"/>
        <v>Jul</v>
      </c>
      <c r="E824" s="7" t="str">
        <f t="shared" si="99"/>
        <v>Tue</v>
      </c>
      <c r="F824" t="s">
        <v>358</v>
      </c>
      <c r="G824" t="s">
        <v>41</v>
      </c>
      <c r="H824" t="s">
        <v>11</v>
      </c>
      <c r="I824" s="2" t="str">
        <f t="shared" si="96"/>
        <v>North</v>
      </c>
      <c r="J824" t="s">
        <v>42</v>
      </c>
      <c r="K824" t="s">
        <v>32</v>
      </c>
      <c r="L824">
        <v>10</v>
      </c>
      <c r="M824">
        <v>120</v>
      </c>
      <c r="N824">
        <f t="shared" si="100"/>
        <v>1200</v>
      </c>
      <c r="O824">
        <f t="shared" si="101"/>
        <v>120</v>
      </c>
      <c r="P824" t="str">
        <f t="shared" si="102"/>
        <v>Large Order</v>
      </c>
      <c r="Q824" t="str">
        <f t="shared" si="103"/>
        <v>Weekday</v>
      </c>
    </row>
    <row r="825" spans="1:17" x14ac:dyDescent="0.35">
      <c r="A825" t="s">
        <v>975</v>
      </c>
      <c r="B825" s="7">
        <v>45516</v>
      </c>
      <c r="C825" s="13">
        <f t="shared" si="97"/>
        <v>2024</v>
      </c>
      <c r="D825" s="7" t="str">
        <f t="shared" si="98"/>
        <v>Aug</v>
      </c>
      <c r="E825" s="7" t="str">
        <f t="shared" si="99"/>
        <v>Mon</v>
      </c>
      <c r="F825" t="s">
        <v>159</v>
      </c>
      <c r="G825" t="s">
        <v>35</v>
      </c>
      <c r="H825" t="s">
        <v>17</v>
      </c>
      <c r="I825" s="2" t="str">
        <f t="shared" si="96"/>
        <v>South</v>
      </c>
      <c r="J825" t="s">
        <v>12</v>
      </c>
      <c r="K825" t="s">
        <v>28</v>
      </c>
      <c r="L825">
        <v>6</v>
      </c>
      <c r="M825">
        <v>120</v>
      </c>
      <c r="N825">
        <f t="shared" si="100"/>
        <v>720</v>
      </c>
      <c r="O825">
        <f t="shared" si="101"/>
        <v>72</v>
      </c>
      <c r="P825" t="str">
        <f t="shared" si="102"/>
        <v>Large Order</v>
      </c>
      <c r="Q825" t="str">
        <f t="shared" si="103"/>
        <v>Weekday</v>
      </c>
    </row>
    <row r="826" spans="1:17" x14ac:dyDescent="0.35">
      <c r="A826" t="s">
        <v>976</v>
      </c>
      <c r="B826" s="7">
        <v>45492</v>
      </c>
      <c r="C826" s="13">
        <f t="shared" si="97"/>
        <v>2024</v>
      </c>
      <c r="D826" s="7" t="str">
        <f t="shared" si="98"/>
        <v>Jul</v>
      </c>
      <c r="E826" s="7" t="str">
        <f t="shared" si="99"/>
        <v>Fri</v>
      </c>
      <c r="F826" t="s">
        <v>591</v>
      </c>
      <c r="G826" t="s">
        <v>74</v>
      </c>
      <c r="H826" t="s">
        <v>17</v>
      </c>
      <c r="I826" s="2" t="str">
        <f t="shared" si="96"/>
        <v>North</v>
      </c>
      <c r="J826" t="s">
        <v>56</v>
      </c>
      <c r="K826" t="s">
        <v>13</v>
      </c>
      <c r="L826">
        <v>12</v>
      </c>
      <c r="M826">
        <v>120</v>
      </c>
      <c r="N826">
        <f t="shared" si="100"/>
        <v>1440</v>
      </c>
      <c r="O826">
        <f t="shared" si="101"/>
        <v>144</v>
      </c>
      <c r="P826" t="str">
        <f t="shared" si="102"/>
        <v>Large Order</v>
      </c>
      <c r="Q826" t="str">
        <f t="shared" si="103"/>
        <v>Weekday</v>
      </c>
    </row>
    <row r="827" spans="1:17" x14ac:dyDescent="0.35">
      <c r="A827" t="s">
        <v>977</v>
      </c>
      <c r="B827" s="7">
        <v>45575</v>
      </c>
      <c r="C827" s="13">
        <f t="shared" si="97"/>
        <v>2024</v>
      </c>
      <c r="D827" s="7" t="str">
        <f t="shared" si="98"/>
        <v>Oct</v>
      </c>
      <c r="E827" s="7" t="str">
        <f t="shared" si="99"/>
        <v>Thu</v>
      </c>
      <c r="F827" t="s">
        <v>642</v>
      </c>
      <c r="G827" t="s">
        <v>79</v>
      </c>
      <c r="H827" t="s">
        <v>11</v>
      </c>
      <c r="I827" s="2" t="str">
        <f t="shared" si="96"/>
        <v>East</v>
      </c>
      <c r="J827" t="s">
        <v>12</v>
      </c>
      <c r="K827" t="s">
        <v>23</v>
      </c>
      <c r="L827">
        <v>1</v>
      </c>
      <c r="M827">
        <v>120</v>
      </c>
      <c r="N827">
        <f t="shared" si="100"/>
        <v>120</v>
      </c>
      <c r="O827">
        <f t="shared" si="101"/>
        <v>12</v>
      </c>
      <c r="P827" t="str">
        <f t="shared" si="102"/>
        <v>Standard Order</v>
      </c>
      <c r="Q827" t="str">
        <f t="shared" si="103"/>
        <v>Weekday</v>
      </c>
    </row>
    <row r="828" spans="1:17" x14ac:dyDescent="0.35">
      <c r="A828" t="s">
        <v>978</v>
      </c>
      <c r="B828" s="7">
        <v>45567</v>
      </c>
      <c r="C828" s="13">
        <f t="shared" si="97"/>
        <v>2024</v>
      </c>
      <c r="D828" s="7" t="str">
        <f t="shared" si="98"/>
        <v>Oct</v>
      </c>
      <c r="E828" s="7" t="str">
        <f t="shared" si="99"/>
        <v>Wed</v>
      </c>
      <c r="F828" t="s">
        <v>378</v>
      </c>
      <c r="G828" t="s">
        <v>65</v>
      </c>
      <c r="H828" t="s">
        <v>11</v>
      </c>
      <c r="I828" s="2" t="str">
        <f t="shared" si="96"/>
        <v>South</v>
      </c>
      <c r="J828" t="s">
        <v>42</v>
      </c>
      <c r="K828" t="s">
        <v>36</v>
      </c>
      <c r="L828">
        <v>12</v>
      </c>
      <c r="M828">
        <v>120</v>
      </c>
      <c r="N828">
        <f t="shared" si="100"/>
        <v>1440</v>
      </c>
      <c r="O828">
        <f t="shared" si="101"/>
        <v>144</v>
      </c>
      <c r="P828" t="str">
        <f t="shared" si="102"/>
        <v>Large Order</v>
      </c>
      <c r="Q828" t="str">
        <f t="shared" si="103"/>
        <v>Weekday</v>
      </c>
    </row>
    <row r="829" spans="1:17" x14ac:dyDescent="0.35">
      <c r="A829" t="s">
        <v>979</v>
      </c>
      <c r="B829" s="7">
        <v>45364</v>
      </c>
      <c r="C829" s="13">
        <f t="shared" si="97"/>
        <v>2024</v>
      </c>
      <c r="D829" s="7" t="str">
        <f t="shared" si="98"/>
        <v>Mar</v>
      </c>
      <c r="E829" s="7" t="str">
        <f t="shared" si="99"/>
        <v>Wed</v>
      </c>
      <c r="F829" t="s">
        <v>111</v>
      </c>
      <c r="G829" t="s">
        <v>109</v>
      </c>
      <c r="H829" t="s">
        <v>11</v>
      </c>
      <c r="I829" s="2" t="str">
        <f t="shared" si="96"/>
        <v>Central</v>
      </c>
      <c r="J829" t="s">
        <v>56</v>
      </c>
      <c r="K829" t="s">
        <v>28</v>
      </c>
      <c r="L829">
        <v>9</v>
      </c>
      <c r="M829">
        <v>120</v>
      </c>
      <c r="N829">
        <f t="shared" si="100"/>
        <v>1080</v>
      </c>
      <c r="O829">
        <f t="shared" si="101"/>
        <v>108</v>
      </c>
      <c r="P829" t="str">
        <f t="shared" si="102"/>
        <v>Large Order</v>
      </c>
      <c r="Q829" t="str">
        <f t="shared" si="103"/>
        <v>Weekday</v>
      </c>
    </row>
    <row r="830" spans="1:17" x14ac:dyDescent="0.35">
      <c r="A830" t="s">
        <v>980</v>
      </c>
      <c r="B830" s="7">
        <v>45635</v>
      </c>
      <c r="C830" s="13">
        <f t="shared" si="97"/>
        <v>2024</v>
      </c>
      <c r="D830" s="7" t="str">
        <f t="shared" si="98"/>
        <v>Dec</v>
      </c>
      <c r="E830" s="7" t="str">
        <f t="shared" si="99"/>
        <v>Mon</v>
      </c>
      <c r="F830" t="s">
        <v>614</v>
      </c>
      <c r="G830" t="s">
        <v>70</v>
      </c>
      <c r="H830" t="s">
        <v>11</v>
      </c>
      <c r="I830" s="2" t="str">
        <f t="shared" si="96"/>
        <v>Central</v>
      </c>
      <c r="J830" t="s">
        <v>306</v>
      </c>
      <c r="K830" t="s">
        <v>13</v>
      </c>
      <c r="L830">
        <v>18</v>
      </c>
      <c r="M830">
        <v>120</v>
      </c>
      <c r="N830">
        <f t="shared" si="100"/>
        <v>2160</v>
      </c>
      <c r="O830">
        <f t="shared" si="101"/>
        <v>216</v>
      </c>
      <c r="P830" t="str">
        <f t="shared" si="102"/>
        <v>Large Order</v>
      </c>
      <c r="Q830" t="str">
        <f t="shared" si="103"/>
        <v>Weekday</v>
      </c>
    </row>
    <row r="831" spans="1:17" x14ac:dyDescent="0.35">
      <c r="A831" t="s">
        <v>981</v>
      </c>
      <c r="B831" s="7">
        <v>45420</v>
      </c>
      <c r="C831" s="13">
        <f t="shared" si="97"/>
        <v>2024</v>
      </c>
      <c r="D831" s="7" t="str">
        <f t="shared" si="98"/>
        <v>May</v>
      </c>
      <c r="E831" s="7" t="str">
        <f t="shared" si="99"/>
        <v>Wed</v>
      </c>
      <c r="F831" t="s">
        <v>108</v>
      </c>
      <c r="G831" t="s">
        <v>35</v>
      </c>
      <c r="H831" t="s">
        <v>11</v>
      </c>
      <c r="I831" s="2" t="str">
        <f t="shared" si="96"/>
        <v>North</v>
      </c>
      <c r="J831" t="s">
        <v>306</v>
      </c>
      <c r="K831" t="s">
        <v>28</v>
      </c>
      <c r="L831">
        <v>11</v>
      </c>
      <c r="M831">
        <v>120</v>
      </c>
      <c r="N831">
        <f t="shared" si="100"/>
        <v>1320</v>
      </c>
      <c r="O831">
        <f t="shared" si="101"/>
        <v>132</v>
      </c>
      <c r="P831" t="str">
        <f t="shared" si="102"/>
        <v>Large Order</v>
      </c>
      <c r="Q831" t="str">
        <f t="shared" si="103"/>
        <v>Weekday</v>
      </c>
    </row>
    <row r="832" spans="1:17" x14ac:dyDescent="0.35">
      <c r="A832" t="s">
        <v>982</v>
      </c>
      <c r="B832" s="7">
        <v>45343</v>
      </c>
      <c r="C832" s="13">
        <f t="shared" si="97"/>
        <v>2024</v>
      </c>
      <c r="D832" s="7" t="str">
        <f t="shared" si="98"/>
        <v>Feb</v>
      </c>
      <c r="E832" s="7" t="str">
        <f t="shared" si="99"/>
        <v>Wed</v>
      </c>
      <c r="F832" t="s">
        <v>55</v>
      </c>
      <c r="G832" t="s">
        <v>65</v>
      </c>
      <c r="H832" t="s">
        <v>22</v>
      </c>
      <c r="I832" s="2" t="str">
        <f t="shared" si="96"/>
        <v>Central</v>
      </c>
      <c r="J832" t="s">
        <v>12</v>
      </c>
      <c r="K832" t="s">
        <v>32</v>
      </c>
      <c r="L832">
        <v>11</v>
      </c>
      <c r="M832">
        <v>120</v>
      </c>
      <c r="N832">
        <f t="shared" si="100"/>
        <v>1320</v>
      </c>
      <c r="O832">
        <f t="shared" si="101"/>
        <v>132</v>
      </c>
      <c r="P832" t="str">
        <f t="shared" si="102"/>
        <v>Large Order</v>
      </c>
      <c r="Q832" t="str">
        <f t="shared" si="103"/>
        <v>Weekday</v>
      </c>
    </row>
    <row r="833" spans="1:17" x14ac:dyDescent="0.35">
      <c r="A833" t="s">
        <v>983</v>
      </c>
      <c r="B833" s="7">
        <v>45607</v>
      </c>
      <c r="C833" s="13">
        <f t="shared" si="97"/>
        <v>2024</v>
      </c>
      <c r="D833" s="7" t="str">
        <f t="shared" si="98"/>
        <v>Nov</v>
      </c>
      <c r="E833" s="7" t="str">
        <f t="shared" si="99"/>
        <v>Mon</v>
      </c>
      <c r="F833" t="s">
        <v>371</v>
      </c>
      <c r="G833" t="s">
        <v>16</v>
      </c>
      <c r="H833" t="s">
        <v>17</v>
      </c>
      <c r="I833" s="2" t="str">
        <f t="shared" si="96"/>
        <v>East</v>
      </c>
      <c r="J833" t="s">
        <v>306</v>
      </c>
      <c r="K833" t="s">
        <v>32</v>
      </c>
      <c r="L833">
        <v>19</v>
      </c>
      <c r="M833">
        <v>120</v>
      </c>
      <c r="N833">
        <f t="shared" si="100"/>
        <v>2280</v>
      </c>
      <c r="O833">
        <f t="shared" si="101"/>
        <v>228</v>
      </c>
      <c r="P833" t="str">
        <f t="shared" si="102"/>
        <v>Large Order</v>
      </c>
      <c r="Q833" t="str">
        <f t="shared" si="103"/>
        <v>Weekday</v>
      </c>
    </row>
    <row r="834" spans="1:17" x14ac:dyDescent="0.35">
      <c r="A834" t="s">
        <v>984</v>
      </c>
      <c r="B834" s="7">
        <v>45511</v>
      </c>
      <c r="C834" s="13">
        <f t="shared" si="97"/>
        <v>2024</v>
      </c>
      <c r="D834" s="7" t="str">
        <f t="shared" si="98"/>
        <v>Aug</v>
      </c>
      <c r="E834" s="7" t="str">
        <f t="shared" si="99"/>
        <v>Wed</v>
      </c>
      <c r="F834" t="s">
        <v>30</v>
      </c>
      <c r="G834" t="s">
        <v>197</v>
      </c>
      <c r="H834" t="s">
        <v>11</v>
      </c>
      <c r="I834" s="2" t="str">
        <f t="shared" si="96"/>
        <v>East</v>
      </c>
      <c r="J834" t="s">
        <v>42</v>
      </c>
      <c r="K834" t="s">
        <v>23</v>
      </c>
      <c r="L834">
        <v>8</v>
      </c>
      <c r="M834">
        <v>120</v>
      </c>
      <c r="N834">
        <f t="shared" si="100"/>
        <v>960</v>
      </c>
      <c r="O834">
        <f t="shared" si="101"/>
        <v>96</v>
      </c>
      <c r="P834" t="str">
        <f t="shared" si="102"/>
        <v>Large Order</v>
      </c>
      <c r="Q834" t="str">
        <f t="shared" si="103"/>
        <v>Weekday</v>
      </c>
    </row>
    <row r="835" spans="1:17" x14ac:dyDescent="0.35">
      <c r="A835" t="s">
        <v>985</v>
      </c>
      <c r="B835" s="7">
        <v>45433</v>
      </c>
      <c r="C835" s="13">
        <f t="shared" si="97"/>
        <v>2024</v>
      </c>
      <c r="D835" s="7" t="str">
        <f t="shared" si="98"/>
        <v>May</v>
      </c>
      <c r="E835" s="7" t="str">
        <f t="shared" si="99"/>
        <v>Tue</v>
      </c>
      <c r="F835" t="s">
        <v>83</v>
      </c>
      <c r="G835" t="s">
        <v>35</v>
      </c>
      <c r="H835" t="s">
        <v>11</v>
      </c>
      <c r="I835" s="2" t="str">
        <f t="shared" ref="I835:I898" si="104">TRIM(J836)</f>
        <v>South</v>
      </c>
      <c r="J835" t="s">
        <v>42</v>
      </c>
      <c r="K835" t="s">
        <v>32</v>
      </c>
      <c r="L835">
        <v>15</v>
      </c>
      <c r="M835">
        <v>120</v>
      </c>
      <c r="N835">
        <f t="shared" si="100"/>
        <v>1800</v>
      </c>
      <c r="O835">
        <f t="shared" si="101"/>
        <v>180</v>
      </c>
      <c r="P835" t="str">
        <f t="shared" si="102"/>
        <v>Large Order</v>
      </c>
      <c r="Q835" t="str">
        <f t="shared" si="103"/>
        <v>Weekday</v>
      </c>
    </row>
    <row r="836" spans="1:17" x14ac:dyDescent="0.35">
      <c r="A836" t="s">
        <v>986</v>
      </c>
      <c r="B836" s="7">
        <v>45541</v>
      </c>
      <c r="C836" s="13">
        <f t="shared" ref="C836:C899" si="105">YEAR(B836)</f>
        <v>2024</v>
      </c>
      <c r="D836" s="7" t="str">
        <f t="shared" ref="D836:D899" si="106">TEXT(B836,"mmm")</f>
        <v>Sep</v>
      </c>
      <c r="E836" s="7" t="str">
        <f t="shared" ref="E836:E899" si="107">TEXT(B836,"ddd")</f>
        <v>Fri</v>
      </c>
      <c r="F836" t="s">
        <v>378</v>
      </c>
      <c r="G836" t="s">
        <v>21</v>
      </c>
      <c r="H836" t="s">
        <v>11</v>
      </c>
      <c r="I836" s="2" t="str">
        <f t="shared" si="104"/>
        <v>East</v>
      </c>
      <c r="J836" t="s">
        <v>56</v>
      </c>
      <c r="K836" t="s">
        <v>32</v>
      </c>
      <c r="L836">
        <v>20</v>
      </c>
      <c r="M836">
        <v>120</v>
      </c>
      <c r="N836">
        <f t="shared" ref="N836:N899" si="108">M836*L836</f>
        <v>2400</v>
      </c>
      <c r="O836">
        <f t="shared" ref="O836:O899" si="109">N836*0.1</f>
        <v>240</v>
      </c>
      <c r="P836" t="str">
        <f t="shared" ref="P836:P899" si="110">IF(N836&gt;500,"Large Order","Standard Order")</f>
        <v>Large Order</v>
      </c>
      <c r="Q836" t="str">
        <f t="shared" ref="Q836:Q899" si="111">IF(OR(TRIM(E836)="Sat",TRIM(E836)="Sun"),"Weekend","Weekday")</f>
        <v>Weekday</v>
      </c>
    </row>
    <row r="837" spans="1:17" x14ac:dyDescent="0.35">
      <c r="A837" t="s">
        <v>987</v>
      </c>
      <c r="B837" s="7">
        <v>45363</v>
      </c>
      <c r="C837" s="13">
        <f t="shared" si="105"/>
        <v>2024</v>
      </c>
      <c r="D837" s="7" t="str">
        <f t="shared" si="106"/>
        <v>Mar</v>
      </c>
      <c r="E837" s="7" t="str">
        <f t="shared" si="107"/>
        <v>Tue</v>
      </c>
      <c r="F837" t="s">
        <v>312</v>
      </c>
      <c r="G837" t="s">
        <v>84</v>
      </c>
      <c r="H837" t="s">
        <v>11</v>
      </c>
      <c r="I837" s="2" t="str">
        <f t="shared" si="104"/>
        <v>Central</v>
      </c>
      <c r="J837" t="s">
        <v>42</v>
      </c>
      <c r="K837" t="s">
        <v>13</v>
      </c>
      <c r="L837">
        <v>3</v>
      </c>
      <c r="M837">
        <v>120</v>
      </c>
      <c r="N837">
        <f t="shared" si="108"/>
        <v>360</v>
      </c>
      <c r="O837">
        <f t="shared" si="109"/>
        <v>36</v>
      </c>
      <c r="P837" t="str">
        <f t="shared" si="110"/>
        <v>Standard Order</v>
      </c>
      <c r="Q837" t="str">
        <f t="shared" si="111"/>
        <v>Weekday</v>
      </c>
    </row>
    <row r="838" spans="1:17" x14ac:dyDescent="0.35">
      <c r="A838" t="s">
        <v>988</v>
      </c>
      <c r="B838" s="7">
        <v>45551</v>
      </c>
      <c r="C838" s="13">
        <f t="shared" si="105"/>
        <v>2024</v>
      </c>
      <c r="D838" s="7" t="str">
        <f t="shared" si="106"/>
        <v>Sep</v>
      </c>
      <c r="E838" s="7" t="str">
        <f t="shared" si="107"/>
        <v>Mon</v>
      </c>
      <c r="F838" t="s">
        <v>451</v>
      </c>
      <c r="G838" t="s">
        <v>59</v>
      </c>
      <c r="H838" t="s">
        <v>11</v>
      </c>
      <c r="I838" s="2" t="str">
        <f t="shared" si="104"/>
        <v>Central</v>
      </c>
      <c r="J838" t="s">
        <v>306</v>
      </c>
      <c r="K838" t="s">
        <v>28</v>
      </c>
      <c r="L838">
        <v>13</v>
      </c>
      <c r="M838">
        <v>120</v>
      </c>
      <c r="N838">
        <f t="shared" si="108"/>
        <v>1560</v>
      </c>
      <c r="O838">
        <f t="shared" si="109"/>
        <v>156</v>
      </c>
      <c r="P838" t="str">
        <f t="shared" si="110"/>
        <v>Large Order</v>
      </c>
      <c r="Q838" t="str">
        <f t="shared" si="111"/>
        <v>Weekday</v>
      </c>
    </row>
    <row r="839" spans="1:17" x14ac:dyDescent="0.35">
      <c r="A839" t="s">
        <v>989</v>
      </c>
      <c r="B839" s="7">
        <v>45310</v>
      </c>
      <c r="C839" s="13">
        <f t="shared" si="105"/>
        <v>2024</v>
      </c>
      <c r="D839" s="7" t="str">
        <f t="shared" si="106"/>
        <v>Jan</v>
      </c>
      <c r="E839" s="7" t="str">
        <f t="shared" si="107"/>
        <v>Fri</v>
      </c>
      <c r="F839" t="s">
        <v>378</v>
      </c>
      <c r="G839" t="s">
        <v>174</v>
      </c>
      <c r="H839" t="s">
        <v>17</v>
      </c>
      <c r="I839" s="2" t="str">
        <f t="shared" si="104"/>
        <v>Central</v>
      </c>
      <c r="J839" t="s">
        <v>306</v>
      </c>
      <c r="K839" t="s">
        <v>28</v>
      </c>
      <c r="L839">
        <v>16</v>
      </c>
      <c r="M839">
        <v>120</v>
      </c>
      <c r="N839">
        <f t="shared" si="108"/>
        <v>1920</v>
      </c>
      <c r="O839">
        <f t="shared" si="109"/>
        <v>192</v>
      </c>
      <c r="P839" t="str">
        <f t="shared" si="110"/>
        <v>Large Order</v>
      </c>
      <c r="Q839" t="str">
        <f t="shared" si="111"/>
        <v>Weekday</v>
      </c>
    </row>
    <row r="840" spans="1:17" x14ac:dyDescent="0.35">
      <c r="A840" t="s">
        <v>990</v>
      </c>
      <c r="B840" s="7">
        <v>45479</v>
      </c>
      <c r="C840" s="13">
        <f t="shared" si="105"/>
        <v>2024</v>
      </c>
      <c r="D840" s="7" t="str">
        <f t="shared" si="106"/>
        <v>Jul</v>
      </c>
      <c r="E840" s="7" t="str">
        <f t="shared" si="107"/>
        <v>Sat</v>
      </c>
      <c r="F840" t="s">
        <v>106</v>
      </c>
      <c r="G840" t="s">
        <v>84</v>
      </c>
      <c r="H840" t="s">
        <v>11</v>
      </c>
      <c r="I840" s="2" t="str">
        <f t="shared" si="104"/>
        <v>East</v>
      </c>
      <c r="J840" t="s">
        <v>306</v>
      </c>
      <c r="K840" t="s">
        <v>36</v>
      </c>
      <c r="L840">
        <v>10</v>
      </c>
      <c r="M840">
        <v>120</v>
      </c>
      <c r="N840">
        <f t="shared" si="108"/>
        <v>1200</v>
      </c>
      <c r="O840">
        <f t="shared" si="109"/>
        <v>120</v>
      </c>
      <c r="P840" t="str">
        <f t="shared" si="110"/>
        <v>Large Order</v>
      </c>
      <c r="Q840" t="str">
        <f t="shared" si="111"/>
        <v>Weekend</v>
      </c>
    </row>
    <row r="841" spans="1:17" x14ac:dyDescent="0.35">
      <c r="A841" t="s">
        <v>991</v>
      </c>
      <c r="B841" s="7">
        <v>45553</v>
      </c>
      <c r="C841" s="13">
        <f t="shared" si="105"/>
        <v>2024</v>
      </c>
      <c r="D841" s="7" t="str">
        <f t="shared" si="106"/>
        <v>Sep</v>
      </c>
      <c r="E841" s="7" t="str">
        <f t="shared" si="107"/>
        <v>Wed</v>
      </c>
      <c r="F841" t="s">
        <v>203</v>
      </c>
      <c r="G841" t="s">
        <v>160</v>
      </c>
      <c r="H841" t="s">
        <v>17</v>
      </c>
      <c r="I841" s="2" t="str">
        <f t="shared" si="104"/>
        <v>South</v>
      </c>
      <c r="J841" t="s">
        <v>42</v>
      </c>
      <c r="K841" t="s">
        <v>36</v>
      </c>
      <c r="L841">
        <v>1</v>
      </c>
      <c r="M841">
        <v>120</v>
      </c>
      <c r="N841">
        <f t="shared" si="108"/>
        <v>120</v>
      </c>
      <c r="O841">
        <f t="shared" si="109"/>
        <v>12</v>
      </c>
      <c r="P841" t="str">
        <f t="shared" si="110"/>
        <v>Standard Order</v>
      </c>
      <c r="Q841" t="str">
        <f t="shared" si="111"/>
        <v>Weekday</v>
      </c>
    </row>
    <row r="842" spans="1:17" x14ac:dyDescent="0.35">
      <c r="A842" t="s">
        <v>992</v>
      </c>
      <c r="B842" s="7">
        <v>45642</v>
      </c>
      <c r="C842" s="13">
        <f t="shared" si="105"/>
        <v>2024</v>
      </c>
      <c r="D842" s="7" t="str">
        <f t="shared" si="106"/>
        <v>Dec</v>
      </c>
      <c r="E842" s="7" t="str">
        <f t="shared" si="107"/>
        <v>Mon</v>
      </c>
      <c r="F842" t="s">
        <v>30</v>
      </c>
      <c r="G842" t="s">
        <v>70</v>
      </c>
      <c r="H842" t="s">
        <v>22</v>
      </c>
      <c r="I842" s="2" t="str">
        <f t="shared" si="104"/>
        <v>West</v>
      </c>
      <c r="J842" t="s">
        <v>56</v>
      </c>
      <c r="K842" t="s">
        <v>36</v>
      </c>
      <c r="L842">
        <v>6</v>
      </c>
      <c r="M842">
        <v>120</v>
      </c>
      <c r="N842">
        <f t="shared" si="108"/>
        <v>720</v>
      </c>
      <c r="O842">
        <f t="shared" si="109"/>
        <v>72</v>
      </c>
      <c r="P842" t="str">
        <f t="shared" si="110"/>
        <v>Large Order</v>
      </c>
      <c r="Q842" t="str">
        <f t="shared" si="111"/>
        <v>Weekday</v>
      </c>
    </row>
    <row r="843" spans="1:17" x14ac:dyDescent="0.35">
      <c r="A843" t="s">
        <v>993</v>
      </c>
      <c r="B843" s="7">
        <v>45629</v>
      </c>
      <c r="C843" s="13">
        <f t="shared" si="105"/>
        <v>2024</v>
      </c>
      <c r="D843" s="7" t="str">
        <f t="shared" si="106"/>
        <v>Dec</v>
      </c>
      <c r="E843" s="7" t="str">
        <f t="shared" si="107"/>
        <v>Tue</v>
      </c>
      <c r="F843" t="s">
        <v>167</v>
      </c>
      <c r="G843" t="s">
        <v>48</v>
      </c>
      <c r="H843" t="s">
        <v>22</v>
      </c>
      <c r="I843" s="2" t="str">
        <f t="shared" si="104"/>
        <v>East</v>
      </c>
      <c r="J843" t="s">
        <v>27</v>
      </c>
      <c r="K843" t="s">
        <v>23</v>
      </c>
      <c r="L843">
        <v>2</v>
      </c>
      <c r="M843">
        <v>120</v>
      </c>
      <c r="N843">
        <f t="shared" si="108"/>
        <v>240</v>
      </c>
      <c r="O843">
        <f t="shared" si="109"/>
        <v>24</v>
      </c>
      <c r="P843" t="str">
        <f t="shared" si="110"/>
        <v>Standard Order</v>
      </c>
      <c r="Q843" t="str">
        <f t="shared" si="111"/>
        <v>Weekday</v>
      </c>
    </row>
    <row r="844" spans="1:17" x14ac:dyDescent="0.35">
      <c r="A844" t="s">
        <v>994</v>
      </c>
      <c r="B844" s="7">
        <v>45410</v>
      </c>
      <c r="C844" s="13">
        <f t="shared" si="105"/>
        <v>2024</v>
      </c>
      <c r="D844" s="7" t="str">
        <f t="shared" si="106"/>
        <v>Apr</v>
      </c>
      <c r="E844" s="7" t="str">
        <f t="shared" si="107"/>
        <v>Sun</v>
      </c>
      <c r="F844" t="s">
        <v>58</v>
      </c>
      <c r="G844" t="s">
        <v>197</v>
      </c>
      <c r="H844" t="s">
        <v>17</v>
      </c>
      <c r="I844" s="2" t="str">
        <f t="shared" si="104"/>
        <v>West</v>
      </c>
      <c r="J844" t="s">
        <v>42</v>
      </c>
      <c r="K844" t="s">
        <v>36</v>
      </c>
      <c r="L844">
        <v>2</v>
      </c>
      <c r="M844">
        <v>120</v>
      </c>
      <c r="N844">
        <f t="shared" si="108"/>
        <v>240</v>
      </c>
      <c r="O844">
        <f t="shared" si="109"/>
        <v>24</v>
      </c>
      <c r="P844" t="str">
        <f t="shared" si="110"/>
        <v>Standard Order</v>
      </c>
      <c r="Q844" t="str">
        <f t="shared" si="111"/>
        <v>Weekend</v>
      </c>
    </row>
    <row r="845" spans="1:17" x14ac:dyDescent="0.35">
      <c r="A845" t="s">
        <v>995</v>
      </c>
      <c r="B845" s="7">
        <v>45476</v>
      </c>
      <c r="C845" s="13">
        <f t="shared" si="105"/>
        <v>2024</v>
      </c>
      <c r="D845" s="7" t="str">
        <f t="shared" si="106"/>
        <v>Jul</v>
      </c>
      <c r="E845" s="7" t="str">
        <f t="shared" si="107"/>
        <v>Wed</v>
      </c>
      <c r="F845" t="s">
        <v>53</v>
      </c>
      <c r="G845" t="s">
        <v>79</v>
      </c>
      <c r="H845" t="s">
        <v>17</v>
      </c>
      <c r="I845" s="2" t="str">
        <f t="shared" si="104"/>
        <v>East</v>
      </c>
      <c r="J845" t="s">
        <v>27</v>
      </c>
      <c r="K845" t="s">
        <v>32</v>
      </c>
      <c r="L845">
        <v>2</v>
      </c>
      <c r="M845">
        <v>120</v>
      </c>
      <c r="N845">
        <f t="shared" si="108"/>
        <v>240</v>
      </c>
      <c r="O845">
        <f t="shared" si="109"/>
        <v>24</v>
      </c>
      <c r="P845" t="str">
        <f t="shared" si="110"/>
        <v>Standard Order</v>
      </c>
      <c r="Q845" t="str">
        <f t="shared" si="111"/>
        <v>Weekday</v>
      </c>
    </row>
    <row r="846" spans="1:17" x14ac:dyDescent="0.35">
      <c r="A846" t="s">
        <v>996</v>
      </c>
      <c r="B846" s="7">
        <v>45344</v>
      </c>
      <c r="C846" s="13">
        <f t="shared" si="105"/>
        <v>2024</v>
      </c>
      <c r="D846" s="7" t="str">
        <f t="shared" si="106"/>
        <v>Feb</v>
      </c>
      <c r="E846" s="7" t="str">
        <f t="shared" si="107"/>
        <v>Thu</v>
      </c>
      <c r="F846" t="s">
        <v>369</v>
      </c>
      <c r="G846" t="s">
        <v>84</v>
      </c>
      <c r="H846" t="s">
        <v>22</v>
      </c>
      <c r="I846" s="2" t="str">
        <f t="shared" si="104"/>
        <v>West</v>
      </c>
      <c r="J846" t="s">
        <v>42</v>
      </c>
      <c r="K846" t="s">
        <v>36</v>
      </c>
      <c r="L846">
        <v>9</v>
      </c>
      <c r="M846">
        <v>120</v>
      </c>
      <c r="N846">
        <f t="shared" si="108"/>
        <v>1080</v>
      </c>
      <c r="O846">
        <f t="shared" si="109"/>
        <v>108</v>
      </c>
      <c r="P846" t="str">
        <f t="shared" si="110"/>
        <v>Large Order</v>
      </c>
      <c r="Q846" t="str">
        <f t="shared" si="111"/>
        <v>Weekday</v>
      </c>
    </row>
    <row r="847" spans="1:17" x14ac:dyDescent="0.35">
      <c r="A847" t="s">
        <v>997</v>
      </c>
      <c r="B847" s="7">
        <v>45381</v>
      </c>
      <c r="C847" s="13">
        <f t="shared" si="105"/>
        <v>2024</v>
      </c>
      <c r="D847" s="7" t="str">
        <f t="shared" si="106"/>
        <v>Mar</v>
      </c>
      <c r="E847" s="7" t="str">
        <f t="shared" si="107"/>
        <v>Sat</v>
      </c>
      <c r="F847" t="s">
        <v>159</v>
      </c>
      <c r="G847" t="s">
        <v>48</v>
      </c>
      <c r="H847" t="s">
        <v>22</v>
      </c>
      <c r="I847" s="2" t="str">
        <f t="shared" si="104"/>
        <v>South</v>
      </c>
      <c r="J847" t="s">
        <v>27</v>
      </c>
      <c r="K847" t="s">
        <v>13</v>
      </c>
      <c r="L847">
        <v>19</v>
      </c>
      <c r="M847">
        <v>120</v>
      </c>
      <c r="N847">
        <f t="shared" si="108"/>
        <v>2280</v>
      </c>
      <c r="O847">
        <f t="shared" si="109"/>
        <v>228</v>
      </c>
      <c r="P847" t="str">
        <f t="shared" si="110"/>
        <v>Large Order</v>
      </c>
      <c r="Q847" t="str">
        <f t="shared" si="111"/>
        <v>Weekend</v>
      </c>
    </row>
    <row r="848" spans="1:17" x14ac:dyDescent="0.35">
      <c r="A848" t="s">
        <v>998</v>
      </c>
      <c r="B848" s="7">
        <v>45556</v>
      </c>
      <c r="C848" s="13">
        <f t="shared" si="105"/>
        <v>2024</v>
      </c>
      <c r="D848" s="7" t="str">
        <f t="shared" si="106"/>
        <v>Sep</v>
      </c>
      <c r="E848" s="7" t="str">
        <f t="shared" si="107"/>
        <v>Sat</v>
      </c>
      <c r="F848" t="s">
        <v>230</v>
      </c>
      <c r="G848" t="s">
        <v>160</v>
      </c>
      <c r="H848" t="s">
        <v>17</v>
      </c>
      <c r="I848" s="2" t="str">
        <f t="shared" si="104"/>
        <v>North</v>
      </c>
      <c r="J848" t="s">
        <v>56</v>
      </c>
      <c r="K848" t="s">
        <v>32</v>
      </c>
      <c r="L848">
        <v>13</v>
      </c>
      <c r="M848">
        <v>120</v>
      </c>
      <c r="N848">
        <f t="shared" si="108"/>
        <v>1560</v>
      </c>
      <c r="O848">
        <f t="shared" si="109"/>
        <v>156</v>
      </c>
      <c r="P848" t="str">
        <f t="shared" si="110"/>
        <v>Large Order</v>
      </c>
      <c r="Q848" t="str">
        <f t="shared" si="111"/>
        <v>Weekend</v>
      </c>
    </row>
    <row r="849" spans="1:17" x14ac:dyDescent="0.35">
      <c r="A849" t="s">
        <v>999</v>
      </c>
      <c r="B849" s="7">
        <v>45541</v>
      </c>
      <c r="C849" s="13">
        <f t="shared" si="105"/>
        <v>2024</v>
      </c>
      <c r="D849" s="7" t="str">
        <f t="shared" si="106"/>
        <v>Sep</v>
      </c>
      <c r="E849" s="7" t="str">
        <f t="shared" si="107"/>
        <v>Fri</v>
      </c>
      <c r="F849" t="s">
        <v>517</v>
      </c>
      <c r="G849" t="s">
        <v>160</v>
      </c>
      <c r="H849" t="s">
        <v>22</v>
      </c>
      <c r="I849" s="2" t="str">
        <f t="shared" si="104"/>
        <v>East</v>
      </c>
      <c r="J849" t="s">
        <v>12</v>
      </c>
      <c r="K849" t="s">
        <v>28</v>
      </c>
      <c r="L849">
        <v>5</v>
      </c>
      <c r="M849">
        <v>120</v>
      </c>
      <c r="N849">
        <f t="shared" si="108"/>
        <v>600</v>
      </c>
      <c r="O849">
        <f t="shared" si="109"/>
        <v>60</v>
      </c>
      <c r="P849" t="str">
        <f t="shared" si="110"/>
        <v>Large Order</v>
      </c>
      <c r="Q849" t="str">
        <f t="shared" si="111"/>
        <v>Weekday</v>
      </c>
    </row>
    <row r="850" spans="1:17" x14ac:dyDescent="0.35">
      <c r="A850" t="s">
        <v>1000</v>
      </c>
      <c r="B850" s="7">
        <v>45331</v>
      </c>
      <c r="C850" s="13">
        <f t="shared" si="105"/>
        <v>2024</v>
      </c>
      <c r="D850" s="7" t="str">
        <f t="shared" si="106"/>
        <v>Feb</v>
      </c>
      <c r="E850" s="7" t="str">
        <f t="shared" si="107"/>
        <v>Fri</v>
      </c>
      <c r="F850" t="s">
        <v>345</v>
      </c>
      <c r="G850" t="s">
        <v>65</v>
      </c>
      <c r="H850" t="s">
        <v>22</v>
      </c>
      <c r="I850" s="2" t="str">
        <f t="shared" si="104"/>
        <v>South</v>
      </c>
      <c r="J850" t="s">
        <v>42</v>
      </c>
      <c r="K850" t="s">
        <v>32</v>
      </c>
      <c r="L850">
        <v>5</v>
      </c>
      <c r="M850">
        <v>120</v>
      </c>
      <c r="N850">
        <f t="shared" si="108"/>
        <v>600</v>
      </c>
      <c r="O850">
        <f t="shared" si="109"/>
        <v>60</v>
      </c>
      <c r="P850" t="str">
        <f t="shared" si="110"/>
        <v>Large Order</v>
      </c>
      <c r="Q850" t="str">
        <f t="shared" si="111"/>
        <v>Weekday</v>
      </c>
    </row>
    <row r="851" spans="1:17" x14ac:dyDescent="0.35">
      <c r="A851" t="s">
        <v>1001</v>
      </c>
      <c r="B851" s="7">
        <v>45600</v>
      </c>
      <c r="C851" s="13">
        <f t="shared" si="105"/>
        <v>2024</v>
      </c>
      <c r="D851" s="7" t="str">
        <f t="shared" si="106"/>
        <v>Nov</v>
      </c>
      <c r="E851" s="7" t="str">
        <f t="shared" si="107"/>
        <v>Mon</v>
      </c>
      <c r="F851" t="s">
        <v>436</v>
      </c>
      <c r="G851" t="s">
        <v>87</v>
      </c>
      <c r="H851" t="s">
        <v>11</v>
      </c>
      <c r="I851" s="2" t="str">
        <f t="shared" si="104"/>
        <v>South</v>
      </c>
      <c r="J851" t="s">
        <v>56</v>
      </c>
      <c r="K851" t="s">
        <v>23</v>
      </c>
      <c r="L851">
        <v>11</v>
      </c>
      <c r="M851">
        <v>120</v>
      </c>
      <c r="N851">
        <f t="shared" si="108"/>
        <v>1320</v>
      </c>
      <c r="O851">
        <f t="shared" si="109"/>
        <v>132</v>
      </c>
      <c r="P851" t="str">
        <f t="shared" si="110"/>
        <v>Large Order</v>
      </c>
      <c r="Q851" t="str">
        <f t="shared" si="111"/>
        <v>Weekday</v>
      </c>
    </row>
    <row r="852" spans="1:17" x14ac:dyDescent="0.35">
      <c r="A852" t="s">
        <v>1002</v>
      </c>
      <c r="B852" s="7">
        <v>45637</v>
      </c>
      <c r="C852" s="13">
        <f t="shared" si="105"/>
        <v>2024</v>
      </c>
      <c r="D852" s="7" t="str">
        <f t="shared" si="106"/>
        <v>Dec</v>
      </c>
      <c r="E852" s="7" t="str">
        <f t="shared" si="107"/>
        <v>Wed</v>
      </c>
      <c r="F852" t="s">
        <v>517</v>
      </c>
      <c r="G852" t="s">
        <v>59</v>
      </c>
      <c r="H852" t="s">
        <v>17</v>
      </c>
      <c r="I852" s="2" t="str">
        <f t="shared" si="104"/>
        <v>South</v>
      </c>
      <c r="J852" t="s">
        <v>56</v>
      </c>
      <c r="K852" t="s">
        <v>23</v>
      </c>
      <c r="L852">
        <v>6</v>
      </c>
      <c r="M852">
        <v>120</v>
      </c>
      <c r="N852">
        <f t="shared" si="108"/>
        <v>720</v>
      </c>
      <c r="O852">
        <f t="shared" si="109"/>
        <v>72</v>
      </c>
      <c r="P852" t="str">
        <f t="shared" si="110"/>
        <v>Large Order</v>
      </c>
      <c r="Q852" t="str">
        <f t="shared" si="111"/>
        <v>Weekday</v>
      </c>
    </row>
    <row r="853" spans="1:17" x14ac:dyDescent="0.35">
      <c r="A853" t="s">
        <v>1003</v>
      </c>
      <c r="B853" s="7">
        <v>45303</v>
      </c>
      <c r="C853" s="13">
        <f t="shared" si="105"/>
        <v>2024</v>
      </c>
      <c r="D853" s="7" t="str">
        <f t="shared" si="106"/>
        <v>Jan</v>
      </c>
      <c r="E853" s="7" t="str">
        <f t="shared" si="107"/>
        <v>Fri</v>
      </c>
      <c r="F853" t="s">
        <v>78</v>
      </c>
      <c r="G853" t="s">
        <v>59</v>
      </c>
      <c r="H853" t="s">
        <v>11</v>
      </c>
      <c r="I853" s="2" t="str">
        <f t="shared" si="104"/>
        <v>North</v>
      </c>
      <c r="J853" t="s">
        <v>56</v>
      </c>
      <c r="K853" t="s">
        <v>36</v>
      </c>
      <c r="L853">
        <v>19</v>
      </c>
      <c r="M853">
        <v>120</v>
      </c>
      <c r="N853">
        <f t="shared" si="108"/>
        <v>2280</v>
      </c>
      <c r="O853">
        <f t="shared" si="109"/>
        <v>228</v>
      </c>
      <c r="P853" t="str">
        <f t="shared" si="110"/>
        <v>Large Order</v>
      </c>
      <c r="Q853" t="str">
        <f t="shared" si="111"/>
        <v>Weekday</v>
      </c>
    </row>
    <row r="854" spans="1:17" x14ac:dyDescent="0.35">
      <c r="A854" t="s">
        <v>1004</v>
      </c>
      <c r="B854" s="7">
        <v>45312</v>
      </c>
      <c r="C854" s="13">
        <f t="shared" si="105"/>
        <v>2024</v>
      </c>
      <c r="D854" s="7" t="str">
        <f t="shared" si="106"/>
        <v>Jan</v>
      </c>
      <c r="E854" s="7" t="str">
        <f t="shared" si="107"/>
        <v>Sun</v>
      </c>
      <c r="F854" t="s">
        <v>314</v>
      </c>
      <c r="G854" t="s">
        <v>45</v>
      </c>
      <c r="H854" t="s">
        <v>11</v>
      </c>
      <c r="I854" s="2" t="str">
        <f t="shared" si="104"/>
        <v>North</v>
      </c>
      <c r="J854" t="s">
        <v>12</v>
      </c>
      <c r="K854" t="s">
        <v>36</v>
      </c>
      <c r="L854">
        <v>9</v>
      </c>
      <c r="M854">
        <v>120</v>
      </c>
      <c r="N854">
        <f t="shared" si="108"/>
        <v>1080</v>
      </c>
      <c r="O854">
        <f t="shared" si="109"/>
        <v>108</v>
      </c>
      <c r="P854" t="str">
        <f t="shared" si="110"/>
        <v>Large Order</v>
      </c>
      <c r="Q854" t="str">
        <f t="shared" si="111"/>
        <v>Weekend</v>
      </c>
    </row>
    <row r="855" spans="1:17" x14ac:dyDescent="0.35">
      <c r="A855" t="s">
        <v>1005</v>
      </c>
      <c r="B855" s="7">
        <v>45499</v>
      </c>
      <c r="C855" s="13">
        <f t="shared" si="105"/>
        <v>2024</v>
      </c>
      <c r="D855" s="7" t="str">
        <f t="shared" si="106"/>
        <v>Jul</v>
      </c>
      <c r="E855" s="7" t="str">
        <f t="shared" si="107"/>
        <v>Fri</v>
      </c>
      <c r="F855" t="s">
        <v>327</v>
      </c>
      <c r="G855" t="s">
        <v>84</v>
      </c>
      <c r="H855" t="s">
        <v>22</v>
      </c>
      <c r="I855" s="2" t="str">
        <f t="shared" si="104"/>
        <v>West</v>
      </c>
      <c r="J855" t="s">
        <v>12</v>
      </c>
      <c r="K855" t="s">
        <v>28</v>
      </c>
      <c r="L855">
        <v>10</v>
      </c>
      <c r="M855">
        <v>120</v>
      </c>
      <c r="N855">
        <f t="shared" si="108"/>
        <v>1200</v>
      </c>
      <c r="O855">
        <f t="shared" si="109"/>
        <v>120</v>
      </c>
      <c r="P855" t="str">
        <f t="shared" si="110"/>
        <v>Large Order</v>
      </c>
      <c r="Q855" t="str">
        <f t="shared" si="111"/>
        <v>Weekday</v>
      </c>
    </row>
    <row r="856" spans="1:17" x14ac:dyDescent="0.35">
      <c r="A856" t="s">
        <v>1006</v>
      </c>
      <c r="B856" s="7">
        <v>45521</v>
      </c>
      <c r="C856" s="13">
        <f t="shared" si="105"/>
        <v>2024</v>
      </c>
      <c r="D856" s="7" t="str">
        <f t="shared" si="106"/>
        <v>Aug</v>
      </c>
      <c r="E856" s="7" t="str">
        <f t="shared" si="107"/>
        <v>Sat</v>
      </c>
      <c r="F856" t="s">
        <v>493</v>
      </c>
      <c r="G856" t="s">
        <v>45</v>
      </c>
      <c r="H856" t="s">
        <v>17</v>
      </c>
      <c r="I856" s="2" t="str">
        <f t="shared" si="104"/>
        <v>Central</v>
      </c>
      <c r="J856" t="s">
        <v>27</v>
      </c>
      <c r="K856" t="s">
        <v>36</v>
      </c>
      <c r="L856">
        <v>8</v>
      </c>
      <c r="M856">
        <v>120</v>
      </c>
      <c r="N856">
        <f t="shared" si="108"/>
        <v>960</v>
      </c>
      <c r="O856">
        <f t="shared" si="109"/>
        <v>96</v>
      </c>
      <c r="P856" t="str">
        <f t="shared" si="110"/>
        <v>Large Order</v>
      </c>
      <c r="Q856" t="str">
        <f t="shared" si="111"/>
        <v>Weekend</v>
      </c>
    </row>
    <row r="857" spans="1:17" x14ac:dyDescent="0.35">
      <c r="A857" t="s">
        <v>1007</v>
      </c>
      <c r="B857" s="7">
        <v>45365</v>
      </c>
      <c r="C857" s="13">
        <f t="shared" si="105"/>
        <v>2024</v>
      </c>
      <c r="D857" s="7" t="str">
        <f t="shared" si="106"/>
        <v>Mar</v>
      </c>
      <c r="E857" s="7" t="str">
        <f t="shared" si="107"/>
        <v>Thu</v>
      </c>
      <c r="F857" t="s">
        <v>361</v>
      </c>
      <c r="G857" t="s">
        <v>41</v>
      </c>
      <c r="H857" t="s">
        <v>11</v>
      </c>
      <c r="I857" s="2" t="str">
        <f t="shared" si="104"/>
        <v>North</v>
      </c>
      <c r="J857" t="s">
        <v>306</v>
      </c>
      <c r="K857" t="s">
        <v>32</v>
      </c>
      <c r="L857">
        <v>17</v>
      </c>
      <c r="M857">
        <v>120</v>
      </c>
      <c r="N857">
        <f t="shared" si="108"/>
        <v>2040</v>
      </c>
      <c r="O857">
        <f t="shared" si="109"/>
        <v>204</v>
      </c>
      <c r="P857" t="str">
        <f t="shared" si="110"/>
        <v>Large Order</v>
      </c>
      <c r="Q857" t="str">
        <f t="shared" si="111"/>
        <v>Weekday</v>
      </c>
    </row>
    <row r="858" spans="1:17" x14ac:dyDescent="0.35">
      <c r="A858" t="s">
        <v>1008</v>
      </c>
      <c r="B858" s="7">
        <v>45524</v>
      </c>
      <c r="C858" s="13">
        <f t="shared" si="105"/>
        <v>2024</v>
      </c>
      <c r="D858" s="7" t="str">
        <f t="shared" si="106"/>
        <v>Aug</v>
      </c>
      <c r="E858" s="7" t="str">
        <f t="shared" si="107"/>
        <v>Tue</v>
      </c>
      <c r="F858" t="s">
        <v>327</v>
      </c>
      <c r="G858" t="s">
        <v>197</v>
      </c>
      <c r="H858" t="s">
        <v>22</v>
      </c>
      <c r="I858" s="2" t="str">
        <f t="shared" si="104"/>
        <v>Central</v>
      </c>
      <c r="J858" t="s">
        <v>12</v>
      </c>
      <c r="K858" t="s">
        <v>13</v>
      </c>
      <c r="L858">
        <v>13</v>
      </c>
      <c r="M858">
        <v>120</v>
      </c>
      <c r="N858">
        <f t="shared" si="108"/>
        <v>1560</v>
      </c>
      <c r="O858">
        <f t="shared" si="109"/>
        <v>156</v>
      </c>
      <c r="P858" t="str">
        <f t="shared" si="110"/>
        <v>Large Order</v>
      </c>
      <c r="Q858" t="str">
        <f t="shared" si="111"/>
        <v>Weekday</v>
      </c>
    </row>
    <row r="859" spans="1:17" x14ac:dyDescent="0.35">
      <c r="A859" t="s">
        <v>1009</v>
      </c>
      <c r="B859" s="7">
        <v>45300</v>
      </c>
      <c r="C859" s="13">
        <f t="shared" si="105"/>
        <v>2024</v>
      </c>
      <c r="D859" s="7" t="str">
        <f t="shared" si="106"/>
        <v>Jan</v>
      </c>
      <c r="E859" s="7" t="str">
        <f t="shared" si="107"/>
        <v>Tue</v>
      </c>
      <c r="F859" t="s">
        <v>104</v>
      </c>
      <c r="G859" t="s">
        <v>41</v>
      </c>
      <c r="H859" t="s">
        <v>22</v>
      </c>
      <c r="I859" s="2" t="str">
        <f t="shared" si="104"/>
        <v>Central</v>
      </c>
      <c r="J859" t="s">
        <v>306</v>
      </c>
      <c r="K859" t="s">
        <v>36</v>
      </c>
      <c r="L859">
        <v>14</v>
      </c>
      <c r="M859">
        <v>120</v>
      </c>
      <c r="N859">
        <f t="shared" si="108"/>
        <v>1680</v>
      </c>
      <c r="O859">
        <f t="shared" si="109"/>
        <v>168</v>
      </c>
      <c r="P859" t="str">
        <f t="shared" si="110"/>
        <v>Large Order</v>
      </c>
      <c r="Q859" t="str">
        <f t="shared" si="111"/>
        <v>Weekday</v>
      </c>
    </row>
    <row r="860" spans="1:17" x14ac:dyDescent="0.35">
      <c r="A860" t="s">
        <v>1010</v>
      </c>
      <c r="B860" s="7">
        <v>45341</v>
      </c>
      <c r="C860" s="13">
        <f t="shared" si="105"/>
        <v>2024</v>
      </c>
      <c r="D860" s="7" t="str">
        <f t="shared" si="106"/>
        <v>Feb</v>
      </c>
      <c r="E860" s="7" t="str">
        <f t="shared" si="107"/>
        <v>Mon</v>
      </c>
      <c r="F860" t="s">
        <v>235</v>
      </c>
      <c r="G860" t="s">
        <v>109</v>
      </c>
      <c r="H860" t="s">
        <v>17</v>
      </c>
      <c r="I860" s="2" t="str">
        <f t="shared" si="104"/>
        <v>North</v>
      </c>
      <c r="J860" t="s">
        <v>306</v>
      </c>
      <c r="K860" t="s">
        <v>36</v>
      </c>
      <c r="L860">
        <v>2</v>
      </c>
      <c r="M860">
        <v>120</v>
      </c>
      <c r="N860">
        <f t="shared" si="108"/>
        <v>240</v>
      </c>
      <c r="O860">
        <f t="shared" si="109"/>
        <v>24</v>
      </c>
      <c r="P860" t="str">
        <f t="shared" si="110"/>
        <v>Standard Order</v>
      </c>
      <c r="Q860" t="str">
        <f t="shared" si="111"/>
        <v>Weekday</v>
      </c>
    </row>
    <row r="861" spans="1:17" x14ac:dyDescent="0.35">
      <c r="A861" t="s">
        <v>1011</v>
      </c>
      <c r="B861" s="7">
        <v>45549</v>
      </c>
      <c r="C861" s="13">
        <f t="shared" si="105"/>
        <v>2024</v>
      </c>
      <c r="D861" s="7" t="str">
        <f t="shared" si="106"/>
        <v>Sep</v>
      </c>
      <c r="E861" s="7" t="str">
        <f t="shared" si="107"/>
        <v>Sat</v>
      </c>
      <c r="F861" t="s">
        <v>664</v>
      </c>
      <c r="G861" t="s">
        <v>35</v>
      </c>
      <c r="H861" t="s">
        <v>11</v>
      </c>
      <c r="I861" s="2" t="str">
        <f t="shared" si="104"/>
        <v>West</v>
      </c>
      <c r="J861" t="s">
        <v>12</v>
      </c>
      <c r="K861" t="s">
        <v>36</v>
      </c>
      <c r="L861">
        <v>5</v>
      </c>
      <c r="M861">
        <v>120</v>
      </c>
      <c r="N861">
        <f t="shared" si="108"/>
        <v>600</v>
      </c>
      <c r="O861">
        <f t="shared" si="109"/>
        <v>60</v>
      </c>
      <c r="P861" t="str">
        <f t="shared" si="110"/>
        <v>Large Order</v>
      </c>
      <c r="Q861" t="str">
        <f t="shared" si="111"/>
        <v>Weekend</v>
      </c>
    </row>
    <row r="862" spans="1:17" x14ac:dyDescent="0.35">
      <c r="A862" t="s">
        <v>1012</v>
      </c>
      <c r="B862" s="7">
        <v>45292</v>
      </c>
      <c r="C862" s="13">
        <f t="shared" si="105"/>
        <v>2024</v>
      </c>
      <c r="D862" s="7" t="str">
        <f t="shared" si="106"/>
        <v>Jan</v>
      </c>
      <c r="E862" s="7" t="str">
        <f t="shared" si="107"/>
        <v>Mon</v>
      </c>
      <c r="F862" t="s">
        <v>420</v>
      </c>
      <c r="G862" t="s">
        <v>160</v>
      </c>
      <c r="H862" t="s">
        <v>22</v>
      </c>
      <c r="I862" s="2" t="str">
        <f t="shared" si="104"/>
        <v>South</v>
      </c>
      <c r="J862" t="s">
        <v>27</v>
      </c>
      <c r="K862" t="s">
        <v>13</v>
      </c>
      <c r="L862">
        <v>14</v>
      </c>
      <c r="M862">
        <v>120</v>
      </c>
      <c r="N862">
        <f t="shared" si="108"/>
        <v>1680</v>
      </c>
      <c r="O862">
        <f t="shared" si="109"/>
        <v>168</v>
      </c>
      <c r="P862" t="str">
        <f t="shared" si="110"/>
        <v>Large Order</v>
      </c>
      <c r="Q862" t="str">
        <f t="shared" si="111"/>
        <v>Weekday</v>
      </c>
    </row>
    <row r="863" spans="1:17" x14ac:dyDescent="0.35">
      <c r="A863" t="s">
        <v>1013</v>
      </c>
      <c r="B863" s="7">
        <v>45649</v>
      </c>
      <c r="C863" s="13">
        <f t="shared" si="105"/>
        <v>2024</v>
      </c>
      <c r="D863" s="7" t="str">
        <f t="shared" si="106"/>
        <v>Dec</v>
      </c>
      <c r="E863" s="7" t="str">
        <f t="shared" si="107"/>
        <v>Mon</v>
      </c>
      <c r="F863" t="s">
        <v>339</v>
      </c>
      <c r="G863" t="s">
        <v>35</v>
      </c>
      <c r="H863" t="s">
        <v>17</v>
      </c>
      <c r="I863" s="2" t="str">
        <f t="shared" si="104"/>
        <v>East</v>
      </c>
      <c r="J863" t="s">
        <v>56</v>
      </c>
      <c r="K863" t="s">
        <v>36</v>
      </c>
      <c r="L863">
        <v>13</v>
      </c>
      <c r="M863">
        <v>120</v>
      </c>
      <c r="N863">
        <f t="shared" si="108"/>
        <v>1560</v>
      </c>
      <c r="O863">
        <f t="shared" si="109"/>
        <v>156</v>
      </c>
      <c r="P863" t="str">
        <f t="shared" si="110"/>
        <v>Large Order</v>
      </c>
      <c r="Q863" t="str">
        <f t="shared" si="111"/>
        <v>Weekday</v>
      </c>
    </row>
    <row r="864" spans="1:17" x14ac:dyDescent="0.35">
      <c r="A864" t="s">
        <v>1014</v>
      </c>
      <c r="B864" s="7">
        <v>45342</v>
      </c>
      <c r="C864" s="13">
        <f t="shared" si="105"/>
        <v>2024</v>
      </c>
      <c r="D864" s="7" t="str">
        <f t="shared" si="106"/>
        <v>Feb</v>
      </c>
      <c r="E864" s="7" t="str">
        <f t="shared" si="107"/>
        <v>Tue</v>
      </c>
      <c r="F864" t="s">
        <v>309</v>
      </c>
      <c r="G864" t="s">
        <v>35</v>
      </c>
      <c r="H864" t="s">
        <v>11</v>
      </c>
      <c r="I864" s="2" t="str">
        <f t="shared" si="104"/>
        <v>West</v>
      </c>
      <c r="J864" t="s">
        <v>42</v>
      </c>
      <c r="K864" t="s">
        <v>13</v>
      </c>
      <c r="L864">
        <v>8</v>
      </c>
      <c r="M864">
        <v>120</v>
      </c>
      <c r="N864">
        <f t="shared" si="108"/>
        <v>960</v>
      </c>
      <c r="O864">
        <f t="shared" si="109"/>
        <v>96</v>
      </c>
      <c r="P864" t="str">
        <f t="shared" si="110"/>
        <v>Large Order</v>
      </c>
      <c r="Q864" t="str">
        <f t="shared" si="111"/>
        <v>Weekday</v>
      </c>
    </row>
    <row r="865" spans="1:17" x14ac:dyDescent="0.35">
      <c r="A865" t="s">
        <v>1015</v>
      </c>
      <c r="B865" s="7">
        <v>45437</v>
      </c>
      <c r="C865" s="13">
        <f t="shared" si="105"/>
        <v>2024</v>
      </c>
      <c r="D865" s="7" t="str">
        <f t="shared" si="106"/>
        <v>May</v>
      </c>
      <c r="E865" s="7" t="str">
        <f t="shared" si="107"/>
        <v>Sat</v>
      </c>
      <c r="F865" t="s">
        <v>327</v>
      </c>
      <c r="G865" t="s">
        <v>26</v>
      </c>
      <c r="H865" t="s">
        <v>22</v>
      </c>
      <c r="I865" s="2" t="str">
        <f t="shared" si="104"/>
        <v>Central</v>
      </c>
      <c r="J865" t="s">
        <v>27</v>
      </c>
      <c r="K865" t="s">
        <v>13</v>
      </c>
      <c r="L865">
        <v>7</v>
      </c>
      <c r="M865">
        <v>120</v>
      </c>
      <c r="N865">
        <f t="shared" si="108"/>
        <v>840</v>
      </c>
      <c r="O865">
        <f t="shared" si="109"/>
        <v>84</v>
      </c>
      <c r="P865" t="str">
        <f t="shared" si="110"/>
        <v>Large Order</v>
      </c>
      <c r="Q865" t="str">
        <f t="shared" si="111"/>
        <v>Weekend</v>
      </c>
    </row>
    <row r="866" spans="1:17" x14ac:dyDescent="0.35">
      <c r="A866" t="s">
        <v>1016</v>
      </c>
      <c r="B866" s="7">
        <v>45587</v>
      </c>
      <c r="C866" s="13">
        <f t="shared" si="105"/>
        <v>2024</v>
      </c>
      <c r="D866" s="7" t="str">
        <f t="shared" si="106"/>
        <v>Oct</v>
      </c>
      <c r="E866" s="7" t="str">
        <f t="shared" si="107"/>
        <v>Tue</v>
      </c>
      <c r="F866" t="s">
        <v>363</v>
      </c>
      <c r="G866" t="s">
        <v>96</v>
      </c>
      <c r="H866" t="s">
        <v>11</v>
      </c>
      <c r="I866" s="2" t="str">
        <f t="shared" si="104"/>
        <v>South</v>
      </c>
      <c r="J866" t="s">
        <v>306</v>
      </c>
      <c r="K866" t="s">
        <v>32</v>
      </c>
      <c r="L866">
        <v>13</v>
      </c>
      <c r="M866">
        <v>120</v>
      </c>
      <c r="N866">
        <f t="shared" si="108"/>
        <v>1560</v>
      </c>
      <c r="O866">
        <f t="shared" si="109"/>
        <v>156</v>
      </c>
      <c r="P866" t="str">
        <f t="shared" si="110"/>
        <v>Large Order</v>
      </c>
      <c r="Q866" t="str">
        <f t="shared" si="111"/>
        <v>Weekday</v>
      </c>
    </row>
    <row r="867" spans="1:17" x14ac:dyDescent="0.35">
      <c r="A867" t="s">
        <v>1017</v>
      </c>
      <c r="B867" s="7">
        <v>45501</v>
      </c>
      <c r="C867" s="13">
        <f t="shared" si="105"/>
        <v>2024</v>
      </c>
      <c r="D867" s="7" t="str">
        <f t="shared" si="106"/>
        <v>Jul</v>
      </c>
      <c r="E867" s="7" t="str">
        <f t="shared" si="107"/>
        <v>Sun</v>
      </c>
      <c r="F867" t="s">
        <v>83</v>
      </c>
      <c r="G867" t="s">
        <v>87</v>
      </c>
      <c r="H867" t="s">
        <v>11</v>
      </c>
      <c r="I867" s="2" t="str">
        <f t="shared" si="104"/>
        <v>Central</v>
      </c>
      <c r="J867" t="s">
        <v>56</v>
      </c>
      <c r="K867" t="s">
        <v>36</v>
      </c>
      <c r="L867">
        <v>19</v>
      </c>
      <c r="M867">
        <v>120</v>
      </c>
      <c r="N867">
        <f t="shared" si="108"/>
        <v>2280</v>
      </c>
      <c r="O867">
        <f t="shared" si="109"/>
        <v>228</v>
      </c>
      <c r="P867" t="str">
        <f t="shared" si="110"/>
        <v>Large Order</v>
      </c>
      <c r="Q867" t="str">
        <f t="shared" si="111"/>
        <v>Weekend</v>
      </c>
    </row>
    <row r="868" spans="1:17" x14ac:dyDescent="0.35">
      <c r="A868" t="s">
        <v>1018</v>
      </c>
      <c r="B868" s="7">
        <v>45508</v>
      </c>
      <c r="C868" s="13">
        <f t="shared" si="105"/>
        <v>2024</v>
      </c>
      <c r="D868" s="7" t="str">
        <f t="shared" si="106"/>
        <v>Aug</v>
      </c>
      <c r="E868" s="7" t="str">
        <f t="shared" si="107"/>
        <v>Sun</v>
      </c>
      <c r="F868" t="s">
        <v>614</v>
      </c>
      <c r="G868" t="s">
        <v>26</v>
      </c>
      <c r="H868" t="s">
        <v>17</v>
      </c>
      <c r="I868" s="2" t="str">
        <f t="shared" si="104"/>
        <v>West</v>
      </c>
      <c r="J868" t="s">
        <v>306</v>
      </c>
      <c r="K868" t="s">
        <v>23</v>
      </c>
      <c r="L868">
        <v>13</v>
      </c>
      <c r="M868">
        <v>120</v>
      </c>
      <c r="N868">
        <f t="shared" si="108"/>
        <v>1560</v>
      </c>
      <c r="O868">
        <f t="shared" si="109"/>
        <v>156</v>
      </c>
      <c r="P868" t="str">
        <f t="shared" si="110"/>
        <v>Large Order</v>
      </c>
      <c r="Q868" t="str">
        <f t="shared" si="111"/>
        <v>Weekend</v>
      </c>
    </row>
    <row r="869" spans="1:17" x14ac:dyDescent="0.35">
      <c r="A869" t="s">
        <v>1019</v>
      </c>
      <c r="B869" s="7">
        <v>45574</v>
      </c>
      <c r="C869" s="13">
        <f t="shared" si="105"/>
        <v>2024</v>
      </c>
      <c r="D869" s="7" t="str">
        <f t="shared" si="106"/>
        <v>Oct</v>
      </c>
      <c r="E869" s="7" t="str">
        <f t="shared" si="107"/>
        <v>Wed</v>
      </c>
      <c r="F869" t="s">
        <v>728</v>
      </c>
      <c r="G869" t="s">
        <v>45</v>
      </c>
      <c r="H869" t="s">
        <v>22</v>
      </c>
      <c r="I869" s="2" t="str">
        <f t="shared" si="104"/>
        <v>East</v>
      </c>
      <c r="J869" t="s">
        <v>27</v>
      </c>
      <c r="K869" t="s">
        <v>23</v>
      </c>
      <c r="L869">
        <v>12</v>
      </c>
      <c r="M869">
        <v>120</v>
      </c>
      <c r="N869">
        <f t="shared" si="108"/>
        <v>1440</v>
      </c>
      <c r="O869">
        <f t="shared" si="109"/>
        <v>144</v>
      </c>
      <c r="P869" t="str">
        <f t="shared" si="110"/>
        <v>Large Order</v>
      </c>
      <c r="Q869" t="str">
        <f t="shared" si="111"/>
        <v>Weekday</v>
      </c>
    </row>
    <row r="870" spans="1:17" x14ac:dyDescent="0.35">
      <c r="A870" t="s">
        <v>1020</v>
      </c>
      <c r="B870" s="7">
        <v>45421</v>
      </c>
      <c r="C870" s="13">
        <f t="shared" si="105"/>
        <v>2024</v>
      </c>
      <c r="D870" s="7" t="str">
        <f t="shared" si="106"/>
        <v>May</v>
      </c>
      <c r="E870" s="7" t="str">
        <f t="shared" si="107"/>
        <v>Thu</v>
      </c>
      <c r="F870" t="s">
        <v>147</v>
      </c>
      <c r="G870" t="s">
        <v>119</v>
      </c>
      <c r="H870" t="s">
        <v>22</v>
      </c>
      <c r="I870" s="2" t="str">
        <f t="shared" si="104"/>
        <v>South</v>
      </c>
      <c r="J870" t="s">
        <v>42</v>
      </c>
      <c r="K870" t="s">
        <v>13</v>
      </c>
      <c r="L870">
        <v>13</v>
      </c>
      <c r="M870">
        <v>120</v>
      </c>
      <c r="N870">
        <f t="shared" si="108"/>
        <v>1560</v>
      </c>
      <c r="O870">
        <f t="shared" si="109"/>
        <v>156</v>
      </c>
      <c r="P870" t="str">
        <f t="shared" si="110"/>
        <v>Large Order</v>
      </c>
      <c r="Q870" t="str">
        <f t="shared" si="111"/>
        <v>Weekday</v>
      </c>
    </row>
    <row r="871" spans="1:17" x14ac:dyDescent="0.35">
      <c r="A871" t="s">
        <v>1021</v>
      </c>
      <c r="B871" s="7">
        <v>45409</v>
      </c>
      <c r="C871" s="13">
        <f t="shared" si="105"/>
        <v>2024</v>
      </c>
      <c r="D871" s="7" t="str">
        <f t="shared" si="106"/>
        <v>Apr</v>
      </c>
      <c r="E871" s="7" t="str">
        <f t="shared" si="107"/>
        <v>Sat</v>
      </c>
      <c r="F871" t="s">
        <v>430</v>
      </c>
      <c r="G871" t="s">
        <v>102</v>
      </c>
      <c r="H871" t="s">
        <v>22</v>
      </c>
      <c r="I871" s="2" t="str">
        <f t="shared" si="104"/>
        <v>North</v>
      </c>
      <c r="J871" t="s">
        <v>56</v>
      </c>
      <c r="K871" t="s">
        <v>32</v>
      </c>
      <c r="L871">
        <v>7</v>
      </c>
      <c r="M871">
        <v>120</v>
      </c>
      <c r="N871">
        <f t="shared" si="108"/>
        <v>840</v>
      </c>
      <c r="O871">
        <f t="shared" si="109"/>
        <v>84</v>
      </c>
      <c r="P871" t="str">
        <f t="shared" si="110"/>
        <v>Large Order</v>
      </c>
      <c r="Q871" t="str">
        <f t="shared" si="111"/>
        <v>Weekend</v>
      </c>
    </row>
    <row r="872" spans="1:17" x14ac:dyDescent="0.35">
      <c r="A872" t="s">
        <v>1022</v>
      </c>
      <c r="B872" s="7">
        <v>45573</v>
      </c>
      <c r="C872" s="13">
        <f t="shared" si="105"/>
        <v>2024</v>
      </c>
      <c r="D872" s="7" t="str">
        <f t="shared" si="106"/>
        <v>Oct</v>
      </c>
      <c r="E872" s="7" t="str">
        <f t="shared" si="107"/>
        <v>Tue</v>
      </c>
      <c r="F872" t="s">
        <v>594</v>
      </c>
      <c r="G872" t="s">
        <v>45</v>
      </c>
      <c r="H872" t="s">
        <v>22</v>
      </c>
      <c r="I872" s="2" t="str">
        <f t="shared" si="104"/>
        <v>Central</v>
      </c>
      <c r="J872" t="s">
        <v>12</v>
      </c>
      <c r="K872" t="s">
        <v>13</v>
      </c>
      <c r="L872">
        <v>13</v>
      </c>
      <c r="M872">
        <v>120</v>
      </c>
      <c r="N872">
        <f t="shared" si="108"/>
        <v>1560</v>
      </c>
      <c r="O872">
        <f t="shared" si="109"/>
        <v>156</v>
      </c>
      <c r="P872" t="str">
        <f t="shared" si="110"/>
        <v>Large Order</v>
      </c>
      <c r="Q872" t="str">
        <f t="shared" si="111"/>
        <v>Weekday</v>
      </c>
    </row>
    <row r="873" spans="1:17" x14ac:dyDescent="0.35">
      <c r="A873" t="s">
        <v>1023</v>
      </c>
      <c r="B873" s="7">
        <v>45338</v>
      </c>
      <c r="C873" s="13">
        <f t="shared" si="105"/>
        <v>2024</v>
      </c>
      <c r="D873" s="7" t="str">
        <f t="shared" si="106"/>
        <v>Feb</v>
      </c>
      <c r="E873" s="7" t="str">
        <f t="shared" si="107"/>
        <v>Fri</v>
      </c>
      <c r="F873" t="s">
        <v>167</v>
      </c>
      <c r="G873" t="s">
        <v>87</v>
      </c>
      <c r="H873" t="s">
        <v>17</v>
      </c>
      <c r="I873" s="2" t="str">
        <f t="shared" si="104"/>
        <v>North</v>
      </c>
      <c r="J873" t="s">
        <v>306</v>
      </c>
      <c r="K873" t="s">
        <v>28</v>
      </c>
      <c r="L873">
        <v>3</v>
      </c>
      <c r="M873">
        <v>120</v>
      </c>
      <c r="N873">
        <f t="shared" si="108"/>
        <v>360</v>
      </c>
      <c r="O873">
        <f t="shared" si="109"/>
        <v>36</v>
      </c>
      <c r="P873" t="str">
        <f t="shared" si="110"/>
        <v>Standard Order</v>
      </c>
      <c r="Q873" t="str">
        <f t="shared" si="111"/>
        <v>Weekday</v>
      </c>
    </row>
    <row r="874" spans="1:17" x14ac:dyDescent="0.35">
      <c r="A874" t="s">
        <v>1024</v>
      </c>
      <c r="B874" s="7">
        <v>45481</v>
      </c>
      <c r="C874" s="13">
        <f t="shared" si="105"/>
        <v>2024</v>
      </c>
      <c r="D874" s="7" t="str">
        <f t="shared" si="106"/>
        <v>Jul</v>
      </c>
      <c r="E874" s="7" t="str">
        <f t="shared" si="107"/>
        <v>Mon</v>
      </c>
      <c r="F874" t="s">
        <v>81</v>
      </c>
      <c r="G874" t="s">
        <v>84</v>
      </c>
      <c r="H874" t="s">
        <v>22</v>
      </c>
      <c r="I874" s="2" t="str">
        <f t="shared" si="104"/>
        <v>East</v>
      </c>
      <c r="J874" t="s">
        <v>12</v>
      </c>
      <c r="K874" t="s">
        <v>23</v>
      </c>
      <c r="L874">
        <v>13</v>
      </c>
      <c r="M874">
        <v>120</v>
      </c>
      <c r="N874">
        <f t="shared" si="108"/>
        <v>1560</v>
      </c>
      <c r="O874">
        <f t="shared" si="109"/>
        <v>156</v>
      </c>
      <c r="P874" t="str">
        <f t="shared" si="110"/>
        <v>Large Order</v>
      </c>
      <c r="Q874" t="str">
        <f t="shared" si="111"/>
        <v>Weekday</v>
      </c>
    </row>
    <row r="875" spans="1:17" x14ac:dyDescent="0.35">
      <c r="A875" t="s">
        <v>1025</v>
      </c>
      <c r="B875" s="7">
        <v>45606</v>
      </c>
      <c r="C875" s="13">
        <f t="shared" si="105"/>
        <v>2024</v>
      </c>
      <c r="D875" s="7" t="str">
        <f t="shared" si="106"/>
        <v>Nov</v>
      </c>
      <c r="E875" s="7" t="str">
        <f t="shared" si="107"/>
        <v>Sun</v>
      </c>
      <c r="F875" t="s">
        <v>350</v>
      </c>
      <c r="G875" t="s">
        <v>62</v>
      </c>
      <c r="H875" t="s">
        <v>22</v>
      </c>
      <c r="I875" s="2" t="str">
        <f t="shared" si="104"/>
        <v>North</v>
      </c>
      <c r="J875" t="s">
        <v>42</v>
      </c>
      <c r="K875" t="s">
        <v>28</v>
      </c>
      <c r="L875">
        <v>20</v>
      </c>
      <c r="M875">
        <v>120</v>
      </c>
      <c r="N875">
        <f t="shared" si="108"/>
        <v>2400</v>
      </c>
      <c r="O875">
        <f t="shared" si="109"/>
        <v>240</v>
      </c>
      <c r="P875" t="str">
        <f t="shared" si="110"/>
        <v>Large Order</v>
      </c>
      <c r="Q875" t="str">
        <f t="shared" si="111"/>
        <v>Weekend</v>
      </c>
    </row>
    <row r="876" spans="1:17" x14ac:dyDescent="0.35">
      <c r="A876" t="s">
        <v>1026</v>
      </c>
      <c r="B876" s="7">
        <v>45619</v>
      </c>
      <c r="C876" s="13">
        <f t="shared" si="105"/>
        <v>2024</v>
      </c>
      <c r="D876" s="7" t="str">
        <f t="shared" si="106"/>
        <v>Nov</v>
      </c>
      <c r="E876" s="7" t="str">
        <f t="shared" si="107"/>
        <v>Sat</v>
      </c>
      <c r="F876" t="s">
        <v>432</v>
      </c>
      <c r="G876" t="s">
        <v>65</v>
      </c>
      <c r="H876" t="s">
        <v>17</v>
      </c>
      <c r="I876" s="2" t="str">
        <f t="shared" si="104"/>
        <v>South</v>
      </c>
      <c r="J876" t="s">
        <v>12</v>
      </c>
      <c r="K876" t="s">
        <v>13</v>
      </c>
      <c r="L876">
        <v>17</v>
      </c>
      <c r="M876">
        <v>120</v>
      </c>
      <c r="N876">
        <f t="shared" si="108"/>
        <v>2040</v>
      </c>
      <c r="O876">
        <f t="shared" si="109"/>
        <v>204</v>
      </c>
      <c r="P876" t="str">
        <f t="shared" si="110"/>
        <v>Large Order</v>
      </c>
      <c r="Q876" t="str">
        <f t="shared" si="111"/>
        <v>Weekend</v>
      </c>
    </row>
    <row r="877" spans="1:17" x14ac:dyDescent="0.35">
      <c r="A877" t="s">
        <v>1027</v>
      </c>
      <c r="B877" s="7">
        <v>45598</v>
      </c>
      <c r="C877" s="13">
        <f t="shared" si="105"/>
        <v>2024</v>
      </c>
      <c r="D877" s="7" t="str">
        <f t="shared" si="106"/>
        <v>Nov</v>
      </c>
      <c r="E877" s="7" t="str">
        <f t="shared" si="107"/>
        <v>Sat</v>
      </c>
      <c r="F877" t="s">
        <v>345</v>
      </c>
      <c r="G877" t="s">
        <v>109</v>
      </c>
      <c r="H877" t="s">
        <v>22</v>
      </c>
      <c r="I877" s="2" t="str">
        <f t="shared" si="104"/>
        <v>South</v>
      </c>
      <c r="J877" t="s">
        <v>56</v>
      </c>
      <c r="K877" t="s">
        <v>32</v>
      </c>
      <c r="L877">
        <v>6</v>
      </c>
      <c r="M877">
        <v>120</v>
      </c>
      <c r="N877">
        <f t="shared" si="108"/>
        <v>720</v>
      </c>
      <c r="O877">
        <f t="shared" si="109"/>
        <v>72</v>
      </c>
      <c r="P877" t="str">
        <f t="shared" si="110"/>
        <v>Large Order</v>
      </c>
      <c r="Q877" t="str">
        <f t="shared" si="111"/>
        <v>Weekend</v>
      </c>
    </row>
    <row r="878" spans="1:17" x14ac:dyDescent="0.35">
      <c r="A878" t="s">
        <v>1028</v>
      </c>
      <c r="B878" s="7">
        <v>45414</v>
      </c>
      <c r="C878" s="13">
        <f t="shared" si="105"/>
        <v>2024</v>
      </c>
      <c r="D878" s="7" t="str">
        <f t="shared" si="106"/>
        <v>May</v>
      </c>
      <c r="E878" s="7" t="str">
        <f t="shared" si="107"/>
        <v>Thu</v>
      </c>
      <c r="F878" t="s">
        <v>350</v>
      </c>
      <c r="G878" t="s">
        <v>10</v>
      </c>
      <c r="H878" t="s">
        <v>11</v>
      </c>
      <c r="I878" s="2" t="str">
        <f t="shared" si="104"/>
        <v>Central</v>
      </c>
      <c r="J878" t="s">
        <v>56</v>
      </c>
      <c r="K878" t="s">
        <v>32</v>
      </c>
      <c r="L878">
        <v>9</v>
      </c>
      <c r="M878">
        <v>120</v>
      </c>
      <c r="N878">
        <f t="shared" si="108"/>
        <v>1080</v>
      </c>
      <c r="O878">
        <f t="shared" si="109"/>
        <v>108</v>
      </c>
      <c r="P878" t="str">
        <f t="shared" si="110"/>
        <v>Large Order</v>
      </c>
      <c r="Q878" t="str">
        <f t="shared" si="111"/>
        <v>Weekday</v>
      </c>
    </row>
    <row r="879" spans="1:17" x14ac:dyDescent="0.35">
      <c r="A879" t="s">
        <v>1029</v>
      </c>
      <c r="B879" s="7">
        <v>45634</v>
      </c>
      <c r="C879" s="13">
        <f t="shared" si="105"/>
        <v>2024</v>
      </c>
      <c r="D879" s="7" t="str">
        <f t="shared" si="106"/>
        <v>Dec</v>
      </c>
      <c r="E879" s="7" t="str">
        <f t="shared" si="107"/>
        <v>Sun</v>
      </c>
      <c r="F879" t="s">
        <v>106</v>
      </c>
      <c r="G879" t="s">
        <v>65</v>
      </c>
      <c r="H879" t="s">
        <v>17</v>
      </c>
      <c r="I879" s="2" t="str">
        <f t="shared" si="104"/>
        <v>Central</v>
      </c>
      <c r="J879" t="s">
        <v>306</v>
      </c>
      <c r="K879" t="s">
        <v>13</v>
      </c>
      <c r="L879">
        <v>17</v>
      </c>
      <c r="M879">
        <v>120</v>
      </c>
      <c r="N879">
        <f t="shared" si="108"/>
        <v>2040</v>
      </c>
      <c r="O879">
        <f t="shared" si="109"/>
        <v>204</v>
      </c>
      <c r="P879" t="str">
        <f t="shared" si="110"/>
        <v>Large Order</v>
      </c>
      <c r="Q879" t="str">
        <f t="shared" si="111"/>
        <v>Weekend</v>
      </c>
    </row>
    <row r="880" spans="1:17" x14ac:dyDescent="0.35">
      <c r="A880" t="s">
        <v>1030</v>
      </c>
      <c r="B880" s="7">
        <v>45338</v>
      </c>
      <c r="C880" s="13">
        <f t="shared" si="105"/>
        <v>2024</v>
      </c>
      <c r="D880" s="7" t="str">
        <f t="shared" si="106"/>
        <v>Feb</v>
      </c>
      <c r="E880" s="7" t="str">
        <f t="shared" si="107"/>
        <v>Fri</v>
      </c>
      <c r="F880" t="s">
        <v>378</v>
      </c>
      <c r="G880" t="s">
        <v>59</v>
      </c>
      <c r="H880" t="s">
        <v>17</v>
      </c>
      <c r="I880" s="2" t="str">
        <f t="shared" si="104"/>
        <v>West</v>
      </c>
      <c r="J880" t="s">
        <v>306</v>
      </c>
      <c r="K880" t="s">
        <v>32</v>
      </c>
      <c r="L880">
        <v>12</v>
      </c>
      <c r="M880">
        <v>120</v>
      </c>
      <c r="N880">
        <f t="shared" si="108"/>
        <v>1440</v>
      </c>
      <c r="O880">
        <f t="shared" si="109"/>
        <v>144</v>
      </c>
      <c r="P880" t="str">
        <f t="shared" si="110"/>
        <v>Large Order</v>
      </c>
      <c r="Q880" t="str">
        <f t="shared" si="111"/>
        <v>Weekday</v>
      </c>
    </row>
    <row r="881" spans="1:17" x14ac:dyDescent="0.35">
      <c r="A881" t="s">
        <v>1031</v>
      </c>
      <c r="B881" s="7">
        <v>45407</v>
      </c>
      <c r="C881" s="13">
        <f t="shared" si="105"/>
        <v>2024</v>
      </c>
      <c r="D881" s="7" t="str">
        <f t="shared" si="106"/>
        <v>Apr</v>
      </c>
      <c r="E881" s="7" t="str">
        <f t="shared" si="107"/>
        <v>Thu</v>
      </c>
      <c r="F881" t="s">
        <v>493</v>
      </c>
      <c r="G881" t="s">
        <v>31</v>
      </c>
      <c r="H881" t="s">
        <v>11</v>
      </c>
      <c r="I881" s="2" t="str">
        <f t="shared" si="104"/>
        <v>Central</v>
      </c>
      <c r="J881" t="s">
        <v>27</v>
      </c>
      <c r="K881" t="s">
        <v>28</v>
      </c>
      <c r="L881">
        <v>19</v>
      </c>
      <c r="M881">
        <v>120</v>
      </c>
      <c r="N881">
        <f t="shared" si="108"/>
        <v>2280</v>
      </c>
      <c r="O881">
        <f t="shared" si="109"/>
        <v>228</v>
      </c>
      <c r="P881" t="str">
        <f t="shared" si="110"/>
        <v>Large Order</v>
      </c>
      <c r="Q881" t="str">
        <f t="shared" si="111"/>
        <v>Weekday</v>
      </c>
    </row>
    <row r="882" spans="1:17" x14ac:dyDescent="0.35">
      <c r="A882" t="s">
        <v>1032</v>
      </c>
      <c r="B882" s="7">
        <v>45500</v>
      </c>
      <c r="C882" s="13">
        <f t="shared" si="105"/>
        <v>2024</v>
      </c>
      <c r="D882" s="7" t="str">
        <f t="shared" si="106"/>
        <v>Jul</v>
      </c>
      <c r="E882" s="7" t="str">
        <f t="shared" si="107"/>
        <v>Sat</v>
      </c>
      <c r="F882" t="s">
        <v>358</v>
      </c>
      <c r="G882" t="s">
        <v>10</v>
      </c>
      <c r="H882" t="s">
        <v>11</v>
      </c>
      <c r="I882" s="2" t="str">
        <f t="shared" si="104"/>
        <v>Central</v>
      </c>
      <c r="J882" t="s">
        <v>306</v>
      </c>
      <c r="K882" t="s">
        <v>13</v>
      </c>
      <c r="L882">
        <v>17</v>
      </c>
      <c r="M882">
        <v>120</v>
      </c>
      <c r="N882">
        <f t="shared" si="108"/>
        <v>2040</v>
      </c>
      <c r="O882">
        <f t="shared" si="109"/>
        <v>204</v>
      </c>
      <c r="P882" t="str">
        <f t="shared" si="110"/>
        <v>Large Order</v>
      </c>
      <c r="Q882" t="str">
        <f t="shared" si="111"/>
        <v>Weekend</v>
      </c>
    </row>
    <row r="883" spans="1:17" x14ac:dyDescent="0.35">
      <c r="A883" t="s">
        <v>1033</v>
      </c>
      <c r="B883" s="7">
        <v>45554</v>
      </c>
      <c r="C883" s="13">
        <f t="shared" si="105"/>
        <v>2024</v>
      </c>
      <c r="D883" s="7" t="str">
        <f t="shared" si="106"/>
        <v>Sep</v>
      </c>
      <c r="E883" s="7" t="str">
        <f t="shared" si="107"/>
        <v>Thu</v>
      </c>
      <c r="F883" t="s">
        <v>230</v>
      </c>
      <c r="G883" t="s">
        <v>26</v>
      </c>
      <c r="H883" t="s">
        <v>22</v>
      </c>
      <c r="I883" s="2" t="str">
        <f t="shared" si="104"/>
        <v>East</v>
      </c>
      <c r="J883" t="s">
        <v>306</v>
      </c>
      <c r="K883" t="s">
        <v>36</v>
      </c>
      <c r="L883">
        <v>15</v>
      </c>
      <c r="M883">
        <v>120</v>
      </c>
      <c r="N883">
        <f t="shared" si="108"/>
        <v>1800</v>
      </c>
      <c r="O883">
        <f t="shared" si="109"/>
        <v>180</v>
      </c>
      <c r="P883" t="str">
        <f t="shared" si="110"/>
        <v>Large Order</v>
      </c>
      <c r="Q883" t="str">
        <f t="shared" si="111"/>
        <v>Weekday</v>
      </c>
    </row>
    <row r="884" spans="1:17" x14ac:dyDescent="0.35">
      <c r="A884" t="s">
        <v>1034</v>
      </c>
      <c r="B884" s="7">
        <v>45539</v>
      </c>
      <c r="C884" s="13">
        <f t="shared" si="105"/>
        <v>2024</v>
      </c>
      <c r="D884" s="7" t="str">
        <f t="shared" si="106"/>
        <v>Sep</v>
      </c>
      <c r="E884" s="7" t="str">
        <f t="shared" si="107"/>
        <v>Wed</v>
      </c>
      <c r="F884" t="s">
        <v>337</v>
      </c>
      <c r="G884" t="s">
        <v>119</v>
      </c>
      <c r="H884" t="s">
        <v>11</v>
      </c>
      <c r="I884" s="2" t="str">
        <f t="shared" si="104"/>
        <v>East</v>
      </c>
      <c r="J884" t="s">
        <v>42</v>
      </c>
      <c r="K884" t="s">
        <v>36</v>
      </c>
      <c r="L884">
        <v>15</v>
      </c>
      <c r="M884">
        <v>120</v>
      </c>
      <c r="N884">
        <f t="shared" si="108"/>
        <v>1800</v>
      </c>
      <c r="O884">
        <f t="shared" si="109"/>
        <v>180</v>
      </c>
      <c r="P884" t="str">
        <f t="shared" si="110"/>
        <v>Large Order</v>
      </c>
      <c r="Q884" t="str">
        <f t="shared" si="111"/>
        <v>Weekday</v>
      </c>
    </row>
    <row r="885" spans="1:17" x14ac:dyDescent="0.35">
      <c r="A885" t="s">
        <v>1035</v>
      </c>
      <c r="B885" s="7">
        <v>45306</v>
      </c>
      <c r="C885" s="13">
        <f t="shared" si="105"/>
        <v>2024</v>
      </c>
      <c r="D885" s="7" t="str">
        <f t="shared" si="106"/>
        <v>Jan</v>
      </c>
      <c r="E885" s="7" t="str">
        <f t="shared" si="107"/>
        <v>Mon</v>
      </c>
      <c r="F885" t="s">
        <v>517</v>
      </c>
      <c r="G885" t="s">
        <v>10</v>
      </c>
      <c r="H885" t="s">
        <v>11</v>
      </c>
      <c r="I885" s="2" t="str">
        <f t="shared" si="104"/>
        <v>East</v>
      </c>
      <c r="J885" t="s">
        <v>42</v>
      </c>
      <c r="K885" t="s">
        <v>28</v>
      </c>
      <c r="L885">
        <v>13</v>
      </c>
      <c r="M885">
        <v>120</v>
      </c>
      <c r="N885">
        <f t="shared" si="108"/>
        <v>1560</v>
      </c>
      <c r="O885">
        <f t="shared" si="109"/>
        <v>156</v>
      </c>
      <c r="P885" t="str">
        <f t="shared" si="110"/>
        <v>Large Order</v>
      </c>
      <c r="Q885" t="str">
        <f t="shared" si="111"/>
        <v>Weekday</v>
      </c>
    </row>
    <row r="886" spans="1:17" x14ac:dyDescent="0.35">
      <c r="A886" t="s">
        <v>1036</v>
      </c>
      <c r="B886" s="7">
        <v>45638</v>
      </c>
      <c r="C886" s="13">
        <f t="shared" si="105"/>
        <v>2024</v>
      </c>
      <c r="D886" s="7" t="str">
        <f t="shared" si="106"/>
        <v>Dec</v>
      </c>
      <c r="E886" s="7" t="str">
        <f t="shared" si="107"/>
        <v>Thu</v>
      </c>
      <c r="F886" t="s">
        <v>424</v>
      </c>
      <c r="G886" t="s">
        <v>87</v>
      </c>
      <c r="H886" t="s">
        <v>11</v>
      </c>
      <c r="I886" s="2" t="str">
        <f t="shared" si="104"/>
        <v>East</v>
      </c>
      <c r="J886" t="s">
        <v>42</v>
      </c>
      <c r="K886" t="s">
        <v>13</v>
      </c>
      <c r="L886">
        <v>12</v>
      </c>
      <c r="M886">
        <v>120</v>
      </c>
      <c r="N886">
        <f t="shared" si="108"/>
        <v>1440</v>
      </c>
      <c r="O886">
        <f t="shared" si="109"/>
        <v>144</v>
      </c>
      <c r="P886" t="str">
        <f t="shared" si="110"/>
        <v>Large Order</v>
      </c>
      <c r="Q886" t="str">
        <f t="shared" si="111"/>
        <v>Weekday</v>
      </c>
    </row>
    <row r="887" spans="1:17" x14ac:dyDescent="0.35">
      <c r="A887" t="s">
        <v>1037</v>
      </c>
      <c r="B887" s="7">
        <v>45650</v>
      </c>
      <c r="C887" s="13">
        <f t="shared" si="105"/>
        <v>2024</v>
      </c>
      <c r="D887" s="7" t="str">
        <f t="shared" si="106"/>
        <v>Dec</v>
      </c>
      <c r="E887" s="7" t="str">
        <f t="shared" si="107"/>
        <v>Tue</v>
      </c>
      <c r="F887" t="s">
        <v>86</v>
      </c>
      <c r="G887" t="s">
        <v>10</v>
      </c>
      <c r="H887" t="s">
        <v>11</v>
      </c>
      <c r="I887" s="2" t="str">
        <f t="shared" si="104"/>
        <v>West</v>
      </c>
      <c r="J887" t="s">
        <v>42</v>
      </c>
      <c r="K887" t="s">
        <v>32</v>
      </c>
      <c r="L887">
        <v>13</v>
      </c>
      <c r="M887">
        <v>120</v>
      </c>
      <c r="N887">
        <f t="shared" si="108"/>
        <v>1560</v>
      </c>
      <c r="O887">
        <f t="shared" si="109"/>
        <v>156</v>
      </c>
      <c r="P887" t="str">
        <f t="shared" si="110"/>
        <v>Large Order</v>
      </c>
      <c r="Q887" t="str">
        <f t="shared" si="111"/>
        <v>Weekday</v>
      </c>
    </row>
    <row r="888" spans="1:17" x14ac:dyDescent="0.35">
      <c r="A888" t="s">
        <v>1038</v>
      </c>
      <c r="B888" s="7">
        <v>45330</v>
      </c>
      <c r="C888" s="13">
        <f t="shared" si="105"/>
        <v>2024</v>
      </c>
      <c r="D888" s="7" t="str">
        <f t="shared" si="106"/>
        <v>Feb</v>
      </c>
      <c r="E888" s="7" t="str">
        <f t="shared" si="107"/>
        <v>Thu</v>
      </c>
      <c r="F888" t="s">
        <v>378</v>
      </c>
      <c r="G888" t="s">
        <v>72</v>
      </c>
      <c r="H888" t="s">
        <v>11</v>
      </c>
      <c r="I888" s="2" t="str">
        <f t="shared" si="104"/>
        <v>South</v>
      </c>
      <c r="J888" t="s">
        <v>27</v>
      </c>
      <c r="K888" t="s">
        <v>36</v>
      </c>
      <c r="L888">
        <v>12</v>
      </c>
      <c r="M888">
        <v>120</v>
      </c>
      <c r="N888">
        <f t="shared" si="108"/>
        <v>1440</v>
      </c>
      <c r="O888">
        <f t="shared" si="109"/>
        <v>144</v>
      </c>
      <c r="P888" t="str">
        <f t="shared" si="110"/>
        <v>Large Order</v>
      </c>
      <c r="Q888" t="str">
        <f t="shared" si="111"/>
        <v>Weekday</v>
      </c>
    </row>
    <row r="889" spans="1:17" x14ac:dyDescent="0.35">
      <c r="A889" t="s">
        <v>1039</v>
      </c>
      <c r="B889" s="7">
        <v>45429</v>
      </c>
      <c r="C889" s="13">
        <f t="shared" si="105"/>
        <v>2024</v>
      </c>
      <c r="D889" s="7" t="str">
        <f t="shared" si="106"/>
        <v>May</v>
      </c>
      <c r="E889" s="7" t="str">
        <f t="shared" si="107"/>
        <v>Fri</v>
      </c>
      <c r="F889" t="s">
        <v>44</v>
      </c>
      <c r="G889" t="s">
        <v>35</v>
      </c>
      <c r="H889" t="s">
        <v>22</v>
      </c>
      <c r="I889" s="2" t="str">
        <f t="shared" si="104"/>
        <v>South</v>
      </c>
      <c r="J889" t="s">
        <v>56</v>
      </c>
      <c r="K889" t="s">
        <v>28</v>
      </c>
      <c r="L889">
        <v>7</v>
      </c>
      <c r="M889">
        <v>120</v>
      </c>
      <c r="N889">
        <f t="shared" si="108"/>
        <v>840</v>
      </c>
      <c r="O889">
        <f t="shared" si="109"/>
        <v>84</v>
      </c>
      <c r="P889" t="str">
        <f t="shared" si="110"/>
        <v>Large Order</v>
      </c>
      <c r="Q889" t="str">
        <f t="shared" si="111"/>
        <v>Weekday</v>
      </c>
    </row>
    <row r="890" spans="1:17" x14ac:dyDescent="0.35">
      <c r="A890" t="s">
        <v>1040</v>
      </c>
      <c r="B890" s="7">
        <v>45427</v>
      </c>
      <c r="C890" s="13">
        <f t="shared" si="105"/>
        <v>2024</v>
      </c>
      <c r="D890" s="7" t="str">
        <f t="shared" si="106"/>
        <v>May</v>
      </c>
      <c r="E890" s="7" t="str">
        <f t="shared" si="107"/>
        <v>Wed</v>
      </c>
      <c r="F890" t="s">
        <v>95</v>
      </c>
      <c r="G890" t="s">
        <v>197</v>
      </c>
      <c r="H890" t="s">
        <v>11</v>
      </c>
      <c r="I890" s="2" t="str">
        <f t="shared" si="104"/>
        <v>West</v>
      </c>
      <c r="J890" t="s">
        <v>56</v>
      </c>
      <c r="K890" t="s">
        <v>13</v>
      </c>
      <c r="L890">
        <v>20</v>
      </c>
      <c r="M890">
        <v>120</v>
      </c>
      <c r="N890">
        <f t="shared" si="108"/>
        <v>2400</v>
      </c>
      <c r="O890">
        <f t="shared" si="109"/>
        <v>240</v>
      </c>
      <c r="P890" t="str">
        <f t="shared" si="110"/>
        <v>Large Order</v>
      </c>
      <c r="Q890" t="str">
        <f t="shared" si="111"/>
        <v>Weekday</v>
      </c>
    </row>
    <row r="891" spans="1:17" x14ac:dyDescent="0.35">
      <c r="A891" t="s">
        <v>1041</v>
      </c>
      <c r="B891" s="7">
        <v>45353</v>
      </c>
      <c r="C891" s="13">
        <f t="shared" si="105"/>
        <v>2024</v>
      </c>
      <c r="D891" s="7" t="str">
        <f t="shared" si="106"/>
        <v>Mar</v>
      </c>
      <c r="E891" s="7" t="str">
        <f t="shared" si="107"/>
        <v>Sat</v>
      </c>
      <c r="F891" t="s">
        <v>81</v>
      </c>
      <c r="G891" t="s">
        <v>109</v>
      </c>
      <c r="H891" t="s">
        <v>22</v>
      </c>
      <c r="I891" s="2" t="str">
        <f t="shared" si="104"/>
        <v>Central</v>
      </c>
      <c r="J891" t="s">
        <v>27</v>
      </c>
      <c r="K891" t="s">
        <v>36</v>
      </c>
      <c r="L891">
        <v>1</v>
      </c>
      <c r="M891">
        <v>120</v>
      </c>
      <c r="N891">
        <f t="shared" si="108"/>
        <v>120</v>
      </c>
      <c r="O891">
        <f t="shared" si="109"/>
        <v>12</v>
      </c>
      <c r="P891" t="str">
        <f t="shared" si="110"/>
        <v>Standard Order</v>
      </c>
      <c r="Q891" t="str">
        <f t="shared" si="111"/>
        <v>Weekend</v>
      </c>
    </row>
    <row r="892" spans="1:17" x14ac:dyDescent="0.35">
      <c r="A892" t="s">
        <v>1042</v>
      </c>
      <c r="B892" s="7">
        <v>45313</v>
      </c>
      <c r="C892" s="13">
        <f t="shared" si="105"/>
        <v>2024</v>
      </c>
      <c r="D892" s="7" t="str">
        <f t="shared" si="106"/>
        <v>Jan</v>
      </c>
      <c r="E892" s="7" t="str">
        <f t="shared" si="107"/>
        <v>Mon</v>
      </c>
      <c r="F892" t="s">
        <v>517</v>
      </c>
      <c r="G892" t="s">
        <v>72</v>
      </c>
      <c r="H892" t="s">
        <v>17</v>
      </c>
      <c r="I892" s="2" t="str">
        <f t="shared" si="104"/>
        <v>Central</v>
      </c>
      <c r="J892" t="s">
        <v>306</v>
      </c>
      <c r="K892" t="s">
        <v>36</v>
      </c>
      <c r="L892">
        <v>16</v>
      </c>
      <c r="M892">
        <v>120</v>
      </c>
      <c r="N892">
        <f t="shared" si="108"/>
        <v>1920</v>
      </c>
      <c r="O892">
        <f t="shared" si="109"/>
        <v>192</v>
      </c>
      <c r="P892" t="str">
        <f t="shared" si="110"/>
        <v>Large Order</v>
      </c>
      <c r="Q892" t="str">
        <f t="shared" si="111"/>
        <v>Weekday</v>
      </c>
    </row>
    <row r="893" spans="1:17" x14ac:dyDescent="0.35">
      <c r="A893" t="s">
        <v>1043</v>
      </c>
      <c r="B893" s="7">
        <v>45432</v>
      </c>
      <c r="C893" s="13">
        <f t="shared" si="105"/>
        <v>2024</v>
      </c>
      <c r="D893" s="7" t="str">
        <f t="shared" si="106"/>
        <v>May</v>
      </c>
      <c r="E893" s="7" t="str">
        <f t="shared" si="107"/>
        <v>Mon</v>
      </c>
      <c r="F893" t="s">
        <v>374</v>
      </c>
      <c r="G893" t="s">
        <v>26</v>
      </c>
      <c r="H893" t="s">
        <v>11</v>
      </c>
      <c r="I893" s="2" t="str">
        <f t="shared" si="104"/>
        <v>West</v>
      </c>
      <c r="J893" t="s">
        <v>306</v>
      </c>
      <c r="K893" t="s">
        <v>36</v>
      </c>
      <c r="L893">
        <v>13</v>
      </c>
      <c r="M893">
        <v>120</v>
      </c>
      <c r="N893">
        <f t="shared" si="108"/>
        <v>1560</v>
      </c>
      <c r="O893">
        <f t="shared" si="109"/>
        <v>156</v>
      </c>
      <c r="P893" t="str">
        <f t="shared" si="110"/>
        <v>Large Order</v>
      </c>
      <c r="Q893" t="str">
        <f t="shared" si="111"/>
        <v>Weekday</v>
      </c>
    </row>
    <row r="894" spans="1:17" x14ac:dyDescent="0.35">
      <c r="A894" t="s">
        <v>1044</v>
      </c>
      <c r="B894" s="7">
        <v>45357</v>
      </c>
      <c r="C894" s="13">
        <f t="shared" si="105"/>
        <v>2024</v>
      </c>
      <c r="D894" s="7" t="str">
        <f t="shared" si="106"/>
        <v>Mar</v>
      </c>
      <c r="E894" s="7" t="str">
        <f t="shared" si="107"/>
        <v>Wed</v>
      </c>
      <c r="F894" t="s">
        <v>9</v>
      </c>
      <c r="G894" t="s">
        <v>35</v>
      </c>
      <c r="H894" t="s">
        <v>22</v>
      </c>
      <c r="I894" s="2" t="str">
        <f t="shared" si="104"/>
        <v>West</v>
      </c>
      <c r="J894" t="s">
        <v>27</v>
      </c>
      <c r="K894" t="s">
        <v>32</v>
      </c>
      <c r="L894">
        <v>18</v>
      </c>
      <c r="M894">
        <v>120</v>
      </c>
      <c r="N894">
        <f t="shared" si="108"/>
        <v>2160</v>
      </c>
      <c r="O894">
        <f t="shared" si="109"/>
        <v>216</v>
      </c>
      <c r="P894" t="str">
        <f t="shared" si="110"/>
        <v>Large Order</v>
      </c>
      <c r="Q894" t="str">
        <f t="shared" si="111"/>
        <v>Weekday</v>
      </c>
    </row>
    <row r="895" spans="1:17" x14ac:dyDescent="0.35">
      <c r="A895" t="s">
        <v>1045</v>
      </c>
      <c r="B895" s="7">
        <v>45493</v>
      </c>
      <c r="C895" s="13">
        <f t="shared" si="105"/>
        <v>2024</v>
      </c>
      <c r="D895" s="7" t="str">
        <f t="shared" si="106"/>
        <v>Jul</v>
      </c>
      <c r="E895" s="7" t="str">
        <f t="shared" si="107"/>
        <v>Sat</v>
      </c>
      <c r="F895" t="s">
        <v>455</v>
      </c>
      <c r="G895" t="s">
        <v>102</v>
      </c>
      <c r="H895" t="s">
        <v>11</v>
      </c>
      <c r="I895" s="2" t="str">
        <f t="shared" si="104"/>
        <v>West</v>
      </c>
      <c r="J895" t="s">
        <v>27</v>
      </c>
      <c r="K895" t="s">
        <v>13</v>
      </c>
      <c r="L895">
        <v>17</v>
      </c>
      <c r="M895">
        <v>120</v>
      </c>
      <c r="N895">
        <f t="shared" si="108"/>
        <v>2040</v>
      </c>
      <c r="O895">
        <f t="shared" si="109"/>
        <v>204</v>
      </c>
      <c r="P895" t="str">
        <f t="shared" si="110"/>
        <v>Large Order</v>
      </c>
      <c r="Q895" t="str">
        <f t="shared" si="111"/>
        <v>Weekend</v>
      </c>
    </row>
    <row r="896" spans="1:17" x14ac:dyDescent="0.35">
      <c r="A896" t="s">
        <v>1046</v>
      </c>
      <c r="B896" s="7">
        <v>45298</v>
      </c>
      <c r="C896" s="13">
        <f t="shared" si="105"/>
        <v>2024</v>
      </c>
      <c r="D896" s="7" t="str">
        <f t="shared" si="106"/>
        <v>Jan</v>
      </c>
      <c r="E896" s="7" t="str">
        <f t="shared" si="107"/>
        <v>Sun</v>
      </c>
      <c r="F896" t="s">
        <v>422</v>
      </c>
      <c r="G896" t="s">
        <v>59</v>
      </c>
      <c r="H896" t="s">
        <v>11</v>
      </c>
      <c r="I896" s="2" t="str">
        <f t="shared" si="104"/>
        <v>East</v>
      </c>
      <c r="J896" t="s">
        <v>27</v>
      </c>
      <c r="K896" t="s">
        <v>36</v>
      </c>
      <c r="L896">
        <v>4</v>
      </c>
      <c r="M896">
        <v>120</v>
      </c>
      <c r="N896">
        <f t="shared" si="108"/>
        <v>480</v>
      </c>
      <c r="O896">
        <f t="shared" si="109"/>
        <v>48</v>
      </c>
      <c r="P896" t="str">
        <f t="shared" si="110"/>
        <v>Standard Order</v>
      </c>
      <c r="Q896" t="str">
        <f t="shared" si="111"/>
        <v>Weekend</v>
      </c>
    </row>
    <row r="897" spans="1:17" x14ac:dyDescent="0.35">
      <c r="A897" t="s">
        <v>1047</v>
      </c>
      <c r="B897" s="7">
        <v>45424</v>
      </c>
      <c r="C897" s="13">
        <f t="shared" si="105"/>
        <v>2024</v>
      </c>
      <c r="D897" s="7" t="str">
        <f t="shared" si="106"/>
        <v>May</v>
      </c>
      <c r="E897" s="7" t="str">
        <f t="shared" si="107"/>
        <v>Sun</v>
      </c>
      <c r="F897" t="s">
        <v>44</v>
      </c>
      <c r="G897" t="s">
        <v>197</v>
      </c>
      <c r="H897" t="s">
        <v>22</v>
      </c>
      <c r="I897" s="2" t="str">
        <f t="shared" si="104"/>
        <v>West</v>
      </c>
      <c r="J897" t="s">
        <v>42</v>
      </c>
      <c r="K897" t="s">
        <v>36</v>
      </c>
      <c r="L897">
        <v>9</v>
      </c>
      <c r="M897">
        <v>120</v>
      </c>
      <c r="N897">
        <f t="shared" si="108"/>
        <v>1080</v>
      </c>
      <c r="O897">
        <f t="shared" si="109"/>
        <v>108</v>
      </c>
      <c r="P897" t="str">
        <f t="shared" si="110"/>
        <v>Large Order</v>
      </c>
      <c r="Q897" t="str">
        <f t="shared" si="111"/>
        <v>Weekend</v>
      </c>
    </row>
    <row r="898" spans="1:17" x14ac:dyDescent="0.35">
      <c r="A898" t="s">
        <v>1048</v>
      </c>
      <c r="B898" s="7">
        <v>45467</v>
      </c>
      <c r="C898" s="13">
        <f t="shared" si="105"/>
        <v>2024</v>
      </c>
      <c r="D898" s="7" t="str">
        <f t="shared" si="106"/>
        <v>Jun</v>
      </c>
      <c r="E898" s="7" t="str">
        <f t="shared" si="107"/>
        <v>Mon</v>
      </c>
      <c r="F898" t="s">
        <v>83</v>
      </c>
      <c r="G898" t="s">
        <v>87</v>
      </c>
      <c r="H898" t="s">
        <v>11</v>
      </c>
      <c r="I898" s="2" t="str">
        <f t="shared" si="104"/>
        <v>West</v>
      </c>
      <c r="J898" t="s">
        <v>27</v>
      </c>
      <c r="K898" t="s">
        <v>32</v>
      </c>
      <c r="L898">
        <v>7</v>
      </c>
      <c r="M898">
        <v>120</v>
      </c>
      <c r="N898">
        <f t="shared" si="108"/>
        <v>840</v>
      </c>
      <c r="O898">
        <f t="shared" si="109"/>
        <v>84</v>
      </c>
      <c r="P898" t="str">
        <f t="shared" si="110"/>
        <v>Large Order</v>
      </c>
      <c r="Q898" t="str">
        <f t="shared" si="111"/>
        <v>Weekday</v>
      </c>
    </row>
    <row r="899" spans="1:17" x14ac:dyDescent="0.35">
      <c r="A899" t="s">
        <v>1049</v>
      </c>
      <c r="B899" s="7">
        <v>45478</v>
      </c>
      <c r="C899" s="13">
        <f t="shared" si="105"/>
        <v>2024</v>
      </c>
      <c r="D899" s="7" t="str">
        <f t="shared" si="106"/>
        <v>Jul</v>
      </c>
      <c r="E899" s="7" t="str">
        <f t="shared" si="107"/>
        <v>Fri</v>
      </c>
      <c r="F899" t="s">
        <v>341</v>
      </c>
      <c r="G899" t="s">
        <v>45</v>
      </c>
      <c r="H899" t="s">
        <v>17</v>
      </c>
      <c r="I899" s="2" t="str">
        <f t="shared" ref="I899:I962" si="112">TRIM(J900)</f>
        <v>East</v>
      </c>
      <c r="J899" t="s">
        <v>27</v>
      </c>
      <c r="K899" t="s">
        <v>36</v>
      </c>
      <c r="L899">
        <v>19</v>
      </c>
      <c r="M899">
        <v>120</v>
      </c>
      <c r="N899">
        <f t="shared" si="108"/>
        <v>2280</v>
      </c>
      <c r="O899">
        <f t="shared" si="109"/>
        <v>228</v>
      </c>
      <c r="P899" t="str">
        <f t="shared" si="110"/>
        <v>Large Order</v>
      </c>
      <c r="Q899" t="str">
        <f t="shared" si="111"/>
        <v>Weekday</v>
      </c>
    </row>
    <row r="900" spans="1:17" x14ac:dyDescent="0.35">
      <c r="A900" t="s">
        <v>1050</v>
      </c>
      <c r="B900" s="7">
        <v>45643</v>
      </c>
      <c r="C900" s="13">
        <f t="shared" ref="C900:C963" si="113">YEAR(B900)</f>
        <v>2024</v>
      </c>
      <c r="D900" s="7" t="str">
        <f t="shared" ref="D900:D963" si="114">TEXT(B900,"mmm")</f>
        <v>Dec</v>
      </c>
      <c r="E900" s="7" t="str">
        <f t="shared" ref="E900:E963" si="115">TEXT(B900,"ddd")</f>
        <v>Tue</v>
      </c>
      <c r="F900" t="s">
        <v>51</v>
      </c>
      <c r="G900" t="s">
        <v>197</v>
      </c>
      <c r="H900" t="s">
        <v>11</v>
      </c>
      <c r="I900" s="2" t="str">
        <f t="shared" si="112"/>
        <v>South</v>
      </c>
      <c r="J900" t="s">
        <v>42</v>
      </c>
      <c r="K900" t="s">
        <v>23</v>
      </c>
      <c r="L900">
        <v>18</v>
      </c>
      <c r="M900">
        <v>120</v>
      </c>
      <c r="N900">
        <f t="shared" ref="N900:N963" si="116">M900*L900</f>
        <v>2160</v>
      </c>
      <c r="O900">
        <f t="shared" ref="O900:O963" si="117">N900*0.1</f>
        <v>216</v>
      </c>
      <c r="P900" t="str">
        <f t="shared" ref="P900:P963" si="118">IF(N900&gt;500,"Large Order","Standard Order")</f>
        <v>Large Order</v>
      </c>
      <c r="Q900" t="str">
        <f t="shared" ref="Q900:Q963" si="119">IF(OR(TRIM(E900)="Sat",TRIM(E900)="Sun"),"Weekend","Weekday")</f>
        <v>Weekday</v>
      </c>
    </row>
    <row r="901" spans="1:17" x14ac:dyDescent="0.35">
      <c r="A901" t="s">
        <v>1051</v>
      </c>
      <c r="B901" s="7">
        <v>45392</v>
      </c>
      <c r="C901" s="13">
        <f t="shared" si="113"/>
        <v>2024</v>
      </c>
      <c r="D901" s="7" t="str">
        <f t="shared" si="114"/>
        <v>Apr</v>
      </c>
      <c r="E901" s="7" t="str">
        <f t="shared" si="115"/>
        <v>Wed</v>
      </c>
      <c r="F901" t="s">
        <v>167</v>
      </c>
      <c r="G901" t="s">
        <v>35</v>
      </c>
      <c r="H901" t="s">
        <v>22</v>
      </c>
      <c r="I901" s="2" t="str">
        <f t="shared" si="112"/>
        <v>Central</v>
      </c>
      <c r="J901" t="s">
        <v>56</v>
      </c>
      <c r="K901" t="s">
        <v>23</v>
      </c>
      <c r="L901">
        <v>1</v>
      </c>
      <c r="M901">
        <v>120</v>
      </c>
      <c r="N901">
        <f t="shared" si="116"/>
        <v>120</v>
      </c>
      <c r="O901">
        <f t="shared" si="117"/>
        <v>12</v>
      </c>
      <c r="P901" t="str">
        <f t="shared" si="118"/>
        <v>Standard Order</v>
      </c>
      <c r="Q901" t="str">
        <f t="shared" si="119"/>
        <v>Weekday</v>
      </c>
    </row>
    <row r="902" spans="1:17" x14ac:dyDescent="0.35">
      <c r="A902" t="s">
        <v>1052</v>
      </c>
      <c r="B902" s="7">
        <v>45360</v>
      </c>
      <c r="C902" s="13">
        <f t="shared" si="113"/>
        <v>2024</v>
      </c>
      <c r="D902" s="7" t="str">
        <f t="shared" si="114"/>
        <v>Mar</v>
      </c>
      <c r="E902" s="7" t="str">
        <f t="shared" si="115"/>
        <v>Sat</v>
      </c>
      <c r="F902" t="s">
        <v>451</v>
      </c>
      <c r="G902" t="s">
        <v>84</v>
      </c>
      <c r="H902" t="s">
        <v>22</v>
      </c>
      <c r="I902" s="2" t="str">
        <f t="shared" si="112"/>
        <v>North</v>
      </c>
      <c r="J902" t="s">
        <v>306</v>
      </c>
      <c r="K902" t="s">
        <v>32</v>
      </c>
      <c r="L902">
        <v>11</v>
      </c>
      <c r="M902">
        <v>120</v>
      </c>
      <c r="N902">
        <f t="shared" si="116"/>
        <v>1320</v>
      </c>
      <c r="O902">
        <f t="shared" si="117"/>
        <v>132</v>
      </c>
      <c r="P902" t="str">
        <f t="shared" si="118"/>
        <v>Large Order</v>
      </c>
      <c r="Q902" t="str">
        <f t="shared" si="119"/>
        <v>Weekend</v>
      </c>
    </row>
    <row r="903" spans="1:17" x14ac:dyDescent="0.35">
      <c r="A903" t="s">
        <v>1053</v>
      </c>
      <c r="B903" s="7">
        <v>45420</v>
      </c>
      <c r="C903" s="13">
        <f t="shared" si="113"/>
        <v>2024</v>
      </c>
      <c r="D903" s="7" t="str">
        <f t="shared" si="114"/>
        <v>May</v>
      </c>
      <c r="E903" s="7" t="str">
        <f t="shared" si="115"/>
        <v>Wed</v>
      </c>
      <c r="F903" t="s">
        <v>642</v>
      </c>
      <c r="G903" t="s">
        <v>31</v>
      </c>
      <c r="H903" t="s">
        <v>22</v>
      </c>
      <c r="I903" s="2" t="str">
        <f t="shared" si="112"/>
        <v>North</v>
      </c>
      <c r="J903" t="s">
        <v>12</v>
      </c>
      <c r="K903" t="s">
        <v>13</v>
      </c>
      <c r="L903">
        <v>4</v>
      </c>
      <c r="M903">
        <v>120</v>
      </c>
      <c r="N903">
        <f t="shared" si="116"/>
        <v>480</v>
      </c>
      <c r="O903">
        <f t="shared" si="117"/>
        <v>48</v>
      </c>
      <c r="P903" t="str">
        <f t="shared" si="118"/>
        <v>Standard Order</v>
      </c>
      <c r="Q903" t="str">
        <f t="shared" si="119"/>
        <v>Weekday</v>
      </c>
    </row>
    <row r="904" spans="1:17" x14ac:dyDescent="0.35">
      <c r="A904" t="s">
        <v>1054</v>
      </c>
      <c r="B904" s="7">
        <v>45402</v>
      </c>
      <c r="C904" s="13">
        <f t="shared" si="113"/>
        <v>2024</v>
      </c>
      <c r="D904" s="7" t="str">
        <f t="shared" si="114"/>
        <v>Apr</v>
      </c>
      <c r="E904" s="7" t="str">
        <f t="shared" si="115"/>
        <v>Sat</v>
      </c>
      <c r="F904" t="s">
        <v>230</v>
      </c>
      <c r="G904" t="s">
        <v>70</v>
      </c>
      <c r="H904" t="s">
        <v>17</v>
      </c>
      <c r="I904" s="2" t="str">
        <f t="shared" si="112"/>
        <v>East</v>
      </c>
      <c r="J904" t="s">
        <v>12</v>
      </c>
      <c r="K904" t="s">
        <v>32</v>
      </c>
      <c r="L904">
        <v>11</v>
      </c>
      <c r="M904">
        <v>120</v>
      </c>
      <c r="N904">
        <f t="shared" si="116"/>
        <v>1320</v>
      </c>
      <c r="O904">
        <f t="shared" si="117"/>
        <v>132</v>
      </c>
      <c r="P904" t="str">
        <f t="shared" si="118"/>
        <v>Large Order</v>
      </c>
      <c r="Q904" t="str">
        <f t="shared" si="119"/>
        <v>Weekend</v>
      </c>
    </row>
    <row r="905" spans="1:17" x14ac:dyDescent="0.35">
      <c r="A905" t="s">
        <v>1055</v>
      </c>
      <c r="B905" s="7">
        <v>45578</v>
      </c>
      <c r="C905" s="13">
        <f t="shared" si="113"/>
        <v>2024</v>
      </c>
      <c r="D905" s="7" t="str">
        <f t="shared" si="114"/>
        <v>Oct</v>
      </c>
      <c r="E905" s="7" t="str">
        <f t="shared" si="115"/>
        <v>Sun</v>
      </c>
      <c r="F905" t="s">
        <v>642</v>
      </c>
      <c r="G905" t="s">
        <v>96</v>
      </c>
      <c r="H905" t="s">
        <v>17</v>
      </c>
      <c r="I905" s="2" t="str">
        <f t="shared" si="112"/>
        <v>Central</v>
      </c>
      <c r="J905" t="s">
        <v>42</v>
      </c>
      <c r="K905" t="s">
        <v>36</v>
      </c>
      <c r="L905">
        <v>14</v>
      </c>
      <c r="M905">
        <v>120</v>
      </c>
      <c r="N905">
        <f t="shared" si="116"/>
        <v>1680</v>
      </c>
      <c r="O905">
        <f t="shared" si="117"/>
        <v>168</v>
      </c>
      <c r="P905" t="str">
        <f t="shared" si="118"/>
        <v>Large Order</v>
      </c>
      <c r="Q905" t="str">
        <f t="shared" si="119"/>
        <v>Weekend</v>
      </c>
    </row>
    <row r="906" spans="1:17" x14ac:dyDescent="0.35">
      <c r="A906" t="s">
        <v>1056</v>
      </c>
      <c r="B906" s="7">
        <v>45393</v>
      </c>
      <c r="C906" s="13">
        <f t="shared" si="113"/>
        <v>2024</v>
      </c>
      <c r="D906" s="7" t="str">
        <f t="shared" si="114"/>
        <v>Apr</v>
      </c>
      <c r="E906" s="7" t="str">
        <f t="shared" si="115"/>
        <v>Thu</v>
      </c>
      <c r="F906" t="s">
        <v>314</v>
      </c>
      <c r="G906" t="s">
        <v>45</v>
      </c>
      <c r="H906" t="s">
        <v>22</v>
      </c>
      <c r="I906" s="2" t="str">
        <f t="shared" si="112"/>
        <v>West</v>
      </c>
      <c r="J906" t="s">
        <v>306</v>
      </c>
      <c r="K906" t="s">
        <v>36</v>
      </c>
      <c r="L906">
        <v>10</v>
      </c>
      <c r="M906">
        <v>120</v>
      </c>
      <c r="N906">
        <f t="shared" si="116"/>
        <v>1200</v>
      </c>
      <c r="O906">
        <f t="shared" si="117"/>
        <v>120</v>
      </c>
      <c r="P906" t="str">
        <f t="shared" si="118"/>
        <v>Large Order</v>
      </c>
      <c r="Q906" t="str">
        <f t="shared" si="119"/>
        <v>Weekday</v>
      </c>
    </row>
    <row r="907" spans="1:17" x14ac:dyDescent="0.35">
      <c r="A907" t="s">
        <v>1057</v>
      </c>
      <c r="B907" s="7">
        <v>45541</v>
      </c>
      <c r="C907" s="13">
        <f t="shared" si="113"/>
        <v>2024</v>
      </c>
      <c r="D907" s="7" t="str">
        <f t="shared" si="114"/>
        <v>Sep</v>
      </c>
      <c r="E907" s="7" t="str">
        <f t="shared" si="115"/>
        <v>Fri</v>
      </c>
      <c r="F907" t="s">
        <v>420</v>
      </c>
      <c r="G907" t="s">
        <v>10</v>
      </c>
      <c r="H907" t="s">
        <v>22</v>
      </c>
      <c r="I907" s="2" t="str">
        <f t="shared" si="112"/>
        <v>East</v>
      </c>
      <c r="J907" t="s">
        <v>27</v>
      </c>
      <c r="K907" t="s">
        <v>23</v>
      </c>
      <c r="L907">
        <v>13</v>
      </c>
      <c r="M907">
        <v>120</v>
      </c>
      <c r="N907">
        <f t="shared" si="116"/>
        <v>1560</v>
      </c>
      <c r="O907">
        <f t="shared" si="117"/>
        <v>156</v>
      </c>
      <c r="P907" t="str">
        <f t="shared" si="118"/>
        <v>Large Order</v>
      </c>
      <c r="Q907" t="str">
        <f t="shared" si="119"/>
        <v>Weekday</v>
      </c>
    </row>
    <row r="908" spans="1:17" x14ac:dyDescent="0.35">
      <c r="A908" t="s">
        <v>1058</v>
      </c>
      <c r="B908" s="7">
        <v>45615</v>
      </c>
      <c r="C908" s="13">
        <f t="shared" si="113"/>
        <v>2024</v>
      </c>
      <c r="D908" s="7" t="str">
        <f t="shared" si="114"/>
        <v>Nov</v>
      </c>
      <c r="E908" s="7" t="str">
        <f t="shared" si="115"/>
        <v>Tue</v>
      </c>
      <c r="F908" t="s">
        <v>167</v>
      </c>
      <c r="G908" t="s">
        <v>87</v>
      </c>
      <c r="H908" t="s">
        <v>11</v>
      </c>
      <c r="I908" s="2" t="str">
        <f t="shared" si="112"/>
        <v>South</v>
      </c>
      <c r="J908" t="s">
        <v>42</v>
      </c>
      <c r="K908" t="s">
        <v>13</v>
      </c>
      <c r="L908">
        <v>20</v>
      </c>
      <c r="M908">
        <v>120</v>
      </c>
      <c r="N908">
        <f t="shared" si="116"/>
        <v>2400</v>
      </c>
      <c r="O908">
        <f t="shared" si="117"/>
        <v>240</v>
      </c>
      <c r="P908" t="str">
        <f t="shared" si="118"/>
        <v>Large Order</v>
      </c>
      <c r="Q908" t="str">
        <f t="shared" si="119"/>
        <v>Weekday</v>
      </c>
    </row>
    <row r="909" spans="1:17" x14ac:dyDescent="0.35">
      <c r="A909" t="s">
        <v>1059</v>
      </c>
      <c r="B909" s="7">
        <v>45332</v>
      </c>
      <c r="C909" s="13">
        <f t="shared" si="113"/>
        <v>2024</v>
      </c>
      <c r="D909" s="7" t="str">
        <f t="shared" si="114"/>
        <v>Feb</v>
      </c>
      <c r="E909" s="7" t="str">
        <f t="shared" si="115"/>
        <v>Sat</v>
      </c>
      <c r="F909" t="s">
        <v>111</v>
      </c>
      <c r="G909" t="s">
        <v>72</v>
      </c>
      <c r="H909" t="s">
        <v>17</v>
      </c>
      <c r="I909" s="2" t="str">
        <f t="shared" si="112"/>
        <v>East</v>
      </c>
      <c r="J909" t="s">
        <v>56</v>
      </c>
      <c r="K909" t="s">
        <v>32</v>
      </c>
      <c r="L909">
        <v>11</v>
      </c>
      <c r="M909">
        <v>120</v>
      </c>
      <c r="N909">
        <f t="shared" si="116"/>
        <v>1320</v>
      </c>
      <c r="O909">
        <f t="shared" si="117"/>
        <v>132</v>
      </c>
      <c r="P909" t="str">
        <f t="shared" si="118"/>
        <v>Large Order</v>
      </c>
      <c r="Q909" t="str">
        <f t="shared" si="119"/>
        <v>Weekend</v>
      </c>
    </row>
    <row r="910" spans="1:17" x14ac:dyDescent="0.35">
      <c r="A910" t="s">
        <v>1060</v>
      </c>
      <c r="B910" s="7">
        <v>45601</v>
      </c>
      <c r="C910" s="13">
        <f t="shared" si="113"/>
        <v>2024</v>
      </c>
      <c r="D910" s="7" t="str">
        <f t="shared" si="114"/>
        <v>Nov</v>
      </c>
      <c r="E910" s="7" t="str">
        <f t="shared" si="115"/>
        <v>Tue</v>
      </c>
      <c r="F910" t="s">
        <v>736</v>
      </c>
      <c r="G910" t="s">
        <v>70</v>
      </c>
      <c r="H910" t="s">
        <v>17</v>
      </c>
      <c r="I910" s="2" t="str">
        <f t="shared" si="112"/>
        <v>South</v>
      </c>
      <c r="J910" t="s">
        <v>42</v>
      </c>
      <c r="K910" t="s">
        <v>36</v>
      </c>
      <c r="L910">
        <v>12</v>
      </c>
      <c r="M910">
        <v>120</v>
      </c>
      <c r="N910">
        <f t="shared" si="116"/>
        <v>1440</v>
      </c>
      <c r="O910">
        <f t="shared" si="117"/>
        <v>144</v>
      </c>
      <c r="P910" t="str">
        <f t="shared" si="118"/>
        <v>Large Order</v>
      </c>
      <c r="Q910" t="str">
        <f t="shared" si="119"/>
        <v>Weekday</v>
      </c>
    </row>
    <row r="911" spans="1:17" x14ac:dyDescent="0.35">
      <c r="A911" t="s">
        <v>1061</v>
      </c>
      <c r="B911" s="7">
        <v>45522</v>
      </c>
      <c r="C911" s="13">
        <f t="shared" si="113"/>
        <v>2024</v>
      </c>
      <c r="D911" s="7" t="str">
        <f t="shared" si="114"/>
        <v>Aug</v>
      </c>
      <c r="E911" s="7" t="str">
        <f t="shared" si="115"/>
        <v>Sun</v>
      </c>
      <c r="F911" t="s">
        <v>408</v>
      </c>
      <c r="G911" t="s">
        <v>96</v>
      </c>
      <c r="H911" t="s">
        <v>11</v>
      </c>
      <c r="I911" s="2" t="str">
        <f t="shared" si="112"/>
        <v>South</v>
      </c>
      <c r="J911" t="s">
        <v>56</v>
      </c>
      <c r="K911" t="s">
        <v>32</v>
      </c>
      <c r="L911">
        <v>5</v>
      </c>
      <c r="M911">
        <v>120</v>
      </c>
      <c r="N911">
        <f t="shared" si="116"/>
        <v>600</v>
      </c>
      <c r="O911">
        <f t="shared" si="117"/>
        <v>60</v>
      </c>
      <c r="P911" t="str">
        <f t="shared" si="118"/>
        <v>Large Order</v>
      </c>
      <c r="Q911" t="str">
        <f t="shared" si="119"/>
        <v>Weekend</v>
      </c>
    </row>
    <row r="912" spans="1:17" x14ac:dyDescent="0.35">
      <c r="A912" t="s">
        <v>1062</v>
      </c>
      <c r="B912" s="7">
        <v>45650</v>
      </c>
      <c r="C912" s="13">
        <f t="shared" si="113"/>
        <v>2024</v>
      </c>
      <c r="D912" s="7" t="str">
        <f t="shared" si="114"/>
        <v>Dec</v>
      </c>
      <c r="E912" s="7" t="str">
        <f t="shared" si="115"/>
        <v>Tue</v>
      </c>
      <c r="F912" t="s">
        <v>323</v>
      </c>
      <c r="G912" t="s">
        <v>45</v>
      </c>
      <c r="H912" t="s">
        <v>11</v>
      </c>
      <c r="I912" s="2" t="str">
        <f t="shared" si="112"/>
        <v>North</v>
      </c>
      <c r="J912" t="s">
        <v>56</v>
      </c>
      <c r="K912" t="s">
        <v>13</v>
      </c>
      <c r="L912">
        <v>13</v>
      </c>
      <c r="M912">
        <v>120</v>
      </c>
      <c r="N912">
        <f t="shared" si="116"/>
        <v>1560</v>
      </c>
      <c r="O912">
        <f t="shared" si="117"/>
        <v>156</v>
      </c>
      <c r="P912" t="str">
        <f t="shared" si="118"/>
        <v>Large Order</v>
      </c>
      <c r="Q912" t="str">
        <f t="shared" si="119"/>
        <v>Weekday</v>
      </c>
    </row>
    <row r="913" spans="1:17" x14ac:dyDescent="0.35">
      <c r="A913" t="s">
        <v>1063</v>
      </c>
      <c r="B913" s="7">
        <v>45534</v>
      </c>
      <c r="C913" s="13">
        <f t="shared" si="113"/>
        <v>2024</v>
      </c>
      <c r="D913" s="7" t="str">
        <f t="shared" si="114"/>
        <v>Aug</v>
      </c>
      <c r="E913" s="7" t="str">
        <f t="shared" si="115"/>
        <v>Fri</v>
      </c>
      <c r="F913" t="s">
        <v>378</v>
      </c>
      <c r="G913" t="s">
        <v>119</v>
      </c>
      <c r="H913" t="s">
        <v>11</v>
      </c>
      <c r="I913" s="2" t="str">
        <f t="shared" si="112"/>
        <v>South</v>
      </c>
      <c r="J913" t="s">
        <v>12</v>
      </c>
      <c r="K913" t="s">
        <v>13</v>
      </c>
      <c r="L913">
        <v>13</v>
      </c>
      <c r="M913">
        <v>120</v>
      </c>
      <c r="N913">
        <f t="shared" si="116"/>
        <v>1560</v>
      </c>
      <c r="O913">
        <f t="shared" si="117"/>
        <v>156</v>
      </c>
      <c r="P913" t="str">
        <f t="shared" si="118"/>
        <v>Large Order</v>
      </c>
      <c r="Q913" t="str">
        <f t="shared" si="119"/>
        <v>Weekday</v>
      </c>
    </row>
    <row r="914" spans="1:17" x14ac:dyDescent="0.35">
      <c r="A914" t="s">
        <v>1064</v>
      </c>
      <c r="B914" s="7">
        <v>45345</v>
      </c>
      <c r="C914" s="13">
        <f t="shared" si="113"/>
        <v>2024</v>
      </c>
      <c r="D914" s="7" t="str">
        <f t="shared" si="114"/>
        <v>Feb</v>
      </c>
      <c r="E914" s="7" t="str">
        <f t="shared" si="115"/>
        <v>Fri</v>
      </c>
      <c r="F914" t="s">
        <v>86</v>
      </c>
      <c r="G914" t="s">
        <v>10</v>
      </c>
      <c r="H914" t="s">
        <v>22</v>
      </c>
      <c r="I914" s="2" t="str">
        <f t="shared" si="112"/>
        <v>South</v>
      </c>
      <c r="J914" t="s">
        <v>56</v>
      </c>
      <c r="K914" t="s">
        <v>28</v>
      </c>
      <c r="L914">
        <v>13</v>
      </c>
      <c r="M914">
        <v>120</v>
      </c>
      <c r="N914">
        <f t="shared" si="116"/>
        <v>1560</v>
      </c>
      <c r="O914">
        <f t="shared" si="117"/>
        <v>156</v>
      </c>
      <c r="P914" t="str">
        <f t="shared" si="118"/>
        <v>Large Order</v>
      </c>
      <c r="Q914" t="str">
        <f t="shared" si="119"/>
        <v>Weekday</v>
      </c>
    </row>
    <row r="915" spans="1:17" x14ac:dyDescent="0.35">
      <c r="A915" t="s">
        <v>1065</v>
      </c>
      <c r="B915" s="7">
        <v>45437</v>
      </c>
      <c r="C915" s="13">
        <f t="shared" si="113"/>
        <v>2024</v>
      </c>
      <c r="D915" s="7" t="str">
        <f t="shared" si="114"/>
        <v>May</v>
      </c>
      <c r="E915" s="7" t="str">
        <f t="shared" si="115"/>
        <v>Sat</v>
      </c>
      <c r="F915" t="s">
        <v>396</v>
      </c>
      <c r="G915" t="s">
        <v>16</v>
      </c>
      <c r="H915" t="s">
        <v>22</v>
      </c>
      <c r="I915" s="2" t="str">
        <f t="shared" si="112"/>
        <v>East</v>
      </c>
      <c r="J915" t="s">
        <v>56</v>
      </c>
      <c r="K915" t="s">
        <v>13</v>
      </c>
      <c r="L915">
        <v>17</v>
      </c>
      <c r="M915">
        <v>120</v>
      </c>
      <c r="N915">
        <f t="shared" si="116"/>
        <v>2040</v>
      </c>
      <c r="O915">
        <f t="shared" si="117"/>
        <v>204</v>
      </c>
      <c r="P915" t="str">
        <f t="shared" si="118"/>
        <v>Large Order</v>
      </c>
      <c r="Q915" t="str">
        <f t="shared" si="119"/>
        <v>Weekend</v>
      </c>
    </row>
    <row r="916" spans="1:17" x14ac:dyDescent="0.35">
      <c r="A916" t="s">
        <v>1066</v>
      </c>
      <c r="B916" s="7">
        <v>45309</v>
      </c>
      <c r="C916" s="13">
        <f t="shared" si="113"/>
        <v>2024</v>
      </c>
      <c r="D916" s="7" t="str">
        <f t="shared" si="114"/>
        <v>Jan</v>
      </c>
      <c r="E916" s="7" t="str">
        <f t="shared" si="115"/>
        <v>Thu</v>
      </c>
      <c r="F916" t="s">
        <v>371</v>
      </c>
      <c r="G916" t="s">
        <v>35</v>
      </c>
      <c r="H916" t="s">
        <v>17</v>
      </c>
      <c r="I916" s="2" t="str">
        <f t="shared" si="112"/>
        <v>South</v>
      </c>
      <c r="J916" t="s">
        <v>42</v>
      </c>
      <c r="K916" t="s">
        <v>36</v>
      </c>
      <c r="L916">
        <v>15</v>
      </c>
      <c r="M916">
        <v>120</v>
      </c>
      <c r="N916">
        <f t="shared" si="116"/>
        <v>1800</v>
      </c>
      <c r="O916">
        <f t="shared" si="117"/>
        <v>180</v>
      </c>
      <c r="P916" t="str">
        <f t="shared" si="118"/>
        <v>Large Order</v>
      </c>
      <c r="Q916" t="str">
        <f t="shared" si="119"/>
        <v>Weekday</v>
      </c>
    </row>
    <row r="917" spans="1:17" x14ac:dyDescent="0.35">
      <c r="A917" t="s">
        <v>1067</v>
      </c>
      <c r="B917" s="7">
        <v>45431</v>
      </c>
      <c r="C917" s="13">
        <f t="shared" si="113"/>
        <v>2024</v>
      </c>
      <c r="D917" s="7" t="str">
        <f t="shared" si="114"/>
        <v>May</v>
      </c>
      <c r="E917" s="7" t="str">
        <f t="shared" si="115"/>
        <v>Sun</v>
      </c>
      <c r="F917" t="s">
        <v>378</v>
      </c>
      <c r="G917" t="s">
        <v>62</v>
      </c>
      <c r="H917" t="s">
        <v>17</v>
      </c>
      <c r="I917" s="2" t="str">
        <f t="shared" si="112"/>
        <v>Central</v>
      </c>
      <c r="J917" t="s">
        <v>56</v>
      </c>
      <c r="K917" t="s">
        <v>36</v>
      </c>
      <c r="L917">
        <v>18</v>
      </c>
      <c r="M917">
        <v>120</v>
      </c>
      <c r="N917">
        <f t="shared" si="116"/>
        <v>2160</v>
      </c>
      <c r="O917">
        <f t="shared" si="117"/>
        <v>216</v>
      </c>
      <c r="P917" t="str">
        <f t="shared" si="118"/>
        <v>Large Order</v>
      </c>
      <c r="Q917" t="str">
        <f t="shared" si="119"/>
        <v>Weekend</v>
      </c>
    </row>
    <row r="918" spans="1:17" x14ac:dyDescent="0.35">
      <c r="A918" t="s">
        <v>1068</v>
      </c>
      <c r="B918" s="7">
        <v>45525</v>
      </c>
      <c r="C918" s="13">
        <f t="shared" si="113"/>
        <v>2024</v>
      </c>
      <c r="D918" s="7" t="str">
        <f t="shared" si="114"/>
        <v>Aug</v>
      </c>
      <c r="E918" s="7" t="str">
        <f t="shared" si="115"/>
        <v>Wed</v>
      </c>
      <c r="F918" t="s">
        <v>451</v>
      </c>
      <c r="G918" t="s">
        <v>87</v>
      </c>
      <c r="H918" t="s">
        <v>22</v>
      </c>
      <c r="I918" s="2" t="str">
        <f t="shared" si="112"/>
        <v>Central</v>
      </c>
      <c r="J918" t="s">
        <v>306</v>
      </c>
      <c r="K918" t="s">
        <v>36</v>
      </c>
      <c r="L918">
        <v>17</v>
      </c>
      <c r="M918">
        <v>120</v>
      </c>
      <c r="N918">
        <f t="shared" si="116"/>
        <v>2040</v>
      </c>
      <c r="O918">
        <f t="shared" si="117"/>
        <v>204</v>
      </c>
      <c r="P918" t="str">
        <f t="shared" si="118"/>
        <v>Large Order</v>
      </c>
      <c r="Q918" t="str">
        <f t="shared" si="119"/>
        <v>Weekday</v>
      </c>
    </row>
    <row r="919" spans="1:17" x14ac:dyDescent="0.35">
      <c r="A919" t="s">
        <v>1069</v>
      </c>
      <c r="B919" s="7">
        <v>45450</v>
      </c>
      <c r="C919" s="13">
        <f t="shared" si="113"/>
        <v>2024</v>
      </c>
      <c r="D919" s="7" t="str">
        <f t="shared" si="114"/>
        <v>Jun</v>
      </c>
      <c r="E919" s="7" t="str">
        <f t="shared" si="115"/>
        <v>Fri</v>
      </c>
      <c r="F919" t="s">
        <v>20</v>
      </c>
      <c r="G919" t="s">
        <v>197</v>
      </c>
      <c r="H919" t="s">
        <v>17</v>
      </c>
      <c r="I919" s="2" t="str">
        <f t="shared" si="112"/>
        <v>East</v>
      </c>
      <c r="J919" t="s">
        <v>306</v>
      </c>
      <c r="K919" t="s">
        <v>32</v>
      </c>
      <c r="L919">
        <v>3</v>
      </c>
      <c r="M919">
        <v>120</v>
      </c>
      <c r="N919">
        <f t="shared" si="116"/>
        <v>360</v>
      </c>
      <c r="O919">
        <f t="shared" si="117"/>
        <v>36</v>
      </c>
      <c r="P919" t="str">
        <f t="shared" si="118"/>
        <v>Standard Order</v>
      </c>
      <c r="Q919" t="str">
        <f t="shared" si="119"/>
        <v>Weekday</v>
      </c>
    </row>
    <row r="920" spans="1:17" x14ac:dyDescent="0.35">
      <c r="A920" t="s">
        <v>1070</v>
      </c>
      <c r="B920" s="7">
        <v>45503</v>
      </c>
      <c r="C920" s="13">
        <f t="shared" si="113"/>
        <v>2024</v>
      </c>
      <c r="D920" s="7" t="str">
        <f t="shared" si="114"/>
        <v>Jul</v>
      </c>
      <c r="E920" s="7" t="str">
        <f t="shared" si="115"/>
        <v>Tue</v>
      </c>
      <c r="F920" t="s">
        <v>86</v>
      </c>
      <c r="G920" t="s">
        <v>96</v>
      </c>
      <c r="H920" t="s">
        <v>11</v>
      </c>
      <c r="I920" s="2" t="str">
        <f t="shared" si="112"/>
        <v>Central</v>
      </c>
      <c r="J920" t="s">
        <v>42</v>
      </c>
      <c r="K920" t="s">
        <v>28</v>
      </c>
      <c r="L920">
        <v>1</v>
      </c>
      <c r="M920">
        <v>120</v>
      </c>
      <c r="N920">
        <f t="shared" si="116"/>
        <v>120</v>
      </c>
      <c r="O920">
        <f t="shared" si="117"/>
        <v>12</v>
      </c>
      <c r="P920" t="str">
        <f t="shared" si="118"/>
        <v>Standard Order</v>
      </c>
      <c r="Q920" t="str">
        <f t="shared" si="119"/>
        <v>Weekday</v>
      </c>
    </row>
    <row r="921" spans="1:17" x14ac:dyDescent="0.35">
      <c r="A921" t="s">
        <v>1071</v>
      </c>
      <c r="B921" s="7">
        <v>45468</v>
      </c>
      <c r="C921" s="13">
        <f t="shared" si="113"/>
        <v>2024</v>
      </c>
      <c r="D921" s="7" t="str">
        <f t="shared" si="114"/>
        <v>Jun</v>
      </c>
      <c r="E921" s="7" t="str">
        <f t="shared" si="115"/>
        <v>Tue</v>
      </c>
      <c r="F921" t="s">
        <v>55</v>
      </c>
      <c r="G921" t="s">
        <v>96</v>
      </c>
      <c r="H921" t="s">
        <v>17</v>
      </c>
      <c r="I921" s="2" t="str">
        <f t="shared" si="112"/>
        <v>East</v>
      </c>
      <c r="J921" t="s">
        <v>306</v>
      </c>
      <c r="K921" t="s">
        <v>23</v>
      </c>
      <c r="L921">
        <v>16</v>
      </c>
      <c r="M921">
        <v>120</v>
      </c>
      <c r="N921">
        <f t="shared" si="116"/>
        <v>1920</v>
      </c>
      <c r="O921">
        <f t="shared" si="117"/>
        <v>192</v>
      </c>
      <c r="P921" t="str">
        <f t="shared" si="118"/>
        <v>Large Order</v>
      </c>
      <c r="Q921" t="str">
        <f t="shared" si="119"/>
        <v>Weekday</v>
      </c>
    </row>
    <row r="922" spans="1:17" x14ac:dyDescent="0.35">
      <c r="A922" t="s">
        <v>1072</v>
      </c>
      <c r="B922" s="7">
        <v>45445</v>
      </c>
      <c r="C922" s="13">
        <f t="shared" si="113"/>
        <v>2024</v>
      </c>
      <c r="D922" s="7" t="str">
        <f t="shared" si="114"/>
        <v>Jun</v>
      </c>
      <c r="E922" s="7" t="str">
        <f t="shared" si="115"/>
        <v>Sun</v>
      </c>
      <c r="F922" t="s">
        <v>142</v>
      </c>
      <c r="G922" t="s">
        <v>109</v>
      </c>
      <c r="H922" t="s">
        <v>17</v>
      </c>
      <c r="I922" s="2" t="str">
        <f t="shared" si="112"/>
        <v>Central</v>
      </c>
      <c r="J922" t="s">
        <v>42</v>
      </c>
      <c r="K922" t="s">
        <v>36</v>
      </c>
      <c r="L922">
        <v>8</v>
      </c>
      <c r="M922">
        <v>120</v>
      </c>
      <c r="N922">
        <f t="shared" si="116"/>
        <v>960</v>
      </c>
      <c r="O922">
        <f t="shared" si="117"/>
        <v>96</v>
      </c>
      <c r="P922" t="str">
        <f t="shared" si="118"/>
        <v>Large Order</v>
      </c>
      <c r="Q922" t="str">
        <f t="shared" si="119"/>
        <v>Weekend</v>
      </c>
    </row>
    <row r="923" spans="1:17" x14ac:dyDescent="0.35">
      <c r="A923" t="s">
        <v>1073</v>
      </c>
      <c r="B923" s="7">
        <v>45483</v>
      </c>
      <c r="C923" s="13">
        <f t="shared" si="113"/>
        <v>2024</v>
      </c>
      <c r="D923" s="7" t="str">
        <f t="shared" si="114"/>
        <v>Jul</v>
      </c>
      <c r="E923" s="7" t="str">
        <f t="shared" si="115"/>
        <v>Wed</v>
      </c>
      <c r="F923" t="s">
        <v>150</v>
      </c>
      <c r="G923" t="s">
        <v>87</v>
      </c>
      <c r="H923" t="s">
        <v>17</v>
      </c>
      <c r="I923" s="2" t="str">
        <f t="shared" si="112"/>
        <v>North</v>
      </c>
      <c r="J923" t="s">
        <v>306</v>
      </c>
      <c r="K923" t="s">
        <v>23</v>
      </c>
      <c r="L923">
        <v>13</v>
      </c>
      <c r="M923">
        <v>120</v>
      </c>
      <c r="N923">
        <f t="shared" si="116"/>
        <v>1560</v>
      </c>
      <c r="O923">
        <f t="shared" si="117"/>
        <v>156</v>
      </c>
      <c r="P923" t="str">
        <f t="shared" si="118"/>
        <v>Large Order</v>
      </c>
      <c r="Q923" t="str">
        <f t="shared" si="119"/>
        <v>Weekday</v>
      </c>
    </row>
    <row r="924" spans="1:17" x14ac:dyDescent="0.35">
      <c r="A924" t="s">
        <v>1074</v>
      </c>
      <c r="B924" s="7">
        <v>45485</v>
      </c>
      <c r="C924" s="13">
        <f t="shared" si="113"/>
        <v>2024</v>
      </c>
      <c r="D924" s="7" t="str">
        <f t="shared" si="114"/>
        <v>Jul</v>
      </c>
      <c r="E924" s="7" t="str">
        <f t="shared" si="115"/>
        <v>Fri</v>
      </c>
      <c r="F924" t="s">
        <v>240</v>
      </c>
      <c r="G924" t="s">
        <v>87</v>
      </c>
      <c r="H924" t="s">
        <v>17</v>
      </c>
      <c r="I924" s="2" t="str">
        <f t="shared" si="112"/>
        <v>East</v>
      </c>
      <c r="J924" t="s">
        <v>12</v>
      </c>
      <c r="K924" t="s">
        <v>36</v>
      </c>
      <c r="L924">
        <v>8</v>
      </c>
      <c r="M924">
        <v>120</v>
      </c>
      <c r="N924">
        <f t="shared" si="116"/>
        <v>960</v>
      </c>
      <c r="O924">
        <f t="shared" si="117"/>
        <v>96</v>
      </c>
      <c r="P924" t="str">
        <f t="shared" si="118"/>
        <v>Large Order</v>
      </c>
      <c r="Q924" t="str">
        <f t="shared" si="119"/>
        <v>Weekday</v>
      </c>
    </row>
    <row r="925" spans="1:17" x14ac:dyDescent="0.35">
      <c r="A925" t="s">
        <v>1075</v>
      </c>
      <c r="B925" s="7">
        <v>45647</v>
      </c>
      <c r="C925" s="13">
        <f t="shared" si="113"/>
        <v>2024</v>
      </c>
      <c r="D925" s="7" t="str">
        <f t="shared" si="114"/>
        <v>Dec</v>
      </c>
      <c r="E925" s="7" t="str">
        <f t="shared" si="115"/>
        <v>Sat</v>
      </c>
      <c r="F925" t="s">
        <v>455</v>
      </c>
      <c r="G925" t="s">
        <v>21</v>
      </c>
      <c r="H925" t="s">
        <v>17</v>
      </c>
      <c r="I925" s="2" t="str">
        <f t="shared" si="112"/>
        <v>South</v>
      </c>
      <c r="J925" t="s">
        <v>42</v>
      </c>
      <c r="K925" t="s">
        <v>23</v>
      </c>
      <c r="L925">
        <v>18</v>
      </c>
      <c r="M925">
        <v>120</v>
      </c>
      <c r="N925">
        <f t="shared" si="116"/>
        <v>2160</v>
      </c>
      <c r="O925">
        <f t="shared" si="117"/>
        <v>216</v>
      </c>
      <c r="P925" t="str">
        <f t="shared" si="118"/>
        <v>Large Order</v>
      </c>
      <c r="Q925" t="str">
        <f t="shared" si="119"/>
        <v>Weekend</v>
      </c>
    </row>
    <row r="926" spans="1:17" x14ac:dyDescent="0.35">
      <c r="A926" t="s">
        <v>1076</v>
      </c>
      <c r="B926" s="7">
        <v>45388</v>
      </c>
      <c r="C926" s="13">
        <f t="shared" si="113"/>
        <v>2024</v>
      </c>
      <c r="D926" s="7" t="str">
        <f t="shared" si="114"/>
        <v>Apr</v>
      </c>
      <c r="E926" s="7" t="str">
        <f t="shared" si="115"/>
        <v>Sat</v>
      </c>
      <c r="F926" t="s">
        <v>58</v>
      </c>
      <c r="G926" t="s">
        <v>74</v>
      </c>
      <c r="H926" t="s">
        <v>11</v>
      </c>
      <c r="I926" s="2" t="str">
        <f t="shared" si="112"/>
        <v>Central</v>
      </c>
      <c r="J926" t="s">
        <v>56</v>
      </c>
      <c r="K926" t="s">
        <v>36</v>
      </c>
      <c r="L926">
        <v>4</v>
      </c>
      <c r="M926">
        <v>120</v>
      </c>
      <c r="N926">
        <f t="shared" si="116"/>
        <v>480</v>
      </c>
      <c r="O926">
        <f t="shared" si="117"/>
        <v>48</v>
      </c>
      <c r="P926" t="str">
        <f t="shared" si="118"/>
        <v>Standard Order</v>
      </c>
      <c r="Q926" t="str">
        <f t="shared" si="119"/>
        <v>Weekend</v>
      </c>
    </row>
    <row r="927" spans="1:17" x14ac:dyDescent="0.35">
      <c r="A927" t="s">
        <v>1077</v>
      </c>
      <c r="B927" s="7">
        <v>45523</v>
      </c>
      <c r="C927" s="13">
        <f t="shared" si="113"/>
        <v>2024</v>
      </c>
      <c r="D927" s="7" t="str">
        <f t="shared" si="114"/>
        <v>Aug</v>
      </c>
      <c r="E927" s="7" t="str">
        <f t="shared" si="115"/>
        <v>Mon</v>
      </c>
      <c r="F927" t="s">
        <v>101</v>
      </c>
      <c r="G927" t="s">
        <v>35</v>
      </c>
      <c r="H927" t="s">
        <v>22</v>
      </c>
      <c r="I927" s="2" t="str">
        <f t="shared" si="112"/>
        <v>South</v>
      </c>
      <c r="J927" t="s">
        <v>306</v>
      </c>
      <c r="K927" t="s">
        <v>28</v>
      </c>
      <c r="L927">
        <v>7</v>
      </c>
      <c r="M927">
        <v>120</v>
      </c>
      <c r="N927">
        <f t="shared" si="116"/>
        <v>840</v>
      </c>
      <c r="O927">
        <f t="shared" si="117"/>
        <v>84</v>
      </c>
      <c r="P927" t="str">
        <f t="shared" si="118"/>
        <v>Large Order</v>
      </c>
      <c r="Q927" t="str">
        <f t="shared" si="119"/>
        <v>Weekday</v>
      </c>
    </row>
    <row r="928" spans="1:17" x14ac:dyDescent="0.35">
      <c r="A928" t="s">
        <v>1078</v>
      </c>
      <c r="B928" s="7">
        <v>45317</v>
      </c>
      <c r="C928" s="13">
        <f t="shared" si="113"/>
        <v>2024</v>
      </c>
      <c r="D928" s="7" t="str">
        <f t="shared" si="114"/>
        <v>Jan</v>
      </c>
      <c r="E928" s="7" t="str">
        <f t="shared" si="115"/>
        <v>Fri</v>
      </c>
      <c r="F928" t="s">
        <v>312</v>
      </c>
      <c r="G928" t="s">
        <v>102</v>
      </c>
      <c r="H928" t="s">
        <v>11</v>
      </c>
      <c r="I928" s="2" t="str">
        <f t="shared" si="112"/>
        <v>South</v>
      </c>
      <c r="J928" t="s">
        <v>56</v>
      </c>
      <c r="K928" t="s">
        <v>23</v>
      </c>
      <c r="L928">
        <v>10</v>
      </c>
      <c r="M928">
        <v>120</v>
      </c>
      <c r="N928">
        <f t="shared" si="116"/>
        <v>1200</v>
      </c>
      <c r="O928">
        <f t="shared" si="117"/>
        <v>120</v>
      </c>
      <c r="P928" t="str">
        <f t="shared" si="118"/>
        <v>Large Order</v>
      </c>
      <c r="Q928" t="str">
        <f t="shared" si="119"/>
        <v>Weekday</v>
      </c>
    </row>
    <row r="929" spans="1:17" x14ac:dyDescent="0.35">
      <c r="A929" t="s">
        <v>1079</v>
      </c>
      <c r="B929" s="7">
        <v>45296</v>
      </c>
      <c r="C929" s="13">
        <f t="shared" si="113"/>
        <v>2024</v>
      </c>
      <c r="D929" s="7" t="str">
        <f t="shared" si="114"/>
        <v>Jan</v>
      </c>
      <c r="E929" s="7" t="str">
        <f t="shared" si="115"/>
        <v>Fri</v>
      </c>
      <c r="F929" t="s">
        <v>51</v>
      </c>
      <c r="G929" t="s">
        <v>96</v>
      </c>
      <c r="H929" t="s">
        <v>11</v>
      </c>
      <c r="I929" s="2" t="str">
        <f t="shared" si="112"/>
        <v>East</v>
      </c>
      <c r="J929" t="s">
        <v>56</v>
      </c>
      <c r="K929" t="s">
        <v>23</v>
      </c>
      <c r="L929">
        <v>16</v>
      </c>
      <c r="M929">
        <v>120</v>
      </c>
      <c r="N929">
        <f t="shared" si="116"/>
        <v>1920</v>
      </c>
      <c r="O929">
        <f t="shared" si="117"/>
        <v>192</v>
      </c>
      <c r="P929" t="str">
        <f t="shared" si="118"/>
        <v>Large Order</v>
      </c>
      <c r="Q929" t="str">
        <f t="shared" si="119"/>
        <v>Weekday</v>
      </c>
    </row>
    <row r="930" spans="1:17" x14ac:dyDescent="0.35">
      <c r="A930" t="s">
        <v>1080</v>
      </c>
      <c r="B930" s="7">
        <v>45451</v>
      </c>
      <c r="C930" s="13">
        <f t="shared" si="113"/>
        <v>2024</v>
      </c>
      <c r="D930" s="7" t="str">
        <f t="shared" si="114"/>
        <v>Jun</v>
      </c>
      <c r="E930" s="7" t="str">
        <f t="shared" si="115"/>
        <v>Sat</v>
      </c>
      <c r="F930" t="s">
        <v>728</v>
      </c>
      <c r="G930" t="s">
        <v>70</v>
      </c>
      <c r="H930" t="s">
        <v>17</v>
      </c>
      <c r="I930" s="2" t="str">
        <f t="shared" si="112"/>
        <v>North</v>
      </c>
      <c r="J930" t="s">
        <v>42</v>
      </c>
      <c r="K930" t="s">
        <v>28</v>
      </c>
      <c r="L930">
        <v>2</v>
      </c>
      <c r="M930">
        <v>120</v>
      </c>
      <c r="N930">
        <f t="shared" si="116"/>
        <v>240</v>
      </c>
      <c r="O930">
        <f t="shared" si="117"/>
        <v>24</v>
      </c>
      <c r="P930" t="str">
        <f t="shared" si="118"/>
        <v>Standard Order</v>
      </c>
      <c r="Q930" t="str">
        <f t="shared" si="119"/>
        <v>Weekend</v>
      </c>
    </row>
    <row r="931" spans="1:17" x14ac:dyDescent="0.35">
      <c r="A931" t="s">
        <v>1081</v>
      </c>
      <c r="B931" s="7">
        <v>45320</v>
      </c>
      <c r="C931" s="13">
        <f t="shared" si="113"/>
        <v>2024</v>
      </c>
      <c r="D931" s="7" t="str">
        <f t="shared" si="114"/>
        <v>Jan</v>
      </c>
      <c r="E931" s="7" t="str">
        <f t="shared" si="115"/>
        <v>Mon</v>
      </c>
      <c r="F931" t="s">
        <v>101</v>
      </c>
      <c r="G931" t="s">
        <v>174</v>
      </c>
      <c r="H931" t="s">
        <v>17</v>
      </c>
      <c r="I931" s="2" t="str">
        <f t="shared" si="112"/>
        <v>South</v>
      </c>
      <c r="J931" t="s">
        <v>12</v>
      </c>
      <c r="K931" t="s">
        <v>32</v>
      </c>
      <c r="L931">
        <v>16</v>
      </c>
      <c r="M931">
        <v>120</v>
      </c>
      <c r="N931">
        <f t="shared" si="116"/>
        <v>1920</v>
      </c>
      <c r="O931">
        <f t="shared" si="117"/>
        <v>192</v>
      </c>
      <c r="P931" t="str">
        <f t="shared" si="118"/>
        <v>Large Order</v>
      </c>
      <c r="Q931" t="str">
        <f t="shared" si="119"/>
        <v>Weekday</v>
      </c>
    </row>
    <row r="932" spans="1:17" x14ac:dyDescent="0.35">
      <c r="A932" t="s">
        <v>1082</v>
      </c>
      <c r="B932" s="7">
        <v>45487</v>
      </c>
      <c r="C932" s="13">
        <f t="shared" si="113"/>
        <v>2024</v>
      </c>
      <c r="D932" s="7" t="str">
        <f t="shared" si="114"/>
        <v>Jul</v>
      </c>
      <c r="E932" s="7" t="str">
        <f t="shared" si="115"/>
        <v>Sun</v>
      </c>
      <c r="F932" t="s">
        <v>142</v>
      </c>
      <c r="G932" t="s">
        <v>31</v>
      </c>
      <c r="H932" t="s">
        <v>11</v>
      </c>
      <c r="I932" s="2" t="str">
        <f t="shared" si="112"/>
        <v>North</v>
      </c>
      <c r="J932" t="s">
        <v>56</v>
      </c>
      <c r="K932" t="s">
        <v>13</v>
      </c>
      <c r="L932">
        <v>15</v>
      </c>
      <c r="M932">
        <v>120</v>
      </c>
      <c r="N932">
        <f t="shared" si="116"/>
        <v>1800</v>
      </c>
      <c r="O932">
        <f t="shared" si="117"/>
        <v>180</v>
      </c>
      <c r="P932" t="str">
        <f t="shared" si="118"/>
        <v>Large Order</v>
      </c>
      <c r="Q932" t="str">
        <f t="shared" si="119"/>
        <v>Weekend</v>
      </c>
    </row>
    <row r="933" spans="1:17" x14ac:dyDescent="0.35">
      <c r="A933" t="s">
        <v>1083</v>
      </c>
      <c r="B933" s="7">
        <v>45393</v>
      </c>
      <c r="C933" s="13">
        <f t="shared" si="113"/>
        <v>2024</v>
      </c>
      <c r="D933" s="7" t="str">
        <f t="shared" si="114"/>
        <v>Apr</v>
      </c>
      <c r="E933" s="7" t="str">
        <f t="shared" si="115"/>
        <v>Thu</v>
      </c>
      <c r="F933" t="s">
        <v>366</v>
      </c>
      <c r="G933" t="s">
        <v>160</v>
      </c>
      <c r="H933" t="s">
        <v>22</v>
      </c>
      <c r="I933" s="2" t="str">
        <f t="shared" si="112"/>
        <v>North</v>
      </c>
      <c r="J933" t="s">
        <v>12</v>
      </c>
      <c r="K933" t="s">
        <v>32</v>
      </c>
      <c r="L933">
        <v>7</v>
      </c>
      <c r="M933">
        <v>120</v>
      </c>
      <c r="N933">
        <f t="shared" si="116"/>
        <v>840</v>
      </c>
      <c r="O933">
        <f t="shared" si="117"/>
        <v>84</v>
      </c>
      <c r="P933" t="str">
        <f t="shared" si="118"/>
        <v>Large Order</v>
      </c>
      <c r="Q933" t="str">
        <f t="shared" si="119"/>
        <v>Weekday</v>
      </c>
    </row>
    <row r="934" spans="1:17" x14ac:dyDescent="0.35">
      <c r="A934" t="s">
        <v>1084</v>
      </c>
      <c r="B934" s="7">
        <v>45457</v>
      </c>
      <c r="C934" s="13">
        <f t="shared" si="113"/>
        <v>2024</v>
      </c>
      <c r="D934" s="7" t="str">
        <f t="shared" si="114"/>
        <v>Jun</v>
      </c>
      <c r="E934" s="7" t="str">
        <f t="shared" si="115"/>
        <v>Fri</v>
      </c>
      <c r="F934" t="s">
        <v>111</v>
      </c>
      <c r="G934" t="s">
        <v>84</v>
      </c>
      <c r="H934" t="s">
        <v>22</v>
      </c>
      <c r="I934" s="2" t="str">
        <f t="shared" si="112"/>
        <v>South</v>
      </c>
      <c r="J934" t="s">
        <v>12</v>
      </c>
      <c r="K934" t="s">
        <v>32</v>
      </c>
      <c r="L934">
        <v>18</v>
      </c>
      <c r="M934">
        <v>120</v>
      </c>
      <c r="N934">
        <f t="shared" si="116"/>
        <v>2160</v>
      </c>
      <c r="O934">
        <f t="shared" si="117"/>
        <v>216</v>
      </c>
      <c r="P934" t="str">
        <f t="shared" si="118"/>
        <v>Large Order</v>
      </c>
      <c r="Q934" t="str">
        <f t="shared" si="119"/>
        <v>Weekday</v>
      </c>
    </row>
    <row r="935" spans="1:17" x14ac:dyDescent="0.35">
      <c r="A935" t="s">
        <v>1085</v>
      </c>
      <c r="B935" s="7">
        <v>45538</v>
      </c>
      <c r="C935" s="13">
        <f t="shared" si="113"/>
        <v>2024</v>
      </c>
      <c r="D935" s="7" t="str">
        <f t="shared" si="114"/>
        <v>Sep</v>
      </c>
      <c r="E935" s="7" t="str">
        <f t="shared" si="115"/>
        <v>Tue</v>
      </c>
      <c r="F935" t="s">
        <v>541</v>
      </c>
      <c r="G935" t="s">
        <v>48</v>
      </c>
      <c r="H935" t="s">
        <v>17</v>
      </c>
      <c r="I935" s="2" t="str">
        <f t="shared" si="112"/>
        <v>West</v>
      </c>
      <c r="J935" t="s">
        <v>56</v>
      </c>
      <c r="K935" t="s">
        <v>28</v>
      </c>
      <c r="L935">
        <v>2</v>
      </c>
      <c r="M935">
        <v>120</v>
      </c>
      <c r="N935">
        <f t="shared" si="116"/>
        <v>240</v>
      </c>
      <c r="O935">
        <f t="shared" si="117"/>
        <v>24</v>
      </c>
      <c r="P935" t="str">
        <f t="shared" si="118"/>
        <v>Standard Order</v>
      </c>
      <c r="Q935" t="str">
        <f t="shared" si="119"/>
        <v>Weekday</v>
      </c>
    </row>
    <row r="936" spans="1:17" x14ac:dyDescent="0.35">
      <c r="A936" t="s">
        <v>1086</v>
      </c>
      <c r="B936" s="7">
        <v>45349</v>
      </c>
      <c r="C936" s="13">
        <f t="shared" si="113"/>
        <v>2024</v>
      </c>
      <c r="D936" s="7" t="str">
        <f t="shared" si="114"/>
        <v>Feb</v>
      </c>
      <c r="E936" s="7" t="str">
        <f t="shared" si="115"/>
        <v>Tue</v>
      </c>
      <c r="F936" t="s">
        <v>93</v>
      </c>
      <c r="G936" t="s">
        <v>72</v>
      </c>
      <c r="H936" t="s">
        <v>22</v>
      </c>
      <c r="I936" s="2" t="str">
        <f t="shared" si="112"/>
        <v>South</v>
      </c>
      <c r="J936" t="s">
        <v>27</v>
      </c>
      <c r="K936" t="s">
        <v>32</v>
      </c>
      <c r="L936">
        <v>1</v>
      </c>
      <c r="M936">
        <v>120</v>
      </c>
      <c r="N936">
        <f t="shared" si="116"/>
        <v>120</v>
      </c>
      <c r="O936">
        <f t="shared" si="117"/>
        <v>12</v>
      </c>
      <c r="P936" t="str">
        <f t="shared" si="118"/>
        <v>Standard Order</v>
      </c>
      <c r="Q936" t="str">
        <f t="shared" si="119"/>
        <v>Weekday</v>
      </c>
    </row>
    <row r="937" spans="1:17" x14ac:dyDescent="0.35">
      <c r="A937" t="s">
        <v>1087</v>
      </c>
      <c r="B937" s="7">
        <v>45591</v>
      </c>
      <c r="C937" s="13">
        <f t="shared" si="113"/>
        <v>2024</v>
      </c>
      <c r="D937" s="7" t="str">
        <f t="shared" si="114"/>
        <v>Oct</v>
      </c>
      <c r="E937" s="7" t="str">
        <f t="shared" si="115"/>
        <v>Sat</v>
      </c>
      <c r="F937" t="s">
        <v>114</v>
      </c>
      <c r="G937" t="s">
        <v>96</v>
      </c>
      <c r="H937" t="s">
        <v>17</v>
      </c>
      <c r="I937" s="2" t="str">
        <f t="shared" si="112"/>
        <v>East</v>
      </c>
      <c r="J937" t="s">
        <v>56</v>
      </c>
      <c r="K937" t="s">
        <v>23</v>
      </c>
      <c r="L937">
        <v>2</v>
      </c>
      <c r="M937">
        <v>120</v>
      </c>
      <c r="N937">
        <f t="shared" si="116"/>
        <v>240</v>
      </c>
      <c r="O937">
        <f t="shared" si="117"/>
        <v>24</v>
      </c>
      <c r="P937" t="str">
        <f t="shared" si="118"/>
        <v>Standard Order</v>
      </c>
      <c r="Q937" t="str">
        <f t="shared" si="119"/>
        <v>Weekend</v>
      </c>
    </row>
    <row r="938" spans="1:17" x14ac:dyDescent="0.35">
      <c r="A938" t="s">
        <v>1088</v>
      </c>
      <c r="B938" s="7">
        <v>45644</v>
      </c>
      <c r="C938" s="13">
        <f t="shared" si="113"/>
        <v>2024</v>
      </c>
      <c r="D938" s="7" t="str">
        <f t="shared" si="114"/>
        <v>Dec</v>
      </c>
      <c r="E938" s="7" t="str">
        <f t="shared" si="115"/>
        <v>Wed</v>
      </c>
      <c r="F938" t="s">
        <v>327</v>
      </c>
      <c r="G938" t="s">
        <v>119</v>
      </c>
      <c r="H938" t="s">
        <v>11</v>
      </c>
      <c r="I938" s="2" t="str">
        <f t="shared" si="112"/>
        <v>East</v>
      </c>
      <c r="J938" t="s">
        <v>42</v>
      </c>
      <c r="K938" t="s">
        <v>23</v>
      </c>
      <c r="L938">
        <v>3</v>
      </c>
      <c r="M938">
        <v>120</v>
      </c>
      <c r="N938">
        <f t="shared" si="116"/>
        <v>360</v>
      </c>
      <c r="O938">
        <f t="shared" si="117"/>
        <v>36</v>
      </c>
      <c r="P938" t="str">
        <f t="shared" si="118"/>
        <v>Standard Order</v>
      </c>
      <c r="Q938" t="str">
        <f t="shared" si="119"/>
        <v>Weekday</v>
      </c>
    </row>
    <row r="939" spans="1:17" x14ac:dyDescent="0.35">
      <c r="A939" t="s">
        <v>1089</v>
      </c>
      <c r="B939" s="7">
        <v>45338</v>
      </c>
      <c r="C939" s="13">
        <f t="shared" si="113"/>
        <v>2024</v>
      </c>
      <c r="D939" s="7" t="str">
        <f t="shared" si="114"/>
        <v>Feb</v>
      </c>
      <c r="E939" s="7" t="str">
        <f t="shared" si="115"/>
        <v>Fri</v>
      </c>
      <c r="F939" t="s">
        <v>455</v>
      </c>
      <c r="G939" t="s">
        <v>119</v>
      </c>
      <c r="H939" t="s">
        <v>22</v>
      </c>
      <c r="I939" s="2" t="str">
        <f t="shared" si="112"/>
        <v>South</v>
      </c>
      <c r="J939" t="s">
        <v>42</v>
      </c>
      <c r="K939" t="s">
        <v>28</v>
      </c>
      <c r="L939">
        <v>2</v>
      </c>
      <c r="M939">
        <v>120</v>
      </c>
      <c r="N939">
        <f t="shared" si="116"/>
        <v>240</v>
      </c>
      <c r="O939">
        <f t="shared" si="117"/>
        <v>24</v>
      </c>
      <c r="P939" t="str">
        <f t="shared" si="118"/>
        <v>Standard Order</v>
      </c>
      <c r="Q939" t="str">
        <f t="shared" si="119"/>
        <v>Weekday</v>
      </c>
    </row>
    <row r="940" spans="1:17" x14ac:dyDescent="0.35">
      <c r="A940" t="s">
        <v>1090</v>
      </c>
      <c r="B940" s="7">
        <v>45651</v>
      </c>
      <c r="C940" s="13">
        <f t="shared" si="113"/>
        <v>2024</v>
      </c>
      <c r="D940" s="7" t="str">
        <f t="shared" si="114"/>
        <v>Dec</v>
      </c>
      <c r="E940" s="7" t="str">
        <f t="shared" si="115"/>
        <v>Wed</v>
      </c>
      <c r="F940" t="s">
        <v>312</v>
      </c>
      <c r="G940" t="s">
        <v>35</v>
      </c>
      <c r="H940" t="s">
        <v>11</v>
      </c>
      <c r="I940" s="2" t="str">
        <f t="shared" si="112"/>
        <v>West</v>
      </c>
      <c r="J940" t="s">
        <v>56</v>
      </c>
      <c r="K940" t="s">
        <v>36</v>
      </c>
      <c r="L940">
        <v>8</v>
      </c>
      <c r="M940">
        <v>120</v>
      </c>
      <c r="N940">
        <f t="shared" si="116"/>
        <v>960</v>
      </c>
      <c r="O940">
        <f t="shared" si="117"/>
        <v>96</v>
      </c>
      <c r="P940" t="str">
        <f t="shared" si="118"/>
        <v>Large Order</v>
      </c>
      <c r="Q940" t="str">
        <f t="shared" si="119"/>
        <v>Weekday</v>
      </c>
    </row>
    <row r="941" spans="1:17" x14ac:dyDescent="0.35">
      <c r="A941" t="s">
        <v>1091</v>
      </c>
      <c r="B941" s="7">
        <v>45622</v>
      </c>
      <c r="C941" s="13">
        <f t="shared" si="113"/>
        <v>2024</v>
      </c>
      <c r="D941" s="7" t="str">
        <f t="shared" si="114"/>
        <v>Nov</v>
      </c>
      <c r="E941" s="7" t="str">
        <f t="shared" si="115"/>
        <v>Tue</v>
      </c>
      <c r="F941" t="s">
        <v>664</v>
      </c>
      <c r="G941" t="s">
        <v>84</v>
      </c>
      <c r="H941" t="s">
        <v>17</v>
      </c>
      <c r="I941" s="2" t="str">
        <f t="shared" si="112"/>
        <v>East</v>
      </c>
      <c r="J941" t="s">
        <v>27</v>
      </c>
      <c r="K941" t="s">
        <v>23</v>
      </c>
      <c r="L941">
        <v>7</v>
      </c>
      <c r="M941">
        <v>120</v>
      </c>
      <c r="N941">
        <f t="shared" si="116"/>
        <v>840</v>
      </c>
      <c r="O941">
        <f t="shared" si="117"/>
        <v>84</v>
      </c>
      <c r="P941" t="str">
        <f t="shared" si="118"/>
        <v>Large Order</v>
      </c>
      <c r="Q941" t="str">
        <f t="shared" si="119"/>
        <v>Weekday</v>
      </c>
    </row>
    <row r="942" spans="1:17" x14ac:dyDescent="0.35">
      <c r="A942" t="s">
        <v>1092</v>
      </c>
      <c r="B942" s="7">
        <v>45475</v>
      </c>
      <c r="C942" s="13">
        <f t="shared" si="113"/>
        <v>2024</v>
      </c>
      <c r="D942" s="7" t="str">
        <f t="shared" si="114"/>
        <v>Jul</v>
      </c>
      <c r="E942" s="7" t="str">
        <f t="shared" si="115"/>
        <v>Tue</v>
      </c>
      <c r="F942" t="s">
        <v>329</v>
      </c>
      <c r="G942" t="s">
        <v>79</v>
      </c>
      <c r="H942" t="s">
        <v>11</v>
      </c>
      <c r="I942" s="2" t="str">
        <f t="shared" si="112"/>
        <v>West</v>
      </c>
      <c r="J942" t="s">
        <v>42</v>
      </c>
      <c r="K942" t="s">
        <v>36</v>
      </c>
      <c r="L942">
        <v>16</v>
      </c>
      <c r="M942">
        <v>120</v>
      </c>
      <c r="N942">
        <f t="shared" si="116"/>
        <v>1920</v>
      </c>
      <c r="O942">
        <f t="shared" si="117"/>
        <v>192</v>
      </c>
      <c r="P942" t="str">
        <f t="shared" si="118"/>
        <v>Large Order</v>
      </c>
      <c r="Q942" t="str">
        <f t="shared" si="119"/>
        <v>Weekday</v>
      </c>
    </row>
    <row r="943" spans="1:17" x14ac:dyDescent="0.35">
      <c r="A943" t="s">
        <v>1093</v>
      </c>
      <c r="B943" s="7">
        <v>45442</v>
      </c>
      <c r="C943" s="13">
        <f t="shared" si="113"/>
        <v>2024</v>
      </c>
      <c r="D943" s="7" t="str">
        <f t="shared" si="114"/>
        <v>May</v>
      </c>
      <c r="E943" s="7" t="str">
        <f t="shared" si="115"/>
        <v>Thu</v>
      </c>
      <c r="F943" t="s">
        <v>591</v>
      </c>
      <c r="G943" t="s">
        <v>65</v>
      </c>
      <c r="H943" t="s">
        <v>22</v>
      </c>
      <c r="I943" s="2" t="str">
        <f t="shared" si="112"/>
        <v>East</v>
      </c>
      <c r="J943" t="s">
        <v>27</v>
      </c>
      <c r="K943" t="s">
        <v>32</v>
      </c>
      <c r="L943">
        <v>19</v>
      </c>
      <c r="M943">
        <v>120</v>
      </c>
      <c r="N943">
        <f t="shared" si="116"/>
        <v>2280</v>
      </c>
      <c r="O943">
        <f t="shared" si="117"/>
        <v>228</v>
      </c>
      <c r="P943" t="str">
        <f t="shared" si="118"/>
        <v>Large Order</v>
      </c>
      <c r="Q943" t="str">
        <f t="shared" si="119"/>
        <v>Weekday</v>
      </c>
    </row>
    <row r="944" spans="1:17" x14ac:dyDescent="0.35">
      <c r="A944" t="s">
        <v>1094</v>
      </c>
      <c r="B944" s="7">
        <v>45457</v>
      </c>
      <c r="C944" s="13">
        <f t="shared" si="113"/>
        <v>2024</v>
      </c>
      <c r="D944" s="7" t="str">
        <f t="shared" si="114"/>
        <v>Jun</v>
      </c>
      <c r="E944" s="7" t="str">
        <f t="shared" si="115"/>
        <v>Fri</v>
      </c>
      <c r="F944" t="s">
        <v>388</v>
      </c>
      <c r="G944" t="s">
        <v>109</v>
      </c>
      <c r="H944" t="s">
        <v>17</v>
      </c>
      <c r="I944" s="2" t="str">
        <f t="shared" si="112"/>
        <v>East</v>
      </c>
      <c r="J944" t="s">
        <v>42</v>
      </c>
      <c r="K944" t="s">
        <v>36</v>
      </c>
      <c r="L944">
        <v>18</v>
      </c>
      <c r="M944">
        <v>120</v>
      </c>
      <c r="N944">
        <f t="shared" si="116"/>
        <v>2160</v>
      </c>
      <c r="O944">
        <f t="shared" si="117"/>
        <v>216</v>
      </c>
      <c r="P944" t="str">
        <f t="shared" si="118"/>
        <v>Large Order</v>
      </c>
      <c r="Q944" t="str">
        <f t="shared" si="119"/>
        <v>Weekday</v>
      </c>
    </row>
    <row r="945" spans="1:17" x14ac:dyDescent="0.35">
      <c r="A945" t="s">
        <v>1095</v>
      </c>
      <c r="B945" s="7">
        <v>45371</v>
      </c>
      <c r="C945" s="13">
        <f t="shared" si="113"/>
        <v>2024</v>
      </c>
      <c r="D945" s="7" t="str">
        <f t="shared" si="114"/>
        <v>Mar</v>
      </c>
      <c r="E945" s="7" t="str">
        <f t="shared" si="115"/>
        <v>Wed</v>
      </c>
      <c r="F945" t="s">
        <v>430</v>
      </c>
      <c r="G945" t="s">
        <v>174</v>
      </c>
      <c r="H945" t="s">
        <v>17</v>
      </c>
      <c r="I945" s="2" t="str">
        <f t="shared" si="112"/>
        <v>North</v>
      </c>
      <c r="J945" t="s">
        <v>42</v>
      </c>
      <c r="K945" t="s">
        <v>36</v>
      </c>
      <c r="L945">
        <v>12</v>
      </c>
      <c r="M945">
        <v>120</v>
      </c>
      <c r="N945">
        <f t="shared" si="116"/>
        <v>1440</v>
      </c>
      <c r="O945">
        <f t="shared" si="117"/>
        <v>144</v>
      </c>
      <c r="P945" t="str">
        <f t="shared" si="118"/>
        <v>Large Order</v>
      </c>
      <c r="Q945" t="str">
        <f t="shared" si="119"/>
        <v>Weekday</v>
      </c>
    </row>
    <row r="946" spans="1:17" x14ac:dyDescent="0.35">
      <c r="A946" t="s">
        <v>1096</v>
      </c>
      <c r="B946" s="7">
        <v>45486</v>
      </c>
      <c r="C946" s="13">
        <f t="shared" si="113"/>
        <v>2024</v>
      </c>
      <c r="D946" s="7" t="str">
        <f t="shared" si="114"/>
        <v>Jul</v>
      </c>
      <c r="E946" s="7" t="str">
        <f t="shared" si="115"/>
        <v>Sat</v>
      </c>
      <c r="F946" t="s">
        <v>388</v>
      </c>
      <c r="G946" t="s">
        <v>109</v>
      </c>
      <c r="H946" t="s">
        <v>11</v>
      </c>
      <c r="I946" s="2" t="str">
        <f t="shared" si="112"/>
        <v>Central</v>
      </c>
      <c r="J946" t="s">
        <v>12</v>
      </c>
      <c r="K946" t="s">
        <v>28</v>
      </c>
      <c r="L946">
        <v>12</v>
      </c>
      <c r="M946">
        <v>120</v>
      </c>
      <c r="N946">
        <f t="shared" si="116"/>
        <v>1440</v>
      </c>
      <c r="O946">
        <f t="shared" si="117"/>
        <v>144</v>
      </c>
      <c r="P946" t="str">
        <f t="shared" si="118"/>
        <v>Large Order</v>
      </c>
      <c r="Q946" t="str">
        <f t="shared" si="119"/>
        <v>Weekend</v>
      </c>
    </row>
    <row r="947" spans="1:17" x14ac:dyDescent="0.35">
      <c r="A947" t="s">
        <v>1097</v>
      </c>
      <c r="B947" s="7">
        <v>45456</v>
      </c>
      <c r="C947" s="13">
        <f t="shared" si="113"/>
        <v>2024</v>
      </c>
      <c r="D947" s="7" t="str">
        <f t="shared" si="114"/>
        <v>Jun</v>
      </c>
      <c r="E947" s="7" t="str">
        <f t="shared" si="115"/>
        <v>Thu</v>
      </c>
      <c r="F947" t="s">
        <v>329</v>
      </c>
      <c r="G947" t="s">
        <v>31</v>
      </c>
      <c r="H947" t="s">
        <v>11</v>
      </c>
      <c r="I947" s="2" t="str">
        <f t="shared" si="112"/>
        <v>East</v>
      </c>
      <c r="J947" t="s">
        <v>306</v>
      </c>
      <c r="K947" t="s">
        <v>23</v>
      </c>
      <c r="L947">
        <v>7</v>
      </c>
      <c r="M947">
        <v>120</v>
      </c>
      <c r="N947">
        <f t="shared" si="116"/>
        <v>840</v>
      </c>
      <c r="O947">
        <f t="shared" si="117"/>
        <v>84</v>
      </c>
      <c r="P947" t="str">
        <f t="shared" si="118"/>
        <v>Large Order</v>
      </c>
      <c r="Q947" t="str">
        <f t="shared" si="119"/>
        <v>Weekday</v>
      </c>
    </row>
    <row r="948" spans="1:17" x14ac:dyDescent="0.35">
      <c r="A948" t="s">
        <v>1098</v>
      </c>
      <c r="B948" s="7">
        <v>45574</v>
      </c>
      <c r="C948" s="13">
        <f t="shared" si="113"/>
        <v>2024</v>
      </c>
      <c r="D948" s="7" t="str">
        <f t="shared" si="114"/>
        <v>Oct</v>
      </c>
      <c r="E948" s="7" t="str">
        <f t="shared" si="115"/>
        <v>Wed</v>
      </c>
      <c r="F948" t="s">
        <v>125</v>
      </c>
      <c r="G948" t="s">
        <v>72</v>
      </c>
      <c r="H948" t="s">
        <v>22</v>
      </c>
      <c r="I948" s="2" t="str">
        <f t="shared" si="112"/>
        <v>North</v>
      </c>
      <c r="J948" t="s">
        <v>42</v>
      </c>
      <c r="K948" t="s">
        <v>13</v>
      </c>
      <c r="L948">
        <v>14</v>
      </c>
      <c r="M948">
        <v>120</v>
      </c>
      <c r="N948">
        <f t="shared" si="116"/>
        <v>1680</v>
      </c>
      <c r="O948">
        <f t="shared" si="117"/>
        <v>168</v>
      </c>
      <c r="P948" t="str">
        <f t="shared" si="118"/>
        <v>Large Order</v>
      </c>
      <c r="Q948" t="str">
        <f t="shared" si="119"/>
        <v>Weekday</v>
      </c>
    </row>
    <row r="949" spans="1:17" x14ac:dyDescent="0.35">
      <c r="A949" t="s">
        <v>1099</v>
      </c>
      <c r="B949" s="7">
        <v>45341</v>
      </c>
      <c r="C949" s="13">
        <f t="shared" si="113"/>
        <v>2024</v>
      </c>
      <c r="D949" s="7" t="str">
        <f t="shared" si="114"/>
        <v>Feb</v>
      </c>
      <c r="E949" s="7" t="str">
        <f t="shared" si="115"/>
        <v>Mon</v>
      </c>
      <c r="F949" t="s">
        <v>363</v>
      </c>
      <c r="G949" t="s">
        <v>79</v>
      </c>
      <c r="H949" t="s">
        <v>22</v>
      </c>
      <c r="I949" s="2" t="str">
        <f t="shared" si="112"/>
        <v>South</v>
      </c>
      <c r="J949" t="s">
        <v>12</v>
      </c>
      <c r="K949" t="s">
        <v>13</v>
      </c>
      <c r="L949">
        <v>5</v>
      </c>
      <c r="M949">
        <v>120</v>
      </c>
      <c r="N949">
        <f t="shared" si="116"/>
        <v>600</v>
      </c>
      <c r="O949">
        <f t="shared" si="117"/>
        <v>60</v>
      </c>
      <c r="P949" t="str">
        <f t="shared" si="118"/>
        <v>Large Order</v>
      </c>
      <c r="Q949" t="str">
        <f t="shared" si="119"/>
        <v>Weekday</v>
      </c>
    </row>
    <row r="950" spans="1:17" x14ac:dyDescent="0.35">
      <c r="A950" t="s">
        <v>1100</v>
      </c>
      <c r="B950" s="7">
        <v>45395</v>
      </c>
      <c r="C950" s="13">
        <f t="shared" si="113"/>
        <v>2024</v>
      </c>
      <c r="D950" s="7" t="str">
        <f t="shared" si="114"/>
        <v>Apr</v>
      </c>
      <c r="E950" s="7" t="str">
        <f t="shared" si="115"/>
        <v>Sat</v>
      </c>
      <c r="F950" t="s">
        <v>15</v>
      </c>
      <c r="G950" t="s">
        <v>102</v>
      </c>
      <c r="H950" t="s">
        <v>17</v>
      </c>
      <c r="I950" s="2" t="str">
        <f t="shared" si="112"/>
        <v>Central</v>
      </c>
      <c r="J950" t="s">
        <v>56</v>
      </c>
      <c r="K950" t="s">
        <v>23</v>
      </c>
      <c r="L950">
        <v>2</v>
      </c>
      <c r="M950">
        <v>120</v>
      </c>
      <c r="N950">
        <f t="shared" si="116"/>
        <v>240</v>
      </c>
      <c r="O950">
        <f t="shared" si="117"/>
        <v>24</v>
      </c>
      <c r="P950" t="str">
        <f t="shared" si="118"/>
        <v>Standard Order</v>
      </c>
      <c r="Q950" t="str">
        <f t="shared" si="119"/>
        <v>Weekend</v>
      </c>
    </row>
    <row r="951" spans="1:17" x14ac:dyDescent="0.35">
      <c r="A951" t="s">
        <v>1101</v>
      </c>
      <c r="B951" s="7">
        <v>45628</v>
      </c>
      <c r="C951" s="13">
        <f t="shared" si="113"/>
        <v>2024</v>
      </c>
      <c r="D951" s="7" t="str">
        <f t="shared" si="114"/>
        <v>Dec</v>
      </c>
      <c r="E951" s="7" t="str">
        <f t="shared" si="115"/>
        <v>Mon</v>
      </c>
      <c r="F951" t="s">
        <v>374</v>
      </c>
      <c r="G951" t="s">
        <v>62</v>
      </c>
      <c r="H951" t="s">
        <v>22</v>
      </c>
      <c r="I951" s="2" t="str">
        <f t="shared" si="112"/>
        <v>North</v>
      </c>
      <c r="J951" t="s">
        <v>306</v>
      </c>
      <c r="K951" t="s">
        <v>32</v>
      </c>
      <c r="L951">
        <v>19</v>
      </c>
      <c r="M951">
        <v>120</v>
      </c>
      <c r="N951">
        <f t="shared" si="116"/>
        <v>2280</v>
      </c>
      <c r="O951">
        <f t="shared" si="117"/>
        <v>228</v>
      </c>
      <c r="P951" t="str">
        <f t="shared" si="118"/>
        <v>Large Order</v>
      </c>
      <c r="Q951" t="str">
        <f t="shared" si="119"/>
        <v>Weekday</v>
      </c>
    </row>
    <row r="952" spans="1:17" x14ac:dyDescent="0.35">
      <c r="A952" t="s">
        <v>1102</v>
      </c>
      <c r="B952" s="7">
        <v>45405</v>
      </c>
      <c r="C952" s="13">
        <f t="shared" si="113"/>
        <v>2024</v>
      </c>
      <c r="D952" s="7" t="str">
        <f t="shared" si="114"/>
        <v>Apr</v>
      </c>
      <c r="E952" s="7" t="str">
        <f t="shared" si="115"/>
        <v>Tue</v>
      </c>
      <c r="F952" t="s">
        <v>493</v>
      </c>
      <c r="G952" t="s">
        <v>96</v>
      </c>
      <c r="H952" t="s">
        <v>22</v>
      </c>
      <c r="I952" s="2" t="str">
        <f t="shared" si="112"/>
        <v>East</v>
      </c>
      <c r="J952" t="s">
        <v>12</v>
      </c>
      <c r="K952" t="s">
        <v>13</v>
      </c>
      <c r="L952">
        <v>7</v>
      </c>
      <c r="M952">
        <v>120</v>
      </c>
      <c r="N952">
        <f t="shared" si="116"/>
        <v>840</v>
      </c>
      <c r="O952">
        <f t="shared" si="117"/>
        <v>84</v>
      </c>
      <c r="P952" t="str">
        <f t="shared" si="118"/>
        <v>Large Order</v>
      </c>
      <c r="Q952" t="str">
        <f t="shared" si="119"/>
        <v>Weekday</v>
      </c>
    </row>
    <row r="953" spans="1:17" x14ac:dyDescent="0.35">
      <c r="A953" t="s">
        <v>1103</v>
      </c>
      <c r="B953" s="7">
        <v>45531</v>
      </c>
      <c r="C953" s="13">
        <f t="shared" si="113"/>
        <v>2024</v>
      </c>
      <c r="D953" s="7" t="str">
        <f t="shared" si="114"/>
        <v>Aug</v>
      </c>
      <c r="E953" s="7" t="str">
        <f t="shared" si="115"/>
        <v>Tue</v>
      </c>
      <c r="F953" t="s">
        <v>541</v>
      </c>
      <c r="G953" t="s">
        <v>174</v>
      </c>
      <c r="H953" t="s">
        <v>11</v>
      </c>
      <c r="I953" s="2" t="str">
        <f t="shared" si="112"/>
        <v>North</v>
      </c>
      <c r="J953" t="s">
        <v>42</v>
      </c>
      <c r="K953" t="s">
        <v>13</v>
      </c>
      <c r="L953">
        <v>14</v>
      </c>
      <c r="M953">
        <v>120</v>
      </c>
      <c r="N953">
        <f t="shared" si="116"/>
        <v>1680</v>
      </c>
      <c r="O953">
        <f t="shared" si="117"/>
        <v>168</v>
      </c>
      <c r="P953" t="str">
        <f t="shared" si="118"/>
        <v>Large Order</v>
      </c>
      <c r="Q953" t="str">
        <f t="shared" si="119"/>
        <v>Weekday</v>
      </c>
    </row>
    <row r="954" spans="1:17" x14ac:dyDescent="0.35">
      <c r="A954" t="s">
        <v>1104</v>
      </c>
      <c r="B954" s="7">
        <v>45607</v>
      </c>
      <c r="C954" s="13">
        <f t="shared" si="113"/>
        <v>2024</v>
      </c>
      <c r="D954" s="7" t="str">
        <f t="shared" si="114"/>
        <v>Nov</v>
      </c>
      <c r="E954" s="7" t="str">
        <f t="shared" si="115"/>
        <v>Mon</v>
      </c>
      <c r="F954" t="s">
        <v>101</v>
      </c>
      <c r="G954" t="s">
        <v>84</v>
      </c>
      <c r="H954" t="s">
        <v>22</v>
      </c>
      <c r="I954" s="2" t="str">
        <f t="shared" si="112"/>
        <v>North</v>
      </c>
      <c r="J954" t="s">
        <v>12</v>
      </c>
      <c r="K954" t="s">
        <v>13</v>
      </c>
      <c r="L954">
        <v>3</v>
      </c>
      <c r="M954">
        <v>120</v>
      </c>
      <c r="N954">
        <f t="shared" si="116"/>
        <v>360</v>
      </c>
      <c r="O954">
        <f t="shared" si="117"/>
        <v>36</v>
      </c>
      <c r="P954" t="str">
        <f t="shared" si="118"/>
        <v>Standard Order</v>
      </c>
      <c r="Q954" t="str">
        <f t="shared" si="119"/>
        <v>Weekday</v>
      </c>
    </row>
    <row r="955" spans="1:17" x14ac:dyDescent="0.35">
      <c r="A955" t="s">
        <v>1105</v>
      </c>
      <c r="B955" s="7">
        <v>45402</v>
      </c>
      <c r="C955" s="13">
        <f t="shared" si="113"/>
        <v>2024</v>
      </c>
      <c r="D955" s="7" t="str">
        <f t="shared" si="114"/>
        <v>Apr</v>
      </c>
      <c r="E955" s="7" t="str">
        <f t="shared" si="115"/>
        <v>Sat</v>
      </c>
      <c r="F955" t="s">
        <v>363</v>
      </c>
      <c r="G955" t="s">
        <v>84</v>
      </c>
      <c r="H955" t="s">
        <v>11</v>
      </c>
      <c r="I955" s="2" t="str">
        <f t="shared" si="112"/>
        <v>South</v>
      </c>
      <c r="J955" t="s">
        <v>12</v>
      </c>
      <c r="K955" t="s">
        <v>28</v>
      </c>
      <c r="L955">
        <v>8</v>
      </c>
      <c r="M955">
        <v>120</v>
      </c>
      <c r="N955">
        <f t="shared" si="116"/>
        <v>960</v>
      </c>
      <c r="O955">
        <f t="shared" si="117"/>
        <v>96</v>
      </c>
      <c r="P955" t="str">
        <f t="shared" si="118"/>
        <v>Large Order</v>
      </c>
      <c r="Q955" t="str">
        <f t="shared" si="119"/>
        <v>Weekend</v>
      </c>
    </row>
    <row r="956" spans="1:17" x14ac:dyDescent="0.35">
      <c r="A956" t="s">
        <v>1106</v>
      </c>
      <c r="B956" s="7">
        <v>45390</v>
      </c>
      <c r="C956" s="13">
        <f t="shared" si="113"/>
        <v>2024</v>
      </c>
      <c r="D956" s="7" t="str">
        <f t="shared" si="114"/>
        <v>Apr</v>
      </c>
      <c r="E956" s="7" t="str">
        <f t="shared" si="115"/>
        <v>Mon</v>
      </c>
      <c r="F956" t="s">
        <v>339</v>
      </c>
      <c r="G956" t="s">
        <v>59</v>
      </c>
      <c r="H956" t="s">
        <v>22</v>
      </c>
      <c r="I956" s="2" t="str">
        <f t="shared" si="112"/>
        <v>Central</v>
      </c>
      <c r="J956" t="s">
        <v>56</v>
      </c>
      <c r="K956" t="s">
        <v>36</v>
      </c>
      <c r="L956">
        <v>6</v>
      </c>
      <c r="M956">
        <v>120</v>
      </c>
      <c r="N956">
        <f t="shared" si="116"/>
        <v>720</v>
      </c>
      <c r="O956">
        <f t="shared" si="117"/>
        <v>72</v>
      </c>
      <c r="P956" t="str">
        <f t="shared" si="118"/>
        <v>Large Order</v>
      </c>
      <c r="Q956" t="str">
        <f t="shared" si="119"/>
        <v>Weekday</v>
      </c>
    </row>
    <row r="957" spans="1:17" x14ac:dyDescent="0.35">
      <c r="A957" t="s">
        <v>1107</v>
      </c>
      <c r="B957" s="7">
        <v>45504</v>
      </c>
      <c r="C957" s="13">
        <f t="shared" si="113"/>
        <v>2024</v>
      </c>
      <c r="D957" s="7" t="str">
        <f t="shared" si="114"/>
        <v>Jul</v>
      </c>
      <c r="E957" s="7" t="str">
        <f t="shared" si="115"/>
        <v>Wed</v>
      </c>
      <c r="F957" t="s">
        <v>323</v>
      </c>
      <c r="G957" t="s">
        <v>48</v>
      </c>
      <c r="H957" t="s">
        <v>11</v>
      </c>
      <c r="I957" s="2" t="str">
        <f t="shared" si="112"/>
        <v>Central</v>
      </c>
      <c r="J957" t="s">
        <v>306</v>
      </c>
      <c r="K957" t="s">
        <v>23</v>
      </c>
      <c r="L957">
        <v>15</v>
      </c>
      <c r="M957">
        <v>120</v>
      </c>
      <c r="N957">
        <f t="shared" si="116"/>
        <v>1800</v>
      </c>
      <c r="O957">
        <f t="shared" si="117"/>
        <v>180</v>
      </c>
      <c r="P957" t="str">
        <f t="shared" si="118"/>
        <v>Large Order</v>
      </c>
      <c r="Q957" t="str">
        <f t="shared" si="119"/>
        <v>Weekday</v>
      </c>
    </row>
    <row r="958" spans="1:17" x14ac:dyDescent="0.35">
      <c r="A958" t="s">
        <v>1108</v>
      </c>
      <c r="B958" s="7">
        <v>45345</v>
      </c>
      <c r="C958" s="13">
        <f t="shared" si="113"/>
        <v>2024</v>
      </c>
      <c r="D958" s="7" t="str">
        <f t="shared" si="114"/>
        <v>Feb</v>
      </c>
      <c r="E958" s="7" t="str">
        <f t="shared" si="115"/>
        <v>Fri</v>
      </c>
      <c r="F958" t="s">
        <v>30</v>
      </c>
      <c r="G958" t="s">
        <v>31</v>
      </c>
      <c r="H958" t="s">
        <v>11</v>
      </c>
      <c r="I958" s="2" t="str">
        <f t="shared" si="112"/>
        <v>East</v>
      </c>
      <c r="J958" t="s">
        <v>306</v>
      </c>
      <c r="K958" t="s">
        <v>28</v>
      </c>
      <c r="L958">
        <v>17</v>
      </c>
      <c r="M958">
        <v>120</v>
      </c>
      <c r="N958">
        <f t="shared" si="116"/>
        <v>2040</v>
      </c>
      <c r="O958">
        <f t="shared" si="117"/>
        <v>204</v>
      </c>
      <c r="P958" t="str">
        <f t="shared" si="118"/>
        <v>Large Order</v>
      </c>
      <c r="Q958" t="str">
        <f t="shared" si="119"/>
        <v>Weekday</v>
      </c>
    </row>
    <row r="959" spans="1:17" x14ac:dyDescent="0.35">
      <c r="A959" t="s">
        <v>1109</v>
      </c>
      <c r="B959" s="7">
        <v>45565</v>
      </c>
      <c r="C959" s="13">
        <f t="shared" si="113"/>
        <v>2024</v>
      </c>
      <c r="D959" s="7" t="str">
        <f t="shared" si="114"/>
        <v>Sep</v>
      </c>
      <c r="E959" s="7" t="str">
        <f t="shared" si="115"/>
        <v>Mon</v>
      </c>
      <c r="F959" t="s">
        <v>327</v>
      </c>
      <c r="G959" t="s">
        <v>72</v>
      </c>
      <c r="H959" t="s">
        <v>17</v>
      </c>
      <c r="I959" s="2" t="str">
        <f t="shared" si="112"/>
        <v>West</v>
      </c>
      <c r="J959" t="s">
        <v>42</v>
      </c>
      <c r="K959" t="s">
        <v>32</v>
      </c>
      <c r="L959">
        <v>18</v>
      </c>
      <c r="M959">
        <v>120</v>
      </c>
      <c r="N959">
        <f t="shared" si="116"/>
        <v>2160</v>
      </c>
      <c r="O959">
        <f t="shared" si="117"/>
        <v>216</v>
      </c>
      <c r="P959" t="str">
        <f t="shared" si="118"/>
        <v>Large Order</v>
      </c>
      <c r="Q959" t="str">
        <f t="shared" si="119"/>
        <v>Weekday</v>
      </c>
    </row>
    <row r="960" spans="1:17" x14ac:dyDescent="0.35">
      <c r="A960" t="s">
        <v>1110</v>
      </c>
      <c r="B960" s="7">
        <v>45482</v>
      </c>
      <c r="C960" s="13">
        <f t="shared" si="113"/>
        <v>2024</v>
      </c>
      <c r="D960" s="7" t="str">
        <f t="shared" si="114"/>
        <v>Jul</v>
      </c>
      <c r="E960" s="7" t="str">
        <f t="shared" si="115"/>
        <v>Tue</v>
      </c>
      <c r="F960" t="s">
        <v>408</v>
      </c>
      <c r="G960" t="s">
        <v>84</v>
      </c>
      <c r="H960" t="s">
        <v>22</v>
      </c>
      <c r="I960" s="2" t="str">
        <f t="shared" si="112"/>
        <v>Central</v>
      </c>
      <c r="J960" t="s">
        <v>27</v>
      </c>
      <c r="K960" t="s">
        <v>36</v>
      </c>
      <c r="L960">
        <v>11</v>
      </c>
      <c r="M960">
        <v>120</v>
      </c>
      <c r="N960">
        <f t="shared" si="116"/>
        <v>1320</v>
      </c>
      <c r="O960">
        <f t="shared" si="117"/>
        <v>132</v>
      </c>
      <c r="P960" t="str">
        <f t="shared" si="118"/>
        <v>Large Order</v>
      </c>
      <c r="Q960" t="str">
        <f t="shared" si="119"/>
        <v>Weekday</v>
      </c>
    </row>
    <row r="961" spans="1:17" x14ac:dyDescent="0.35">
      <c r="A961" t="s">
        <v>1111</v>
      </c>
      <c r="B961" s="7">
        <v>45571</v>
      </c>
      <c r="C961" s="13">
        <f t="shared" si="113"/>
        <v>2024</v>
      </c>
      <c r="D961" s="7" t="str">
        <f t="shared" si="114"/>
        <v>Oct</v>
      </c>
      <c r="E961" s="7" t="str">
        <f t="shared" si="115"/>
        <v>Sun</v>
      </c>
      <c r="F961" t="s">
        <v>133</v>
      </c>
      <c r="G961" t="s">
        <v>84</v>
      </c>
      <c r="H961" t="s">
        <v>17</v>
      </c>
      <c r="I961" s="2" t="str">
        <f t="shared" si="112"/>
        <v>North</v>
      </c>
      <c r="J961" t="s">
        <v>306</v>
      </c>
      <c r="K961" t="s">
        <v>23</v>
      </c>
      <c r="L961">
        <v>9</v>
      </c>
      <c r="M961">
        <v>120</v>
      </c>
      <c r="N961">
        <f t="shared" si="116"/>
        <v>1080</v>
      </c>
      <c r="O961">
        <f t="shared" si="117"/>
        <v>108</v>
      </c>
      <c r="P961" t="str">
        <f t="shared" si="118"/>
        <v>Large Order</v>
      </c>
      <c r="Q961" t="str">
        <f t="shared" si="119"/>
        <v>Weekend</v>
      </c>
    </row>
    <row r="962" spans="1:17" x14ac:dyDescent="0.35">
      <c r="A962" t="s">
        <v>1112</v>
      </c>
      <c r="B962" s="7">
        <v>45521</v>
      </c>
      <c r="C962" s="13">
        <f t="shared" si="113"/>
        <v>2024</v>
      </c>
      <c r="D962" s="7" t="str">
        <f t="shared" si="114"/>
        <v>Aug</v>
      </c>
      <c r="E962" s="7" t="str">
        <f t="shared" si="115"/>
        <v>Sat</v>
      </c>
      <c r="F962" t="s">
        <v>106</v>
      </c>
      <c r="G962" t="s">
        <v>74</v>
      </c>
      <c r="H962" t="s">
        <v>11</v>
      </c>
      <c r="I962" s="2" t="str">
        <f t="shared" si="112"/>
        <v>South</v>
      </c>
      <c r="J962" t="s">
        <v>12</v>
      </c>
      <c r="K962" t="s">
        <v>28</v>
      </c>
      <c r="L962">
        <v>20</v>
      </c>
      <c r="M962">
        <v>120</v>
      </c>
      <c r="N962">
        <f t="shared" si="116"/>
        <v>2400</v>
      </c>
      <c r="O962">
        <f t="shared" si="117"/>
        <v>240</v>
      </c>
      <c r="P962" t="str">
        <f t="shared" si="118"/>
        <v>Large Order</v>
      </c>
      <c r="Q962" t="str">
        <f t="shared" si="119"/>
        <v>Weekend</v>
      </c>
    </row>
    <row r="963" spans="1:17" x14ac:dyDescent="0.35">
      <c r="A963" t="s">
        <v>1113</v>
      </c>
      <c r="B963" s="7">
        <v>45446</v>
      </c>
      <c r="C963" s="13">
        <f t="shared" si="113"/>
        <v>2024</v>
      </c>
      <c r="D963" s="7" t="str">
        <f t="shared" si="114"/>
        <v>Jun</v>
      </c>
      <c r="E963" s="7" t="str">
        <f t="shared" si="115"/>
        <v>Mon</v>
      </c>
      <c r="F963" t="s">
        <v>25</v>
      </c>
      <c r="G963" t="s">
        <v>65</v>
      </c>
      <c r="H963" t="s">
        <v>17</v>
      </c>
      <c r="I963" s="2" t="str">
        <f t="shared" ref="I963:I1026" si="120">TRIM(J964)</f>
        <v>Central</v>
      </c>
      <c r="J963" t="s">
        <v>56</v>
      </c>
      <c r="K963" t="s">
        <v>32</v>
      </c>
      <c r="L963">
        <v>11</v>
      </c>
      <c r="M963">
        <v>120</v>
      </c>
      <c r="N963">
        <f t="shared" si="116"/>
        <v>1320</v>
      </c>
      <c r="O963">
        <f t="shared" si="117"/>
        <v>132</v>
      </c>
      <c r="P963" t="str">
        <f t="shared" si="118"/>
        <v>Large Order</v>
      </c>
      <c r="Q963" t="str">
        <f t="shared" si="119"/>
        <v>Weekday</v>
      </c>
    </row>
    <row r="964" spans="1:17" x14ac:dyDescent="0.35">
      <c r="A964" t="s">
        <v>1114</v>
      </c>
      <c r="B964" s="7">
        <v>45575</v>
      </c>
      <c r="C964" s="13">
        <f t="shared" ref="C964:C1027" si="121">YEAR(B964)</f>
        <v>2024</v>
      </c>
      <c r="D964" s="7" t="str">
        <f t="shared" ref="D964:D1027" si="122">TEXT(B964,"mmm")</f>
        <v>Oct</v>
      </c>
      <c r="E964" s="7" t="str">
        <f t="shared" ref="E964:E1027" si="123">TEXT(B964,"ddd")</f>
        <v>Thu</v>
      </c>
      <c r="F964" t="s">
        <v>345</v>
      </c>
      <c r="G964" t="s">
        <v>59</v>
      </c>
      <c r="H964" t="s">
        <v>22</v>
      </c>
      <c r="I964" s="2" t="str">
        <f t="shared" si="120"/>
        <v>East</v>
      </c>
      <c r="J964" t="s">
        <v>306</v>
      </c>
      <c r="K964" t="s">
        <v>23</v>
      </c>
      <c r="L964">
        <v>5</v>
      </c>
      <c r="M964">
        <v>120</v>
      </c>
      <c r="N964">
        <f t="shared" ref="N964:N1027" si="124">M964*L964</f>
        <v>600</v>
      </c>
      <c r="O964">
        <f t="shared" ref="O964:O1027" si="125">N964*0.1</f>
        <v>60</v>
      </c>
      <c r="P964" t="str">
        <f t="shared" ref="P964:P1027" si="126">IF(N964&gt;500,"Large Order","Standard Order")</f>
        <v>Large Order</v>
      </c>
      <c r="Q964" t="str">
        <f t="shared" ref="Q964:Q1027" si="127">IF(OR(TRIM(E964)="Sat",TRIM(E964)="Sun"),"Weekend","Weekday")</f>
        <v>Weekday</v>
      </c>
    </row>
    <row r="965" spans="1:17" x14ac:dyDescent="0.35">
      <c r="A965" t="s">
        <v>1115</v>
      </c>
      <c r="B965" s="7">
        <v>45474</v>
      </c>
      <c r="C965" s="13">
        <f t="shared" si="121"/>
        <v>2024</v>
      </c>
      <c r="D965" s="7" t="str">
        <f t="shared" si="122"/>
        <v>Jul</v>
      </c>
      <c r="E965" s="7" t="str">
        <f t="shared" si="123"/>
        <v>Mon</v>
      </c>
      <c r="F965" t="s">
        <v>125</v>
      </c>
      <c r="G965" t="s">
        <v>48</v>
      </c>
      <c r="H965" t="s">
        <v>11</v>
      </c>
      <c r="I965" s="2" t="str">
        <f t="shared" si="120"/>
        <v>West</v>
      </c>
      <c r="J965" t="s">
        <v>42</v>
      </c>
      <c r="K965" t="s">
        <v>32</v>
      </c>
      <c r="L965">
        <v>19</v>
      </c>
      <c r="M965">
        <v>120</v>
      </c>
      <c r="N965">
        <f t="shared" si="124"/>
        <v>2280</v>
      </c>
      <c r="O965">
        <f t="shared" si="125"/>
        <v>228</v>
      </c>
      <c r="P965" t="str">
        <f t="shared" si="126"/>
        <v>Large Order</v>
      </c>
      <c r="Q965" t="str">
        <f t="shared" si="127"/>
        <v>Weekday</v>
      </c>
    </row>
    <row r="966" spans="1:17" x14ac:dyDescent="0.35">
      <c r="A966" t="s">
        <v>1116</v>
      </c>
      <c r="B966" s="7">
        <v>45445</v>
      </c>
      <c r="C966" s="13">
        <f t="shared" si="121"/>
        <v>2024</v>
      </c>
      <c r="D966" s="7" t="str">
        <f t="shared" si="122"/>
        <v>Jun</v>
      </c>
      <c r="E966" s="7" t="str">
        <f t="shared" si="123"/>
        <v>Sun</v>
      </c>
      <c r="F966" t="s">
        <v>203</v>
      </c>
      <c r="G966" t="s">
        <v>59</v>
      </c>
      <c r="H966" t="s">
        <v>22</v>
      </c>
      <c r="I966" s="2" t="str">
        <f t="shared" si="120"/>
        <v>Central</v>
      </c>
      <c r="J966" t="s">
        <v>27</v>
      </c>
      <c r="K966" t="s">
        <v>32</v>
      </c>
      <c r="L966">
        <v>7</v>
      </c>
      <c r="M966">
        <v>120</v>
      </c>
      <c r="N966">
        <f t="shared" si="124"/>
        <v>840</v>
      </c>
      <c r="O966">
        <f t="shared" si="125"/>
        <v>84</v>
      </c>
      <c r="P966" t="str">
        <f t="shared" si="126"/>
        <v>Large Order</v>
      </c>
      <c r="Q966" t="str">
        <f t="shared" si="127"/>
        <v>Weekend</v>
      </c>
    </row>
    <row r="967" spans="1:17" x14ac:dyDescent="0.35">
      <c r="A967" t="s">
        <v>1117</v>
      </c>
      <c r="B967" s="7">
        <v>45539</v>
      </c>
      <c r="C967" s="13">
        <f t="shared" si="121"/>
        <v>2024</v>
      </c>
      <c r="D967" s="7" t="str">
        <f t="shared" si="122"/>
        <v>Sep</v>
      </c>
      <c r="E967" s="7" t="str">
        <f t="shared" si="123"/>
        <v>Wed</v>
      </c>
      <c r="F967" t="s">
        <v>235</v>
      </c>
      <c r="G967" t="s">
        <v>102</v>
      </c>
      <c r="H967" t="s">
        <v>17</v>
      </c>
      <c r="I967" s="2" t="str">
        <f t="shared" si="120"/>
        <v>North</v>
      </c>
      <c r="J967" t="s">
        <v>306</v>
      </c>
      <c r="K967" t="s">
        <v>13</v>
      </c>
      <c r="L967">
        <v>20</v>
      </c>
      <c r="M967">
        <v>120</v>
      </c>
      <c r="N967">
        <f t="shared" si="124"/>
        <v>2400</v>
      </c>
      <c r="O967">
        <f t="shared" si="125"/>
        <v>240</v>
      </c>
      <c r="P967" t="str">
        <f t="shared" si="126"/>
        <v>Large Order</v>
      </c>
      <c r="Q967" t="str">
        <f t="shared" si="127"/>
        <v>Weekday</v>
      </c>
    </row>
    <row r="968" spans="1:17" x14ac:dyDescent="0.35">
      <c r="A968" t="s">
        <v>1118</v>
      </c>
      <c r="B968" s="7">
        <v>45587</v>
      </c>
      <c r="C968" s="13">
        <f t="shared" si="121"/>
        <v>2024</v>
      </c>
      <c r="D968" s="7" t="str">
        <f t="shared" si="122"/>
        <v>Oct</v>
      </c>
      <c r="E968" s="7" t="str">
        <f t="shared" si="123"/>
        <v>Tue</v>
      </c>
      <c r="F968" t="s">
        <v>159</v>
      </c>
      <c r="G968" t="s">
        <v>119</v>
      </c>
      <c r="H968" t="s">
        <v>11</v>
      </c>
      <c r="I968" s="2" t="str">
        <f t="shared" si="120"/>
        <v>Central</v>
      </c>
      <c r="J968" t="s">
        <v>12</v>
      </c>
      <c r="K968" t="s">
        <v>23</v>
      </c>
      <c r="L968">
        <v>11</v>
      </c>
      <c r="M968">
        <v>120</v>
      </c>
      <c r="N968">
        <f t="shared" si="124"/>
        <v>1320</v>
      </c>
      <c r="O968">
        <f t="shared" si="125"/>
        <v>132</v>
      </c>
      <c r="P968" t="str">
        <f t="shared" si="126"/>
        <v>Large Order</v>
      </c>
      <c r="Q968" t="str">
        <f t="shared" si="127"/>
        <v>Weekday</v>
      </c>
    </row>
    <row r="969" spans="1:17" x14ac:dyDescent="0.35">
      <c r="A969" t="s">
        <v>1119</v>
      </c>
      <c r="B969" s="7">
        <v>45505</v>
      </c>
      <c r="C969" s="13">
        <f t="shared" si="121"/>
        <v>2024</v>
      </c>
      <c r="D969" s="7" t="str">
        <f t="shared" si="122"/>
        <v>Aug</v>
      </c>
      <c r="E969" s="7" t="str">
        <f t="shared" si="123"/>
        <v>Thu</v>
      </c>
      <c r="F969" t="s">
        <v>114</v>
      </c>
      <c r="G969" t="s">
        <v>96</v>
      </c>
      <c r="H969" t="s">
        <v>11</v>
      </c>
      <c r="I969" s="2" t="str">
        <f t="shared" si="120"/>
        <v>Central</v>
      </c>
      <c r="J969" t="s">
        <v>306</v>
      </c>
      <c r="K969" t="s">
        <v>36</v>
      </c>
      <c r="L969">
        <v>13</v>
      </c>
      <c r="M969">
        <v>120</v>
      </c>
      <c r="N969">
        <f t="shared" si="124"/>
        <v>1560</v>
      </c>
      <c r="O969">
        <f t="shared" si="125"/>
        <v>156</v>
      </c>
      <c r="P969" t="str">
        <f t="shared" si="126"/>
        <v>Large Order</v>
      </c>
      <c r="Q969" t="str">
        <f t="shared" si="127"/>
        <v>Weekday</v>
      </c>
    </row>
    <row r="970" spans="1:17" x14ac:dyDescent="0.35">
      <c r="A970" t="s">
        <v>1120</v>
      </c>
      <c r="B970" s="7">
        <v>45313</v>
      </c>
      <c r="C970" s="13">
        <f t="shared" si="121"/>
        <v>2024</v>
      </c>
      <c r="D970" s="7" t="str">
        <f t="shared" si="122"/>
        <v>Jan</v>
      </c>
      <c r="E970" s="7" t="str">
        <f t="shared" si="123"/>
        <v>Mon</v>
      </c>
      <c r="F970" t="s">
        <v>38</v>
      </c>
      <c r="G970" t="s">
        <v>16</v>
      </c>
      <c r="H970" t="s">
        <v>22</v>
      </c>
      <c r="I970" s="2" t="str">
        <f t="shared" si="120"/>
        <v>West</v>
      </c>
      <c r="J970" t="s">
        <v>306</v>
      </c>
      <c r="K970" t="s">
        <v>28</v>
      </c>
      <c r="L970">
        <v>11</v>
      </c>
      <c r="M970">
        <v>120</v>
      </c>
      <c r="N970">
        <f t="shared" si="124"/>
        <v>1320</v>
      </c>
      <c r="O970">
        <f t="shared" si="125"/>
        <v>132</v>
      </c>
      <c r="P970" t="str">
        <f t="shared" si="126"/>
        <v>Large Order</v>
      </c>
      <c r="Q970" t="str">
        <f t="shared" si="127"/>
        <v>Weekday</v>
      </c>
    </row>
    <row r="971" spans="1:17" x14ac:dyDescent="0.35">
      <c r="A971" t="s">
        <v>1121</v>
      </c>
      <c r="B971" s="7">
        <v>45370</v>
      </c>
      <c r="C971" s="13">
        <f t="shared" si="121"/>
        <v>2024</v>
      </c>
      <c r="D971" s="7" t="str">
        <f t="shared" si="122"/>
        <v>Mar</v>
      </c>
      <c r="E971" s="7" t="str">
        <f t="shared" si="123"/>
        <v>Tue</v>
      </c>
      <c r="F971" t="s">
        <v>9</v>
      </c>
      <c r="G971" t="s">
        <v>70</v>
      </c>
      <c r="H971" t="s">
        <v>22</v>
      </c>
      <c r="I971" s="2" t="str">
        <f t="shared" si="120"/>
        <v>West</v>
      </c>
      <c r="J971" t="s">
        <v>27</v>
      </c>
      <c r="K971" t="s">
        <v>13</v>
      </c>
      <c r="L971">
        <v>20</v>
      </c>
      <c r="M971">
        <v>120</v>
      </c>
      <c r="N971">
        <f t="shared" si="124"/>
        <v>2400</v>
      </c>
      <c r="O971">
        <f t="shared" si="125"/>
        <v>240</v>
      </c>
      <c r="P971" t="str">
        <f t="shared" si="126"/>
        <v>Large Order</v>
      </c>
      <c r="Q971" t="str">
        <f t="shared" si="127"/>
        <v>Weekday</v>
      </c>
    </row>
    <row r="972" spans="1:17" x14ac:dyDescent="0.35">
      <c r="A972" t="s">
        <v>1122</v>
      </c>
      <c r="B972" s="7">
        <v>45405</v>
      </c>
      <c r="C972" s="13">
        <f t="shared" si="121"/>
        <v>2024</v>
      </c>
      <c r="D972" s="7" t="str">
        <f t="shared" si="122"/>
        <v>Apr</v>
      </c>
      <c r="E972" s="7" t="str">
        <f t="shared" si="123"/>
        <v>Tue</v>
      </c>
      <c r="F972" t="s">
        <v>348</v>
      </c>
      <c r="G972" t="s">
        <v>16</v>
      </c>
      <c r="H972" t="s">
        <v>17</v>
      </c>
      <c r="I972" s="2" t="str">
        <f t="shared" si="120"/>
        <v>Central</v>
      </c>
      <c r="J972" t="s">
        <v>27</v>
      </c>
      <c r="K972" t="s">
        <v>23</v>
      </c>
      <c r="L972">
        <v>5</v>
      </c>
      <c r="M972">
        <v>120</v>
      </c>
      <c r="N972">
        <f t="shared" si="124"/>
        <v>600</v>
      </c>
      <c r="O972">
        <f t="shared" si="125"/>
        <v>60</v>
      </c>
      <c r="P972" t="str">
        <f t="shared" si="126"/>
        <v>Large Order</v>
      </c>
      <c r="Q972" t="str">
        <f t="shared" si="127"/>
        <v>Weekday</v>
      </c>
    </row>
    <row r="973" spans="1:17" x14ac:dyDescent="0.35">
      <c r="A973" t="s">
        <v>1123</v>
      </c>
      <c r="B973" s="7">
        <v>45584</v>
      </c>
      <c r="C973" s="13">
        <f t="shared" si="121"/>
        <v>2024</v>
      </c>
      <c r="D973" s="7" t="str">
        <f t="shared" si="122"/>
        <v>Oct</v>
      </c>
      <c r="E973" s="7" t="str">
        <f t="shared" si="123"/>
        <v>Sat</v>
      </c>
      <c r="F973" t="s">
        <v>323</v>
      </c>
      <c r="G973" t="s">
        <v>31</v>
      </c>
      <c r="H973" t="s">
        <v>11</v>
      </c>
      <c r="I973" s="2" t="str">
        <f t="shared" si="120"/>
        <v>South</v>
      </c>
      <c r="J973" t="s">
        <v>306</v>
      </c>
      <c r="K973" t="s">
        <v>36</v>
      </c>
      <c r="L973">
        <v>9</v>
      </c>
      <c r="M973">
        <v>120</v>
      </c>
      <c r="N973">
        <f t="shared" si="124"/>
        <v>1080</v>
      </c>
      <c r="O973">
        <f t="shared" si="125"/>
        <v>108</v>
      </c>
      <c r="P973" t="str">
        <f t="shared" si="126"/>
        <v>Large Order</v>
      </c>
      <c r="Q973" t="str">
        <f t="shared" si="127"/>
        <v>Weekend</v>
      </c>
    </row>
    <row r="974" spans="1:17" x14ac:dyDescent="0.35">
      <c r="A974" t="s">
        <v>1124</v>
      </c>
      <c r="B974" s="7">
        <v>45514</v>
      </c>
      <c r="C974" s="13">
        <f t="shared" si="121"/>
        <v>2024</v>
      </c>
      <c r="D974" s="7" t="str">
        <f t="shared" si="122"/>
        <v>Aug</v>
      </c>
      <c r="E974" s="7" t="str">
        <f t="shared" si="123"/>
        <v>Sat</v>
      </c>
      <c r="F974" t="s">
        <v>420</v>
      </c>
      <c r="G974" t="s">
        <v>119</v>
      </c>
      <c r="H974" t="s">
        <v>22</v>
      </c>
      <c r="I974" s="2" t="str">
        <f t="shared" si="120"/>
        <v>Central</v>
      </c>
      <c r="J974" t="s">
        <v>56</v>
      </c>
      <c r="K974" t="s">
        <v>28</v>
      </c>
      <c r="L974">
        <v>5</v>
      </c>
      <c r="M974">
        <v>120</v>
      </c>
      <c r="N974">
        <f t="shared" si="124"/>
        <v>600</v>
      </c>
      <c r="O974">
        <f t="shared" si="125"/>
        <v>60</v>
      </c>
      <c r="P974" t="str">
        <f t="shared" si="126"/>
        <v>Large Order</v>
      </c>
      <c r="Q974" t="str">
        <f t="shared" si="127"/>
        <v>Weekend</v>
      </c>
    </row>
    <row r="975" spans="1:17" x14ac:dyDescent="0.35">
      <c r="A975" t="s">
        <v>1125</v>
      </c>
      <c r="B975" s="7">
        <v>45541</v>
      </c>
      <c r="C975" s="13">
        <f t="shared" si="121"/>
        <v>2024</v>
      </c>
      <c r="D975" s="7" t="str">
        <f t="shared" si="122"/>
        <v>Sep</v>
      </c>
      <c r="E975" s="7" t="str">
        <f t="shared" si="123"/>
        <v>Fri</v>
      </c>
      <c r="F975" t="s">
        <v>106</v>
      </c>
      <c r="G975" t="s">
        <v>65</v>
      </c>
      <c r="H975" t="s">
        <v>22</v>
      </c>
      <c r="I975" s="2" t="str">
        <f t="shared" si="120"/>
        <v>East</v>
      </c>
      <c r="J975" t="s">
        <v>306</v>
      </c>
      <c r="K975" t="s">
        <v>36</v>
      </c>
      <c r="L975">
        <v>18</v>
      </c>
      <c r="M975">
        <v>120</v>
      </c>
      <c r="N975">
        <f t="shared" si="124"/>
        <v>2160</v>
      </c>
      <c r="O975">
        <f t="shared" si="125"/>
        <v>216</v>
      </c>
      <c r="P975" t="str">
        <f t="shared" si="126"/>
        <v>Large Order</v>
      </c>
      <c r="Q975" t="str">
        <f t="shared" si="127"/>
        <v>Weekday</v>
      </c>
    </row>
    <row r="976" spans="1:17" x14ac:dyDescent="0.35">
      <c r="A976" t="s">
        <v>1126</v>
      </c>
      <c r="B976" s="7">
        <v>45418</v>
      </c>
      <c r="C976" s="13">
        <f t="shared" si="121"/>
        <v>2024</v>
      </c>
      <c r="D976" s="7" t="str">
        <f t="shared" si="122"/>
        <v>May</v>
      </c>
      <c r="E976" s="7" t="str">
        <f t="shared" si="123"/>
        <v>Mon</v>
      </c>
      <c r="F976" t="s">
        <v>78</v>
      </c>
      <c r="G976" t="s">
        <v>119</v>
      </c>
      <c r="H976" t="s">
        <v>11</v>
      </c>
      <c r="I976" s="2" t="str">
        <f t="shared" si="120"/>
        <v>West</v>
      </c>
      <c r="J976" t="s">
        <v>42</v>
      </c>
      <c r="K976" t="s">
        <v>36</v>
      </c>
      <c r="L976">
        <v>14</v>
      </c>
      <c r="M976">
        <v>120</v>
      </c>
      <c r="N976">
        <f t="shared" si="124"/>
        <v>1680</v>
      </c>
      <c r="O976">
        <f t="shared" si="125"/>
        <v>168</v>
      </c>
      <c r="P976" t="str">
        <f t="shared" si="126"/>
        <v>Large Order</v>
      </c>
      <c r="Q976" t="str">
        <f t="shared" si="127"/>
        <v>Weekday</v>
      </c>
    </row>
    <row r="977" spans="1:17" x14ac:dyDescent="0.35">
      <c r="A977" t="s">
        <v>1127</v>
      </c>
      <c r="B977" s="7">
        <v>45337</v>
      </c>
      <c r="C977" s="13">
        <f t="shared" si="121"/>
        <v>2024</v>
      </c>
      <c r="D977" s="7" t="str">
        <f t="shared" si="122"/>
        <v>Feb</v>
      </c>
      <c r="E977" s="7" t="str">
        <f t="shared" si="123"/>
        <v>Thu</v>
      </c>
      <c r="F977" t="s">
        <v>40</v>
      </c>
      <c r="G977" t="s">
        <v>87</v>
      </c>
      <c r="H977" t="s">
        <v>22</v>
      </c>
      <c r="I977" s="2" t="str">
        <f t="shared" si="120"/>
        <v>North</v>
      </c>
      <c r="J977" t="s">
        <v>27</v>
      </c>
      <c r="K977" t="s">
        <v>32</v>
      </c>
      <c r="L977">
        <v>12</v>
      </c>
      <c r="M977">
        <v>120</v>
      </c>
      <c r="N977">
        <f t="shared" si="124"/>
        <v>1440</v>
      </c>
      <c r="O977">
        <f t="shared" si="125"/>
        <v>144</v>
      </c>
      <c r="P977" t="str">
        <f t="shared" si="126"/>
        <v>Large Order</v>
      </c>
      <c r="Q977" t="str">
        <f t="shared" si="127"/>
        <v>Weekday</v>
      </c>
    </row>
    <row r="978" spans="1:17" x14ac:dyDescent="0.35">
      <c r="A978" t="s">
        <v>1128</v>
      </c>
      <c r="B978" s="7">
        <v>45468</v>
      </c>
      <c r="C978" s="13">
        <f t="shared" si="121"/>
        <v>2024</v>
      </c>
      <c r="D978" s="7" t="str">
        <f t="shared" si="122"/>
        <v>Jun</v>
      </c>
      <c r="E978" s="7" t="str">
        <f t="shared" si="123"/>
        <v>Tue</v>
      </c>
      <c r="F978" t="s">
        <v>327</v>
      </c>
      <c r="G978" t="s">
        <v>119</v>
      </c>
      <c r="H978" t="s">
        <v>22</v>
      </c>
      <c r="I978" s="2" t="str">
        <f t="shared" si="120"/>
        <v>South</v>
      </c>
      <c r="J978" t="s">
        <v>12</v>
      </c>
      <c r="K978" t="s">
        <v>32</v>
      </c>
      <c r="L978">
        <v>10</v>
      </c>
      <c r="M978">
        <v>120</v>
      </c>
      <c r="N978">
        <f t="shared" si="124"/>
        <v>1200</v>
      </c>
      <c r="O978">
        <f t="shared" si="125"/>
        <v>120</v>
      </c>
      <c r="P978" t="str">
        <f t="shared" si="126"/>
        <v>Large Order</v>
      </c>
      <c r="Q978" t="str">
        <f t="shared" si="127"/>
        <v>Weekday</v>
      </c>
    </row>
    <row r="979" spans="1:17" x14ac:dyDescent="0.35">
      <c r="A979" t="s">
        <v>1129</v>
      </c>
      <c r="B979" s="7">
        <v>45607</v>
      </c>
      <c r="C979" s="13">
        <f t="shared" si="121"/>
        <v>2024</v>
      </c>
      <c r="D979" s="7" t="str">
        <f t="shared" si="122"/>
        <v>Nov</v>
      </c>
      <c r="E979" s="7" t="str">
        <f t="shared" si="123"/>
        <v>Mon</v>
      </c>
      <c r="F979" t="s">
        <v>396</v>
      </c>
      <c r="G979" t="s">
        <v>70</v>
      </c>
      <c r="H979" t="s">
        <v>22</v>
      </c>
      <c r="I979" s="2" t="str">
        <f t="shared" si="120"/>
        <v>South</v>
      </c>
      <c r="J979" t="s">
        <v>56</v>
      </c>
      <c r="K979" t="s">
        <v>28</v>
      </c>
      <c r="L979">
        <v>2</v>
      </c>
      <c r="M979">
        <v>120</v>
      </c>
      <c r="N979">
        <f t="shared" si="124"/>
        <v>240</v>
      </c>
      <c r="O979">
        <f t="shared" si="125"/>
        <v>24</v>
      </c>
      <c r="P979" t="str">
        <f t="shared" si="126"/>
        <v>Standard Order</v>
      </c>
      <c r="Q979" t="str">
        <f t="shared" si="127"/>
        <v>Weekday</v>
      </c>
    </row>
    <row r="980" spans="1:17" x14ac:dyDescent="0.35">
      <c r="A980" t="s">
        <v>1130</v>
      </c>
      <c r="B980" s="7">
        <v>45394</v>
      </c>
      <c r="C980" s="13">
        <f t="shared" si="121"/>
        <v>2024</v>
      </c>
      <c r="D980" s="7" t="str">
        <f t="shared" si="122"/>
        <v>Apr</v>
      </c>
      <c r="E980" s="7" t="str">
        <f t="shared" si="123"/>
        <v>Fri</v>
      </c>
      <c r="F980" t="s">
        <v>455</v>
      </c>
      <c r="G980" t="s">
        <v>119</v>
      </c>
      <c r="H980" t="s">
        <v>17</v>
      </c>
      <c r="I980" s="2" t="str">
        <f t="shared" si="120"/>
        <v>East</v>
      </c>
      <c r="J980" t="s">
        <v>56</v>
      </c>
      <c r="K980" t="s">
        <v>13</v>
      </c>
      <c r="L980">
        <v>3</v>
      </c>
      <c r="M980">
        <v>120</v>
      </c>
      <c r="N980">
        <f t="shared" si="124"/>
        <v>360</v>
      </c>
      <c r="O980">
        <f t="shared" si="125"/>
        <v>36</v>
      </c>
      <c r="P980" t="str">
        <f t="shared" si="126"/>
        <v>Standard Order</v>
      </c>
      <c r="Q980" t="str">
        <f t="shared" si="127"/>
        <v>Weekday</v>
      </c>
    </row>
    <row r="981" spans="1:17" x14ac:dyDescent="0.35">
      <c r="A981" t="s">
        <v>1131</v>
      </c>
      <c r="B981" s="7">
        <v>45416</v>
      </c>
      <c r="C981" s="13">
        <f t="shared" si="121"/>
        <v>2024</v>
      </c>
      <c r="D981" s="7" t="str">
        <f t="shared" si="122"/>
        <v>May</v>
      </c>
      <c r="E981" s="7" t="str">
        <f t="shared" si="123"/>
        <v>Sat</v>
      </c>
      <c r="F981" t="s">
        <v>381</v>
      </c>
      <c r="G981" t="s">
        <v>96</v>
      </c>
      <c r="H981" t="s">
        <v>11</v>
      </c>
      <c r="I981" s="2" t="str">
        <f t="shared" si="120"/>
        <v>North</v>
      </c>
      <c r="J981" t="s">
        <v>42</v>
      </c>
      <c r="K981" t="s">
        <v>13</v>
      </c>
      <c r="L981">
        <v>11</v>
      </c>
      <c r="M981">
        <v>120</v>
      </c>
      <c r="N981">
        <f t="shared" si="124"/>
        <v>1320</v>
      </c>
      <c r="O981">
        <f t="shared" si="125"/>
        <v>132</v>
      </c>
      <c r="P981" t="str">
        <f t="shared" si="126"/>
        <v>Large Order</v>
      </c>
      <c r="Q981" t="str">
        <f t="shared" si="127"/>
        <v>Weekend</v>
      </c>
    </row>
    <row r="982" spans="1:17" x14ac:dyDescent="0.35">
      <c r="A982" t="s">
        <v>1132</v>
      </c>
      <c r="B982" s="7">
        <v>45448</v>
      </c>
      <c r="C982" s="13">
        <f t="shared" si="121"/>
        <v>2024</v>
      </c>
      <c r="D982" s="7" t="str">
        <f t="shared" si="122"/>
        <v>Jun</v>
      </c>
      <c r="E982" s="7" t="str">
        <f t="shared" si="123"/>
        <v>Wed</v>
      </c>
      <c r="F982" t="s">
        <v>430</v>
      </c>
      <c r="G982" t="s">
        <v>72</v>
      </c>
      <c r="H982" t="s">
        <v>17</v>
      </c>
      <c r="I982" s="2" t="str">
        <f t="shared" si="120"/>
        <v>East</v>
      </c>
      <c r="J982" t="s">
        <v>12</v>
      </c>
      <c r="K982" t="s">
        <v>28</v>
      </c>
      <c r="L982">
        <v>7</v>
      </c>
      <c r="M982">
        <v>120</v>
      </c>
      <c r="N982">
        <f t="shared" si="124"/>
        <v>840</v>
      </c>
      <c r="O982">
        <f t="shared" si="125"/>
        <v>84</v>
      </c>
      <c r="P982" t="str">
        <f t="shared" si="126"/>
        <v>Large Order</v>
      </c>
      <c r="Q982" t="str">
        <f t="shared" si="127"/>
        <v>Weekday</v>
      </c>
    </row>
    <row r="983" spans="1:17" x14ac:dyDescent="0.35">
      <c r="A983" t="s">
        <v>1133</v>
      </c>
      <c r="B983" s="7">
        <v>45396</v>
      </c>
      <c r="C983" s="13">
        <f t="shared" si="121"/>
        <v>2024</v>
      </c>
      <c r="D983" s="7" t="str">
        <f t="shared" si="122"/>
        <v>Apr</v>
      </c>
      <c r="E983" s="7" t="str">
        <f t="shared" si="123"/>
        <v>Sun</v>
      </c>
      <c r="F983" t="s">
        <v>591</v>
      </c>
      <c r="G983" t="s">
        <v>174</v>
      </c>
      <c r="H983" t="s">
        <v>22</v>
      </c>
      <c r="I983" s="2" t="str">
        <f t="shared" si="120"/>
        <v>North</v>
      </c>
      <c r="J983" t="s">
        <v>42</v>
      </c>
      <c r="K983" t="s">
        <v>28</v>
      </c>
      <c r="L983">
        <v>16</v>
      </c>
      <c r="M983">
        <v>120</v>
      </c>
      <c r="N983">
        <f t="shared" si="124"/>
        <v>1920</v>
      </c>
      <c r="O983">
        <f t="shared" si="125"/>
        <v>192</v>
      </c>
      <c r="P983" t="str">
        <f t="shared" si="126"/>
        <v>Large Order</v>
      </c>
      <c r="Q983" t="str">
        <f t="shared" si="127"/>
        <v>Weekend</v>
      </c>
    </row>
    <row r="984" spans="1:17" x14ac:dyDescent="0.35">
      <c r="A984" t="s">
        <v>1134</v>
      </c>
      <c r="B984" s="7">
        <v>45647</v>
      </c>
      <c r="C984" s="13">
        <f t="shared" si="121"/>
        <v>2024</v>
      </c>
      <c r="D984" s="7" t="str">
        <f t="shared" si="122"/>
        <v>Dec</v>
      </c>
      <c r="E984" s="7" t="str">
        <f t="shared" si="123"/>
        <v>Sat</v>
      </c>
      <c r="F984" t="s">
        <v>424</v>
      </c>
      <c r="G984" t="s">
        <v>31</v>
      </c>
      <c r="H984" t="s">
        <v>22</v>
      </c>
      <c r="I984" s="2" t="str">
        <f t="shared" si="120"/>
        <v>North</v>
      </c>
      <c r="J984" t="s">
        <v>12</v>
      </c>
      <c r="K984" t="s">
        <v>36</v>
      </c>
      <c r="L984">
        <v>19</v>
      </c>
      <c r="M984">
        <v>120</v>
      </c>
      <c r="N984">
        <f t="shared" si="124"/>
        <v>2280</v>
      </c>
      <c r="O984">
        <f t="shared" si="125"/>
        <v>228</v>
      </c>
      <c r="P984" t="str">
        <f t="shared" si="126"/>
        <v>Large Order</v>
      </c>
      <c r="Q984" t="str">
        <f t="shared" si="127"/>
        <v>Weekend</v>
      </c>
    </row>
    <row r="985" spans="1:17" x14ac:dyDescent="0.35">
      <c r="A985" t="s">
        <v>1135</v>
      </c>
      <c r="B985" s="7">
        <v>45314</v>
      </c>
      <c r="C985" s="13">
        <f t="shared" si="121"/>
        <v>2024</v>
      </c>
      <c r="D985" s="7" t="str">
        <f t="shared" si="122"/>
        <v>Jan</v>
      </c>
      <c r="E985" s="7" t="str">
        <f t="shared" si="123"/>
        <v>Tue</v>
      </c>
      <c r="F985" t="s">
        <v>230</v>
      </c>
      <c r="G985" t="s">
        <v>74</v>
      </c>
      <c r="H985" t="s">
        <v>11</v>
      </c>
      <c r="I985" s="2" t="str">
        <f t="shared" si="120"/>
        <v>North</v>
      </c>
      <c r="J985" t="s">
        <v>12</v>
      </c>
      <c r="K985" t="s">
        <v>36</v>
      </c>
      <c r="L985">
        <v>7</v>
      </c>
      <c r="M985">
        <v>120</v>
      </c>
      <c r="N985">
        <f t="shared" si="124"/>
        <v>840</v>
      </c>
      <c r="O985">
        <f t="shared" si="125"/>
        <v>84</v>
      </c>
      <c r="P985" t="str">
        <f t="shared" si="126"/>
        <v>Large Order</v>
      </c>
      <c r="Q985" t="str">
        <f t="shared" si="127"/>
        <v>Weekday</v>
      </c>
    </row>
    <row r="986" spans="1:17" x14ac:dyDescent="0.35">
      <c r="A986" t="s">
        <v>1136</v>
      </c>
      <c r="B986" s="7">
        <v>45430</v>
      </c>
      <c r="C986" s="13">
        <f t="shared" si="121"/>
        <v>2024</v>
      </c>
      <c r="D986" s="7" t="str">
        <f t="shared" si="122"/>
        <v>May</v>
      </c>
      <c r="E986" s="7" t="str">
        <f t="shared" si="123"/>
        <v>Sat</v>
      </c>
      <c r="F986" t="s">
        <v>9</v>
      </c>
      <c r="G986" t="s">
        <v>10</v>
      </c>
      <c r="H986" t="s">
        <v>17</v>
      </c>
      <c r="I986" s="2" t="str">
        <f t="shared" si="120"/>
        <v>West</v>
      </c>
      <c r="J986" t="s">
        <v>12</v>
      </c>
      <c r="K986" t="s">
        <v>32</v>
      </c>
      <c r="L986">
        <v>13</v>
      </c>
      <c r="M986">
        <v>120</v>
      </c>
      <c r="N986">
        <f t="shared" si="124"/>
        <v>1560</v>
      </c>
      <c r="O986">
        <f t="shared" si="125"/>
        <v>156</v>
      </c>
      <c r="P986" t="str">
        <f t="shared" si="126"/>
        <v>Large Order</v>
      </c>
      <c r="Q986" t="str">
        <f t="shared" si="127"/>
        <v>Weekend</v>
      </c>
    </row>
    <row r="987" spans="1:17" x14ac:dyDescent="0.35">
      <c r="A987" t="s">
        <v>1137</v>
      </c>
      <c r="B987" s="7">
        <v>45347</v>
      </c>
      <c r="C987" s="13">
        <f t="shared" si="121"/>
        <v>2024</v>
      </c>
      <c r="D987" s="7" t="str">
        <f t="shared" si="122"/>
        <v>Feb</v>
      </c>
      <c r="E987" s="7" t="str">
        <f t="shared" si="123"/>
        <v>Sun</v>
      </c>
      <c r="F987" t="s">
        <v>138</v>
      </c>
      <c r="G987" t="s">
        <v>197</v>
      </c>
      <c r="H987" t="s">
        <v>17</v>
      </c>
      <c r="I987" s="2" t="str">
        <f t="shared" si="120"/>
        <v>Central</v>
      </c>
      <c r="J987" t="s">
        <v>27</v>
      </c>
      <c r="K987" t="s">
        <v>13</v>
      </c>
      <c r="L987">
        <v>13</v>
      </c>
      <c r="M987">
        <v>120</v>
      </c>
      <c r="N987">
        <f t="shared" si="124"/>
        <v>1560</v>
      </c>
      <c r="O987">
        <f t="shared" si="125"/>
        <v>156</v>
      </c>
      <c r="P987" t="str">
        <f t="shared" si="126"/>
        <v>Large Order</v>
      </c>
      <c r="Q987" t="str">
        <f t="shared" si="127"/>
        <v>Weekend</v>
      </c>
    </row>
    <row r="988" spans="1:17" x14ac:dyDescent="0.35">
      <c r="A988" t="s">
        <v>1138</v>
      </c>
      <c r="B988" s="7">
        <v>45453</v>
      </c>
      <c r="C988" s="13">
        <f t="shared" si="121"/>
        <v>2024</v>
      </c>
      <c r="D988" s="7" t="str">
        <f t="shared" si="122"/>
        <v>Jun</v>
      </c>
      <c r="E988" s="7" t="str">
        <f t="shared" si="123"/>
        <v>Mon</v>
      </c>
      <c r="F988" t="s">
        <v>374</v>
      </c>
      <c r="G988" t="s">
        <v>10</v>
      </c>
      <c r="H988" t="s">
        <v>22</v>
      </c>
      <c r="I988" s="2" t="str">
        <f t="shared" si="120"/>
        <v>North</v>
      </c>
      <c r="J988" t="s">
        <v>306</v>
      </c>
      <c r="K988" t="s">
        <v>23</v>
      </c>
      <c r="L988">
        <v>6</v>
      </c>
      <c r="M988">
        <v>120</v>
      </c>
      <c r="N988">
        <f t="shared" si="124"/>
        <v>720</v>
      </c>
      <c r="O988">
        <f t="shared" si="125"/>
        <v>72</v>
      </c>
      <c r="P988" t="str">
        <f t="shared" si="126"/>
        <v>Large Order</v>
      </c>
      <c r="Q988" t="str">
        <f t="shared" si="127"/>
        <v>Weekday</v>
      </c>
    </row>
    <row r="989" spans="1:17" x14ac:dyDescent="0.35">
      <c r="A989" t="s">
        <v>1139</v>
      </c>
      <c r="B989" s="7">
        <v>45579</v>
      </c>
      <c r="C989" s="13">
        <f t="shared" si="121"/>
        <v>2024</v>
      </c>
      <c r="D989" s="7" t="str">
        <f t="shared" si="122"/>
        <v>Oct</v>
      </c>
      <c r="E989" s="7" t="str">
        <f t="shared" si="123"/>
        <v>Mon</v>
      </c>
      <c r="F989" t="s">
        <v>436</v>
      </c>
      <c r="G989" t="s">
        <v>197</v>
      </c>
      <c r="H989" t="s">
        <v>11</v>
      </c>
      <c r="I989" s="2" t="str">
        <f t="shared" si="120"/>
        <v>North</v>
      </c>
      <c r="J989" t="s">
        <v>12</v>
      </c>
      <c r="K989" t="s">
        <v>23</v>
      </c>
      <c r="L989">
        <v>17</v>
      </c>
      <c r="M989">
        <v>120</v>
      </c>
      <c r="N989">
        <f t="shared" si="124"/>
        <v>2040</v>
      </c>
      <c r="O989">
        <f t="shared" si="125"/>
        <v>204</v>
      </c>
      <c r="P989" t="str">
        <f t="shared" si="126"/>
        <v>Large Order</v>
      </c>
      <c r="Q989" t="str">
        <f t="shared" si="127"/>
        <v>Weekday</v>
      </c>
    </row>
    <row r="990" spans="1:17" x14ac:dyDescent="0.35">
      <c r="A990" t="s">
        <v>1140</v>
      </c>
      <c r="B990" s="7">
        <v>45493</v>
      </c>
      <c r="C990" s="13">
        <f t="shared" si="121"/>
        <v>2024</v>
      </c>
      <c r="D990" s="7" t="str">
        <f t="shared" si="122"/>
        <v>Jul</v>
      </c>
      <c r="E990" s="7" t="str">
        <f t="shared" si="123"/>
        <v>Sat</v>
      </c>
      <c r="F990" t="s">
        <v>323</v>
      </c>
      <c r="G990" t="s">
        <v>48</v>
      </c>
      <c r="H990" t="s">
        <v>11</v>
      </c>
      <c r="I990" s="2" t="str">
        <f t="shared" si="120"/>
        <v>North</v>
      </c>
      <c r="J990" t="s">
        <v>12</v>
      </c>
      <c r="K990" t="s">
        <v>32</v>
      </c>
      <c r="L990">
        <v>12</v>
      </c>
      <c r="M990">
        <v>120</v>
      </c>
      <c r="N990">
        <f t="shared" si="124"/>
        <v>1440</v>
      </c>
      <c r="O990">
        <f t="shared" si="125"/>
        <v>144</v>
      </c>
      <c r="P990" t="str">
        <f t="shared" si="126"/>
        <v>Large Order</v>
      </c>
      <c r="Q990" t="str">
        <f t="shared" si="127"/>
        <v>Weekend</v>
      </c>
    </row>
    <row r="991" spans="1:17" x14ac:dyDescent="0.35">
      <c r="A991" t="s">
        <v>1141</v>
      </c>
      <c r="B991" s="7">
        <v>45412</v>
      </c>
      <c r="C991" s="13">
        <f t="shared" si="121"/>
        <v>2024</v>
      </c>
      <c r="D991" s="7" t="str">
        <f t="shared" si="122"/>
        <v>Apr</v>
      </c>
      <c r="E991" s="7" t="str">
        <f t="shared" si="123"/>
        <v>Tue</v>
      </c>
      <c r="F991" t="s">
        <v>358</v>
      </c>
      <c r="G991" t="s">
        <v>21</v>
      </c>
      <c r="H991" t="s">
        <v>17</v>
      </c>
      <c r="I991" s="2" t="str">
        <f t="shared" si="120"/>
        <v>South</v>
      </c>
      <c r="J991" t="s">
        <v>12</v>
      </c>
      <c r="K991" t="s">
        <v>13</v>
      </c>
      <c r="L991">
        <v>9</v>
      </c>
      <c r="M991">
        <v>120</v>
      </c>
      <c r="N991">
        <f t="shared" si="124"/>
        <v>1080</v>
      </c>
      <c r="O991">
        <f t="shared" si="125"/>
        <v>108</v>
      </c>
      <c r="P991" t="str">
        <f t="shared" si="126"/>
        <v>Large Order</v>
      </c>
      <c r="Q991" t="str">
        <f t="shared" si="127"/>
        <v>Weekday</v>
      </c>
    </row>
    <row r="992" spans="1:17" x14ac:dyDescent="0.35">
      <c r="A992" t="s">
        <v>1142</v>
      </c>
      <c r="B992" s="7">
        <v>45576</v>
      </c>
      <c r="C992" s="13">
        <f t="shared" si="121"/>
        <v>2024</v>
      </c>
      <c r="D992" s="7" t="str">
        <f t="shared" si="122"/>
        <v>Oct</v>
      </c>
      <c r="E992" s="7" t="str">
        <f t="shared" si="123"/>
        <v>Fri</v>
      </c>
      <c r="F992" t="s">
        <v>89</v>
      </c>
      <c r="G992" t="s">
        <v>72</v>
      </c>
      <c r="H992" t="s">
        <v>11</v>
      </c>
      <c r="I992" s="2" t="str">
        <f t="shared" si="120"/>
        <v>Central</v>
      </c>
      <c r="J992" t="s">
        <v>56</v>
      </c>
      <c r="K992" t="s">
        <v>13</v>
      </c>
      <c r="L992">
        <v>13</v>
      </c>
      <c r="M992">
        <v>120</v>
      </c>
      <c r="N992">
        <f t="shared" si="124"/>
        <v>1560</v>
      </c>
      <c r="O992">
        <f t="shared" si="125"/>
        <v>156</v>
      </c>
      <c r="P992" t="str">
        <f t="shared" si="126"/>
        <v>Large Order</v>
      </c>
      <c r="Q992" t="str">
        <f t="shared" si="127"/>
        <v>Weekday</v>
      </c>
    </row>
    <row r="993" spans="1:17" x14ac:dyDescent="0.35">
      <c r="A993" t="s">
        <v>1143</v>
      </c>
      <c r="B993" s="7">
        <v>45487</v>
      </c>
      <c r="C993" s="13">
        <f t="shared" si="121"/>
        <v>2024</v>
      </c>
      <c r="D993" s="7" t="str">
        <f t="shared" si="122"/>
        <v>Jul</v>
      </c>
      <c r="E993" s="7" t="str">
        <f t="shared" si="123"/>
        <v>Sun</v>
      </c>
      <c r="F993" t="s">
        <v>363</v>
      </c>
      <c r="G993" t="s">
        <v>21</v>
      </c>
      <c r="H993" t="s">
        <v>22</v>
      </c>
      <c r="I993" s="2" t="str">
        <f t="shared" si="120"/>
        <v>Central</v>
      </c>
      <c r="J993" t="s">
        <v>306</v>
      </c>
      <c r="K993" t="s">
        <v>36</v>
      </c>
      <c r="L993">
        <v>8</v>
      </c>
      <c r="M993">
        <v>120</v>
      </c>
      <c r="N993">
        <f t="shared" si="124"/>
        <v>960</v>
      </c>
      <c r="O993">
        <f t="shared" si="125"/>
        <v>96</v>
      </c>
      <c r="P993" t="str">
        <f t="shared" si="126"/>
        <v>Large Order</v>
      </c>
      <c r="Q993" t="str">
        <f t="shared" si="127"/>
        <v>Weekend</v>
      </c>
    </row>
    <row r="994" spans="1:17" x14ac:dyDescent="0.35">
      <c r="A994" t="s">
        <v>1144</v>
      </c>
      <c r="B994" s="7">
        <v>45370</v>
      </c>
      <c r="C994" s="13">
        <f t="shared" si="121"/>
        <v>2024</v>
      </c>
      <c r="D994" s="7" t="str">
        <f t="shared" si="122"/>
        <v>Mar</v>
      </c>
      <c r="E994" s="7" t="str">
        <f t="shared" si="123"/>
        <v>Tue</v>
      </c>
      <c r="F994" t="s">
        <v>309</v>
      </c>
      <c r="G994" t="s">
        <v>72</v>
      </c>
      <c r="H994" t="s">
        <v>17</v>
      </c>
      <c r="I994" s="2" t="str">
        <f t="shared" si="120"/>
        <v>Central</v>
      </c>
      <c r="J994" t="s">
        <v>306</v>
      </c>
      <c r="K994" t="s">
        <v>28</v>
      </c>
      <c r="L994">
        <v>15</v>
      </c>
      <c r="M994">
        <v>120</v>
      </c>
      <c r="N994">
        <f t="shared" si="124"/>
        <v>1800</v>
      </c>
      <c r="O994">
        <f t="shared" si="125"/>
        <v>180</v>
      </c>
      <c r="P994" t="str">
        <f t="shared" si="126"/>
        <v>Large Order</v>
      </c>
      <c r="Q994" t="str">
        <f t="shared" si="127"/>
        <v>Weekday</v>
      </c>
    </row>
    <row r="995" spans="1:17" x14ac:dyDescent="0.35">
      <c r="A995" t="s">
        <v>1145</v>
      </c>
      <c r="B995" s="7">
        <v>45626</v>
      </c>
      <c r="C995" s="13">
        <f t="shared" si="121"/>
        <v>2024</v>
      </c>
      <c r="D995" s="7" t="str">
        <f t="shared" si="122"/>
        <v>Nov</v>
      </c>
      <c r="E995" s="7" t="str">
        <f t="shared" si="123"/>
        <v>Sat</v>
      </c>
      <c r="F995" t="s">
        <v>99</v>
      </c>
      <c r="G995" t="s">
        <v>41</v>
      </c>
      <c r="H995" t="s">
        <v>22</v>
      </c>
      <c r="I995" s="2" t="str">
        <f t="shared" si="120"/>
        <v>South</v>
      </c>
      <c r="J995" t="s">
        <v>306</v>
      </c>
      <c r="K995" t="s">
        <v>32</v>
      </c>
      <c r="L995">
        <v>7</v>
      </c>
      <c r="M995">
        <v>120</v>
      </c>
      <c r="N995">
        <f t="shared" si="124"/>
        <v>840</v>
      </c>
      <c r="O995">
        <f t="shared" si="125"/>
        <v>84</v>
      </c>
      <c r="P995" t="str">
        <f t="shared" si="126"/>
        <v>Large Order</v>
      </c>
      <c r="Q995" t="str">
        <f t="shared" si="127"/>
        <v>Weekend</v>
      </c>
    </row>
    <row r="996" spans="1:17" x14ac:dyDescent="0.35">
      <c r="A996" t="s">
        <v>1146</v>
      </c>
      <c r="B996" s="7">
        <v>45644</v>
      </c>
      <c r="C996" s="13">
        <f t="shared" si="121"/>
        <v>2024</v>
      </c>
      <c r="D996" s="7" t="str">
        <f t="shared" si="122"/>
        <v>Dec</v>
      </c>
      <c r="E996" s="7" t="str">
        <f t="shared" si="123"/>
        <v>Wed</v>
      </c>
      <c r="F996" t="s">
        <v>369</v>
      </c>
      <c r="G996" t="s">
        <v>87</v>
      </c>
      <c r="H996" t="s">
        <v>22</v>
      </c>
      <c r="I996" s="2" t="str">
        <f t="shared" si="120"/>
        <v>Central</v>
      </c>
      <c r="J996" t="s">
        <v>56</v>
      </c>
      <c r="K996" t="s">
        <v>36</v>
      </c>
      <c r="L996">
        <v>5</v>
      </c>
      <c r="M996">
        <v>120</v>
      </c>
      <c r="N996">
        <f t="shared" si="124"/>
        <v>600</v>
      </c>
      <c r="O996">
        <f t="shared" si="125"/>
        <v>60</v>
      </c>
      <c r="P996" t="str">
        <f t="shared" si="126"/>
        <v>Large Order</v>
      </c>
      <c r="Q996" t="str">
        <f t="shared" si="127"/>
        <v>Weekday</v>
      </c>
    </row>
    <row r="997" spans="1:17" x14ac:dyDescent="0.35">
      <c r="A997" t="s">
        <v>1147</v>
      </c>
      <c r="B997" s="7">
        <v>45372</v>
      </c>
      <c r="C997" s="13">
        <f t="shared" si="121"/>
        <v>2024</v>
      </c>
      <c r="D997" s="7" t="str">
        <f t="shared" si="122"/>
        <v>Mar</v>
      </c>
      <c r="E997" s="7" t="str">
        <f t="shared" si="123"/>
        <v>Thu</v>
      </c>
      <c r="F997" t="s">
        <v>38</v>
      </c>
      <c r="G997" t="s">
        <v>174</v>
      </c>
      <c r="H997" t="s">
        <v>11</v>
      </c>
      <c r="I997" s="2" t="str">
        <f t="shared" si="120"/>
        <v>West</v>
      </c>
      <c r="J997" t="s">
        <v>306</v>
      </c>
      <c r="K997" t="s">
        <v>28</v>
      </c>
      <c r="L997">
        <v>4</v>
      </c>
      <c r="M997">
        <v>120</v>
      </c>
      <c r="N997">
        <f t="shared" si="124"/>
        <v>480</v>
      </c>
      <c r="O997">
        <f t="shared" si="125"/>
        <v>48</v>
      </c>
      <c r="P997" t="str">
        <f t="shared" si="126"/>
        <v>Standard Order</v>
      </c>
      <c r="Q997" t="str">
        <f t="shared" si="127"/>
        <v>Weekday</v>
      </c>
    </row>
    <row r="998" spans="1:17" x14ac:dyDescent="0.35">
      <c r="A998" t="s">
        <v>1148</v>
      </c>
      <c r="B998" s="7">
        <v>45307</v>
      </c>
      <c r="C998" s="13">
        <f t="shared" si="121"/>
        <v>2024</v>
      </c>
      <c r="D998" s="7" t="str">
        <f t="shared" si="122"/>
        <v>Jan</v>
      </c>
      <c r="E998" s="7" t="str">
        <f t="shared" si="123"/>
        <v>Tue</v>
      </c>
      <c r="F998" t="s">
        <v>332</v>
      </c>
      <c r="G998" t="s">
        <v>87</v>
      </c>
      <c r="H998" t="s">
        <v>17</v>
      </c>
      <c r="I998" s="2" t="str">
        <f t="shared" si="120"/>
        <v>North</v>
      </c>
      <c r="J998" t="s">
        <v>27</v>
      </c>
      <c r="K998" t="s">
        <v>32</v>
      </c>
      <c r="L998">
        <v>10</v>
      </c>
      <c r="M998">
        <v>120</v>
      </c>
      <c r="N998">
        <f t="shared" si="124"/>
        <v>1200</v>
      </c>
      <c r="O998">
        <f t="shared" si="125"/>
        <v>120</v>
      </c>
      <c r="P998" t="str">
        <f t="shared" si="126"/>
        <v>Large Order</v>
      </c>
      <c r="Q998" t="str">
        <f t="shared" si="127"/>
        <v>Weekday</v>
      </c>
    </row>
    <row r="999" spans="1:17" x14ac:dyDescent="0.35">
      <c r="A999" t="s">
        <v>1149</v>
      </c>
      <c r="B999" s="7">
        <v>45369</v>
      </c>
      <c r="C999" s="13">
        <f t="shared" si="121"/>
        <v>2024</v>
      </c>
      <c r="D999" s="7" t="str">
        <f t="shared" si="122"/>
        <v>Mar</v>
      </c>
      <c r="E999" s="7" t="str">
        <f t="shared" si="123"/>
        <v>Mon</v>
      </c>
      <c r="F999" t="s">
        <v>420</v>
      </c>
      <c r="G999" t="s">
        <v>16</v>
      </c>
      <c r="H999" t="s">
        <v>11</v>
      </c>
      <c r="I999" s="2" t="str">
        <f t="shared" si="120"/>
        <v>Central</v>
      </c>
      <c r="J999" t="s">
        <v>12</v>
      </c>
      <c r="K999" t="s">
        <v>36</v>
      </c>
      <c r="L999">
        <v>6</v>
      </c>
      <c r="M999">
        <v>120</v>
      </c>
      <c r="N999">
        <f t="shared" si="124"/>
        <v>720</v>
      </c>
      <c r="O999">
        <f t="shared" si="125"/>
        <v>72</v>
      </c>
      <c r="P999" t="str">
        <f t="shared" si="126"/>
        <v>Large Order</v>
      </c>
      <c r="Q999" t="str">
        <f t="shared" si="127"/>
        <v>Weekday</v>
      </c>
    </row>
    <row r="1000" spans="1:17" x14ac:dyDescent="0.35">
      <c r="A1000" t="s">
        <v>1150</v>
      </c>
      <c r="B1000" s="7">
        <v>45607</v>
      </c>
      <c r="C1000" s="13">
        <f t="shared" si="121"/>
        <v>2024</v>
      </c>
      <c r="D1000" s="7" t="str">
        <f t="shared" si="122"/>
        <v>Nov</v>
      </c>
      <c r="E1000" s="7" t="str">
        <f t="shared" si="123"/>
        <v>Mon</v>
      </c>
      <c r="F1000" t="s">
        <v>101</v>
      </c>
      <c r="G1000" t="s">
        <v>109</v>
      </c>
      <c r="H1000" t="s">
        <v>22</v>
      </c>
      <c r="I1000" s="2" t="str">
        <f t="shared" si="120"/>
        <v>North</v>
      </c>
      <c r="J1000" t="s">
        <v>306</v>
      </c>
      <c r="K1000" t="s">
        <v>28</v>
      </c>
      <c r="L1000">
        <v>8</v>
      </c>
      <c r="M1000">
        <v>120</v>
      </c>
      <c r="N1000">
        <f t="shared" si="124"/>
        <v>960</v>
      </c>
      <c r="O1000">
        <f t="shared" si="125"/>
        <v>96</v>
      </c>
      <c r="P1000" t="str">
        <f t="shared" si="126"/>
        <v>Large Order</v>
      </c>
      <c r="Q1000" t="str">
        <f t="shared" si="127"/>
        <v>Weekday</v>
      </c>
    </row>
    <row r="1001" spans="1:17" x14ac:dyDescent="0.35">
      <c r="A1001" t="s">
        <v>1151</v>
      </c>
      <c r="B1001" s="7">
        <v>45643</v>
      </c>
      <c r="C1001" s="13">
        <f t="shared" si="121"/>
        <v>2024</v>
      </c>
      <c r="D1001" s="7" t="str">
        <f t="shared" si="122"/>
        <v>Dec</v>
      </c>
      <c r="E1001" s="7" t="str">
        <f t="shared" si="123"/>
        <v>Tue</v>
      </c>
      <c r="F1001" t="s">
        <v>64</v>
      </c>
      <c r="G1001" t="s">
        <v>62</v>
      </c>
      <c r="H1001" t="s">
        <v>17</v>
      </c>
      <c r="I1001" s="2" t="str">
        <f t="shared" si="120"/>
        <v>East</v>
      </c>
      <c r="J1001" t="s">
        <v>12</v>
      </c>
      <c r="K1001" t="s">
        <v>36</v>
      </c>
      <c r="L1001">
        <v>16</v>
      </c>
      <c r="M1001">
        <v>120</v>
      </c>
      <c r="N1001">
        <f t="shared" si="124"/>
        <v>1920</v>
      </c>
      <c r="O1001">
        <f t="shared" si="125"/>
        <v>192</v>
      </c>
      <c r="P1001" t="str">
        <f t="shared" si="126"/>
        <v>Large Order</v>
      </c>
      <c r="Q1001" t="str">
        <f t="shared" si="127"/>
        <v>Weekday</v>
      </c>
    </row>
    <row r="1002" spans="1:17" x14ac:dyDescent="0.35">
      <c r="A1002" t="s">
        <v>1152</v>
      </c>
      <c r="B1002" s="7">
        <v>45532</v>
      </c>
      <c r="C1002" s="13">
        <f t="shared" si="121"/>
        <v>2024</v>
      </c>
      <c r="D1002" s="7" t="str">
        <f t="shared" si="122"/>
        <v>Aug</v>
      </c>
      <c r="E1002" s="7" t="str">
        <f t="shared" si="123"/>
        <v>Wed</v>
      </c>
      <c r="F1002" t="s">
        <v>436</v>
      </c>
      <c r="G1002" t="s">
        <v>45</v>
      </c>
      <c r="H1002" t="s">
        <v>22</v>
      </c>
      <c r="I1002" s="2" t="str">
        <f t="shared" si="120"/>
        <v>North</v>
      </c>
      <c r="J1002" t="s">
        <v>42</v>
      </c>
      <c r="K1002" t="s">
        <v>28</v>
      </c>
      <c r="L1002">
        <v>13</v>
      </c>
      <c r="M1002">
        <v>120</v>
      </c>
      <c r="N1002">
        <f t="shared" si="124"/>
        <v>1560</v>
      </c>
      <c r="O1002">
        <f t="shared" si="125"/>
        <v>156</v>
      </c>
      <c r="P1002" t="str">
        <f t="shared" si="126"/>
        <v>Large Order</v>
      </c>
      <c r="Q1002" t="str">
        <f t="shared" si="127"/>
        <v>Weekday</v>
      </c>
    </row>
    <row r="1003" spans="1:17" x14ac:dyDescent="0.35">
      <c r="A1003" t="s">
        <v>1153</v>
      </c>
      <c r="B1003" s="7">
        <v>45375</v>
      </c>
      <c r="C1003" s="13">
        <f t="shared" si="121"/>
        <v>2024</v>
      </c>
      <c r="D1003" s="7" t="str">
        <f t="shared" si="122"/>
        <v>Mar</v>
      </c>
      <c r="E1003" s="7" t="str">
        <f t="shared" si="123"/>
        <v>Sun</v>
      </c>
      <c r="F1003" t="s">
        <v>150</v>
      </c>
      <c r="G1003" t="s">
        <v>87</v>
      </c>
      <c r="H1003" t="s">
        <v>11</v>
      </c>
      <c r="I1003" s="2" t="str">
        <f t="shared" si="120"/>
        <v>South</v>
      </c>
      <c r="J1003" t="s">
        <v>12</v>
      </c>
      <c r="K1003" t="s">
        <v>23</v>
      </c>
      <c r="L1003">
        <v>1</v>
      </c>
      <c r="M1003">
        <v>120</v>
      </c>
      <c r="N1003">
        <f t="shared" si="124"/>
        <v>120</v>
      </c>
      <c r="O1003">
        <f t="shared" si="125"/>
        <v>12</v>
      </c>
      <c r="P1003" t="str">
        <f t="shared" si="126"/>
        <v>Standard Order</v>
      </c>
      <c r="Q1003" t="str">
        <f t="shared" si="127"/>
        <v>Weekend</v>
      </c>
    </row>
    <row r="1004" spans="1:17" x14ac:dyDescent="0.35">
      <c r="A1004" t="s">
        <v>1154</v>
      </c>
      <c r="B1004" s="7">
        <v>45405</v>
      </c>
      <c r="C1004" s="13">
        <f t="shared" si="121"/>
        <v>2024</v>
      </c>
      <c r="D1004" s="7" t="str">
        <f t="shared" si="122"/>
        <v>Apr</v>
      </c>
      <c r="E1004" s="7" t="str">
        <f t="shared" si="123"/>
        <v>Tue</v>
      </c>
      <c r="F1004" t="s">
        <v>323</v>
      </c>
      <c r="G1004" t="s">
        <v>119</v>
      </c>
      <c r="H1004" t="s">
        <v>22</v>
      </c>
      <c r="I1004" s="2" t="str">
        <f t="shared" si="120"/>
        <v>East</v>
      </c>
      <c r="J1004" t="s">
        <v>56</v>
      </c>
      <c r="K1004" t="s">
        <v>23</v>
      </c>
      <c r="L1004">
        <v>7</v>
      </c>
      <c r="M1004">
        <v>120</v>
      </c>
      <c r="N1004">
        <f t="shared" si="124"/>
        <v>840</v>
      </c>
      <c r="O1004">
        <f t="shared" si="125"/>
        <v>84</v>
      </c>
      <c r="P1004" t="str">
        <f t="shared" si="126"/>
        <v>Large Order</v>
      </c>
      <c r="Q1004" t="str">
        <f t="shared" si="127"/>
        <v>Weekday</v>
      </c>
    </row>
    <row r="1005" spans="1:17" x14ac:dyDescent="0.35">
      <c r="A1005" t="s">
        <v>1155</v>
      </c>
      <c r="B1005" s="7">
        <v>45607</v>
      </c>
      <c r="C1005" s="13">
        <f t="shared" si="121"/>
        <v>2024</v>
      </c>
      <c r="D1005" s="7" t="str">
        <f t="shared" si="122"/>
        <v>Nov</v>
      </c>
      <c r="E1005" s="7" t="str">
        <f t="shared" si="123"/>
        <v>Mon</v>
      </c>
      <c r="F1005" t="s">
        <v>374</v>
      </c>
      <c r="G1005" t="s">
        <v>70</v>
      </c>
      <c r="H1005" t="s">
        <v>22</v>
      </c>
      <c r="I1005" s="2" t="str">
        <f t="shared" si="120"/>
        <v>East</v>
      </c>
      <c r="J1005" t="s">
        <v>42</v>
      </c>
      <c r="K1005" t="s">
        <v>13</v>
      </c>
      <c r="L1005">
        <v>8</v>
      </c>
      <c r="M1005">
        <v>120</v>
      </c>
      <c r="N1005">
        <f t="shared" si="124"/>
        <v>960</v>
      </c>
      <c r="O1005">
        <f t="shared" si="125"/>
        <v>96</v>
      </c>
      <c r="P1005" t="str">
        <f t="shared" si="126"/>
        <v>Large Order</v>
      </c>
      <c r="Q1005" t="str">
        <f t="shared" si="127"/>
        <v>Weekday</v>
      </c>
    </row>
    <row r="1006" spans="1:17" x14ac:dyDescent="0.35">
      <c r="A1006" t="s">
        <v>1156</v>
      </c>
      <c r="B1006" s="7">
        <v>45603</v>
      </c>
      <c r="C1006" s="13">
        <f t="shared" si="121"/>
        <v>2024</v>
      </c>
      <c r="D1006" s="7" t="str">
        <f t="shared" si="122"/>
        <v>Nov</v>
      </c>
      <c r="E1006" s="7" t="str">
        <f t="shared" si="123"/>
        <v>Thu</v>
      </c>
      <c r="F1006" t="s">
        <v>304</v>
      </c>
      <c r="G1006" t="s">
        <v>31</v>
      </c>
      <c r="H1006" t="s">
        <v>17</v>
      </c>
      <c r="I1006" s="2" t="str">
        <f t="shared" si="120"/>
        <v>North</v>
      </c>
      <c r="J1006" t="s">
        <v>42</v>
      </c>
      <c r="K1006" t="s">
        <v>36</v>
      </c>
      <c r="L1006">
        <v>20</v>
      </c>
      <c r="M1006">
        <v>120</v>
      </c>
      <c r="N1006">
        <f t="shared" si="124"/>
        <v>2400</v>
      </c>
      <c r="O1006">
        <f t="shared" si="125"/>
        <v>240</v>
      </c>
      <c r="P1006" t="str">
        <f t="shared" si="126"/>
        <v>Large Order</v>
      </c>
      <c r="Q1006" t="str">
        <f t="shared" si="127"/>
        <v>Weekday</v>
      </c>
    </row>
    <row r="1007" spans="1:17" x14ac:dyDescent="0.35">
      <c r="A1007" t="s">
        <v>1157</v>
      </c>
      <c r="B1007" s="7">
        <v>45596</v>
      </c>
      <c r="C1007" s="13">
        <f t="shared" si="121"/>
        <v>2024</v>
      </c>
      <c r="D1007" s="7" t="str">
        <f t="shared" si="122"/>
        <v>Oct</v>
      </c>
      <c r="E1007" s="7" t="str">
        <f t="shared" si="123"/>
        <v>Thu</v>
      </c>
      <c r="F1007" t="s">
        <v>312</v>
      </c>
      <c r="G1007" t="s">
        <v>160</v>
      </c>
      <c r="H1007" t="s">
        <v>22</v>
      </c>
      <c r="I1007" s="2" t="str">
        <f t="shared" si="120"/>
        <v>West</v>
      </c>
      <c r="J1007" t="s">
        <v>12</v>
      </c>
      <c r="K1007" t="s">
        <v>13</v>
      </c>
      <c r="L1007">
        <v>4</v>
      </c>
      <c r="M1007">
        <v>120</v>
      </c>
      <c r="N1007">
        <f t="shared" si="124"/>
        <v>480</v>
      </c>
      <c r="O1007">
        <f t="shared" si="125"/>
        <v>48</v>
      </c>
      <c r="P1007" t="str">
        <f t="shared" si="126"/>
        <v>Standard Order</v>
      </c>
      <c r="Q1007" t="str">
        <f t="shared" si="127"/>
        <v>Weekday</v>
      </c>
    </row>
    <row r="1008" spans="1:17" x14ac:dyDescent="0.35">
      <c r="A1008" t="s">
        <v>1158</v>
      </c>
      <c r="B1008" s="7">
        <v>45417</v>
      </c>
      <c r="C1008" s="13">
        <f t="shared" si="121"/>
        <v>2024</v>
      </c>
      <c r="D1008" s="7" t="str">
        <f t="shared" si="122"/>
        <v>May</v>
      </c>
      <c r="E1008" s="7" t="str">
        <f t="shared" si="123"/>
        <v>Sun</v>
      </c>
      <c r="F1008" t="s">
        <v>363</v>
      </c>
      <c r="G1008" t="s">
        <v>84</v>
      </c>
      <c r="H1008" t="s">
        <v>22</v>
      </c>
      <c r="I1008" s="2" t="str">
        <f t="shared" si="120"/>
        <v>East</v>
      </c>
      <c r="J1008" t="s">
        <v>27</v>
      </c>
      <c r="K1008" t="s">
        <v>36</v>
      </c>
      <c r="L1008">
        <v>2</v>
      </c>
      <c r="M1008">
        <v>120</v>
      </c>
      <c r="N1008">
        <f t="shared" si="124"/>
        <v>240</v>
      </c>
      <c r="O1008">
        <f t="shared" si="125"/>
        <v>24</v>
      </c>
      <c r="P1008" t="str">
        <f t="shared" si="126"/>
        <v>Standard Order</v>
      </c>
      <c r="Q1008" t="str">
        <f t="shared" si="127"/>
        <v>Weekend</v>
      </c>
    </row>
    <row r="1009" spans="1:17" x14ac:dyDescent="0.35">
      <c r="A1009" t="s">
        <v>1159</v>
      </c>
      <c r="B1009" s="7">
        <v>45614</v>
      </c>
      <c r="C1009" s="13">
        <f t="shared" si="121"/>
        <v>2024</v>
      </c>
      <c r="D1009" s="7" t="str">
        <f t="shared" si="122"/>
        <v>Nov</v>
      </c>
      <c r="E1009" s="7" t="str">
        <f t="shared" si="123"/>
        <v>Mon</v>
      </c>
      <c r="F1009" t="s">
        <v>9</v>
      </c>
      <c r="G1009" t="s">
        <v>70</v>
      </c>
      <c r="H1009" t="s">
        <v>11</v>
      </c>
      <c r="I1009" s="2" t="str">
        <f t="shared" si="120"/>
        <v>East</v>
      </c>
      <c r="J1009" t="s">
        <v>42</v>
      </c>
      <c r="K1009" t="s">
        <v>32</v>
      </c>
      <c r="L1009">
        <v>13</v>
      </c>
      <c r="M1009">
        <v>120</v>
      </c>
      <c r="N1009">
        <f t="shared" si="124"/>
        <v>1560</v>
      </c>
      <c r="O1009">
        <f t="shared" si="125"/>
        <v>156</v>
      </c>
      <c r="P1009" t="str">
        <f t="shared" si="126"/>
        <v>Large Order</v>
      </c>
      <c r="Q1009" t="str">
        <f t="shared" si="127"/>
        <v>Weekday</v>
      </c>
    </row>
    <row r="1010" spans="1:17" x14ac:dyDescent="0.35">
      <c r="A1010" t="s">
        <v>1160</v>
      </c>
      <c r="B1010" s="7">
        <v>45528</v>
      </c>
      <c r="C1010" s="13">
        <f t="shared" si="121"/>
        <v>2024</v>
      </c>
      <c r="D1010" s="7" t="str">
        <f t="shared" si="122"/>
        <v>Aug</v>
      </c>
      <c r="E1010" s="7" t="str">
        <f t="shared" si="123"/>
        <v>Sat</v>
      </c>
      <c r="F1010" t="s">
        <v>30</v>
      </c>
      <c r="G1010" t="s">
        <v>109</v>
      </c>
      <c r="H1010" t="s">
        <v>17</v>
      </c>
      <c r="I1010" s="2" t="str">
        <f t="shared" si="120"/>
        <v>North</v>
      </c>
      <c r="J1010" t="s">
        <v>42</v>
      </c>
      <c r="K1010" t="s">
        <v>28</v>
      </c>
      <c r="L1010">
        <v>2</v>
      </c>
      <c r="M1010">
        <v>120</v>
      </c>
      <c r="N1010">
        <f t="shared" si="124"/>
        <v>240</v>
      </c>
      <c r="O1010">
        <f t="shared" si="125"/>
        <v>24</v>
      </c>
      <c r="P1010" t="str">
        <f t="shared" si="126"/>
        <v>Standard Order</v>
      </c>
      <c r="Q1010" t="str">
        <f t="shared" si="127"/>
        <v>Weekend</v>
      </c>
    </row>
    <row r="1011" spans="1:17" x14ac:dyDescent="0.35">
      <c r="A1011" t="s">
        <v>1161</v>
      </c>
      <c r="B1011" s="7">
        <v>45529</v>
      </c>
      <c r="C1011" s="13">
        <f t="shared" si="121"/>
        <v>2024</v>
      </c>
      <c r="D1011" s="7" t="str">
        <f t="shared" si="122"/>
        <v>Aug</v>
      </c>
      <c r="E1011" s="7" t="str">
        <f t="shared" si="123"/>
        <v>Sun</v>
      </c>
      <c r="F1011" t="s">
        <v>736</v>
      </c>
      <c r="G1011" t="s">
        <v>84</v>
      </c>
      <c r="H1011" t="s">
        <v>17</v>
      </c>
      <c r="I1011" s="2" t="str">
        <f t="shared" si="120"/>
        <v>West</v>
      </c>
      <c r="J1011" t="s">
        <v>12</v>
      </c>
      <c r="K1011" t="s">
        <v>36</v>
      </c>
      <c r="L1011">
        <v>17</v>
      </c>
      <c r="M1011">
        <v>120</v>
      </c>
      <c r="N1011">
        <f t="shared" si="124"/>
        <v>2040</v>
      </c>
      <c r="O1011">
        <f t="shared" si="125"/>
        <v>204</v>
      </c>
      <c r="P1011" t="str">
        <f t="shared" si="126"/>
        <v>Large Order</v>
      </c>
      <c r="Q1011" t="str">
        <f t="shared" si="127"/>
        <v>Weekend</v>
      </c>
    </row>
    <row r="1012" spans="1:17" x14ac:dyDescent="0.35">
      <c r="A1012" t="s">
        <v>1162</v>
      </c>
      <c r="B1012" s="7">
        <v>45648</v>
      </c>
      <c r="C1012" s="13">
        <f t="shared" si="121"/>
        <v>2024</v>
      </c>
      <c r="D1012" s="7" t="str">
        <f t="shared" si="122"/>
        <v>Dec</v>
      </c>
      <c r="E1012" s="7" t="str">
        <f t="shared" si="123"/>
        <v>Sun</v>
      </c>
      <c r="F1012" t="s">
        <v>591</v>
      </c>
      <c r="G1012" t="s">
        <v>87</v>
      </c>
      <c r="H1012" t="s">
        <v>11</v>
      </c>
      <c r="I1012" s="2" t="str">
        <f t="shared" si="120"/>
        <v>South</v>
      </c>
      <c r="J1012" t="s">
        <v>27</v>
      </c>
      <c r="K1012" t="s">
        <v>28</v>
      </c>
      <c r="L1012">
        <v>11</v>
      </c>
      <c r="M1012">
        <v>120</v>
      </c>
      <c r="N1012">
        <f t="shared" si="124"/>
        <v>1320</v>
      </c>
      <c r="O1012">
        <f t="shared" si="125"/>
        <v>132</v>
      </c>
      <c r="P1012" t="str">
        <f t="shared" si="126"/>
        <v>Large Order</v>
      </c>
      <c r="Q1012" t="str">
        <f t="shared" si="127"/>
        <v>Weekend</v>
      </c>
    </row>
    <row r="1013" spans="1:17" x14ac:dyDescent="0.35">
      <c r="A1013" t="s">
        <v>1163</v>
      </c>
      <c r="B1013" s="7">
        <v>45524</v>
      </c>
      <c r="C1013" s="13">
        <f t="shared" si="121"/>
        <v>2024</v>
      </c>
      <c r="D1013" s="7" t="str">
        <f t="shared" si="122"/>
        <v>Aug</v>
      </c>
      <c r="E1013" s="7" t="str">
        <f t="shared" si="123"/>
        <v>Tue</v>
      </c>
      <c r="F1013" t="s">
        <v>449</v>
      </c>
      <c r="G1013" t="s">
        <v>70</v>
      </c>
      <c r="H1013" t="s">
        <v>22</v>
      </c>
      <c r="I1013" s="2" t="str">
        <f t="shared" si="120"/>
        <v>West</v>
      </c>
      <c r="J1013" t="s">
        <v>56</v>
      </c>
      <c r="K1013" t="s">
        <v>28</v>
      </c>
      <c r="L1013">
        <v>3</v>
      </c>
      <c r="M1013">
        <v>120</v>
      </c>
      <c r="N1013">
        <f t="shared" si="124"/>
        <v>360</v>
      </c>
      <c r="O1013">
        <f t="shared" si="125"/>
        <v>36</v>
      </c>
      <c r="P1013" t="str">
        <f t="shared" si="126"/>
        <v>Standard Order</v>
      </c>
      <c r="Q1013" t="str">
        <f t="shared" si="127"/>
        <v>Weekday</v>
      </c>
    </row>
    <row r="1014" spans="1:17" x14ac:dyDescent="0.35">
      <c r="A1014" t="s">
        <v>1164</v>
      </c>
      <c r="B1014" s="7">
        <v>45355</v>
      </c>
      <c r="C1014" s="13">
        <f t="shared" si="121"/>
        <v>2024</v>
      </c>
      <c r="D1014" s="7" t="str">
        <f t="shared" si="122"/>
        <v>Mar</v>
      </c>
      <c r="E1014" s="7" t="str">
        <f t="shared" si="123"/>
        <v>Mon</v>
      </c>
      <c r="F1014" t="s">
        <v>203</v>
      </c>
      <c r="G1014" t="s">
        <v>21</v>
      </c>
      <c r="H1014" t="s">
        <v>11</v>
      </c>
      <c r="I1014" s="2" t="str">
        <f t="shared" si="120"/>
        <v>West</v>
      </c>
      <c r="J1014" t="s">
        <v>27</v>
      </c>
      <c r="K1014" t="s">
        <v>23</v>
      </c>
      <c r="L1014">
        <v>12</v>
      </c>
      <c r="M1014">
        <v>120</v>
      </c>
      <c r="N1014">
        <f t="shared" si="124"/>
        <v>1440</v>
      </c>
      <c r="O1014">
        <f t="shared" si="125"/>
        <v>144</v>
      </c>
      <c r="P1014" t="str">
        <f t="shared" si="126"/>
        <v>Large Order</v>
      </c>
      <c r="Q1014" t="str">
        <f t="shared" si="127"/>
        <v>Weekday</v>
      </c>
    </row>
    <row r="1015" spans="1:17" x14ac:dyDescent="0.35">
      <c r="A1015" t="s">
        <v>1165</v>
      </c>
      <c r="B1015" s="7">
        <v>45553</v>
      </c>
      <c r="C1015" s="13">
        <f t="shared" si="121"/>
        <v>2024</v>
      </c>
      <c r="D1015" s="7" t="str">
        <f t="shared" si="122"/>
        <v>Sep</v>
      </c>
      <c r="E1015" s="7" t="str">
        <f t="shared" si="123"/>
        <v>Wed</v>
      </c>
      <c r="F1015" t="s">
        <v>594</v>
      </c>
      <c r="G1015" t="s">
        <v>174</v>
      </c>
      <c r="H1015" t="s">
        <v>11</v>
      </c>
      <c r="I1015" s="2" t="str">
        <f t="shared" si="120"/>
        <v>South</v>
      </c>
      <c r="J1015" t="s">
        <v>27</v>
      </c>
      <c r="K1015" t="s">
        <v>28</v>
      </c>
      <c r="L1015">
        <v>13</v>
      </c>
      <c r="M1015">
        <v>120</v>
      </c>
      <c r="N1015">
        <f t="shared" si="124"/>
        <v>1560</v>
      </c>
      <c r="O1015">
        <f t="shared" si="125"/>
        <v>156</v>
      </c>
      <c r="P1015" t="str">
        <f t="shared" si="126"/>
        <v>Large Order</v>
      </c>
      <c r="Q1015" t="str">
        <f t="shared" si="127"/>
        <v>Weekday</v>
      </c>
    </row>
    <row r="1016" spans="1:17" x14ac:dyDescent="0.35">
      <c r="A1016" t="s">
        <v>1166</v>
      </c>
      <c r="B1016" s="7">
        <v>45463</v>
      </c>
      <c r="C1016" s="13">
        <f t="shared" si="121"/>
        <v>2024</v>
      </c>
      <c r="D1016" s="7" t="str">
        <f t="shared" si="122"/>
        <v>Jun</v>
      </c>
      <c r="E1016" s="7" t="str">
        <f t="shared" si="123"/>
        <v>Thu</v>
      </c>
      <c r="F1016" t="s">
        <v>614</v>
      </c>
      <c r="G1016" t="s">
        <v>45</v>
      </c>
      <c r="H1016" t="s">
        <v>22</v>
      </c>
      <c r="I1016" s="2" t="str">
        <f t="shared" si="120"/>
        <v>West</v>
      </c>
      <c r="J1016" t="s">
        <v>56</v>
      </c>
      <c r="K1016" t="s">
        <v>13</v>
      </c>
      <c r="L1016">
        <v>5</v>
      </c>
      <c r="M1016">
        <v>120</v>
      </c>
      <c r="N1016">
        <f t="shared" si="124"/>
        <v>600</v>
      </c>
      <c r="O1016">
        <f t="shared" si="125"/>
        <v>60</v>
      </c>
      <c r="P1016" t="str">
        <f t="shared" si="126"/>
        <v>Large Order</v>
      </c>
      <c r="Q1016" t="str">
        <f t="shared" si="127"/>
        <v>Weekday</v>
      </c>
    </row>
    <row r="1017" spans="1:17" x14ac:dyDescent="0.35">
      <c r="A1017" t="s">
        <v>1167</v>
      </c>
      <c r="B1017" s="7">
        <v>45506</v>
      </c>
      <c r="C1017" s="13">
        <f t="shared" si="121"/>
        <v>2024</v>
      </c>
      <c r="D1017" s="7" t="str">
        <f t="shared" si="122"/>
        <v>Aug</v>
      </c>
      <c r="E1017" s="7" t="str">
        <f t="shared" si="123"/>
        <v>Fri</v>
      </c>
      <c r="F1017" t="s">
        <v>147</v>
      </c>
      <c r="G1017" t="s">
        <v>74</v>
      </c>
      <c r="H1017" t="s">
        <v>17</v>
      </c>
      <c r="I1017" s="2" t="str">
        <f t="shared" si="120"/>
        <v>East</v>
      </c>
      <c r="J1017" t="s">
        <v>27</v>
      </c>
      <c r="K1017" t="s">
        <v>28</v>
      </c>
      <c r="L1017">
        <v>6</v>
      </c>
      <c r="M1017">
        <v>120</v>
      </c>
      <c r="N1017">
        <f t="shared" si="124"/>
        <v>720</v>
      </c>
      <c r="O1017">
        <f t="shared" si="125"/>
        <v>72</v>
      </c>
      <c r="P1017" t="str">
        <f t="shared" si="126"/>
        <v>Large Order</v>
      </c>
      <c r="Q1017" t="str">
        <f t="shared" si="127"/>
        <v>Weekday</v>
      </c>
    </row>
    <row r="1018" spans="1:17" x14ac:dyDescent="0.35">
      <c r="A1018" t="s">
        <v>1168</v>
      </c>
      <c r="B1018" s="7">
        <v>45395</v>
      </c>
      <c r="C1018" s="13">
        <f t="shared" si="121"/>
        <v>2024</v>
      </c>
      <c r="D1018" s="7" t="str">
        <f t="shared" si="122"/>
        <v>Apr</v>
      </c>
      <c r="E1018" s="7" t="str">
        <f t="shared" si="123"/>
        <v>Sat</v>
      </c>
      <c r="F1018" t="s">
        <v>25</v>
      </c>
      <c r="G1018" t="s">
        <v>96</v>
      </c>
      <c r="H1018" t="s">
        <v>22</v>
      </c>
      <c r="I1018" s="2" t="str">
        <f t="shared" si="120"/>
        <v>West</v>
      </c>
      <c r="J1018" t="s">
        <v>42</v>
      </c>
      <c r="K1018" t="s">
        <v>23</v>
      </c>
      <c r="L1018">
        <v>15</v>
      </c>
      <c r="M1018">
        <v>120</v>
      </c>
      <c r="N1018">
        <f t="shared" si="124"/>
        <v>1800</v>
      </c>
      <c r="O1018">
        <f t="shared" si="125"/>
        <v>180</v>
      </c>
      <c r="P1018" t="str">
        <f t="shared" si="126"/>
        <v>Large Order</v>
      </c>
      <c r="Q1018" t="str">
        <f t="shared" si="127"/>
        <v>Weekend</v>
      </c>
    </row>
    <row r="1019" spans="1:17" x14ac:dyDescent="0.35">
      <c r="A1019" t="s">
        <v>1169</v>
      </c>
      <c r="B1019" s="7">
        <v>45570</v>
      </c>
      <c r="C1019" s="13">
        <f t="shared" si="121"/>
        <v>2024</v>
      </c>
      <c r="D1019" s="7" t="str">
        <f t="shared" si="122"/>
        <v>Oct</v>
      </c>
      <c r="E1019" s="7" t="str">
        <f t="shared" si="123"/>
        <v>Sat</v>
      </c>
      <c r="F1019" t="s">
        <v>25</v>
      </c>
      <c r="G1019" t="s">
        <v>197</v>
      </c>
      <c r="H1019" t="s">
        <v>22</v>
      </c>
      <c r="I1019" s="2" t="str">
        <f t="shared" si="120"/>
        <v>North</v>
      </c>
      <c r="J1019" t="s">
        <v>27</v>
      </c>
      <c r="K1019" t="s">
        <v>23</v>
      </c>
      <c r="L1019">
        <v>7</v>
      </c>
      <c r="M1019">
        <v>120</v>
      </c>
      <c r="N1019">
        <f t="shared" si="124"/>
        <v>840</v>
      </c>
      <c r="O1019">
        <f t="shared" si="125"/>
        <v>84</v>
      </c>
      <c r="P1019" t="str">
        <f t="shared" si="126"/>
        <v>Large Order</v>
      </c>
      <c r="Q1019" t="str">
        <f t="shared" si="127"/>
        <v>Weekend</v>
      </c>
    </row>
    <row r="1020" spans="1:17" x14ac:dyDescent="0.35">
      <c r="A1020" t="s">
        <v>1170</v>
      </c>
      <c r="B1020" s="7">
        <v>45524</v>
      </c>
      <c r="C1020" s="13">
        <f t="shared" si="121"/>
        <v>2024</v>
      </c>
      <c r="D1020" s="7" t="str">
        <f t="shared" si="122"/>
        <v>Aug</v>
      </c>
      <c r="E1020" s="7" t="str">
        <f t="shared" si="123"/>
        <v>Tue</v>
      </c>
      <c r="F1020" t="s">
        <v>408</v>
      </c>
      <c r="G1020" t="s">
        <v>109</v>
      </c>
      <c r="H1020" t="s">
        <v>17</v>
      </c>
      <c r="I1020" s="2" t="str">
        <f t="shared" si="120"/>
        <v>Central</v>
      </c>
      <c r="J1020" t="s">
        <v>12</v>
      </c>
      <c r="K1020" t="s">
        <v>36</v>
      </c>
      <c r="L1020">
        <v>20</v>
      </c>
      <c r="M1020">
        <v>120</v>
      </c>
      <c r="N1020">
        <f t="shared" si="124"/>
        <v>2400</v>
      </c>
      <c r="O1020">
        <f t="shared" si="125"/>
        <v>240</v>
      </c>
      <c r="P1020" t="str">
        <f t="shared" si="126"/>
        <v>Large Order</v>
      </c>
      <c r="Q1020" t="str">
        <f t="shared" si="127"/>
        <v>Weekday</v>
      </c>
    </row>
    <row r="1021" spans="1:17" x14ac:dyDescent="0.35">
      <c r="A1021" t="s">
        <v>1171</v>
      </c>
      <c r="B1021" s="7">
        <v>45434</v>
      </c>
      <c r="C1021" s="13">
        <f t="shared" si="121"/>
        <v>2024</v>
      </c>
      <c r="D1021" s="7" t="str">
        <f t="shared" si="122"/>
        <v>May</v>
      </c>
      <c r="E1021" s="7" t="str">
        <f t="shared" si="123"/>
        <v>Wed</v>
      </c>
      <c r="F1021" t="s">
        <v>381</v>
      </c>
      <c r="G1021" t="s">
        <v>65</v>
      </c>
      <c r="H1021" t="s">
        <v>22</v>
      </c>
      <c r="I1021" s="2" t="str">
        <f t="shared" si="120"/>
        <v>South</v>
      </c>
      <c r="J1021" t="s">
        <v>306</v>
      </c>
      <c r="K1021" t="s">
        <v>13</v>
      </c>
      <c r="L1021">
        <v>2</v>
      </c>
      <c r="M1021">
        <v>120</v>
      </c>
      <c r="N1021">
        <f t="shared" si="124"/>
        <v>240</v>
      </c>
      <c r="O1021">
        <f t="shared" si="125"/>
        <v>24</v>
      </c>
      <c r="P1021" t="str">
        <f t="shared" si="126"/>
        <v>Standard Order</v>
      </c>
      <c r="Q1021" t="str">
        <f t="shared" si="127"/>
        <v>Weekday</v>
      </c>
    </row>
    <row r="1022" spans="1:17" x14ac:dyDescent="0.35">
      <c r="A1022" t="s">
        <v>1172</v>
      </c>
      <c r="B1022" s="7">
        <v>45626</v>
      </c>
      <c r="C1022" s="13">
        <f t="shared" si="121"/>
        <v>2024</v>
      </c>
      <c r="D1022" s="7" t="str">
        <f t="shared" si="122"/>
        <v>Nov</v>
      </c>
      <c r="E1022" s="7" t="str">
        <f t="shared" si="123"/>
        <v>Sat</v>
      </c>
      <c r="F1022" t="s">
        <v>20</v>
      </c>
      <c r="G1022" t="s">
        <v>79</v>
      </c>
      <c r="H1022" t="s">
        <v>11</v>
      </c>
      <c r="I1022" s="2" t="str">
        <f t="shared" si="120"/>
        <v>North</v>
      </c>
      <c r="J1022" t="s">
        <v>56</v>
      </c>
      <c r="K1022" t="s">
        <v>32</v>
      </c>
      <c r="L1022">
        <v>19</v>
      </c>
      <c r="M1022">
        <v>120</v>
      </c>
      <c r="N1022">
        <f t="shared" si="124"/>
        <v>2280</v>
      </c>
      <c r="O1022">
        <f t="shared" si="125"/>
        <v>228</v>
      </c>
      <c r="P1022" t="str">
        <f t="shared" si="126"/>
        <v>Large Order</v>
      </c>
      <c r="Q1022" t="str">
        <f t="shared" si="127"/>
        <v>Weekend</v>
      </c>
    </row>
    <row r="1023" spans="1:17" x14ac:dyDescent="0.35">
      <c r="A1023" t="s">
        <v>1173</v>
      </c>
      <c r="B1023" s="7">
        <v>45461</v>
      </c>
      <c r="C1023" s="13">
        <f t="shared" si="121"/>
        <v>2024</v>
      </c>
      <c r="D1023" s="7" t="str">
        <f t="shared" si="122"/>
        <v>Jun</v>
      </c>
      <c r="E1023" s="7" t="str">
        <f t="shared" si="123"/>
        <v>Tue</v>
      </c>
      <c r="F1023" t="s">
        <v>203</v>
      </c>
      <c r="G1023" t="s">
        <v>87</v>
      </c>
      <c r="H1023" t="s">
        <v>11</v>
      </c>
      <c r="I1023" s="2" t="str">
        <f t="shared" si="120"/>
        <v>Central</v>
      </c>
      <c r="J1023" t="s">
        <v>12</v>
      </c>
      <c r="K1023" t="s">
        <v>32</v>
      </c>
      <c r="L1023">
        <v>6</v>
      </c>
      <c r="M1023">
        <v>120</v>
      </c>
      <c r="N1023">
        <f t="shared" si="124"/>
        <v>720</v>
      </c>
      <c r="O1023">
        <f t="shared" si="125"/>
        <v>72</v>
      </c>
      <c r="P1023" t="str">
        <f t="shared" si="126"/>
        <v>Large Order</v>
      </c>
      <c r="Q1023" t="str">
        <f t="shared" si="127"/>
        <v>Weekday</v>
      </c>
    </row>
    <row r="1024" spans="1:17" x14ac:dyDescent="0.35">
      <c r="A1024" t="s">
        <v>1174</v>
      </c>
      <c r="B1024" s="7">
        <v>45604</v>
      </c>
      <c r="C1024" s="13">
        <f t="shared" si="121"/>
        <v>2024</v>
      </c>
      <c r="D1024" s="7" t="str">
        <f t="shared" si="122"/>
        <v>Nov</v>
      </c>
      <c r="E1024" s="7" t="str">
        <f t="shared" si="123"/>
        <v>Fri</v>
      </c>
      <c r="F1024" t="s">
        <v>371</v>
      </c>
      <c r="G1024" t="s">
        <v>59</v>
      </c>
      <c r="H1024" t="s">
        <v>22</v>
      </c>
      <c r="I1024" s="2" t="str">
        <f t="shared" si="120"/>
        <v>North</v>
      </c>
      <c r="J1024" t="s">
        <v>306</v>
      </c>
      <c r="K1024" t="s">
        <v>23</v>
      </c>
      <c r="L1024">
        <v>18</v>
      </c>
      <c r="M1024">
        <v>120</v>
      </c>
      <c r="N1024">
        <f t="shared" si="124"/>
        <v>2160</v>
      </c>
      <c r="O1024">
        <f t="shared" si="125"/>
        <v>216</v>
      </c>
      <c r="P1024" t="str">
        <f t="shared" si="126"/>
        <v>Large Order</v>
      </c>
      <c r="Q1024" t="str">
        <f t="shared" si="127"/>
        <v>Weekday</v>
      </c>
    </row>
    <row r="1025" spans="1:17" x14ac:dyDescent="0.35">
      <c r="A1025" t="s">
        <v>1175</v>
      </c>
      <c r="B1025" s="7">
        <v>45588</v>
      </c>
      <c r="C1025" s="13">
        <f t="shared" si="121"/>
        <v>2024</v>
      </c>
      <c r="D1025" s="7" t="str">
        <f t="shared" si="122"/>
        <v>Oct</v>
      </c>
      <c r="E1025" s="7" t="str">
        <f t="shared" si="123"/>
        <v>Wed</v>
      </c>
      <c r="F1025" t="s">
        <v>83</v>
      </c>
      <c r="G1025" t="s">
        <v>119</v>
      </c>
      <c r="H1025" t="s">
        <v>11</v>
      </c>
      <c r="I1025" s="2" t="str">
        <f t="shared" si="120"/>
        <v>Central</v>
      </c>
      <c r="J1025" t="s">
        <v>12</v>
      </c>
      <c r="K1025" t="s">
        <v>23</v>
      </c>
      <c r="L1025">
        <v>10</v>
      </c>
      <c r="M1025">
        <v>120</v>
      </c>
      <c r="N1025">
        <f t="shared" si="124"/>
        <v>1200</v>
      </c>
      <c r="O1025">
        <f t="shared" si="125"/>
        <v>120</v>
      </c>
      <c r="P1025" t="str">
        <f t="shared" si="126"/>
        <v>Large Order</v>
      </c>
      <c r="Q1025" t="str">
        <f t="shared" si="127"/>
        <v>Weekday</v>
      </c>
    </row>
    <row r="1026" spans="1:17" x14ac:dyDescent="0.35">
      <c r="A1026" t="s">
        <v>1176</v>
      </c>
      <c r="B1026" s="7">
        <v>45326</v>
      </c>
      <c r="C1026" s="13">
        <f t="shared" si="121"/>
        <v>2024</v>
      </c>
      <c r="D1026" s="7" t="str">
        <f t="shared" si="122"/>
        <v>Feb</v>
      </c>
      <c r="E1026" s="7" t="str">
        <f t="shared" si="123"/>
        <v>Sun</v>
      </c>
      <c r="F1026" t="s">
        <v>332</v>
      </c>
      <c r="G1026" t="s">
        <v>10</v>
      </c>
      <c r="H1026" t="s">
        <v>17</v>
      </c>
      <c r="I1026" s="2" t="str">
        <f t="shared" si="120"/>
        <v>Central</v>
      </c>
      <c r="J1026" t="s">
        <v>306</v>
      </c>
      <c r="K1026" t="s">
        <v>13</v>
      </c>
      <c r="L1026">
        <v>10</v>
      </c>
      <c r="M1026">
        <v>120</v>
      </c>
      <c r="N1026">
        <f t="shared" si="124"/>
        <v>1200</v>
      </c>
      <c r="O1026">
        <f t="shared" si="125"/>
        <v>120</v>
      </c>
      <c r="P1026" t="str">
        <f t="shared" si="126"/>
        <v>Large Order</v>
      </c>
      <c r="Q1026" t="str">
        <f t="shared" si="127"/>
        <v>Weekend</v>
      </c>
    </row>
    <row r="1027" spans="1:17" x14ac:dyDescent="0.35">
      <c r="A1027" t="s">
        <v>1177</v>
      </c>
      <c r="B1027" s="7">
        <v>45647</v>
      </c>
      <c r="C1027" s="13">
        <f t="shared" si="121"/>
        <v>2024</v>
      </c>
      <c r="D1027" s="7" t="str">
        <f t="shared" si="122"/>
        <v>Dec</v>
      </c>
      <c r="E1027" s="7" t="str">
        <f t="shared" si="123"/>
        <v>Sat</v>
      </c>
      <c r="F1027" t="s">
        <v>89</v>
      </c>
      <c r="G1027" t="s">
        <v>87</v>
      </c>
      <c r="H1027" t="s">
        <v>17</v>
      </c>
      <c r="I1027" s="2" t="str">
        <f t="shared" ref="I1027:I1090" si="128">TRIM(J1028)</f>
        <v>Central</v>
      </c>
      <c r="J1027" t="s">
        <v>306</v>
      </c>
      <c r="K1027" t="s">
        <v>28</v>
      </c>
      <c r="L1027">
        <v>17</v>
      </c>
      <c r="M1027">
        <v>120</v>
      </c>
      <c r="N1027">
        <f t="shared" si="124"/>
        <v>2040</v>
      </c>
      <c r="O1027">
        <f t="shared" si="125"/>
        <v>204</v>
      </c>
      <c r="P1027" t="str">
        <f t="shared" si="126"/>
        <v>Large Order</v>
      </c>
      <c r="Q1027" t="str">
        <f t="shared" si="127"/>
        <v>Weekend</v>
      </c>
    </row>
    <row r="1028" spans="1:17" x14ac:dyDescent="0.35">
      <c r="A1028" t="s">
        <v>1178</v>
      </c>
      <c r="B1028" s="7">
        <v>45605</v>
      </c>
      <c r="C1028" s="13">
        <f t="shared" ref="C1028:C1091" si="129">YEAR(B1028)</f>
        <v>2024</v>
      </c>
      <c r="D1028" s="7" t="str">
        <f t="shared" ref="D1028:D1091" si="130">TEXT(B1028,"mmm")</f>
        <v>Nov</v>
      </c>
      <c r="E1028" s="7" t="str">
        <f t="shared" ref="E1028:E1091" si="131">TEXT(B1028,"ddd")</f>
        <v>Sat</v>
      </c>
      <c r="F1028" t="s">
        <v>131</v>
      </c>
      <c r="G1028" t="s">
        <v>84</v>
      </c>
      <c r="H1028" t="s">
        <v>11</v>
      </c>
      <c r="I1028" s="2" t="str">
        <f t="shared" si="128"/>
        <v>East</v>
      </c>
      <c r="J1028" t="s">
        <v>306</v>
      </c>
      <c r="K1028" t="s">
        <v>23</v>
      </c>
      <c r="L1028">
        <v>17</v>
      </c>
      <c r="M1028">
        <v>120</v>
      </c>
      <c r="N1028">
        <f t="shared" ref="N1028:N1091" si="132">M1028*L1028</f>
        <v>2040</v>
      </c>
      <c r="O1028">
        <f t="shared" ref="O1028:O1091" si="133">N1028*0.1</f>
        <v>204</v>
      </c>
      <c r="P1028" t="str">
        <f t="shared" ref="P1028:P1091" si="134">IF(N1028&gt;500,"Large Order","Standard Order")</f>
        <v>Large Order</v>
      </c>
      <c r="Q1028" t="str">
        <f t="shared" ref="Q1028:Q1091" si="135">IF(OR(TRIM(E1028)="Sat",TRIM(E1028)="Sun"),"Weekend","Weekday")</f>
        <v>Weekend</v>
      </c>
    </row>
    <row r="1029" spans="1:17" x14ac:dyDescent="0.35">
      <c r="A1029" t="s">
        <v>1179</v>
      </c>
      <c r="B1029" s="7">
        <v>45644</v>
      </c>
      <c r="C1029" s="13">
        <f t="shared" si="129"/>
        <v>2024</v>
      </c>
      <c r="D1029" s="7" t="str">
        <f t="shared" si="130"/>
        <v>Dec</v>
      </c>
      <c r="E1029" s="7" t="str">
        <f t="shared" si="131"/>
        <v>Wed</v>
      </c>
      <c r="F1029" t="s">
        <v>493</v>
      </c>
      <c r="G1029" t="s">
        <v>87</v>
      </c>
      <c r="H1029" t="s">
        <v>22</v>
      </c>
      <c r="I1029" s="2" t="str">
        <f t="shared" si="128"/>
        <v>East</v>
      </c>
      <c r="J1029" t="s">
        <v>42</v>
      </c>
      <c r="K1029" t="s">
        <v>32</v>
      </c>
      <c r="L1029">
        <v>20</v>
      </c>
      <c r="M1029">
        <v>120</v>
      </c>
      <c r="N1029">
        <f t="shared" si="132"/>
        <v>2400</v>
      </c>
      <c r="O1029">
        <f t="shared" si="133"/>
        <v>240</v>
      </c>
      <c r="P1029" t="str">
        <f t="shared" si="134"/>
        <v>Large Order</v>
      </c>
      <c r="Q1029" t="str">
        <f t="shared" si="135"/>
        <v>Weekday</v>
      </c>
    </row>
    <row r="1030" spans="1:17" x14ac:dyDescent="0.35">
      <c r="A1030" t="s">
        <v>1180</v>
      </c>
      <c r="B1030" s="7">
        <v>45561</v>
      </c>
      <c r="C1030" s="13">
        <f t="shared" si="129"/>
        <v>2024</v>
      </c>
      <c r="D1030" s="7" t="str">
        <f t="shared" si="130"/>
        <v>Sep</v>
      </c>
      <c r="E1030" s="7" t="str">
        <f t="shared" si="131"/>
        <v>Thu</v>
      </c>
      <c r="F1030" t="s">
        <v>314</v>
      </c>
      <c r="G1030" t="s">
        <v>16</v>
      </c>
      <c r="H1030" t="s">
        <v>22</v>
      </c>
      <c r="I1030" s="2" t="str">
        <f t="shared" si="128"/>
        <v>South</v>
      </c>
      <c r="J1030" t="s">
        <v>42</v>
      </c>
      <c r="K1030" t="s">
        <v>36</v>
      </c>
      <c r="L1030">
        <v>20</v>
      </c>
      <c r="M1030">
        <v>120</v>
      </c>
      <c r="N1030">
        <f t="shared" si="132"/>
        <v>2400</v>
      </c>
      <c r="O1030">
        <f t="shared" si="133"/>
        <v>240</v>
      </c>
      <c r="P1030" t="str">
        <f t="shared" si="134"/>
        <v>Large Order</v>
      </c>
      <c r="Q1030" t="str">
        <f t="shared" si="135"/>
        <v>Weekday</v>
      </c>
    </row>
    <row r="1031" spans="1:17" x14ac:dyDescent="0.35">
      <c r="A1031" t="s">
        <v>1181</v>
      </c>
      <c r="B1031" s="7">
        <v>45615</v>
      </c>
      <c r="C1031" s="13">
        <f t="shared" si="129"/>
        <v>2024</v>
      </c>
      <c r="D1031" s="7" t="str">
        <f t="shared" si="130"/>
        <v>Nov</v>
      </c>
      <c r="E1031" s="7" t="str">
        <f t="shared" si="131"/>
        <v>Tue</v>
      </c>
      <c r="F1031" t="s">
        <v>432</v>
      </c>
      <c r="G1031" t="s">
        <v>109</v>
      </c>
      <c r="H1031" t="s">
        <v>17</v>
      </c>
      <c r="I1031" s="2" t="str">
        <f t="shared" si="128"/>
        <v>West</v>
      </c>
      <c r="J1031" t="s">
        <v>56</v>
      </c>
      <c r="K1031" t="s">
        <v>28</v>
      </c>
      <c r="L1031">
        <v>8</v>
      </c>
      <c r="M1031">
        <v>120</v>
      </c>
      <c r="N1031">
        <f t="shared" si="132"/>
        <v>960</v>
      </c>
      <c r="O1031">
        <f t="shared" si="133"/>
        <v>96</v>
      </c>
      <c r="P1031" t="str">
        <f t="shared" si="134"/>
        <v>Large Order</v>
      </c>
      <c r="Q1031" t="str">
        <f t="shared" si="135"/>
        <v>Weekday</v>
      </c>
    </row>
    <row r="1032" spans="1:17" x14ac:dyDescent="0.35">
      <c r="A1032" t="s">
        <v>1182</v>
      </c>
      <c r="B1032" s="7">
        <v>45292</v>
      </c>
      <c r="C1032" s="13">
        <f t="shared" si="129"/>
        <v>2024</v>
      </c>
      <c r="D1032" s="7" t="str">
        <f t="shared" si="130"/>
        <v>Jan</v>
      </c>
      <c r="E1032" s="7" t="str">
        <f t="shared" si="131"/>
        <v>Mon</v>
      </c>
      <c r="F1032" t="s">
        <v>114</v>
      </c>
      <c r="G1032" t="s">
        <v>21</v>
      </c>
      <c r="H1032" t="s">
        <v>11</v>
      </c>
      <c r="I1032" s="2" t="str">
        <f t="shared" si="128"/>
        <v>North</v>
      </c>
      <c r="J1032" t="s">
        <v>27</v>
      </c>
      <c r="K1032" t="s">
        <v>28</v>
      </c>
      <c r="L1032">
        <v>4</v>
      </c>
      <c r="M1032">
        <v>120</v>
      </c>
      <c r="N1032">
        <f t="shared" si="132"/>
        <v>480</v>
      </c>
      <c r="O1032">
        <f t="shared" si="133"/>
        <v>48</v>
      </c>
      <c r="P1032" t="str">
        <f t="shared" si="134"/>
        <v>Standard Order</v>
      </c>
      <c r="Q1032" t="str">
        <f t="shared" si="135"/>
        <v>Weekday</v>
      </c>
    </row>
    <row r="1033" spans="1:17" x14ac:dyDescent="0.35">
      <c r="A1033" t="s">
        <v>1183</v>
      </c>
      <c r="B1033" s="7">
        <v>45607</v>
      </c>
      <c r="C1033" s="13">
        <f t="shared" si="129"/>
        <v>2024</v>
      </c>
      <c r="D1033" s="7" t="str">
        <f t="shared" si="130"/>
        <v>Nov</v>
      </c>
      <c r="E1033" s="7" t="str">
        <f t="shared" si="131"/>
        <v>Mon</v>
      </c>
      <c r="F1033" t="s">
        <v>572</v>
      </c>
      <c r="G1033" t="s">
        <v>72</v>
      </c>
      <c r="H1033" t="s">
        <v>17</v>
      </c>
      <c r="I1033" s="2" t="str">
        <f t="shared" si="128"/>
        <v>East</v>
      </c>
      <c r="J1033" t="s">
        <v>12</v>
      </c>
      <c r="K1033" t="s">
        <v>28</v>
      </c>
      <c r="L1033">
        <v>12</v>
      </c>
      <c r="M1033">
        <v>120</v>
      </c>
      <c r="N1033">
        <f t="shared" si="132"/>
        <v>1440</v>
      </c>
      <c r="O1033">
        <f t="shared" si="133"/>
        <v>144</v>
      </c>
      <c r="P1033" t="str">
        <f t="shared" si="134"/>
        <v>Large Order</v>
      </c>
      <c r="Q1033" t="str">
        <f t="shared" si="135"/>
        <v>Weekday</v>
      </c>
    </row>
    <row r="1034" spans="1:17" x14ac:dyDescent="0.35">
      <c r="A1034" t="s">
        <v>1184</v>
      </c>
      <c r="B1034" s="7">
        <v>45297</v>
      </c>
      <c r="C1034" s="13">
        <f t="shared" si="129"/>
        <v>2024</v>
      </c>
      <c r="D1034" s="7" t="str">
        <f t="shared" si="130"/>
        <v>Jan</v>
      </c>
      <c r="E1034" s="7" t="str">
        <f t="shared" si="131"/>
        <v>Sat</v>
      </c>
      <c r="F1034" t="s">
        <v>541</v>
      </c>
      <c r="G1034" t="s">
        <v>26</v>
      </c>
      <c r="H1034" t="s">
        <v>11</v>
      </c>
      <c r="I1034" s="2" t="str">
        <f t="shared" si="128"/>
        <v>North</v>
      </c>
      <c r="J1034" t="s">
        <v>42</v>
      </c>
      <c r="K1034" t="s">
        <v>36</v>
      </c>
      <c r="L1034">
        <v>3</v>
      </c>
      <c r="M1034">
        <v>120</v>
      </c>
      <c r="N1034">
        <f t="shared" si="132"/>
        <v>360</v>
      </c>
      <c r="O1034">
        <f t="shared" si="133"/>
        <v>36</v>
      </c>
      <c r="P1034" t="str">
        <f t="shared" si="134"/>
        <v>Standard Order</v>
      </c>
      <c r="Q1034" t="str">
        <f t="shared" si="135"/>
        <v>Weekend</v>
      </c>
    </row>
    <row r="1035" spans="1:17" x14ac:dyDescent="0.35">
      <c r="A1035" t="s">
        <v>1185</v>
      </c>
      <c r="B1035" s="7">
        <v>45573</v>
      </c>
      <c r="C1035" s="13">
        <f t="shared" si="129"/>
        <v>2024</v>
      </c>
      <c r="D1035" s="7" t="str">
        <f t="shared" si="130"/>
        <v>Oct</v>
      </c>
      <c r="E1035" s="7" t="str">
        <f t="shared" si="131"/>
        <v>Tue</v>
      </c>
      <c r="F1035" t="s">
        <v>187</v>
      </c>
      <c r="G1035" t="s">
        <v>41</v>
      </c>
      <c r="H1035" t="s">
        <v>11</v>
      </c>
      <c r="I1035" s="2" t="str">
        <f t="shared" si="128"/>
        <v>South</v>
      </c>
      <c r="J1035" t="s">
        <v>12</v>
      </c>
      <c r="K1035" t="s">
        <v>36</v>
      </c>
      <c r="L1035">
        <v>11</v>
      </c>
      <c r="M1035">
        <v>120</v>
      </c>
      <c r="N1035">
        <f t="shared" si="132"/>
        <v>1320</v>
      </c>
      <c r="O1035">
        <f t="shared" si="133"/>
        <v>132</v>
      </c>
      <c r="P1035" t="str">
        <f t="shared" si="134"/>
        <v>Large Order</v>
      </c>
      <c r="Q1035" t="str">
        <f t="shared" si="135"/>
        <v>Weekday</v>
      </c>
    </row>
    <row r="1036" spans="1:17" x14ac:dyDescent="0.35">
      <c r="A1036" t="s">
        <v>1186</v>
      </c>
      <c r="B1036" s="7">
        <v>45607</v>
      </c>
      <c r="C1036" s="13">
        <f t="shared" si="129"/>
        <v>2024</v>
      </c>
      <c r="D1036" s="7" t="str">
        <f t="shared" si="130"/>
        <v>Nov</v>
      </c>
      <c r="E1036" s="7" t="str">
        <f t="shared" si="131"/>
        <v>Mon</v>
      </c>
      <c r="F1036" t="s">
        <v>64</v>
      </c>
      <c r="G1036" t="s">
        <v>72</v>
      </c>
      <c r="H1036" t="s">
        <v>11</v>
      </c>
      <c r="I1036" s="2" t="str">
        <f t="shared" si="128"/>
        <v>South</v>
      </c>
      <c r="J1036" t="s">
        <v>56</v>
      </c>
      <c r="K1036" t="s">
        <v>23</v>
      </c>
      <c r="L1036">
        <v>11</v>
      </c>
      <c r="M1036">
        <v>120</v>
      </c>
      <c r="N1036">
        <f t="shared" si="132"/>
        <v>1320</v>
      </c>
      <c r="O1036">
        <f t="shared" si="133"/>
        <v>132</v>
      </c>
      <c r="P1036" t="str">
        <f t="shared" si="134"/>
        <v>Large Order</v>
      </c>
      <c r="Q1036" t="str">
        <f t="shared" si="135"/>
        <v>Weekday</v>
      </c>
    </row>
    <row r="1037" spans="1:17" x14ac:dyDescent="0.35">
      <c r="A1037" t="s">
        <v>1187</v>
      </c>
      <c r="B1037" s="7">
        <v>45534</v>
      </c>
      <c r="C1037" s="13">
        <f t="shared" si="129"/>
        <v>2024</v>
      </c>
      <c r="D1037" s="7" t="str">
        <f t="shared" si="130"/>
        <v>Aug</v>
      </c>
      <c r="E1037" s="7" t="str">
        <f t="shared" si="131"/>
        <v>Fri</v>
      </c>
      <c r="F1037" t="s">
        <v>122</v>
      </c>
      <c r="G1037" t="s">
        <v>35</v>
      </c>
      <c r="H1037" t="s">
        <v>22</v>
      </c>
      <c r="I1037" s="2" t="str">
        <f t="shared" si="128"/>
        <v>North</v>
      </c>
      <c r="J1037" t="s">
        <v>56</v>
      </c>
      <c r="K1037" t="s">
        <v>36</v>
      </c>
      <c r="L1037">
        <v>5</v>
      </c>
      <c r="M1037">
        <v>120</v>
      </c>
      <c r="N1037">
        <f t="shared" si="132"/>
        <v>600</v>
      </c>
      <c r="O1037">
        <f t="shared" si="133"/>
        <v>60</v>
      </c>
      <c r="P1037" t="str">
        <f t="shared" si="134"/>
        <v>Large Order</v>
      </c>
      <c r="Q1037" t="str">
        <f t="shared" si="135"/>
        <v>Weekday</v>
      </c>
    </row>
    <row r="1038" spans="1:17" x14ac:dyDescent="0.35">
      <c r="A1038" t="s">
        <v>1188</v>
      </c>
      <c r="B1038" s="7">
        <v>45463</v>
      </c>
      <c r="C1038" s="13">
        <f t="shared" si="129"/>
        <v>2024</v>
      </c>
      <c r="D1038" s="7" t="str">
        <f t="shared" si="130"/>
        <v>Jun</v>
      </c>
      <c r="E1038" s="7" t="str">
        <f t="shared" si="131"/>
        <v>Thu</v>
      </c>
      <c r="F1038" t="s">
        <v>319</v>
      </c>
      <c r="G1038" t="s">
        <v>160</v>
      </c>
      <c r="H1038" t="s">
        <v>17</v>
      </c>
      <c r="I1038" s="2" t="str">
        <f t="shared" si="128"/>
        <v>South</v>
      </c>
      <c r="J1038" t="s">
        <v>12</v>
      </c>
      <c r="K1038" t="s">
        <v>32</v>
      </c>
      <c r="L1038">
        <v>10</v>
      </c>
      <c r="M1038">
        <v>120</v>
      </c>
      <c r="N1038">
        <f t="shared" si="132"/>
        <v>1200</v>
      </c>
      <c r="O1038">
        <f t="shared" si="133"/>
        <v>120</v>
      </c>
      <c r="P1038" t="str">
        <f t="shared" si="134"/>
        <v>Large Order</v>
      </c>
      <c r="Q1038" t="str">
        <f t="shared" si="135"/>
        <v>Weekday</v>
      </c>
    </row>
    <row r="1039" spans="1:17" x14ac:dyDescent="0.35">
      <c r="A1039" t="s">
        <v>1189</v>
      </c>
      <c r="B1039" s="7">
        <v>45576</v>
      </c>
      <c r="C1039" s="13">
        <f t="shared" si="129"/>
        <v>2024</v>
      </c>
      <c r="D1039" s="7" t="str">
        <f t="shared" si="130"/>
        <v>Oct</v>
      </c>
      <c r="E1039" s="7" t="str">
        <f t="shared" si="131"/>
        <v>Fri</v>
      </c>
      <c r="F1039" t="s">
        <v>312</v>
      </c>
      <c r="G1039" t="s">
        <v>59</v>
      </c>
      <c r="H1039" t="s">
        <v>11</v>
      </c>
      <c r="I1039" s="2" t="str">
        <f t="shared" si="128"/>
        <v>North</v>
      </c>
      <c r="J1039" t="s">
        <v>56</v>
      </c>
      <c r="K1039" t="s">
        <v>32</v>
      </c>
      <c r="L1039">
        <v>11</v>
      </c>
      <c r="M1039">
        <v>120</v>
      </c>
      <c r="N1039">
        <f t="shared" si="132"/>
        <v>1320</v>
      </c>
      <c r="O1039">
        <f t="shared" si="133"/>
        <v>132</v>
      </c>
      <c r="P1039" t="str">
        <f t="shared" si="134"/>
        <v>Large Order</v>
      </c>
      <c r="Q1039" t="str">
        <f t="shared" si="135"/>
        <v>Weekday</v>
      </c>
    </row>
    <row r="1040" spans="1:17" x14ac:dyDescent="0.35">
      <c r="A1040" t="s">
        <v>1190</v>
      </c>
      <c r="B1040" s="7">
        <v>45325</v>
      </c>
      <c r="C1040" s="13">
        <f t="shared" si="129"/>
        <v>2024</v>
      </c>
      <c r="D1040" s="7" t="str">
        <f t="shared" si="130"/>
        <v>Feb</v>
      </c>
      <c r="E1040" s="7" t="str">
        <f t="shared" si="131"/>
        <v>Sat</v>
      </c>
      <c r="F1040" t="s">
        <v>125</v>
      </c>
      <c r="G1040" t="s">
        <v>72</v>
      </c>
      <c r="H1040" t="s">
        <v>17</v>
      </c>
      <c r="I1040" s="2" t="str">
        <f t="shared" si="128"/>
        <v>South</v>
      </c>
      <c r="J1040" t="s">
        <v>12</v>
      </c>
      <c r="K1040" t="s">
        <v>28</v>
      </c>
      <c r="L1040">
        <v>13</v>
      </c>
      <c r="M1040">
        <v>120</v>
      </c>
      <c r="N1040">
        <f t="shared" si="132"/>
        <v>1560</v>
      </c>
      <c r="O1040">
        <f t="shared" si="133"/>
        <v>156</v>
      </c>
      <c r="P1040" t="str">
        <f t="shared" si="134"/>
        <v>Large Order</v>
      </c>
      <c r="Q1040" t="str">
        <f t="shared" si="135"/>
        <v>Weekend</v>
      </c>
    </row>
    <row r="1041" spans="1:17" x14ac:dyDescent="0.35">
      <c r="A1041" t="s">
        <v>1191</v>
      </c>
      <c r="B1041" s="7">
        <v>45584</v>
      </c>
      <c r="C1041" s="13">
        <f t="shared" si="129"/>
        <v>2024</v>
      </c>
      <c r="D1041" s="7" t="str">
        <f t="shared" si="130"/>
        <v>Oct</v>
      </c>
      <c r="E1041" s="7" t="str">
        <f t="shared" si="131"/>
        <v>Sat</v>
      </c>
      <c r="F1041" t="s">
        <v>493</v>
      </c>
      <c r="G1041" t="s">
        <v>109</v>
      </c>
      <c r="H1041" t="s">
        <v>17</v>
      </c>
      <c r="I1041" s="2" t="str">
        <f t="shared" si="128"/>
        <v>North</v>
      </c>
      <c r="J1041" t="s">
        <v>56</v>
      </c>
      <c r="K1041" t="s">
        <v>32</v>
      </c>
      <c r="L1041">
        <v>4</v>
      </c>
      <c r="M1041">
        <v>120</v>
      </c>
      <c r="N1041">
        <f t="shared" si="132"/>
        <v>480</v>
      </c>
      <c r="O1041">
        <f t="shared" si="133"/>
        <v>48</v>
      </c>
      <c r="P1041" t="str">
        <f t="shared" si="134"/>
        <v>Standard Order</v>
      </c>
      <c r="Q1041" t="str">
        <f t="shared" si="135"/>
        <v>Weekend</v>
      </c>
    </row>
    <row r="1042" spans="1:17" x14ac:dyDescent="0.35">
      <c r="A1042" t="s">
        <v>1192</v>
      </c>
      <c r="B1042" s="7">
        <v>45653</v>
      </c>
      <c r="C1042" s="13">
        <f t="shared" si="129"/>
        <v>2024</v>
      </c>
      <c r="D1042" s="7" t="str">
        <f t="shared" si="130"/>
        <v>Dec</v>
      </c>
      <c r="E1042" s="7" t="str">
        <f t="shared" si="131"/>
        <v>Fri</v>
      </c>
      <c r="F1042" t="s">
        <v>38</v>
      </c>
      <c r="G1042" t="s">
        <v>26</v>
      </c>
      <c r="H1042" t="s">
        <v>22</v>
      </c>
      <c r="I1042" s="2" t="str">
        <f t="shared" si="128"/>
        <v>South</v>
      </c>
      <c r="J1042" t="s">
        <v>12</v>
      </c>
      <c r="K1042" t="s">
        <v>28</v>
      </c>
      <c r="L1042">
        <v>14</v>
      </c>
      <c r="M1042">
        <v>120</v>
      </c>
      <c r="N1042">
        <f t="shared" si="132"/>
        <v>1680</v>
      </c>
      <c r="O1042">
        <f t="shared" si="133"/>
        <v>168</v>
      </c>
      <c r="P1042" t="str">
        <f t="shared" si="134"/>
        <v>Large Order</v>
      </c>
      <c r="Q1042" t="str">
        <f t="shared" si="135"/>
        <v>Weekday</v>
      </c>
    </row>
    <row r="1043" spans="1:17" x14ac:dyDescent="0.35">
      <c r="A1043" t="s">
        <v>1193</v>
      </c>
      <c r="B1043" s="7">
        <v>45482</v>
      </c>
      <c r="C1043" s="13">
        <f t="shared" si="129"/>
        <v>2024</v>
      </c>
      <c r="D1043" s="7" t="str">
        <f t="shared" si="130"/>
        <v>Jul</v>
      </c>
      <c r="E1043" s="7" t="str">
        <f t="shared" si="131"/>
        <v>Tue</v>
      </c>
      <c r="F1043" t="s">
        <v>430</v>
      </c>
      <c r="G1043" t="s">
        <v>160</v>
      </c>
      <c r="H1043" t="s">
        <v>17</v>
      </c>
      <c r="I1043" s="2" t="str">
        <f t="shared" si="128"/>
        <v>North</v>
      </c>
      <c r="J1043" t="s">
        <v>56</v>
      </c>
      <c r="K1043" t="s">
        <v>32</v>
      </c>
      <c r="L1043">
        <v>10</v>
      </c>
      <c r="M1043">
        <v>120</v>
      </c>
      <c r="N1043">
        <f t="shared" si="132"/>
        <v>1200</v>
      </c>
      <c r="O1043">
        <f t="shared" si="133"/>
        <v>120</v>
      </c>
      <c r="P1043" t="str">
        <f t="shared" si="134"/>
        <v>Large Order</v>
      </c>
      <c r="Q1043" t="str">
        <f t="shared" si="135"/>
        <v>Weekday</v>
      </c>
    </row>
    <row r="1044" spans="1:17" x14ac:dyDescent="0.35">
      <c r="A1044" t="s">
        <v>1194</v>
      </c>
      <c r="B1044" s="7">
        <v>45311</v>
      </c>
      <c r="C1044" s="13">
        <f t="shared" si="129"/>
        <v>2024</v>
      </c>
      <c r="D1044" s="7" t="str">
        <f t="shared" si="130"/>
        <v>Jan</v>
      </c>
      <c r="E1044" s="7" t="str">
        <f t="shared" si="131"/>
        <v>Sat</v>
      </c>
      <c r="F1044" t="s">
        <v>420</v>
      </c>
      <c r="G1044" t="s">
        <v>70</v>
      </c>
      <c r="H1044" t="s">
        <v>11</v>
      </c>
      <c r="I1044" s="2" t="str">
        <f t="shared" si="128"/>
        <v>East</v>
      </c>
      <c r="J1044" t="s">
        <v>12</v>
      </c>
      <c r="K1044" t="s">
        <v>23</v>
      </c>
      <c r="L1044">
        <v>17</v>
      </c>
      <c r="M1044">
        <v>120</v>
      </c>
      <c r="N1044">
        <f t="shared" si="132"/>
        <v>2040</v>
      </c>
      <c r="O1044">
        <f t="shared" si="133"/>
        <v>204</v>
      </c>
      <c r="P1044" t="str">
        <f t="shared" si="134"/>
        <v>Large Order</v>
      </c>
      <c r="Q1044" t="str">
        <f t="shared" si="135"/>
        <v>Weekend</v>
      </c>
    </row>
    <row r="1045" spans="1:17" x14ac:dyDescent="0.35">
      <c r="A1045" t="s">
        <v>1195</v>
      </c>
      <c r="B1045" s="7">
        <v>45548</v>
      </c>
      <c r="C1045" s="13">
        <f t="shared" si="129"/>
        <v>2024</v>
      </c>
      <c r="D1045" s="7" t="str">
        <f t="shared" si="130"/>
        <v>Sep</v>
      </c>
      <c r="E1045" s="7" t="str">
        <f t="shared" si="131"/>
        <v>Fri</v>
      </c>
      <c r="F1045" t="s">
        <v>125</v>
      </c>
      <c r="G1045" t="s">
        <v>35</v>
      </c>
      <c r="H1045" t="s">
        <v>11</v>
      </c>
      <c r="I1045" s="2" t="str">
        <f t="shared" si="128"/>
        <v>Central</v>
      </c>
      <c r="J1045" t="s">
        <v>42</v>
      </c>
      <c r="K1045" t="s">
        <v>32</v>
      </c>
      <c r="L1045">
        <v>17</v>
      </c>
      <c r="M1045">
        <v>120</v>
      </c>
      <c r="N1045">
        <f t="shared" si="132"/>
        <v>2040</v>
      </c>
      <c r="O1045">
        <f t="shared" si="133"/>
        <v>204</v>
      </c>
      <c r="P1045" t="str">
        <f t="shared" si="134"/>
        <v>Large Order</v>
      </c>
      <c r="Q1045" t="str">
        <f t="shared" si="135"/>
        <v>Weekday</v>
      </c>
    </row>
    <row r="1046" spans="1:17" x14ac:dyDescent="0.35">
      <c r="A1046" t="s">
        <v>1196</v>
      </c>
      <c r="B1046" s="7">
        <v>45365</v>
      </c>
      <c r="C1046" s="13">
        <f t="shared" si="129"/>
        <v>2024</v>
      </c>
      <c r="D1046" s="7" t="str">
        <f t="shared" si="130"/>
        <v>Mar</v>
      </c>
      <c r="E1046" s="7" t="str">
        <f t="shared" si="131"/>
        <v>Thu</v>
      </c>
      <c r="F1046" t="s">
        <v>337</v>
      </c>
      <c r="G1046" t="s">
        <v>41</v>
      </c>
      <c r="H1046" t="s">
        <v>11</v>
      </c>
      <c r="I1046" s="2" t="str">
        <f t="shared" si="128"/>
        <v>Central</v>
      </c>
      <c r="J1046" t="s">
        <v>306</v>
      </c>
      <c r="K1046" t="s">
        <v>13</v>
      </c>
      <c r="L1046">
        <v>5</v>
      </c>
      <c r="M1046">
        <v>120</v>
      </c>
      <c r="N1046">
        <f t="shared" si="132"/>
        <v>600</v>
      </c>
      <c r="O1046">
        <f t="shared" si="133"/>
        <v>60</v>
      </c>
      <c r="P1046" t="str">
        <f t="shared" si="134"/>
        <v>Large Order</v>
      </c>
      <c r="Q1046" t="str">
        <f t="shared" si="135"/>
        <v>Weekday</v>
      </c>
    </row>
    <row r="1047" spans="1:17" x14ac:dyDescent="0.35">
      <c r="A1047" t="s">
        <v>1197</v>
      </c>
      <c r="B1047" s="7">
        <v>45527</v>
      </c>
      <c r="C1047" s="13">
        <f t="shared" si="129"/>
        <v>2024</v>
      </c>
      <c r="D1047" s="7" t="str">
        <f t="shared" si="130"/>
        <v>Aug</v>
      </c>
      <c r="E1047" s="7" t="str">
        <f t="shared" si="131"/>
        <v>Fri</v>
      </c>
      <c r="F1047" t="s">
        <v>53</v>
      </c>
      <c r="G1047" t="s">
        <v>102</v>
      </c>
      <c r="H1047" t="s">
        <v>22</v>
      </c>
      <c r="I1047" s="2" t="str">
        <f t="shared" si="128"/>
        <v>East</v>
      </c>
      <c r="J1047" t="s">
        <v>306</v>
      </c>
      <c r="K1047" t="s">
        <v>13</v>
      </c>
      <c r="L1047">
        <v>1</v>
      </c>
      <c r="M1047">
        <v>120</v>
      </c>
      <c r="N1047">
        <f t="shared" si="132"/>
        <v>120</v>
      </c>
      <c r="O1047">
        <f t="shared" si="133"/>
        <v>12</v>
      </c>
      <c r="P1047" t="str">
        <f t="shared" si="134"/>
        <v>Standard Order</v>
      </c>
      <c r="Q1047" t="str">
        <f t="shared" si="135"/>
        <v>Weekday</v>
      </c>
    </row>
    <row r="1048" spans="1:17" x14ac:dyDescent="0.35">
      <c r="A1048" t="s">
        <v>1198</v>
      </c>
      <c r="B1048" s="7">
        <v>45643</v>
      </c>
      <c r="C1048" s="13">
        <f t="shared" si="129"/>
        <v>2024</v>
      </c>
      <c r="D1048" s="7" t="str">
        <f t="shared" si="130"/>
        <v>Dec</v>
      </c>
      <c r="E1048" s="7" t="str">
        <f t="shared" si="131"/>
        <v>Tue</v>
      </c>
      <c r="F1048" t="s">
        <v>327</v>
      </c>
      <c r="G1048" t="s">
        <v>70</v>
      </c>
      <c r="H1048" t="s">
        <v>11</v>
      </c>
      <c r="I1048" s="2" t="str">
        <f t="shared" si="128"/>
        <v>South</v>
      </c>
      <c r="J1048" t="s">
        <v>42</v>
      </c>
      <c r="K1048" t="s">
        <v>32</v>
      </c>
      <c r="L1048">
        <v>2</v>
      </c>
      <c r="M1048">
        <v>120</v>
      </c>
      <c r="N1048">
        <f t="shared" si="132"/>
        <v>240</v>
      </c>
      <c r="O1048">
        <f t="shared" si="133"/>
        <v>24</v>
      </c>
      <c r="P1048" t="str">
        <f t="shared" si="134"/>
        <v>Standard Order</v>
      </c>
      <c r="Q1048" t="str">
        <f t="shared" si="135"/>
        <v>Weekday</v>
      </c>
    </row>
    <row r="1049" spans="1:17" x14ac:dyDescent="0.35">
      <c r="A1049" t="s">
        <v>1199</v>
      </c>
      <c r="B1049" s="7">
        <v>45303</v>
      </c>
      <c r="C1049" s="13">
        <f t="shared" si="129"/>
        <v>2024</v>
      </c>
      <c r="D1049" s="7" t="str">
        <f t="shared" si="130"/>
        <v>Jan</v>
      </c>
      <c r="E1049" s="7" t="str">
        <f t="shared" si="131"/>
        <v>Fri</v>
      </c>
      <c r="F1049" t="s">
        <v>314</v>
      </c>
      <c r="G1049" t="s">
        <v>72</v>
      </c>
      <c r="H1049" t="s">
        <v>17</v>
      </c>
      <c r="I1049" s="2" t="str">
        <f t="shared" si="128"/>
        <v>North</v>
      </c>
      <c r="J1049" t="s">
        <v>56</v>
      </c>
      <c r="K1049" t="s">
        <v>32</v>
      </c>
      <c r="L1049">
        <v>7</v>
      </c>
      <c r="M1049">
        <v>120</v>
      </c>
      <c r="N1049">
        <f t="shared" si="132"/>
        <v>840</v>
      </c>
      <c r="O1049">
        <f t="shared" si="133"/>
        <v>84</v>
      </c>
      <c r="P1049" t="str">
        <f t="shared" si="134"/>
        <v>Large Order</v>
      </c>
      <c r="Q1049" t="str">
        <f t="shared" si="135"/>
        <v>Weekday</v>
      </c>
    </row>
    <row r="1050" spans="1:17" x14ac:dyDescent="0.35">
      <c r="A1050" t="s">
        <v>1200</v>
      </c>
      <c r="B1050" s="7">
        <v>45564</v>
      </c>
      <c r="C1050" s="13">
        <f t="shared" si="129"/>
        <v>2024</v>
      </c>
      <c r="D1050" s="7" t="str">
        <f t="shared" si="130"/>
        <v>Sep</v>
      </c>
      <c r="E1050" s="7" t="str">
        <f t="shared" si="131"/>
        <v>Sun</v>
      </c>
      <c r="F1050" t="s">
        <v>38</v>
      </c>
      <c r="G1050" t="s">
        <v>26</v>
      </c>
      <c r="H1050" t="s">
        <v>17</v>
      </c>
      <c r="I1050" s="2" t="str">
        <f t="shared" si="128"/>
        <v>Central</v>
      </c>
      <c r="J1050" t="s">
        <v>12</v>
      </c>
      <c r="K1050" t="s">
        <v>13</v>
      </c>
      <c r="L1050">
        <v>5</v>
      </c>
      <c r="M1050">
        <v>120</v>
      </c>
      <c r="N1050">
        <f t="shared" si="132"/>
        <v>600</v>
      </c>
      <c r="O1050">
        <f t="shared" si="133"/>
        <v>60</v>
      </c>
      <c r="P1050" t="str">
        <f t="shared" si="134"/>
        <v>Large Order</v>
      </c>
      <c r="Q1050" t="str">
        <f t="shared" si="135"/>
        <v>Weekend</v>
      </c>
    </row>
    <row r="1051" spans="1:17" x14ac:dyDescent="0.35">
      <c r="A1051" t="s">
        <v>1201</v>
      </c>
      <c r="B1051" s="7">
        <v>45299</v>
      </c>
      <c r="C1051" s="13">
        <f t="shared" si="129"/>
        <v>2024</v>
      </c>
      <c r="D1051" s="7" t="str">
        <f t="shared" si="130"/>
        <v>Jan</v>
      </c>
      <c r="E1051" s="7" t="str">
        <f t="shared" si="131"/>
        <v>Mon</v>
      </c>
      <c r="F1051" t="s">
        <v>381</v>
      </c>
      <c r="G1051" t="s">
        <v>102</v>
      </c>
      <c r="H1051" t="s">
        <v>22</v>
      </c>
      <c r="I1051" s="2" t="str">
        <f t="shared" si="128"/>
        <v>East</v>
      </c>
      <c r="J1051" t="s">
        <v>306</v>
      </c>
      <c r="K1051" t="s">
        <v>36</v>
      </c>
      <c r="L1051">
        <v>7</v>
      </c>
      <c r="M1051">
        <v>120</v>
      </c>
      <c r="N1051">
        <f t="shared" si="132"/>
        <v>840</v>
      </c>
      <c r="O1051">
        <f t="shared" si="133"/>
        <v>84</v>
      </c>
      <c r="P1051" t="str">
        <f t="shared" si="134"/>
        <v>Large Order</v>
      </c>
      <c r="Q1051" t="str">
        <f t="shared" si="135"/>
        <v>Weekday</v>
      </c>
    </row>
    <row r="1052" spans="1:17" x14ac:dyDescent="0.35">
      <c r="A1052" t="s">
        <v>1202</v>
      </c>
      <c r="B1052" s="7">
        <v>45455</v>
      </c>
      <c r="C1052" s="13">
        <f t="shared" si="129"/>
        <v>2024</v>
      </c>
      <c r="D1052" s="7" t="str">
        <f t="shared" si="130"/>
        <v>Jun</v>
      </c>
      <c r="E1052" s="7" t="str">
        <f t="shared" si="131"/>
        <v>Wed</v>
      </c>
      <c r="F1052" t="s">
        <v>101</v>
      </c>
      <c r="G1052" t="s">
        <v>59</v>
      </c>
      <c r="H1052" t="s">
        <v>11</v>
      </c>
      <c r="I1052" s="2" t="str">
        <f t="shared" si="128"/>
        <v>West</v>
      </c>
      <c r="J1052" t="s">
        <v>42</v>
      </c>
      <c r="K1052" t="s">
        <v>32</v>
      </c>
      <c r="L1052">
        <v>8</v>
      </c>
      <c r="M1052">
        <v>120</v>
      </c>
      <c r="N1052">
        <f t="shared" si="132"/>
        <v>960</v>
      </c>
      <c r="O1052">
        <f t="shared" si="133"/>
        <v>96</v>
      </c>
      <c r="P1052" t="str">
        <f t="shared" si="134"/>
        <v>Large Order</v>
      </c>
      <c r="Q1052" t="str">
        <f t="shared" si="135"/>
        <v>Weekday</v>
      </c>
    </row>
    <row r="1053" spans="1:17" x14ac:dyDescent="0.35">
      <c r="A1053" t="s">
        <v>1203</v>
      </c>
      <c r="B1053" s="7">
        <v>45605</v>
      </c>
      <c r="C1053" s="13">
        <f t="shared" si="129"/>
        <v>2024</v>
      </c>
      <c r="D1053" s="7" t="str">
        <f t="shared" si="130"/>
        <v>Nov</v>
      </c>
      <c r="E1053" s="7" t="str">
        <f t="shared" si="131"/>
        <v>Sat</v>
      </c>
      <c r="F1053" t="s">
        <v>47</v>
      </c>
      <c r="G1053" t="s">
        <v>79</v>
      </c>
      <c r="H1053" t="s">
        <v>22</v>
      </c>
      <c r="I1053" s="2" t="str">
        <f t="shared" si="128"/>
        <v>North</v>
      </c>
      <c r="J1053" t="s">
        <v>27</v>
      </c>
      <c r="K1053" t="s">
        <v>13</v>
      </c>
      <c r="L1053">
        <v>5</v>
      </c>
      <c r="M1053">
        <v>120</v>
      </c>
      <c r="N1053">
        <f t="shared" si="132"/>
        <v>600</v>
      </c>
      <c r="O1053">
        <f t="shared" si="133"/>
        <v>60</v>
      </c>
      <c r="P1053" t="str">
        <f t="shared" si="134"/>
        <v>Large Order</v>
      </c>
      <c r="Q1053" t="str">
        <f t="shared" si="135"/>
        <v>Weekend</v>
      </c>
    </row>
    <row r="1054" spans="1:17" x14ac:dyDescent="0.35">
      <c r="A1054" t="s">
        <v>1204</v>
      </c>
      <c r="B1054" s="7">
        <v>45346</v>
      </c>
      <c r="C1054" s="13">
        <f t="shared" si="129"/>
        <v>2024</v>
      </c>
      <c r="D1054" s="7" t="str">
        <f t="shared" si="130"/>
        <v>Feb</v>
      </c>
      <c r="E1054" s="7" t="str">
        <f t="shared" si="131"/>
        <v>Sat</v>
      </c>
      <c r="F1054" t="s">
        <v>53</v>
      </c>
      <c r="G1054" t="s">
        <v>87</v>
      </c>
      <c r="H1054" t="s">
        <v>11</v>
      </c>
      <c r="I1054" s="2" t="str">
        <f t="shared" si="128"/>
        <v>West</v>
      </c>
      <c r="J1054" t="s">
        <v>12</v>
      </c>
      <c r="K1054" t="s">
        <v>36</v>
      </c>
      <c r="L1054">
        <v>13</v>
      </c>
      <c r="M1054">
        <v>120</v>
      </c>
      <c r="N1054">
        <f t="shared" si="132"/>
        <v>1560</v>
      </c>
      <c r="O1054">
        <f t="shared" si="133"/>
        <v>156</v>
      </c>
      <c r="P1054" t="str">
        <f t="shared" si="134"/>
        <v>Large Order</v>
      </c>
      <c r="Q1054" t="str">
        <f t="shared" si="135"/>
        <v>Weekend</v>
      </c>
    </row>
    <row r="1055" spans="1:17" x14ac:dyDescent="0.35">
      <c r="A1055" t="s">
        <v>1205</v>
      </c>
      <c r="B1055" s="7">
        <v>45595</v>
      </c>
      <c r="C1055" s="13">
        <f t="shared" si="129"/>
        <v>2024</v>
      </c>
      <c r="D1055" s="7" t="str">
        <f t="shared" si="130"/>
        <v>Oct</v>
      </c>
      <c r="E1055" s="7" t="str">
        <f t="shared" si="131"/>
        <v>Wed</v>
      </c>
      <c r="F1055" t="s">
        <v>451</v>
      </c>
      <c r="G1055" t="s">
        <v>109</v>
      </c>
      <c r="H1055" t="s">
        <v>22</v>
      </c>
      <c r="I1055" s="2" t="str">
        <f t="shared" si="128"/>
        <v>West</v>
      </c>
      <c r="J1055" t="s">
        <v>27</v>
      </c>
      <c r="K1055" t="s">
        <v>28</v>
      </c>
      <c r="L1055">
        <v>12</v>
      </c>
      <c r="M1055">
        <v>120</v>
      </c>
      <c r="N1055">
        <f t="shared" si="132"/>
        <v>1440</v>
      </c>
      <c r="O1055">
        <f t="shared" si="133"/>
        <v>144</v>
      </c>
      <c r="P1055" t="str">
        <f t="shared" si="134"/>
        <v>Large Order</v>
      </c>
      <c r="Q1055" t="str">
        <f t="shared" si="135"/>
        <v>Weekday</v>
      </c>
    </row>
    <row r="1056" spans="1:17" x14ac:dyDescent="0.35">
      <c r="A1056" t="s">
        <v>1206</v>
      </c>
      <c r="B1056" s="7">
        <v>45635</v>
      </c>
      <c r="C1056" s="13">
        <f t="shared" si="129"/>
        <v>2024</v>
      </c>
      <c r="D1056" s="7" t="str">
        <f t="shared" si="130"/>
        <v>Dec</v>
      </c>
      <c r="E1056" s="7" t="str">
        <f t="shared" si="131"/>
        <v>Mon</v>
      </c>
      <c r="F1056" t="s">
        <v>312</v>
      </c>
      <c r="G1056" t="s">
        <v>59</v>
      </c>
      <c r="H1056" t="s">
        <v>11</v>
      </c>
      <c r="I1056" s="2" t="str">
        <f t="shared" si="128"/>
        <v>West</v>
      </c>
      <c r="J1056" t="s">
        <v>27</v>
      </c>
      <c r="K1056" t="s">
        <v>23</v>
      </c>
      <c r="L1056">
        <v>5</v>
      </c>
      <c r="M1056">
        <v>120</v>
      </c>
      <c r="N1056">
        <f t="shared" si="132"/>
        <v>600</v>
      </c>
      <c r="O1056">
        <f t="shared" si="133"/>
        <v>60</v>
      </c>
      <c r="P1056" t="str">
        <f t="shared" si="134"/>
        <v>Large Order</v>
      </c>
      <c r="Q1056" t="str">
        <f t="shared" si="135"/>
        <v>Weekday</v>
      </c>
    </row>
    <row r="1057" spans="1:17" x14ac:dyDescent="0.35">
      <c r="A1057" t="s">
        <v>1207</v>
      </c>
      <c r="B1057" s="7">
        <v>45341</v>
      </c>
      <c r="C1057" s="13">
        <f t="shared" si="129"/>
        <v>2024</v>
      </c>
      <c r="D1057" s="7" t="str">
        <f t="shared" si="130"/>
        <v>Feb</v>
      </c>
      <c r="E1057" s="7" t="str">
        <f t="shared" si="131"/>
        <v>Mon</v>
      </c>
      <c r="F1057" t="s">
        <v>366</v>
      </c>
      <c r="G1057" t="s">
        <v>35</v>
      </c>
      <c r="H1057" t="s">
        <v>17</v>
      </c>
      <c r="I1057" s="2" t="str">
        <f t="shared" si="128"/>
        <v>West</v>
      </c>
      <c r="J1057" t="s">
        <v>27</v>
      </c>
      <c r="K1057" t="s">
        <v>28</v>
      </c>
      <c r="L1057">
        <v>8</v>
      </c>
      <c r="M1057">
        <v>120</v>
      </c>
      <c r="N1057">
        <f t="shared" si="132"/>
        <v>960</v>
      </c>
      <c r="O1057">
        <f t="shared" si="133"/>
        <v>96</v>
      </c>
      <c r="P1057" t="str">
        <f t="shared" si="134"/>
        <v>Large Order</v>
      </c>
      <c r="Q1057" t="str">
        <f t="shared" si="135"/>
        <v>Weekday</v>
      </c>
    </row>
    <row r="1058" spans="1:17" x14ac:dyDescent="0.35">
      <c r="A1058" t="s">
        <v>1208</v>
      </c>
      <c r="B1058" s="7">
        <v>45607</v>
      </c>
      <c r="C1058" s="13">
        <f t="shared" si="129"/>
        <v>2024</v>
      </c>
      <c r="D1058" s="7" t="str">
        <f t="shared" si="130"/>
        <v>Nov</v>
      </c>
      <c r="E1058" s="7" t="str">
        <f t="shared" si="131"/>
        <v>Mon</v>
      </c>
      <c r="F1058" t="s">
        <v>86</v>
      </c>
      <c r="G1058" t="s">
        <v>45</v>
      </c>
      <c r="H1058" t="s">
        <v>17</v>
      </c>
      <c r="I1058" s="2" t="str">
        <f t="shared" si="128"/>
        <v>North</v>
      </c>
      <c r="J1058" t="s">
        <v>27</v>
      </c>
      <c r="K1058" t="s">
        <v>32</v>
      </c>
      <c r="L1058">
        <v>11</v>
      </c>
      <c r="M1058">
        <v>120</v>
      </c>
      <c r="N1058">
        <f t="shared" si="132"/>
        <v>1320</v>
      </c>
      <c r="O1058">
        <f t="shared" si="133"/>
        <v>132</v>
      </c>
      <c r="P1058" t="str">
        <f t="shared" si="134"/>
        <v>Large Order</v>
      </c>
      <c r="Q1058" t="str">
        <f t="shared" si="135"/>
        <v>Weekday</v>
      </c>
    </row>
    <row r="1059" spans="1:17" x14ac:dyDescent="0.35">
      <c r="A1059" t="s">
        <v>1209</v>
      </c>
      <c r="B1059" s="7">
        <v>45524</v>
      </c>
      <c r="C1059" s="13">
        <f t="shared" si="129"/>
        <v>2024</v>
      </c>
      <c r="D1059" s="7" t="str">
        <f t="shared" si="130"/>
        <v>Aug</v>
      </c>
      <c r="E1059" s="7" t="str">
        <f t="shared" si="131"/>
        <v>Tue</v>
      </c>
      <c r="F1059" t="s">
        <v>374</v>
      </c>
      <c r="G1059" t="s">
        <v>35</v>
      </c>
      <c r="H1059" t="s">
        <v>11</v>
      </c>
      <c r="I1059" s="2" t="str">
        <f t="shared" si="128"/>
        <v>Central</v>
      </c>
      <c r="J1059" t="s">
        <v>12</v>
      </c>
      <c r="K1059" t="s">
        <v>23</v>
      </c>
      <c r="L1059">
        <v>4</v>
      </c>
      <c r="M1059">
        <v>120</v>
      </c>
      <c r="N1059">
        <f t="shared" si="132"/>
        <v>480</v>
      </c>
      <c r="O1059">
        <f t="shared" si="133"/>
        <v>48</v>
      </c>
      <c r="P1059" t="str">
        <f t="shared" si="134"/>
        <v>Standard Order</v>
      </c>
      <c r="Q1059" t="str">
        <f t="shared" si="135"/>
        <v>Weekday</v>
      </c>
    </row>
    <row r="1060" spans="1:17" x14ac:dyDescent="0.35">
      <c r="A1060" t="s">
        <v>1210</v>
      </c>
      <c r="B1060" s="7">
        <v>45379</v>
      </c>
      <c r="C1060" s="13">
        <f t="shared" si="129"/>
        <v>2024</v>
      </c>
      <c r="D1060" s="7" t="str">
        <f t="shared" si="130"/>
        <v>Mar</v>
      </c>
      <c r="E1060" s="7" t="str">
        <f t="shared" si="131"/>
        <v>Thu</v>
      </c>
      <c r="F1060" t="s">
        <v>55</v>
      </c>
      <c r="G1060" t="s">
        <v>59</v>
      </c>
      <c r="H1060" t="s">
        <v>17</v>
      </c>
      <c r="I1060" s="2" t="str">
        <f t="shared" si="128"/>
        <v>North</v>
      </c>
      <c r="J1060" t="s">
        <v>306</v>
      </c>
      <c r="K1060" t="s">
        <v>23</v>
      </c>
      <c r="L1060">
        <v>5</v>
      </c>
      <c r="M1060">
        <v>120</v>
      </c>
      <c r="N1060">
        <f t="shared" si="132"/>
        <v>600</v>
      </c>
      <c r="O1060">
        <f t="shared" si="133"/>
        <v>60</v>
      </c>
      <c r="P1060" t="str">
        <f t="shared" si="134"/>
        <v>Large Order</v>
      </c>
      <c r="Q1060" t="str">
        <f t="shared" si="135"/>
        <v>Weekday</v>
      </c>
    </row>
    <row r="1061" spans="1:17" x14ac:dyDescent="0.35">
      <c r="A1061" t="s">
        <v>1211</v>
      </c>
      <c r="B1061" s="7">
        <v>45346</v>
      </c>
      <c r="C1061" s="13">
        <f t="shared" si="129"/>
        <v>2024</v>
      </c>
      <c r="D1061" s="7" t="str">
        <f t="shared" si="130"/>
        <v>Feb</v>
      </c>
      <c r="E1061" s="7" t="str">
        <f t="shared" si="131"/>
        <v>Sat</v>
      </c>
      <c r="F1061" t="s">
        <v>187</v>
      </c>
      <c r="G1061" t="s">
        <v>74</v>
      </c>
      <c r="H1061" t="s">
        <v>22</v>
      </c>
      <c r="I1061" s="2" t="str">
        <f t="shared" si="128"/>
        <v>South</v>
      </c>
      <c r="J1061" t="s">
        <v>12</v>
      </c>
      <c r="K1061" t="s">
        <v>36</v>
      </c>
      <c r="L1061">
        <v>18</v>
      </c>
      <c r="M1061">
        <v>120</v>
      </c>
      <c r="N1061">
        <f t="shared" si="132"/>
        <v>2160</v>
      </c>
      <c r="O1061">
        <f t="shared" si="133"/>
        <v>216</v>
      </c>
      <c r="P1061" t="str">
        <f t="shared" si="134"/>
        <v>Large Order</v>
      </c>
      <c r="Q1061" t="str">
        <f t="shared" si="135"/>
        <v>Weekend</v>
      </c>
    </row>
    <row r="1062" spans="1:17" x14ac:dyDescent="0.35">
      <c r="A1062" t="s">
        <v>1212</v>
      </c>
      <c r="B1062" s="7">
        <v>45503</v>
      </c>
      <c r="C1062" s="13">
        <f t="shared" si="129"/>
        <v>2024</v>
      </c>
      <c r="D1062" s="7" t="str">
        <f t="shared" si="130"/>
        <v>Jul</v>
      </c>
      <c r="E1062" s="7" t="str">
        <f t="shared" si="131"/>
        <v>Tue</v>
      </c>
      <c r="F1062" t="s">
        <v>93</v>
      </c>
      <c r="G1062" t="s">
        <v>174</v>
      </c>
      <c r="H1062" t="s">
        <v>22</v>
      </c>
      <c r="I1062" s="2" t="str">
        <f t="shared" si="128"/>
        <v>Central</v>
      </c>
      <c r="J1062" t="s">
        <v>56</v>
      </c>
      <c r="K1062" t="s">
        <v>23</v>
      </c>
      <c r="L1062">
        <v>6</v>
      </c>
      <c r="M1062">
        <v>120</v>
      </c>
      <c r="N1062">
        <f t="shared" si="132"/>
        <v>720</v>
      </c>
      <c r="O1062">
        <f t="shared" si="133"/>
        <v>72</v>
      </c>
      <c r="P1062" t="str">
        <f t="shared" si="134"/>
        <v>Large Order</v>
      </c>
      <c r="Q1062" t="str">
        <f t="shared" si="135"/>
        <v>Weekday</v>
      </c>
    </row>
    <row r="1063" spans="1:17" x14ac:dyDescent="0.35">
      <c r="A1063" t="s">
        <v>1213</v>
      </c>
      <c r="B1063" s="7">
        <v>45325</v>
      </c>
      <c r="C1063" s="13">
        <f t="shared" si="129"/>
        <v>2024</v>
      </c>
      <c r="D1063" s="7" t="str">
        <f t="shared" si="130"/>
        <v>Feb</v>
      </c>
      <c r="E1063" s="7" t="str">
        <f t="shared" si="131"/>
        <v>Sat</v>
      </c>
      <c r="F1063" t="s">
        <v>47</v>
      </c>
      <c r="G1063" t="s">
        <v>87</v>
      </c>
      <c r="H1063" t="s">
        <v>11</v>
      </c>
      <c r="I1063" s="2" t="str">
        <f t="shared" si="128"/>
        <v>South</v>
      </c>
      <c r="J1063" t="s">
        <v>306</v>
      </c>
      <c r="K1063" t="s">
        <v>32</v>
      </c>
      <c r="L1063">
        <v>14</v>
      </c>
      <c r="M1063">
        <v>120</v>
      </c>
      <c r="N1063">
        <f t="shared" si="132"/>
        <v>1680</v>
      </c>
      <c r="O1063">
        <f t="shared" si="133"/>
        <v>168</v>
      </c>
      <c r="P1063" t="str">
        <f t="shared" si="134"/>
        <v>Large Order</v>
      </c>
      <c r="Q1063" t="str">
        <f t="shared" si="135"/>
        <v>Weekend</v>
      </c>
    </row>
    <row r="1064" spans="1:17" x14ac:dyDescent="0.35">
      <c r="A1064" t="s">
        <v>1214</v>
      </c>
      <c r="B1064" s="7">
        <v>45570</v>
      </c>
      <c r="C1064" s="13">
        <f t="shared" si="129"/>
        <v>2024</v>
      </c>
      <c r="D1064" s="7" t="str">
        <f t="shared" si="130"/>
        <v>Oct</v>
      </c>
      <c r="E1064" s="7" t="str">
        <f t="shared" si="131"/>
        <v>Sat</v>
      </c>
      <c r="F1064" t="s">
        <v>465</v>
      </c>
      <c r="G1064" t="s">
        <v>41</v>
      </c>
      <c r="H1064" t="s">
        <v>11</v>
      </c>
      <c r="I1064" s="2" t="str">
        <f t="shared" si="128"/>
        <v>Central</v>
      </c>
      <c r="J1064" t="s">
        <v>56</v>
      </c>
      <c r="K1064" t="s">
        <v>36</v>
      </c>
      <c r="L1064">
        <v>3</v>
      </c>
      <c r="M1064">
        <v>120</v>
      </c>
      <c r="N1064">
        <f t="shared" si="132"/>
        <v>360</v>
      </c>
      <c r="O1064">
        <f t="shared" si="133"/>
        <v>36</v>
      </c>
      <c r="P1064" t="str">
        <f t="shared" si="134"/>
        <v>Standard Order</v>
      </c>
      <c r="Q1064" t="str">
        <f t="shared" si="135"/>
        <v>Weekend</v>
      </c>
    </row>
    <row r="1065" spans="1:17" x14ac:dyDescent="0.35">
      <c r="A1065" t="s">
        <v>1215</v>
      </c>
      <c r="B1065" s="7">
        <v>45541</v>
      </c>
      <c r="C1065" s="13">
        <f t="shared" si="129"/>
        <v>2024</v>
      </c>
      <c r="D1065" s="7" t="str">
        <f t="shared" si="130"/>
        <v>Sep</v>
      </c>
      <c r="E1065" s="7" t="str">
        <f t="shared" si="131"/>
        <v>Fri</v>
      </c>
      <c r="F1065" t="s">
        <v>40</v>
      </c>
      <c r="G1065" t="s">
        <v>70</v>
      </c>
      <c r="H1065" t="s">
        <v>22</v>
      </c>
      <c r="I1065" s="2" t="str">
        <f t="shared" si="128"/>
        <v>North</v>
      </c>
      <c r="J1065" t="s">
        <v>306</v>
      </c>
      <c r="K1065" t="s">
        <v>23</v>
      </c>
      <c r="L1065">
        <v>11</v>
      </c>
      <c r="M1065">
        <v>120</v>
      </c>
      <c r="N1065">
        <f t="shared" si="132"/>
        <v>1320</v>
      </c>
      <c r="O1065">
        <f t="shared" si="133"/>
        <v>132</v>
      </c>
      <c r="P1065" t="str">
        <f t="shared" si="134"/>
        <v>Large Order</v>
      </c>
      <c r="Q1065" t="str">
        <f t="shared" si="135"/>
        <v>Weekday</v>
      </c>
    </row>
    <row r="1066" spans="1:17" x14ac:dyDescent="0.35">
      <c r="A1066" t="s">
        <v>1216</v>
      </c>
      <c r="B1066" s="7">
        <v>45382</v>
      </c>
      <c r="C1066" s="13">
        <f t="shared" si="129"/>
        <v>2024</v>
      </c>
      <c r="D1066" s="7" t="str">
        <f t="shared" si="130"/>
        <v>Mar</v>
      </c>
      <c r="E1066" s="7" t="str">
        <f t="shared" si="131"/>
        <v>Sun</v>
      </c>
      <c r="F1066" t="s">
        <v>147</v>
      </c>
      <c r="G1066" t="s">
        <v>109</v>
      </c>
      <c r="H1066" t="s">
        <v>17</v>
      </c>
      <c r="I1066" s="2" t="str">
        <f t="shared" si="128"/>
        <v>North</v>
      </c>
      <c r="J1066" t="s">
        <v>12</v>
      </c>
      <c r="K1066" t="s">
        <v>36</v>
      </c>
      <c r="L1066">
        <v>4</v>
      </c>
      <c r="M1066">
        <v>120</v>
      </c>
      <c r="N1066">
        <f t="shared" si="132"/>
        <v>480</v>
      </c>
      <c r="O1066">
        <f t="shared" si="133"/>
        <v>48</v>
      </c>
      <c r="P1066" t="str">
        <f t="shared" si="134"/>
        <v>Standard Order</v>
      </c>
      <c r="Q1066" t="str">
        <f t="shared" si="135"/>
        <v>Weekend</v>
      </c>
    </row>
    <row r="1067" spans="1:17" x14ac:dyDescent="0.35">
      <c r="A1067" t="s">
        <v>1217</v>
      </c>
      <c r="B1067" s="7">
        <v>45486</v>
      </c>
      <c r="C1067" s="13">
        <f t="shared" si="129"/>
        <v>2024</v>
      </c>
      <c r="D1067" s="7" t="str">
        <f t="shared" si="130"/>
        <v>Jul</v>
      </c>
      <c r="E1067" s="7" t="str">
        <f t="shared" si="131"/>
        <v>Sat</v>
      </c>
      <c r="F1067" t="s">
        <v>187</v>
      </c>
      <c r="G1067" t="s">
        <v>10</v>
      </c>
      <c r="H1067" t="s">
        <v>17</v>
      </c>
      <c r="I1067" s="2" t="str">
        <f t="shared" si="128"/>
        <v>South</v>
      </c>
      <c r="J1067" t="s">
        <v>12</v>
      </c>
      <c r="K1067" t="s">
        <v>36</v>
      </c>
      <c r="L1067">
        <v>7</v>
      </c>
      <c r="M1067">
        <v>120</v>
      </c>
      <c r="N1067">
        <f t="shared" si="132"/>
        <v>840</v>
      </c>
      <c r="O1067">
        <f t="shared" si="133"/>
        <v>84</v>
      </c>
      <c r="P1067" t="str">
        <f t="shared" si="134"/>
        <v>Large Order</v>
      </c>
      <c r="Q1067" t="str">
        <f t="shared" si="135"/>
        <v>Weekend</v>
      </c>
    </row>
    <row r="1068" spans="1:17" x14ac:dyDescent="0.35">
      <c r="A1068" t="s">
        <v>1218</v>
      </c>
      <c r="B1068" s="7">
        <v>45617</v>
      </c>
      <c r="C1068" s="13">
        <f t="shared" si="129"/>
        <v>2024</v>
      </c>
      <c r="D1068" s="7" t="str">
        <f t="shared" si="130"/>
        <v>Nov</v>
      </c>
      <c r="E1068" s="7" t="str">
        <f t="shared" si="131"/>
        <v>Thu</v>
      </c>
      <c r="F1068" t="s">
        <v>25</v>
      </c>
      <c r="G1068" t="s">
        <v>70</v>
      </c>
      <c r="H1068" t="s">
        <v>11</v>
      </c>
      <c r="I1068" s="2" t="str">
        <f t="shared" si="128"/>
        <v>South</v>
      </c>
      <c r="J1068" t="s">
        <v>56</v>
      </c>
      <c r="K1068" t="s">
        <v>36</v>
      </c>
      <c r="L1068">
        <v>18</v>
      </c>
      <c r="M1068">
        <v>120</v>
      </c>
      <c r="N1068">
        <f t="shared" si="132"/>
        <v>2160</v>
      </c>
      <c r="O1068">
        <f t="shared" si="133"/>
        <v>216</v>
      </c>
      <c r="P1068" t="str">
        <f t="shared" si="134"/>
        <v>Large Order</v>
      </c>
      <c r="Q1068" t="str">
        <f t="shared" si="135"/>
        <v>Weekday</v>
      </c>
    </row>
    <row r="1069" spans="1:17" x14ac:dyDescent="0.35">
      <c r="A1069" t="s">
        <v>1219</v>
      </c>
      <c r="B1069" s="7">
        <v>45587</v>
      </c>
      <c r="C1069" s="13">
        <f t="shared" si="129"/>
        <v>2024</v>
      </c>
      <c r="D1069" s="7" t="str">
        <f t="shared" si="130"/>
        <v>Oct</v>
      </c>
      <c r="E1069" s="7" t="str">
        <f t="shared" si="131"/>
        <v>Tue</v>
      </c>
      <c r="F1069" t="s">
        <v>430</v>
      </c>
      <c r="G1069" t="s">
        <v>41</v>
      </c>
      <c r="H1069" t="s">
        <v>11</v>
      </c>
      <c r="I1069" s="2" t="str">
        <f t="shared" si="128"/>
        <v>North</v>
      </c>
      <c r="J1069" t="s">
        <v>56</v>
      </c>
      <c r="K1069" t="s">
        <v>32</v>
      </c>
      <c r="L1069">
        <v>11</v>
      </c>
      <c r="M1069">
        <v>120</v>
      </c>
      <c r="N1069">
        <f t="shared" si="132"/>
        <v>1320</v>
      </c>
      <c r="O1069">
        <f t="shared" si="133"/>
        <v>132</v>
      </c>
      <c r="P1069" t="str">
        <f t="shared" si="134"/>
        <v>Large Order</v>
      </c>
      <c r="Q1069" t="str">
        <f t="shared" si="135"/>
        <v>Weekday</v>
      </c>
    </row>
    <row r="1070" spans="1:17" x14ac:dyDescent="0.35">
      <c r="A1070" t="s">
        <v>1220</v>
      </c>
      <c r="B1070" s="7">
        <v>45514</v>
      </c>
      <c r="C1070" s="13">
        <f t="shared" si="129"/>
        <v>2024</v>
      </c>
      <c r="D1070" s="7" t="str">
        <f t="shared" si="130"/>
        <v>Aug</v>
      </c>
      <c r="E1070" s="7" t="str">
        <f t="shared" si="131"/>
        <v>Sat</v>
      </c>
      <c r="F1070" t="s">
        <v>436</v>
      </c>
      <c r="G1070" t="s">
        <v>59</v>
      </c>
      <c r="H1070" t="s">
        <v>17</v>
      </c>
      <c r="I1070" s="2" t="str">
        <f t="shared" si="128"/>
        <v>North</v>
      </c>
      <c r="J1070" t="s">
        <v>12</v>
      </c>
      <c r="K1070" t="s">
        <v>36</v>
      </c>
      <c r="L1070">
        <v>1</v>
      </c>
      <c r="M1070">
        <v>120</v>
      </c>
      <c r="N1070">
        <f t="shared" si="132"/>
        <v>120</v>
      </c>
      <c r="O1070">
        <f t="shared" si="133"/>
        <v>12</v>
      </c>
      <c r="P1070" t="str">
        <f t="shared" si="134"/>
        <v>Standard Order</v>
      </c>
      <c r="Q1070" t="str">
        <f t="shared" si="135"/>
        <v>Weekend</v>
      </c>
    </row>
    <row r="1071" spans="1:17" x14ac:dyDescent="0.35">
      <c r="A1071" t="s">
        <v>1221</v>
      </c>
      <c r="B1071" s="7">
        <v>45498</v>
      </c>
      <c r="C1071" s="13">
        <f t="shared" si="129"/>
        <v>2024</v>
      </c>
      <c r="D1071" s="7" t="str">
        <f t="shared" si="130"/>
        <v>Jul</v>
      </c>
      <c r="E1071" s="7" t="str">
        <f t="shared" si="131"/>
        <v>Thu</v>
      </c>
      <c r="F1071" t="s">
        <v>34</v>
      </c>
      <c r="G1071" t="s">
        <v>48</v>
      </c>
      <c r="H1071" t="s">
        <v>17</v>
      </c>
      <c r="I1071" s="2" t="str">
        <f t="shared" si="128"/>
        <v>North</v>
      </c>
      <c r="J1071" t="s">
        <v>12</v>
      </c>
      <c r="K1071" t="s">
        <v>13</v>
      </c>
      <c r="L1071">
        <v>18</v>
      </c>
      <c r="M1071">
        <v>120</v>
      </c>
      <c r="N1071">
        <f t="shared" si="132"/>
        <v>2160</v>
      </c>
      <c r="O1071">
        <f t="shared" si="133"/>
        <v>216</v>
      </c>
      <c r="P1071" t="str">
        <f t="shared" si="134"/>
        <v>Large Order</v>
      </c>
      <c r="Q1071" t="str">
        <f t="shared" si="135"/>
        <v>Weekday</v>
      </c>
    </row>
    <row r="1072" spans="1:17" x14ac:dyDescent="0.35">
      <c r="A1072" t="s">
        <v>1222</v>
      </c>
      <c r="B1072" s="7">
        <v>45652</v>
      </c>
      <c r="C1072" s="13">
        <f t="shared" si="129"/>
        <v>2024</v>
      </c>
      <c r="D1072" s="7" t="str">
        <f t="shared" si="130"/>
        <v>Dec</v>
      </c>
      <c r="E1072" s="7" t="str">
        <f t="shared" si="131"/>
        <v>Thu</v>
      </c>
      <c r="F1072" t="s">
        <v>642</v>
      </c>
      <c r="G1072" t="s">
        <v>74</v>
      </c>
      <c r="H1072" t="s">
        <v>17</v>
      </c>
      <c r="I1072" s="2" t="str">
        <f t="shared" si="128"/>
        <v>West</v>
      </c>
      <c r="J1072" t="s">
        <v>12</v>
      </c>
      <c r="K1072" t="s">
        <v>36</v>
      </c>
      <c r="L1072">
        <v>1</v>
      </c>
      <c r="M1072">
        <v>120</v>
      </c>
      <c r="N1072">
        <f t="shared" si="132"/>
        <v>120</v>
      </c>
      <c r="O1072">
        <f t="shared" si="133"/>
        <v>12</v>
      </c>
      <c r="P1072" t="str">
        <f t="shared" si="134"/>
        <v>Standard Order</v>
      </c>
      <c r="Q1072" t="str">
        <f t="shared" si="135"/>
        <v>Weekday</v>
      </c>
    </row>
    <row r="1073" spans="1:17" x14ac:dyDescent="0.35">
      <c r="A1073" t="s">
        <v>1223</v>
      </c>
      <c r="B1073" s="7">
        <v>45493</v>
      </c>
      <c r="C1073" s="13">
        <f t="shared" si="129"/>
        <v>2024</v>
      </c>
      <c r="D1073" s="7" t="str">
        <f t="shared" si="130"/>
        <v>Jul</v>
      </c>
      <c r="E1073" s="7" t="str">
        <f t="shared" si="131"/>
        <v>Sat</v>
      </c>
      <c r="F1073" t="s">
        <v>451</v>
      </c>
      <c r="G1073" t="s">
        <v>31</v>
      </c>
      <c r="H1073" t="s">
        <v>17</v>
      </c>
      <c r="I1073" s="2" t="str">
        <f t="shared" si="128"/>
        <v>South</v>
      </c>
      <c r="J1073" t="s">
        <v>27</v>
      </c>
      <c r="K1073" t="s">
        <v>28</v>
      </c>
      <c r="L1073">
        <v>13</v>
      </c>
      <c r="M1073">
        <v>120</v>
      </c>
      <c r="N1073">
        <f t="shared" si="132"/>
        <v>1560</v>
      </c>
      <c r="O1073">
        <f t="shared" si="133"/>
        <v>156</v>
      </c>
      <c r="P1073" t="str">
        <f t="shared" si="134"/>
        <v>Large Order</v>
      </c>
      <c r="Q1073" t="str">
        <f t="shared" si="135"/>
        <v>Weekend</v>
      </c>
    </row>
    <row r="1074" spans="1:17" x14ac:dyDescent="0.35">
      <c r="A1074" t="s">
        <v>1224</v>
      </c>
      <c r="B1074" s="7">
        <v>45631</v>
      </c>
      <c r="C1074" s="13">
        <f t="shared" si="129"/>
        <v>2024</v>
      </c>
      <c r="D1074" s="7" t="str">
        <f t="shared" si="130"/>
        <v>Dec</v>
      </c>
      <c r="E1074" s="7" t="str">
        <f t="shared" si="131"/>
        <v>Thu</v>
      </c>
      <c r="F1074" t="s">
        <v>235</v>
      </c>
      <c r="G1074" t="s">
        <v>65</v>
      </c>
      <c r="H1074" t="s">
        <v>17</v>
      </c>
      <c r="I1074" s="2" t="str">
        <f t="shared" si="128"/>
        <v>South</v>
      </c>
      <c r="J1074" t="s">
        <v>56</v>
      </c>
      <c r="K1074" t="s">
        <v>32</v>
      </c>
      <c r="L1074">
        <v>18</v>
      </c>
      <c r="M1074">
        <v>120</v>
      </c>
      <c r="N1074">
        <f t="shared" si="132"/>
        <v>2160</v>
      </c>
      <c r="O1074">
        <f t="shared" si="133"/>
        <v>216</v>
      </c>
      <c r="P1074" t="str">
        <f t="shared" si="134"/>
        <v>Large Order</v>
      </c>
      <c r="Q1074" t="str">
        <f t="shared" si="135"/>
        <v>Weekday</v>
      </c>
    </row>
    <row r="1075" spans="1:17" x14ac:dyDescent="0.35">
      <c r="A1075" t="s">
        <v>1225</v>
      </c>
      <c r="B1075" s="7">
        <v>45505</v>
      </c>
      <c r="C1075" s="13">
        <f t="shared" si="129"/>
        <v>2024</v>
      </c>
      <c r="D1075" s="7" t="str">
        <f t="shared" si="130"/>
        <v>Aug</v>
      </c>
      <c r="E1075" s="7" t="str">
        <f t="shared" si="131"/>
        <v>Thu</v>
      </c>
      <c r="F1075" t="s">
        <v>125</v>
      </c>
      <c r="G1075" t="s">
        <v>16</v>
      </c>
      <c r="H1075" t="s">
        <v>17</v>
      </c>
      <c r="I1075" s="2" t="str">
        <f t="shared" si="128"/>
        <v>West</v>
      </c>
      <c r="J1075" t="s">
        <v>56</v>
      </c>
      <c r="K1075" t="s">
        <v>13</v>
      </c>
      <c r="L1075">
        <v>1</v>
      </c>
      <c r="M1075">
        <v>120</v>
      </c>
      <c r="N1075">
        <f t="shared" si="132"/>
        <v>120</v>
      </c>
      <c r="O1075">
        <f t="shared" si="133"/>
        <v>12</v>
      </c>
      <c r="P1075" t="str">
        <f t="shared" si="134"/>
        <v>Standard Order</v>
      </c>
      <c r="Q1075" t="str">
        <f t="shared" si="135"/>
        <v>Weekday</v>
      </c>
    </row>
    <row r="1076" spans="1:17" x14ac:dyDescent="0.35">
      <c r="A1076" t="s">
        <v>1226</v>
      </c>
      <c r="B1076" s="7">
        <v>45365</v>
      </c>
      <c r="C1076" s="13">
        <f t="shared" si="129"/>
        <v>2024</v>
      </c>
      <c r="D1076" s="7" t="str">
        <f t="shared" si="130"/>
        <v>Mar</v>
      </c>
      <c r="E1076" s="7" t="str">
        <f t="shared" si="131"/>
        <v>Thu</v>
      </c>
      <c r="F1076" t="s">
        <v>329</v>
      </c>
      <c r="G1076" t="s">
        <v>16</v>
      </c>
      <c r="H1076" t="s">
        <v>17</v>
      </c>
      <c r="I1076" s="2" t="str">
        <f t="shared" si="128"/>
        <v>Central</v>
      </c>
      <c r="J1076" t="s">
        <v>27</v>
      </c>
      <c r="K1076" t="s">
        <v>23</v>
      </c>
      <c r="L1076">
        <v>3</v>
      </c>
      <c r="M1076">
        <v>120</v>
      </c>
      <c r="N1076">
        <f t="shared" si="132"/>
        <v>360</v>
      </c>
      <c r="O1076">
        <f t="shared" si="133"/>
        <v>36</v>
      </c>
      <c r="P1076" t="str">
        <f t="shared" si="134"/>
        <v>Standard Order</v>
      </c>
      <c r="Q1076" t="str">
        <f t="shared" si="135"/>
        <v>Weekday</v>
      </c>
    </row>
    <row r="1077" spans="1:17" x14ac:dyDescent="0.35">
      <c r="A1077" t="s">
        <v>1227</v>
      </c>
      <c r="B1077" s="7">
        <v>45525</v>
      </c>
      <c r="C1077" s="13">
        <f t="shared" si="129"/>
        <v>2024</v>
      </c>
      <c r="D1077" s="7" t="str">
        <f t="shared" si="130"/>
        <v>Aug</v>
      </c>
      <c r="E1077" s="7" t="str">
        <f t="shared" si="131"/>
        <v>Wed</v>
      </c>
      <c r="F1077" t="s">
        <v>728</v>
      </c>
      <c r="G1077" t="s">
        <v>87</v>
      </c>
      <c r="H1077" t="s">
        <v>22</v>
      </c>
      <c r="I1077" s="2" t="str">
        <f t="shared" si="128"/>
        <v>West</v>
      </c>
      <c r="J1077" t="s">
        <v>306</v>
      </c>
      <c r="K1077" t="s">
        <v>36</v>
      </c>
      <c r="L1077">
        <v>20</v>
      </c>
      <c r="M1077">
        <v>120</v>
      </c>
      <c r="N1077">
        <f t="shared" si="132"/>
        <v>2400</v>
      </c>
      <c r="O1077">
        <f t="shared" si="133"/>
        <v>240</v>
      </c>
      <c r="P1077" t="str">
        <f t="shared" si="134"/>
        <v>Large Order</v>
      </c>
      <c r="Q1077" t="str">
        <f t="shared" si="135"/>
        <v>Weekday</v>
      </c>
    </row>
    <row r="1078" spans="1:17" x14ac:dyDescent="0.35">
      <c r="A1078" t="s">
        <v>1228</v>
      </c>
      <c r="B1078" s="7">
        <v>45509</v>
      </c>
      <c r="C1078" s="13">
        <f t="shared" si="129"/>
        <v>2024</v>
      </c>
      <c r="D1078" s="7" t="str">
        <f t="shared" si="130"/>
        <v>Aug</v>
      </c>
      <c r="E1078" s="7" t="str">
        <f t="shared" si="131"/>
        <v>Mon</v>
      </c>
      <c r="F1078" t="s">
        <v>378</v>
      </c>
      <c r="G1078" t="s">
        <v>48</v>
      </c>
      <c r="H1078" t="s">
        <v>17</v>
      </c>
      <c r="I1078" s="2" t="str">
        <f t="shared" si="128"/>
        <v>South</v>
      </c>
      <c r="J1078" t="s">
        <v>27</v>
      </c>
      <c r="K1078" t="s">
        <v>36</v>
      </c>
      <c r="L1078">
        <v>8</v>
      </c>
      <c r="M1078">
        <v>120</v>
      </c>
      <c r="N1078">
        <f t="shared" si="132"/>
        <v>960</v>
      </c>
      <c r="O1078">
        <f t="shared" si="133"/>
        <v>96</v>
      </c>
      <c r="P1078" t="str">
        <f t="shared" si="134"/>
        <v>Large Order</v>
      </c>
      <c r="Q1078" t="str">
        <f t="shared" si="135"/>
        <v>Weekday</v>
      </c>
    </row>
    <row r="1079" spans="1:17" x14ac:dyDescent="0.35">
      <c r="A1079" t="s">
        <v>1229</v>
      </c>
      <c r="B1079" s="7">
        <v>45295</v>
      </c>
      <c r="C1079" s="13">
        <f t="shared" si="129"/>
        <v>2024</v>
      </c>
      <c r="D1079" s="7" t="str">
        <f t="shared" si="130"/>
        <v>Jan</v>
      </c>
      <c r="E1079" s="7" t="str">
        <f t="shared" si="131"/>
        <v>Thu</v>
      </c>
      <c r="F1079" t="s">
        <v>314</v>
      </c>
      <c r="G1079" t="s">
        <v>62</v>
      </c>
      <c r="H1079" t="s">
        <v>17</v>
      </c>
      <c r="I1079" s="2" t="str">
        <f t="shared" si="128"/>
        <v>North</v>
      </c>
      <c r="J1079" t="s">
        <v>56</v>
      </c>
      <c r="K1079" t="s">
        <v>36</v>
      </c>
      <c r="L1079">
        <v>17</v>
      </c>
      <c r="M1079">
        <v>120</v>
      </c>
      <c r="N1079">
        <f t="shared" si="132"/>
        <v>2040</v>
      </c>
      <c r="O1079">
        <f t="shared" si="133"/>
        <v>204</v>
      </c>
      <c r="P1079" t="str">
        <f t="shared" si="134"/>
        <v>Large Order</v>
      </c>
      <c r="Q1079" t="str">
        <f t="shared" si="135"/>
        <v>Weekday</v>
      </c>
    </row>
    <row r="1080" spans="1:17" x14ac:dyDescent="0.35">
      <c r="A1080" t="s">
        <v>1230</v>
      </c>
      <c r="B1080" s="7">
        <v>45587</v>
      </c>
      <c r="C1080" s="13">
        <f t="shared" si="129"/>
        <v>2024</v>
      </c>
      <c r="D1080" s="7" t="str">
        <f t="shared" si="130"/>
        <v>Oct</v>
      </c>
      <c r="E1080" s="7" t="str">
        <f t="shared" si="131"/>
        <v>Tue</v>
      </c>
      <c r="F1080" t="s">
        <v>83</v>
      </c>
      <c r="G1080" t="s">
        <v>59</v>
      </c>
      <c r="H1080" t="s">
        <v>11</v>
      </c>
      <c r="I1080" s="2" t="str">
        <f t="shared" si="128"/>
        <v>North</v>
      </c>
      <c r="J1080" t="s">
        <v>12</v>
      </c>
      <c r="K1080" t="s">
        <v>13</v>
      </c>
      <c r="L1080">
        <v>16</v>
      </c>
      <c r="M1080">
        <v>120</v>
      </c>
      <c r="N1080">
        <f t="shared" si="132"/>
        <v>1920</v>
      </c>
      <c r="O1080">
        <f t="shared" si="133"/>
        <v>192</v>
      </c>
      <c r="P1080" t="str">
        <f t="shared" si="134"/>
        <v>Large Order</v>
      </c>
      <c r="Q1080" t="str">
        <f t="shared" si="135"/>
        <v>Weekday</v>
      </c>
    </row>
    <row r="1081" spans="1:17" x14ac:dyDescent="0.35">
      <c r="A1081" t="s">
        <v>1231</v>
      </c>
      <c r="B1081" s="7">
        <v>45589</v>
      </c>
      <c r="C1081" s="13">
        <f t="shared" si="129"/>
        <v>2024</v>
      </c>
      <c r="D1081" s="7" t="str">
        <f t="shared" si="130"/>
        <v>Oct</v>
      </c>
      <c r="E1081" s="7" t="str">
        <f t="shared" si="131"/>
        <v>Thu</v>
      </c>
      <c r="F1081" t="s">
        <v>517</v>
      </c>
      <c r="G1081" t="s">
        <v>16</v>
      </c>
      <c r="H1081" t="s">
        <v>22</v>
      </c>
      <c r="I1081" s="2" t="str">
        <f t="shared" si="128"/>
        <v>Central</v>
      </c>
      <c r="J1081" t="s">
        <v>12</v>
      </c>
      <c r="K1081" t="s">
        <v>32</v>
      </c>
      <c r="L1081">
        <v>17</v>
      </c>
      <c r="M1081">
        <v>120</v>
      </c>
      <c r="N1081">
        <f t="shared" si="132"/>
        <v>2040</v>
      </c>
      <c r="O1081">
        <f t="shared" si="133"/>
        <v>204</v>
      </c>
      <c r="P1081" t="str">
        <f t="shared" si="134"/>
        <v>Large Order</v>
      </c>
      <c r="Q1081" t="str">
        <f t="shared" si="135"/>
        <v>Weekday</v>
      </c>
    </row>
    <row r="1082" spans="1:17" x14ac:dyDescent="0.35">
      <c r="A1082" t="s">
        <v>1232</v>
      </c>
      <c r="B1082" s="7">
        <v>45530</v>
      </c>
      <c r="C1082" s="13">
        <f t="shared" si="129"/>
        <v>2024</v>
      </c>
      <c r="D1082" s="7" t="str">
        <f t="shared" si="130"/>
        <v>Aug</v>
      </c>
      <c r="E1082" s="7" t="str">
        <f t="shared" si="131"/>
        <v>Mon</v>
      </c>
      <c r="F1082" t="s">
        <v>363</v>
      </c>
      <c r="G1082" t="s">
        <v>109</v>
      </c>
      <c r="H1082" t="s">
        <v>11</v>
      </c>
      <c r="I1082" s="2" t="str">
        <f t="shared" si="128"/>
        <v>Central</v>
      </c>
      <c r="J1082" t="s">
        <v>306</v>
      </c>
      <c r="K1082" t="s">
        <v>13</v>
      </c>
      <c r="L1082">
        <v>3</v>
      </c>
      <c r="M1082">
        <v>120</v>
      </c>
      <c r="N1082">
        <f t="shared" si="132"/>
        <v>360</v>
      </c>
      <c r="O1082">
        <f t="shared" si="133"/>
        <v>36</v>
      </c>
      <c r="P1082" t="str">
        <f t="shared" si="134"/>
        <v>Standard Order</v>
      </c>
      <c r="Q1082" t="str">
        <f t="shared" si="135"/>
        <v>Weekday</v>
      </c>
    </row>
    <row r="1083" spans="1:17" x14ac:dyDescent="0.35">
      <c r="A1083" t="s">
        <v>1233</v>
      </c>
      <c r="B1083" s="7">
        <v>45642</v>
      </c>
      <c r="C1083" s="13">
        <f t="shared" si="129"/>
        <v>2024</v>
      </c>
      <c r="D1083" s="7" t="str">
        <f t="shared" si="130"/>
        <v>Dec</v>
      </c>
      <c r="E1083" s="7" t="str">
        <f t="shared" si="131"/>
        <v>Mon</v>
      </c>
      <c r="F1083" t="s">
        <v>541</v>
      </c>
      <c r="G1083" t="s">
        <v>74</v>
      </c>
      <c r="H1083" t="s">
        <v>22</v>
      </c>
      <c r="I1083" s="2" t="str">
        <f t="shared" si="128"/>
        <v>West</v>
      </c>
      <c r="J1083" t="s">
        <v>306</v>
      </c>
      <c r="K1083" t="s">
        <v>32</v>
      </c>
      <c r="L1083">
        <v>20</v>
      </c>
      <c r="M1083">
        <v>120</v>
      </c>
      <c r="N1083">
        <f t="shared" si="132"/>
        <v>2400</v>
      </c>
      <c r="O1083">
        <f t="shared" si="133"/>
        <v>240</v>
      </c>
      <c r="P1083" t="str">
        <f t="shared" si="134"/>
        <v>Large Order</v>
      </c>
      <c r="Q1083" t="str">
        <f t="shared" si="135"/>
        <v>Weekday</v>
      </c>
    </row>
    <row r="1084" spans="1:17" x14ac:dyDescent="0.35">
      <c r="A1084" t="s">
        <v>1234</v>
      </c>
      <c r="B1084" s="7">
        <v>45565</v>
      </c>
      <c r="C1084" s="13">
        <f t="shared" si="129"/>
        <v>2024</v>
      </c>
      <c r="D1084" s="7" t="str">
        <f t="shared" si="130"/>
        <v>Sep</v>
      </c>
      <c r="E1084" s="7" t="str">
        <f t="shared" si="131"/>
        <v>Mon</v>
      </c>
      <c r="F1084" t="s">
        <v>420</v>
      </c>
      <c r="G1084" t="s">
        <v>70</v>
      </c>
      <c r="H1084" t="s">
        <v>11</v>
      </c>
      <c r="I1084" s="2" t="str">
        <f t="shared" si="128"/>
        <v>East</v>
      </c>
      <c r="J1084" t="s">
        <v>27</v>
      </c>
      <c r="K1084" t="s">
        <v>36</v>
      </c>
      <c r="L1084">
        <v>17</v>
      </c>
      <c r="M1084">
        <v>120</v>
      </c>
      <c r="N1084">
        <f t="shared" si="132"/>
        <v>2040</v>
      </c>
      <c r="O1084">
        <f t="shared" si="133"/>
        <v>204</v>
      </c>
      <c r="P1084" t="str">
        <f t="shared" si="134"/>
        <v>Large Order</v>
      </c>
      <c r="Q1084" t="str">
        <f t="shared" si="135"/>
        <v>Weekday</v>
      </c>
    </row>
    <row r="1085" spans="1:17" x14ac:dyDescent="0.35">
      <c r="A1085" t="s">
        <v>1235</v>
      </c>
      <c r="B1085" s="7">
        <v>45461</v>
      </c>
      <c r="C1085" s="13">
        <f t="shared" si="129"/>
        <v>2024</v>
      </c>
      <c r="D1085" s="7" t="str">
        <f t="shared" si="130"/>
        <v>Jun</v>
      </c>
      <c r="E1085" s="7" t="str">
        <f t="shared" si="131"/>
        <v>Tue</v>
      </c>
      <c r="F1085" t="s">
        <v>572</v>
      </c>
      <c r="G1085" t="s">
        <v>74</v>
      </c>
      <c r="H1085" t="s">
        <v>17</v>
      </c>
      <c r="I1085" s="2" t="str">
        <f t="shared" si="128"/>
        <v>East</v>
      </c>
      <c r="J1085" t="s">
        <v>42</v>
      </c>
      <c r="K1085" t="s">
        <v>36</v>
      </c>
      <c r="L1085">
        <v>6</v>
      </c>
      <c r="M1085">
        <v>120</v>
      </c>
      <c r="N1085">
        <f t="shared" si="132"/>
        <v>720</v>
      </c>
      <c r="O1085">
        <f t="shared" si="133"/>
        <v>72</v>
      </c>
      <c r="P1085" t="str">
        <f t="shared" si="134"/>
        <v>Large Order</v>
      </c>
      <c r="Q1085" t="str">
        <f t="shared" si="135"/>
        <v>Weekday</v>
      </c>
    </row>
    <row r="1086" spans="1:17" x14ac:dyDescent="0.35">
      <c r="A1086" t="s">
        <v>1236</v>
      </c>
      <c r="B1086" s="7">
        <v>45447</v>
      </c>
      <c r="C1086" s="13">
        <f t="shared" si="129"/>
        <v>2024</v>
      </c>
      <c r="D1086" s="7" t="str">
        <f t="shared" si="130"/>
        <v>Jun</v>
      </c>
      <c r="E1086" s="7" t="str">
        <f t="shared" si="131"/>
        <v>Tue</v>
      </c>
      <c r="F1086" t="s">
        <v>388</v>
      </c>
      <c r="G1086" t="s">
        <v>79</v>
      </c>
      <c r="H1086" t="s">
        <v>22</v>
      </c>
      <c r="I1086" s="2" t="str">
        <f t="shared" si="128"/>
        <v>Central</v>
      </c>
      <c r="J1086" t="s">
        <v>42</v>
      </c>
      <c r="K1086" t="s">
        <v>36</v>
      </c>
      <c r="L1086">
        <v>16</v>
      </c>
      <c r="M1086">
        <v>120</v>
      </c>
      <c r="N1086">
        <f t="shared" si="132"/>
        <v>1920</v>
      </c>
      <c r="O1086">
        <f t="shared" si="133"/>
        <v>192</v>
      </c>
      <c r="P1086" t="str">
        <f t="shared" si="134"/>
        <v>Large Order</v>
      </c>
      <c r="Q1086" t="str">
        <f t="shared" si="135"/>
        <v>Weekday</v>
      </c>
    </row>
    <row r="1087" spans="1:17" x14ac:dyDescent="0.35">
      <c r="A1087" t="s">
        <v>1237</v>
      </c>
      <c r="B1087" s="7">
        <v>45318</v>
      </c>
      <c r="C1087" s="13">
        <f t="shared" si="129"/>
        <v>2024</v>
      </c>
      <c r="D1087" s="7" t="str">
        <f t="shared" si="130"/>
        <v>Jan</v>
      </c>
      <c r="E1087" s="7" t="str">
        <f t="shared" si="131"/>
        <v>Sat</v>
      </c>
      <c r="F1087" t="s">
        <v>371</v>
      </c>
      <c r="G1087" t="s">
        <v>96</v>
      </c>
      <c r="H1087" t="s">
        <v>17</v>
      </c>
      <c r="I1087" s="2" t="str">
        <f t="shared" si="128"/>
        <v>East</v>
      </c>
      <c r="J1087" t="s">
        <v>306</v>
      </c>
      <c r="K1087" t="s">
        <v>28</v>
      </c>
      <c r="L1087">
        <v>10</v>
      </c>
      <c r="M1087">
        <v>120</v>
      </c>
      <c r="N1087">
        <f t="shared" si="132"/>
        <v>1200</v>
      </c>
      <c r="O1087">
        <f t="shared" si="133"/>
        <v>120</v>
      </c>
      <c r="P1087" t="str">
        <f t="shared" si="134"/>
        <v>Large Order</v>
      </c>
      <c r="Q1087" t="str">
        <f t="shared" si="135"/>
        <v>Weekend</v>
      </c>
    </row>
    <row r="1088" spans="1:17" x14ac:dyDescent="0.35">
      <c r="A1088" t="s">
        <v>1238</v>
      </c>
      <c r="B1088" s="7">
        <v>45550</v>
      </c>
      <c r="C1088" s="13">
        <f t="shared" si="129"/>
        <v>2024</v>
      </c>
      <c r="D1088" s="7" t="str">
        <f t="shared" si="130"/>
        <v>Sep</v>
      </c>
      <c r="E1088" s="7" t="str">
        <f t="shared" si="131"/>
        <v>Sun</v>
      </c>
      <c r="F1088" t="s">
        <v>208</v>
      </c>
      <c r="G1088" t="s">
        <v>16</v>
      </c>
      <c r="H1088" t="s">
        <v>17</v>
      </c>
      <c r="I1088" s="2" t="str">
        <f t="shared" si="128"/>
        <v>Central</v>
      </c>
      <c r="J1088" t="s">
        <v>42</v>
      </c>
      <c r="K1088" t="s">
        <v>32</v>
      </c>
      <c r="L1088">
        <v>20</v>
      </c>
      <c r="M1088">
        <v>120</v>
      </c>
      <c r="N1088">
        <f t="shared" si="132"/>
        <v>2400</v>
      </c>
      <c r="O1088">
        <f t="shared" si="133"/>
        <v>240</v>
      </c>
      <c r="P1088" t="str">
        <f t="shared" si="134"/>
        <v>Large Order</v>
      </c>
      <c r="Q1088" t="str">
        <f t="shared" si="135"/>
        <v>Weekend</v>
      </c>
    </row>
    <row r="1089" spans="1:17" x14ac:dyDescent="0.35">
      <c r="A1089" t="s">
        <v>1239</v>
      </c>
      <c r="B1089" s="7">
        <v>45299</v>
      </c>
      <c r="C1089" s="13">
        <f t="shared" si="129"/>
        <v>2024</v>
      </c>
      <c r="D1089" s="7" t="str">
        <f t="shared" si="130"/>
        <v>Jan</v>
      </c>
      <c r="E1089" s="7" t="str">
        <f t="shared" si="131"/>
        <v>Mon</v>
      </c>
      <c r="F1089" t="s">
        <v>304</v>
      </c>
      <c r="G1089" t="s">
        <v>45</v>
      </c>
      <c r="H1089" t="s">
        <v>11</v>
      </c>
      <c r="I1089" s="2" t="str">
        <f t="shared" si="128"/>
        <v>South</v>
      </c>
      <c r="J1089" t="s">
        <v>306</v>
      </c>
      <c r="K1089" t="s">
        <v>23</v>
      </c>
      <c r="L1089">
        <v>19</v>
      </c>
      <c r="M1089">
        <v>120</v>
      </c>
      <c r="N1089">
        <f t="shared" si="132"/>
        <v>2280</v>
      </c>
      <c r="O1089">
        <f t="shared" si="133"/>
        <v>228</v>
      </c>
      <c r="P1089" t="str">
        <f t="shared" si="134"/>
        <v>Large Order</v>
      </c>
      <c r="Q1089" t="str">
        <f t="shared" si="135"/>
        <v>Weekday</v>
      </c>
    </row>
    <row r="1090" spans="1:17" x14ac:dyDescent="0.35">
      <c r="A1090" t="s">
        <v>1240</v>
      </c>
      <c r="B1090" s="7">
        <v>45481</v>
      </c>
      <c r="C1090" s="13">
        <f t="shared" si="129"/>
        <v>2024</v>
      </c>
      <c r="D1090" s="7" t="str">
        <f t="shared" si="130"/>
        <v>Jul</v>
      </c>
      <c r="E1090" s="7" t="str">
        <f t="shared" si="131"/>
        <v>Mon</v>
      </c>
      <c r="F1090" t="s">
        <v>235</v>
      </c>
      <c r="G1090" t="s">
        <v>35</v>
      </c>
      <c r="H1090" t="s">
        <v>17</v>
      </c>
      <c r="I1090" s="2" t="str">
        <f t="shared" si="128"/>
        <v>Central</v>
      </c>
      <c r="J1090" t="s">
        <v>56</v>
      </c>
      <c r="K1090" t="s">
        <v>13</v>
      </c>
      <c r="L1090">
        <v>6</v>
      </c>
      <c r="M1090">
        <v>120</v>
      </c>
      <c r="N1090">
        <f t="shared" si="132"/>
        <v>720</v>
      </c>
      <c r="O1090">
        <f t="shared" si="133"/>
        <v>72</v>
      </c>
      <c r="P1090" t="str">
        <f t="shared" si="134"/>
        <v>Large Order</v>
      </c>
      <c r="Q1090" t="str">
        <f t="shared" si="135"/>
        <v>Weekday</v>
      </c>
    </row>
    <row r="1091" spans="1:17" x14ac:dyDescent="0.35">
      <c r="A1091" t="s">
        <v>1241</v>
      </c>
      <c r="B1091" s="7">
        <v>45467</v>
      </c>
      <c r="C1091" s="13">
        <f t="shared" si="129"/>
        <v>2024</v>
      </c>
      <c r="D1091" s="7" t="str">
        <f t="shared" si="130"/>
        <v>Jun</v>
      </c>
      <c r="E1091" s="7" t="str">
        <f t="shared" si="131"/>
        <v>Mon</v>
      </c>
      <c r="F1091" t="s">
        <v>81</v>
      </c>
      <c r="G1091" t="s">
        <v>16</v>
      </c>
      <c r="H1091" t="s">
        <v>11</v>
      </c>
      <c r="I1091" s="2" t="str">
        <f t="shared" ref="I1091:I1154" si="136">TRIM(J1092)</f>
        <v>West</v>
      </c>
      <c r="J1091" t="s">
        <v>306</v>
      </c>
      <c r="K1091" t="s">
        <v>23</v>
      </c>
      <c r="L1091">
        <v>16</v>
      </c>
      <c r="M1091">
        <v>120</v>
      </c>
      <c r="N1091">
        <f t="shared" si="132"/>
        <v>1920</v>
      </c>
      <c r="O1091">
        <f t="shared" si="133"/>
        <v>192</v>
      </c>
      <c r="P1091" t="str">
        <f t="shared" si="134"/>
        <v>Large Order</v>
      </c>
      <c r="Q1091" t="str">
        <f t="shared" si="135"/>
        <v>Weekday</v>
      </c>
    </row>
    <row r="1092" spans="1:17" x14ac:dyDescent="0.35">
      <c r="A1092" t="s">
        <v>1242</v>
      </c>
      <c r="B1092" s="7">
        <v>45488</v>
      </c>
      <c r="C1092" s="13">
        <f t="shared" ref="C1092:C1155" si="137">YEAR(B1092)</f>
        <v>2024</v>
      </c>
      <c r="D1092" s="7" t="str">
        <f t="shared" ref="D1092:D1155" si="138">TEXT(B1092,"mmm")</f>
        <v>Jul</v>
      </c>
      <c r="E1092" s="7" t="str">
        <f t="shared" ref="E1092:E1155" si="139">TEXT(B1092,"ddd")</f>
        <v>Mon</v>
      </c>
      <c r="F1092" t="s">
        <v>93</v>
      </c>
      <c r="G1092" t="s">
        <v>84</v>
      </c>
      <c r="H1092" t="s">
        <v>22</v>
      </c>
      <c r="I1092" s="2" t="str">
        <f t="shared" si="136"/>
        <v>North</v>
      </c>
      <c r="J1092" t="s">
        <v>27</v>
      </c>
      <c r="K1092" t="s">
        <v>32</v>
      </c>
      <c r="L1092">
        <v>6</v>
      </c>
      <c r="M1092">
        <v>120</v>
      </c>
      <c r="N1092">
        <f t="shared" ref="N1092:N1155" si="140">M1092*L1092</f>
        <v>720</v>
      </c>
      <c r="O1092">
        <f t="shared" ref="O1092:O1155" si="141">N1092*0.1</f>
        <v>72</v>
      </c>
      <c r="P1092" t="str">
        <f t="shared" ref="P1092:P1155" si="142">IF(N1092&gt;500,"Large Order","Standard Order")</f>
        <v>Large Order</v>
      </c>
      <c r="Q1092" t="str">
        <f t="shared" ref="Q1092:Q1155" si="143">IF(OR(TRIM(E1092)="Sat",TRIM(E1092)="Sun"),"Weekend","Weekday")</f>
        <v>Weekday</v>
      </c>
    </row>
    <row r="1093" spans="1:17" x14ac:dyDescent="0.35">
      <c r="A1093" t="s">
        <v>1243</v>
      </c>
      <c r="B1093" s="7">
        <v>45319</v>
      </c>
      <c r="C1093" s="13">
        <f t="shared" si="137"/>
        <v>2024</v>
      </c>
      <c r="D1093" s="7" t="str">
        <f t="shared" si="138"/>
        <v>Jan</v>
      </c>
      <c r="E1093" s="7" t="str">
        <f t="shared" si="139"/>
        <v>Sun</v>
      </c>
      <c r="F1093" t="s">
        <v>736</v>
      </c>
      <c r="G1093" t="s">
        <v>79</v>
      </c>
      <c r="H1093" t="s">
        <v>17</v>
      </c>
      <c r="I1093" s="2" t="str">
        <f t="shared" si="136"/>
        <v>Central</v>
      </c>
      <c r="J1093" t="s">
        <v>12</v>
      </c>
      <c r="K1093" t="s">
        <v>23</v>
      </c>
      <c r="L1093">
        <v>6</v>
      </c>
      <c r="M1093">
        <v>120</v>
      </c>
      <c r="N1093">
        <f t="shared" si="140"/>
        <v>720</v>
      </c>
      <c r="O1093">
        <f t="shared" si="141"/>
        <v>72</v>
      </c>
      <c r="P1093" t="str">
        <f t="shared" si="142"/>
        <v>Large Order</v>
      </c>
      <c r="Q1093" t="str">
        <f t="shared" si="143"/>
        <v>Weekend</v>
      </c>
    </row>
    <row r="1094" spans="1:17" x14ac:dyDescent="0.35">
      <c r="A1094" t="s">
        <v>1244</v>
      </c>
      <c r="B1094" s="7">
        <v>45446</v>
      </c>
      <c r="C1094" s="13">
        <f t="shared" si="137"/>
        <v>2024</v>
      </c>
      <c r="D1094" s="7" t="str">
        <f t="shared" si="138"/>
        <v>Jun</v>
      </c>
      <c r="E1094" s="7" t="str">
        <f t="shared" si="139"/>
        <v>Mon</v>
      </c>
      <c r="F1094" t="s">
        <v>553</v>
      </c>
      <c r="G1094" t="s">
        <v>197</v>
      </c>
      <c r="H1094" t="s">
        <v>22</v>
      </c>
      <c r="I1094" s="2" t="str">
        <f t="shared" si="136"/>
        <v>Central</v>
      </c>
      <c r="J1094" t="s">
        <v>306</v>
      </c>
      <c r="K1094" t="s">
        <v>23</v>
      </c>
      <c r="L1094">
        <v>13</v>
      </c>
      <c r="M1094">
        <v>120</v>
      </c>
      <c r="N1094">
        <f t="shared" si="140"/>
        <v>1560</v>
      </c>
      <c r="O1094">
        <f t="shared" si="141"/>
        <v>156</v>
      </c>
      <c r="P1094" t="str">
        <f t="shared" si="142"/>
        <v>Large Order</v>
      </c>
      <c r="Q1094" t="str">
        <f t="shared" si="143"/>
        <v>Weekday</v>
      </c>
    </row>
    <row r="1095" spans="1:17" x14ac:dyDescent="0.35">
      <c r="A1095" t="s">
        <v>1245</v>
      </c>
      <c r="B1095" s="7">
        <v>45534</v>
      </c>
      <c r="C1095" s="13">
        <f t="shared" si="137"/>
        <v>2024</v>
      </c>
      <c r="D1095" s="7" t="str">
        <f t="shared" si="138"/>
        <v>Aug</v>
      </c>
      <c r="E1095" s="7" t="str">
        <f t="shared" si="139"/>
        <v>Fri</v>
      </c>
      <c r="F1095" t="s">
        <v>86</v>
      </c>
      <c r="G1095" t="s">
        <v>87</v>
      </c>
      <c r="H1095" t="s">
        <v>11</v>
      </c>
      <c r="I1095" s="2" t="str">
        <f t="shared" si="136"/>
        <v>Central</v>
      </c>
      <c r="J1095" t="s">
        <v>306</v>
      </c>
      <c r="K1095" t="s">
        <v>23</v>
      </c>
      <c r="L1095">
        <v>1</v>
      </c>
      <c r="M1095">
        <v>120</v>
      </c>
      <c r="N1095">
        <f t="shared" si="140"/>
        <v>120</v>
      </c>
      <c r="O1095">
        <f t="shared" si="141"/>
        <v>12</v>
      </c>
      <c r="P1095" t="str">
        <f t="shared" si="142"/>
        <v>Standard Order</v>
      </c>
      <c r="Q1095" t="str">
        <f t="shared" si="143"/>
        <v>Weekday</v>
      </c>
    </row>
    <row r="1096" spans="1:17" x14ac:dyDescent="0.35">
      <c r="A1096" t="s">
        <v>1246</v>
      </c>
      <c r="B1096" s="7">
        <v>45487</v>
      </c>
      <c r="C1096" s="13">
        <f t="shared" si="137"/>
        <v>2024</v>
      </c>
      <c r="D1096" s="7" t="str">
        <f t="shared" si="138"/>
        <v>Jul</v>
      </c>
      <c r="E1096" s="7" t="str">
        <f t="shared" si="139"/>
        <v>Sun</v>
      </c>
      <c r="F1096" t="s">
        <v>422</v>
      </c>
      <c r="G1096" t="s">
        <v>41</v>
      </c>
      <c r="H1096" t="s">
        <v>17</v>
      </c>
      <c r="I1096" s="2" t="str">
        <f t="shared" si="136"/>
        <v>Central</v>
      </c>
      <c r="J1096" t="s">
        <v>306</v>
      </c>
      <c r="K1096" t="s">
        <v>36</v>
      </c>
      <c r="L1096">
        <v>2</v>
      </c>
      <c r="M1096">
        <v>120</v>
      </c>
      <c r="N1096">
        <f t="shared" si="140"/>
        <v>240</v>
      </c>
      <c r="O1096">
        <f t="shared" si="141"/>
        <v>24</v>
      </c>
      <c r="P1096" t="str">
        <f t="shared" si="142"/>
        <v>Standard Order</v>
      </c>
      <c r="Q1096" t="str">
        <f t="shared" si="143"/>
        <v>Weekend</v>
      </c>
    </row>
    <row r="1097" spans="1:17" x14ac:dyDescent="0.35">
      <c r="A1097" t="s">
        <v>1247</v>
      </c>
      <c r="B1097" s="7">
        <v>45618</v>
      </c>
      <c r="C1097" s="13">
        <f t="shared" si="137"/>
        <v>2024</v>
      </c>
      <c r="D1097" s="7" t="str">
        <f t="shared" si="138"/>
        <v>Nov</v>
      </c>
      <c r="E1097" s="7" t="str">
        <f t="shared" si="139"/>
        <v>Fri</v>
      </c>
      <c r="F1097" t="s">
        <v>182</v>
      </c>
      <c r="G1097" t="s">
        <v>21</v>
      </c>
      <c r="H1097" t="s">
        <v>17</v>
      </c>
      <c r="I1097" s="2" t="str">
        <f t="shared" si="136"/>
        <v>Central</v>
      </c>
      <c r="J1097" t="s">
        <v>306</v>
      </c>
      <c r="K1097" t="s">
        <v>32</v>
      </c>
      <c r="L1097">
        <v>9</v>
      </c>
      <c r="M1097">
        <v>120</v>
      </c>
      <c r="N1097">
        <f t="shared" si="140"/>
        <v>1080</v>
      </c>
      <c r="O1097">
        <f t="shared" si="141"/>
        <v>108</v>
      </c>
      <c r="P1097" t="str">
        <f t="shared" si="142"/>
        <v>Large Order</v>
      </c>
      <c r="Q1097" t="str">
        <f t="shared" si="143"/>
        <v>Weekday</v>
      </c>
    </row>
    <row r="1098" spans="1:17" x14ac:dyDescent="0.35">
      <c r="A1098" t="s">
        <v>1248</v>
      </c>
      <c r="B1098" s="7">
        <v>45342</v>
      </c>
      <c r="C1098" s="13">
        <f t="shared" si="137"/>
        <v>2024</v>
      </c>
      <c r="D1098" s="7" t="str">
        <f t="shared" si="138"/>
        <v>Feb</v>
      </c>
      <c r="E1098" s="7" t="str">
        <f t="shared" si="139"/>
        <v>Tue</v>
      </c>
      <c r="F1098" t="s">
        <v>230</v>
      </c>
      <c r="G1098" t="s">
        <v>31</v>
      </c>
      <c r="H1098" t="s">
        <v>22</v>
      </c>
      <c r="I1098" s="2" t="str">
        <f t="shared" si="136"/>
        <v>Central</v>
      </c>
      <c r="J1098" t="s">
        <v>306</v>
      </c>
      <c r="K1098" t="s">
        <v>28</v>
      </c>
      <c r="L1098">
        <v>15</v>
      </c>
      <c r="M1098">
        <v>120</v>
      </c>
      <c r="N1098">
        <f t="shared" si="140"/>
        <v>1800</v>
      </c>
      <c r="O1098">
        <f t="shared" si="141"/>
        <v>180</v>
      </c>
      <c r="P1098" t="str">
        <f t="shared" si="142"/>
        <v>Large Order</v>
      </c>
      <c r="Q1098" t="str">
        <f t="shared" si="143"/>
        <v>Weekday</v>
      </c>
    </row>
    <row r="1099" spans="1:17" x14ac:dyDescent="0.35">
      <c r="A1099" t="s">
        <v>1249</v>
      </c>
      <c r="B1099" s="7">
        <v>45636</v>
      </c>
      <c r="C1099" s="13">
        <f t="shared" si="137"/>
        <v>2024</v>
      </c>
      <c r="D1099" s="7" t="str">
        <f t="shared" si="138"/>
        <v>Dec</v>
      </c>
      <c r="E1099" s="7" t="str">
        <f t="shared" si="139"/>
        <v>Tue</v>
      </c>
      <c r="F1099" t="s">
        <v>449</v>
      </c>
      <c r="G1099" t="s">
        <v>72</v>
      </c>
      <c r="H1099" t="s">
        <v>11</v>
      </c>
      <c r="I1099" s="2" t="str">
        <f t="shared" si="136"/>
        <v>North</v>
      </c>
      <c r="J1099" t="s">
        <v>306</v>
      </c>
      <c r="K1099" t="s">
        <v>13</v>
      </c>
      <c r="L1099">
        <v>6</v>
      </c>
      <c r="M1099">
        <v>120</v>
      </c>
      <c r="N1099">
        <f t="shared" si="140"/>
        <v>720</v>
      </c>
      <c r="O1099">
        <f t="shared" si="141"/>
        <v>72</v>
      </c>
      <c r="P1099" t="str">
        <f t="shared" si="142"/>
        <v>Large Order</v>
      </c>
      <c r="Q1099" t="str">
        <f t="shared" si="143"/>
        <v>Weekday</v>
      </c>
    </row>
    <row r="1100" spans="1:17" x14ac:dyDescent="0.35">
      <c r="A1100" t="s">
        <v>1250</v>
      </c>
      <c r="B1100" s="7">
        <v>45636</v>
      </c>
      <c r="C1100" s="13">
        <f t="shared" si="137"/>
        <v>2024</v>
      </c>
      <c r="D1100" s="7" t="str">
        <f t="shared" si="138"/>
        <v>Dec</v>
      </c>
      <c r="E1100" s="7" t="str">
        <f t="shared" si="139"/>
        <v>Tue</v>
      </c>
      <c r="F1100" t="s">
        <v>142</v>
      </c>
      <c r="G1100" t="s">
        <v>87</v>
      </c>
      <c r="H1100" t="s">
        <v>11</v>
      </c>
      <c r="I1100" s="2" t="str">
        <f t="shared" si="136"/>
        <v>East</v>
      </c>
      <c r="J1100" t="s">
        <v>12</v>
      </c>
      <c r="K1100" t="s">
        <v>23</v>
      </c>
      <c r="L1100">
        <v>4</v>
      </c>
      <c r="M1100">
        <v>120</v>
      </c>
      <c r="N1100">
        <f t="shared" si="140"/>
        <v>480</v>
      </c>
      <c r="O1100">
        <f t="shared" si="141"/>
        <v>48</v>
      </c>
      <c r="P1100" t="str">
        <f t="shared" si="142"/>
        <v>Standard Order</v>
      </c>
      <c r="Q1100" t="str">
        <f t="shared" si="143"/>
        <v>Weekday</v>
      </c>
    </row>
    <row r="1101" spans="1:17" x14ac:dyDescent="0.35">
      <c r="A1101" t="s">
        <v>1251</v>
      </c>
      <c r="B1101" s="7">
        <v>45471</v>
      </c>
      <c r="C1101" s="13">
        <f t="shared" si="137"/>
        <v>2024</v>
      </c>
      <c r="D1101" s="7" t="str">
        <f t="shared" si="138"/>
        <v>Jun</v>
      </c>
      <c r="E1101" s="7" t="str">
        <f t="shared" si="139"/>
        <v>Fri</v>
      </c>
      <c r="F1101" t="s">
        <v>240</v>
      </c>
      <c r="G1101" t="s">
        <v>26</v>
      </c>
      <c r="H1101" t="s">
        <v>22</v>
      </c>
      <c r="I1101" s="2" t="str">
        <f t="shared" si="136"/>
        <v>South</v>
      </c>
      <c r="J1101" t="s">
        <v>42</v>
      </c>
      <c r="K1101" t="s">
        <v>36</v>
      </c>
      <c r="L1101">
        <v>7</v>
      </c>
      <c r="M1101">
        <v>120</v>
      </c>
      <c r="N1101">
        <f t="shared" si="140"/>
        <v>840</v>
      </c>
      <c r="O1101">
        <f t="shared" si="141"/>
        <v>84</v>
      </c>
      <c r="P1101" t="str">
        <f t="shared" si="142"/>
        <v>Large Order</v>
      </c>
      <c r="Q1101" t="str">
        <f t="shared" si="143"/>
        <v>Weekday</v>
      </c>
    </row>
    <row r="1102" spans="1:17" x14ac:dyDescent="0.35">
      <c r="A1102" t="s">
        <v>1252</v>
      </c>
      <c r="B1102" s="7">
        <v>45339</v>
      </c>
      <c r="C1102" s="13">
        <f t="shared" si="137"/>
        <v>2024</v>
      </c>
      <c r="D1102" s="7" t="str">
        <f t="shared" si="138"/>
        <v>Feb</v>
      </c>
      <c r="E1102" s="7" t="str">
        <f t="shared" si="139"/>
        <v>Sat</v>
      </c>
      <c r="F1102" t="s">
        <v>131</v>
      </c>
      <c r="G1102" t="s">
        <v>109</v>
      </c>
      <c r="H1102" t="s">
        <v>22</v>
      </c>
      <c r="I1102" s="2" t="str">
        <f t="shared" si="136"/>
        <v>West</v>
      </c>
      <c r="J1102" t="s">
        <v>56</v>
      </c>
      <c r="K1102" t="s">
        <v>13</v>
      </c>
      <c r="L1102">
        <v>4</v>
      </c>
      <c r="M1102">
        <v>120</v>
      </c>
      <c r="N1102">
        <f t="shared" si="140"/>
        <v>480</v>
      </c>
      <c r="O1102">
        <f t="shared" si="141"/>
        <v>48</v>
      </c>
      <c r="P1102" t="str">
        <f t="shared" si="142"/>
        <v>Standard Order</v>
      </c>
      <c r="Q1102" t="str">
        <f t="shared" si="143"/>
        <v>Weekend</v>
      </c>
    </row>
    <row r="1103" spans="1:17" x14ac:dyDescent="0.35">
      <c r="A1103" t="s">
        <v>1253</v>
      </c>
      <c r="B1103" s="7">
        <v>45336</v>
      </c>
      <c r="C1103" s="13">
        <f t="shared" si="137"/>
        <v>2024</v>
      </c>
      <c r="D1103" s="7" t="str">
        <f t="shared" si="138"/>
        <v>Feb</v>
      </c>
      <c r="E1103" s="7" t="str">
        <f t="shared" si="139"/>
        <v>Wed</v>
      </c>
      <c r="F1103" t="s">
        <v>493</v>
      </c>
      <c r="G1103" t="s">
        <v>41</v>
      </c>
      <c r="H1103" t="s">
        <v>11</v>
      </c>
      <c r="I1103" s="2" t="str">
        <f t="shared" si="136"/>
        <v>East</v>
      </c>
      <c r="J1103" t="s">
        <v>27</v>
      </c>
      <c r="K1103" t="s">
        <v>28</v>
      </c>
      <c r="L1103">
        <v>19</v>
      </c>
      <c r="M1103">
        <v>120</v>
      </c>
      <c r="N1103">
        <f t="shared" si="140"/>
        <v>2280</v>
      </c>
      <c r="O1103">
        <f t="shared" si="141"/>
        <v>228</v>
      </c>
      <c r="P1103" t="str">
        <f t="shared" si="142"/>
        <v>Large Order</v>
      </c>
      <c r="Q1103" t="str">
        <f t="shared" si="143"/>
        <v>Weekday</v>
      </c>
    </row>
    <row r="1104" spans="1:17" x14ac:dyDescent="0.35">
      <c r="A1104" t="s">
        <v>1254</v>
      </c>
      <c r="B1104" s="7">
        <v>45348</v>
      </c>
      <c r="C1104" s="13">
        <f t="shared" si="137"/>
        <v>2024</v>
      </c>
      <c r="D1104" s="7" t="str">
        <f t="shared" si="138"/>
        <v>Feb</v>
      </c>
      <c r="E1104" s="7" t="str">
        <f t="shared" si="139"/>
        <v>Mon</v>
      </c>
      <c r="F1104" t="s">
        <v>424</v>
      </c>
      <c r="G1104" t="s">
        <v>74</v>
      </c>
      <c r="H1104" t="s">
        <v>11</v>
      </c>
      <c r="I1104" s="2" t="str">
        <f t="shared" si="136"/>
        <v>West</v>
      </c>
      <c r="J1104" t="s">
        <v>42</v>
      </c>
      <c r="K1104" t="s">
        <v>13</v>
      </c>
      <c r="L1104">
        <v>15</v>
      </c>
      <c r="M1104">
        <v>120</v>
      </c>
      <c r="N1104">
        <f t="shared" si="140"/>
        <v>1800</v>
      </c>
      <c r="O1104">
        <f t="shared" si="141"/>
        <v>180</v>
      </c>
      <c r="P1104" t="str">
        <f t="shared" si="142"/>
        <v>Large Order</v>
      </c>
      <c r="Q1104" t="str">
        <f t="shared" si="143"/>
        <v>Weekday</v>
      </c>
    </row>
    <row r="1105" spans="1:17" x14ac:dyDescent="0.35">
      <c r="A1105" t="s">
        <v>1255</v>
      </c>
      <c r="B1105" s="7">
        <v>45619</v>
      </c>
      <c r="C1105" s="13">
        <f t="shared" si="137"/>
        <v>2024</v>
      </c>
      <c r="D1105" s="7" t="str">
        <f t="shared" si="138"/>
        <v>Nov</v>
      </c>
      <c r="E1105" s="7" t="str">
        <f t="shared" si="139"/>
        <v>Sat</v>
      </c>
      <c r="F1105" t="s">
        <v>366</v>
      </c>
      <c r="G1105" t="s">
        <v>62</v>
      </c>
      <c r="H1105" t="s">
        <v>17</v>
      </c>
      <c r="I1105" s="2" t="str">
        <f t="shared" si="136"/>
        <v>West</v>
      </c>
      <c r="J1105" t="s">
        <v>27</v>
      </c>
      <c r="K1105" t="s">
        <v>13</v>
      </c>
      <c r="L1105">
        <v>11</v>
      </c>
      <c r="M1105">
        <v>120</v>
      </c>
      <c r="N1105">
        <f t="shared" si="140"/>
        <v>1320</v>
      </c>
      <c r="O1105">
        <f t="shared" si="141"/>
        <v>132</v>
      </c>
      <c r="P1105" t="str">
        <f t="shared" si="142"/>
        <v>Large Order</v>
      </c>
      <c r="Q1105" t="str">
        <f t="shared" si="143"/>
        <v>Weekend</v>
      </c>
    </row>
    <row r="1106" spans="1:17" x14ac:dyDescent="0.35">
      <c r="A1106" t="s">
        <v>1256</v>
      </c>
      <c r="B1106" s="7">
        <v>45433</v>
      </c>
      <c r="C1106" s="13">
        <f t="shared" si="137"/>
        <v>2024</v>
      </c>
      <c r="D1106" s="7" t="str">
        <f t="shared" si="138"/>
        <v>May</v>
      </c>
      <c r="E1106" s="7" t="str">
        <f t="shared" si="139"/>
        <v>Tue</v>
      </c>
      <c r="F1106" t="s">
        <v>420</v>
      </c>
      <c r="G1106" t="s">
        <v>31</v>
      </c>
      <c r="H1106" t="s">
        <v>11</v>
      </c>
      <c r="I1106" s="2" t="str">
        <f t="shared" si="136"/>
        <v>North</v>
      </c>
      <c r="J1106" t="s">
        <v>27</v>
      </c>
      <c r="K1106" t="s">
        <v>32</v>
      </c>
      <c r="L1106">
        <v>11</v>
      </c>
      <c r="M1106">
        <v>120</v>
      </c>
      <c r="N1106">
        <f t="shared" si="140"/>
        <v>1320</v>
      </c>
      <c r="O1106">
        <f t="shared" si="141"/>
        <v>132</v>
      </c>
      <c r="P1106" t="str">
        <f t="shared" si="142"/>
        <v>Large Order</v>
      </c>
      <c r="Q1106" t="str">
        <f t="shared" si="143"/>
        <v>Weekday</v>
      </c>
    </row>
    <row r="1107" spans="1:17" x14ac:dyDescent="0.35">
      <c r="A1107" t="s">
        <v>1257</v>
      </c>
      <c r="B1107" s="7">
        <v>45427</v>
      </c>
      <c r="C1107" s="13">
        <f t="shared" si="137"/>
        <v>2024</v>
      </c>
      <c r="D1107" s="7" t="str">
        <f t="shared" si="138"/>
        <v>May</v>
      </c>
      <c r="E1107" s="7" t="str">
        <f t="shared" si="139"/>
        <v>Wed</v>
      </c>
      <c r="F1107" t="s">
        <v>235</v>
      </c>
      <c r="G1107" t="s">
        <v>35</v>
      </c>
      <c r="H1107" t="s">
        <v>17</v>
      </c>
      <c r="I1107" s="2" t="str">
        <f t="shared" si="136"/>
        <v>South</v>
      </c>
      <c r="J1107" t="s">
        <v>12</v>
      </c>
      <c r="K1107" t="s">
        <v>28</v>
      </c>
      <c r="L1107">
        <v>7</v>
      </c>
      <c r="M1107">
        <v>120</v>
      </c>
      <c r="N1107">
        <f t="shared" si="140"/>
        <v>840</v>
      </c>
      <c r="O1107">
        <f t="shared" si="141"/>
        <v>84</v>
      </c>
      <c r="P1107" t="str">
        <f t="shared" si="142"/>
        <v>Large Order</v>
      </c>
      <c r="Q1107" t="str">
        <f t="shared" si="143"/>
        <v>Weekday</v>
      </c>
    </row>
    <row r="1108" spans="1:17" x14ac:dyDescent="0.35">
      <c r="A1108" t="s">
        <v>1258</v>
      </c>
      <c r="B1108" s="7">
        <v>45622</v>
      </c>
      <c r="C1108" s="13">
        <f t="shared" si="137"/>
        <v>2024</v>
      </c>
      <c r="D1108" s="7" t="str">
        <f t="shared" si="138"/>
        <v>Nov</v>
      </c>
      <c r="E1108" s="7" t="str">
        <f t="shared" si="139"/>
        <v>Tue</v>
      </c>
      <c r="F1108" t="s">
        <v>374</v>
      </c>
      <c r="G1108" t="s">
        <v>174</v>
      </c>
      <c r="H1108" t="s">
        <v>11</v>
      </c>
      <c r="I1108" s="2" t="str">
        <f t="shared" si="136"/>
        <v>North</v>
      </c>
      <c r="J1108" t="s">
        <v>56</v>
      </c>
      <c r="K1108" t="s">
        <v>13</v>
      </c>
      <c r="L1108">
        <v>14</v>
      </c>
      <c r="M1108">
        <v>120</v>
      </c>
      <c r="N1108">
        <f t="shared" si="140"/>
        <v>1680</v>
      </c>
      <c r="O1108">
        <f t="shared" si="141"/>
        <v>168</v>
      </c>
      <c r="P1108" t="str">
        <f t="shared" si="142"/>
        <v>Large Order</v>
      </c>
      <c r="Q1108" t="str">
        <f t="shared" si="143"/>
        <v>Weekday</v>
      </c>
    </row>
    <row r="1109" spans="1:17" x14ac:dyDescent="0.35">
      <c r="A1109" t="s">
        <v>1259</v>
      </c>
      <c r="B1109" s="7">
        <v>45518</v>
      </c>
      <c r="C1109" s="13">
        <f t="shared" si="137"/>
        <v>2024</v>
      </c>
      <c r="D1109" s="7" t="str">
        <f t="shared" si="138"/>
        <v>Aug</v>
      </c>
      <c r="E1109" s="7" t="str">
        <f t="shared" si="139"/>
        <v>Wed</v>
      </c>
      <c r="F1109" t="s">
        <v>436</v>
      </c>
      <c r="G1109" t="s">
        <v>79</v>
      </c>
      <c r="H1109" t="s">
        <v>17</v>
      </c>
      <c r="I1109" s="2" t="str">
        <f t="shared" si="136"/>
        <v>South</v>
      </c>
      <c r="J1109" t="s">
        <v>12</v>
      </c>
      <c r="K1109" t="s">
        <v>32</v>
      </c>
      <c r="L1109">
        <v>3</v>
      </c>
      <c r="M1109">
        <v>120</v>
      </c>
      <c r="N1109">
        <f t="shared" si="140"/>
        <v>360</v>
      </c>
      <c r="O1109">
        <f t="shared" si="141"/>
        <v>36</v>
      </c>
      <c r="P1109" t="str">
        <f t="shared" si="142"/>
        <v>Standard Order</v>
      </c>
      <c r="Q1109" t="str">
        <f t="shared" si="143"/>
        <v>Weekday</v>
      </c>
    </row>
    <row r="1110" spans="1:17" x14ac:dyDescent="0.35">
      <c r="A1110" t="s">
        <v>1260</v>
      </c>
      <c r="B1110" s="7">
        <v>45520</v>
      </c>
      <c r="C1110" s="13">
        <f t="shared" si="137"/>
        <v>2024</v>
      </c>
      <c r="D1110" s="7" t="str">
        <f t="shared" si="138"/>
        <v>Aug</v>
      </c>
      <c r="E1110" s="7" t="str">
        <f t="shared" si="139"/>
        <v>Fri</v>
      </c>
      <c r="F1110" t="s">
        <v>138</v>
      </c>
      <c r="G1110" t="s">
        <v>21</v>
      </c>
      <c r="H1110" t="s">
        <v>17</v>
      </c>
      <c r="I1110" s="2" t="str">
        <f t="shared" si="136"/>
        <v>East</v>
      </c>
      <c r="J1110" t="s">
        <v>56</v>
      </c>
      <c r="K1110" t="s">
        <v>23</v>
      </c>
      <c r="L1110">
        <v>1</v>
      </c>
      <c r="M1110">
        <v>120</v>
      </c>
      <c r="N1110">
        <f t="shared" si="140"/>
        <v>120</v>
      </c>
      <c r="O1110">
        <f t="shared" si="141"/>
        <v>12</v>
      </c>
      <c r="P1110" t="str">
        <f t="shared" si="142"/>
        <v>Standard Order</v>
      </c>
      <c r="Q1110" t="str">
        <f t="shared" si="143"/>
        <v>Weekday</v>
      </c>
    </row>
    <row r="1111" spans="1:17" x14ac:dyDescent="0.35">
      <c r="A1111" t="s">
        <v>1261</v>
      </c>
      <c r="B1111" s="7">
        <v>45428</v>
      </c>
      <c r="C1111" s="13">
        <f t="shared" si="137"/>
        <v>2024</v>
      </c>
      <c r="D1111" s="7" t="str">
        <f t="shared" si="138"/>
        <v>May</v>
      </c>
      <c r="E1111" s="7" t="str">
        <f t="shared" si="139"/>
        <v>Thu</v>
      </c>
      <c r="F1111" t="s">
        <v>125</v>
      </c>
      <c r="G1111" t="s">
        <v>31</v>
      </c>
      <c r="H1111" t="s">
        <v>22</v>
      </c>
      <c r="I1111" s="2" t="str">
        <f t="shared" si="136"/>
        <v>North</v>
      </c>
      <c r="J1111" t="s">
        <v>42</v>
      </c>
      <c r="K1111" t="s">
        <v>23</v>
      </c>
      <c r="L1111">
        <v>19</v>
      </c>
      <c r="M1111">
        <v>120</v>
      </c>
      <c r="N1111">
        <f t="shared" si="140"/>
        <v>2280</v>
      </c>
      <c r="O1111">
        <f t="shared" si="141"/>
        <v>228</v>
      </c>
      <c r="P1111" t="str">
        <f t="shared" si="142"/>
        <v>Large Order</v>
      </c>
      <c r="Q1111" t="str">
        <f t="shared" si="143"/>
        <v>Weekday</v>
      </c>
    </row>
    <row r="1112" spans="1:17" x14ac:dyDescent="0.35">
      <c r="A1112" t="s">
        <v>1262</v>
      </c>
      <c r="B1112" s="7">
        <v>45536</v>
      </c>
      <c r="C1112" s="13">
        <f t="shared" si="137"/>
        <v>2024</v>
      </c>
      <c r="D1112" s="7" t="str">
        <f t="shared" si="138"/>
        <v>Sep</v>
      </c>
      <c r="E1112" s="7" t="str">
        <f t="shared" si="139"/>
        <v>Sun</v>
      </c>
      <c r="F1112" t="s">
        <v>348</v>
      </c>
      <c r="G1112" t="s">
        <v>174</v>
      </c>
      <c r="H1112" t="s">
        <v>17</v>
      </c>
      <c r="I1112" s="2" t="str">
        <f t="shared" si="136"/>
        <v>East</v>
      </c>
      <c r="J1112" t="s">
        <v>12</v>
      </c>
      <c r="K1112" t="s">
        <v>23</v>
      </c>
      <c r="L1112">
        <v>8</v>
      </c>
      <c r="M1112">
        <v>120</v>
      </c>
      <c r="N1112">
        <f t="shared" si="140"/>
        <v>960</v>
      </c>
      <c r="O1112">
        <f t="shared" si="141"/>
        <v>96</v>
      </c>
      <c r="P1112" t="str">
        <f t="shared" si="142"/>
        <v>Large Order</v>
      </c>
      <c r="Q1112" t="str">
        <f t="shared" si="143"/>
        <v>Weekend</v>
      </c>
    </row>
    <row r="1113" spans="1:17" x14ac:dyDescent="0.35">
      <c r="A1113" t="s">
        <v>1263</v>
      </c>
      <c r="B1113" s="7">
        <v>45354</v>
      </c>
      <c r="C1113" s="13">
        <f t="shared" si="137"/>
        <v>2024</v>
      </c>
      <c r="D1113" s="7" t="str">
        <f t="shared" si="138"/>
        <v>Mar</v>
      </c>
      <c r="E1113" s="7" t="str">
        <f t="shared" si="139"/>
        <v>Sun</v>
      </c>
      <c r="F1113" t="s">
        <v>614</v>
      </c>
      <c r="G1113" t="s">
        <v>72</v>
      </c>
      <c r="H1113" t="s">
        <v>22</v>
      </c>
      <c r="I1113" s="2" t="str">
        <f t="shared" si="136"/>
        <v>North</v>
      </c>
      <c r="J1113" t="s">
        <v>42</v>
      </c>
      <c r="K1113" t="s">
        <v>13</v>
      </c>
      <c r="L1113">
        <v>10</v>
      </c>
      <c r="M1113">
        <v>120</v>
      </c>
      <c r="N1113">
        <f t="shared" si="140"/>
        <v>1200</v>
      </c>
      <c r="O1113">
        <f t="shared" si="141"/>
        <v>120</v>
      </c>
      <c r="P1113" t="str">
        <f t="shared" si="142"/>
        <v>Large Order</v>
      </c>
      <c r="Q1113" t="str">
        <f t="shared" si="143"/>
        <v>Weekend</v>
      </c>
    </row>
    <row r="1114" spans="1:17" x14ac:dyDescent="0.35">
      <c r="A1114" t="s">
        <v>1264</v>
      </c>
      <c r="B1114" s="7">
        <v>45479</v>
      </c>
      <c r="C1114" s="13">
        <f t="shared" si="137"/>
        <v>2024</v>
      </c>
      <c r="D1114" s="7" t="str">
        <f t="shared" si="138"/>
        <v>Jul</v>
      </c>
      <c r="E1114" s="7" t="str">
        <f t="shared" si="139"/>
        <v>Sat</v>
      </c>
      <c r="F1114" t="s">
        <v>312</v>
      </c>
      <c r="G1114" t="s">
        <v>70</v>
      </c>
      <c r="H1114" t="s">
        <v>17</v>
      </c>
      <c r="I1114" s="2" t="str">
        <f t="shared" si="136"/>
        <v>South</v>
      </c>
      <c r="J1114" t="s">
        <v>12</v>
      </c>
      <c r="K1114" t="s">
        <v>28</v>
      </c>
      <c r="L1114">
        <v>10</v>
      </c>
      <c r="M1114">
        <v>120</v>
      </c>
      <c r="N1114">
        <f t="shared" si="140"/>
        <v>1200</v>
      </c>
      <c r="O1114">
        <f t="shared" si="141"/>
        <v>120</v>
      </c>
      <c r="P1114" t="str">
        <f t="shared" si="142"/>
        <v>Large Order</v>
      </c>
      <c r="Q1114" t="str">
        <f t="shared" si="143"/>
        <v>Weekend</v>
      </c>
    </row>
    <row r="1115" spans="1:17" x14ac:dyDescent="0.35">
      <c r="A1115" t="s">
        <v>1265</v>
      </c>
      <c r="B1115" s="7">
        <v>45575</v>
      </c>
      <c r="C1115" s="13">
        <f t="shared" si="137"/>
        <v>2024</v>
      </c>
      <c r="D1115" s="7" t="str">
        <f t="shared" si="138"/>
        <v>Oct</v>
      </c>
      <c r="E1115" s="7" t="str">
        <f t="shared" si="139"/>
        <v>Thu</v>
      </c>
      <c r="F1115" t="s">
        <v>116</v>
      </c>
      <c r="G1115" t="s">
        <v>74</v>
      </c>
      <c r="H1115" t="s">
        <v>17</v>
      </c>
      <c r="I1115" s="2" t="str">
        <f t="shared" si="136"/>
        <v>West</v>
      </c>
      <c r="J1115" t="s">
        <v>56</v>
      </c>
      <c r="K1115" t="s">
        <v>32</v>
      </c>
      <c r="L1115">
        <v>13</v>
      </c>
      <c r="M1115">
        <v>120</v>
      </c>
      <c r="N1115">
        <f t="shared" si="140"/>
        <v>1560</v>
      </c>
      <c r="O1115">
        <f t="shared" si="141"/>
        <v>156</v>
      </c>
      <c r="P1115" t="str">
        <f t="shared" si="142"/>
        <v>Large Order</v>
      </c>
      <c r="Q1115" t="str">
        <f t="shared" si="143"/>
        <v>Weekday</v>
      </c>
    </row>
    <row r="1116" spans="1:17" x14ac:dyDescent="0.35">
      <c r="A1116" t="s">
        <v>1266</v>
      </c>
      <c r="B1116" s="7">
        <v>45541</v>
      </c>
      <c r="C1116" s="13">
        <f t="shared" si="137"/>
        <v>2024</v>
      </c>
      <c r="D1116" s="7" t="str">
        <f t="shared" si="138"/>
        <v>Sep</v>
      </c>
      <c r="E1116" s="7" t="str">
        <f t="shared" si="139"/>
        <v>Fri</v>
      </c>
      <c r="F1116" t="s">
        <v>81</v>
      </c>
      <c r="G1116" t="s">
        <v>84</v>
      </c>
      <c r="H1116" t="s">
        <v>22</v>
      </c>
      <c r="I1116" s="2" t="str">
        <f t="shared" si="136"/>
        <v>South</v>
      </c>
      <c r="J1116" t="s">
        <v>27</v>
      </c>
      <c r="K1116" t="s">
        <v>28</v>
      </c>
      <c r="L1116">
        <v>7</v>
      </c>
      <c r="M1116">
        <v>120</v>
      </c>
      <c r="N1116">
        <f t="shared" si="140"/>
        <v>840</v>
      </c>
      <c r="O1116">
        <f t="shared" si="141"/>
        <v>84</v>
      </c>
      <c r="P1116" t="str">
        <f t="shared" si="142"/>
        <v>Large Order</v>
      </c>
      <c r="Q1116" t="str">
        <f t="shared" si="143"/>
        <v>Weekday</v>
      </c>
    </row>
    <row r="1117" spans="1:17" x14ac:dyDescent="0.35">
      <c r="A1117" t="s">
        <v>1267</v>
      </c>
      <c r="B1117" s="7">
        <v>45304</v>
      </c>
      <c r="C1117" s="13">
        <f t="shared" si="137"/>
        <v>2024</v>
      </c>
      <c r="D1117" s="7" t="str">
        <f t="shared" si="138"/>
        <v>Jan</v>
      </c>
      <c r="E1117" s="7" t="str">
        <f t="shared" si="139"/>
        <v>Sat</v>
      </c>
      <c r="F1117" t="s">
        <v>329</v>
      </c>
      <c r="G1117" t="s">
        <v>35</v>
      </c>
      <c r="H1117" t="s">
        <v>22</v>
      </c>
      <c r="I1117" s="2" t="str">
        <f t="shared" si="136"/>
        <v>Central</v>
      </c>
      <c r="J1117" t="s">
        <v>56</v>
      </c>
      <c r="K1117" t="s">
        <v>36</v>
      </c>
      <c r="L1117">
        <v>13</v>
      </c>
      <c r="M1117">
        <v>120</v>
      </c>
      <c r="N1117">
        <f t="shared" si="140"/>
        <v>1560</v>
      </c>
      <c r="O1117">
        <f t="shared" si="141"/>
        <v>156</v>
      </c>
      <c r="P1117" t="str">
        <f t="shared" si="142"/>
        <v>Large Order</v>
      </c>
      <c r="Q1117" t="str">
        <f t="shared" si="143"/>
        <v>Weekend</v>
      </c>
    </row>
    <row r="1118" spans="1:17" x14ac:dyDescent="0.35">
      <c r="A1118" t="s">
        <v>1268</v>
      </c>
      <c r="B1118" s="7">
        <v>45621</v>
      </c>
      <c r="C1118" s="13">
        <f t="shared" si="137"/>
        <v>2024</v>
      </c>
      <c r="D1118" s="7" t="str">
        <f t="shared" si="138"/>
        <v>Nov</v>
      </c>
      <c r="E1118" s="7" t="str">
        <f t="shared" si="139"/>
        <v>Mon</v>
      </c>
      <c r="F1118" t="s">
        <v>147</v>
      </c>
      <c r="G1118" t="s">
        <v>70</v>
      </c>
      <c r="H1118" t="s">
        <v>17</v>
      </c>
      <c r="I1118" s="2" t="str">
        <f t="shared" si="136"/>
        <v>North</v>
      </c>
      <c r="J1118" t="s">
        <v>306</v>
      </c>
      <c r="K1118" t="s">
        <v>13</v>
      </c>
      <c r="L1118">
        <v>1</v>
      </c>
      <c r="M1118">
        <v>120</v>
      </c>
      <c r="N1118">
        <f t="shared" si="140"/>
        <v>120</v>
      </c>
      <c r="O1118">
        <f t="shared" si="141"/>
        <v>12</v>
      </c>
      <c r="P1118" t="str">
        <f t="shared" si="142"/>
        <v>Standard Order</v>
      </c>
      <c r="Q1118" t="str">
        <f t="shared" si="143"/>
        <v>Weekday</v>
      </c>
    </row>
    <row r="1119" spans="1:17" x14ac:dyDescent="0.35">
      <c r="A1119" t="s">
        <v>1269</v>
      </c>
      <c r="B1119" s="7">
        <v>45464</v>
      </c>
      <c r="C1119" s="13">
        <f t="shared" si="137"/>
        <v>2024</v>
      </c>
      <c r="D1119" s="7" t="str">
        <f t="shared" si="138"/>
        <v>Jun</v>
      </c>
      <c r="E1119" s="7" t="str">
        <f t="shared" si="139"/>
        <v>Fri</v>
      </c>
      <c r="F1119" t="s">
        <v>728</v>
      </c>
      <c r="G1119" t="s">
        <v>31</v>
      </c>
      <c r="H1119" t="s">
        <v>22</v>
      </c>
      <c r="I1119" s="2" t="str">
        <f t="shared" si="136"/>
        <v>South</v>
      </c>
      <c r="J1119" t="s">
        <v>12</v>
      </c>
      <c r="K1119" t="s">
        <v>36</v>
      </c>
      <c r="L1119">
        <v>4</v>
      </c>
      <c r="M1119">
        <v>120</v>
      </c>
      <c r="N1119">
        <f t="shared" si="140"/>
        <v>480</v>
      </c>
      <c r="O1119">
        <f t="shared" si="141"/>
        <v>48</v>
      </c>
      <c r="P1119" t="str">
        <f t="shared" si="142"/>
        <v>Standard Order</v>
      </c>
      <c r="Q1119" t="str">
        <f t="shared" si="143"/>
        <v>Weekday</v>
      </c>
    </row>
    <row r="1120" spans="1:17" x14ac:dyDescent="0.35">
      <c r="A1120" t="s">
        <v>1270</v>
      </c>
      <c r="B1120" s="7">
        <v>45526</v>
      </c>
      <c r="C1120" s="13">
        <f t="shared" si="137"/>
        <v>2024</v>
      </c>
      <c r="D1120" s="7" t="str">
        <f t="shared" si="138"/>
        <v>Aug</v>
      </c>
      <c r="E1120" s="7" t="str">
        <f t="shared" si="139"/>
        <v>Thu</v>
      </c>
      <c r="F1120" t="s">
        <v>422</v>
      </c>
      <c r="G1120" t="s">
        <v>84</v>
      </c>
      <c r="H1120" t="s">
        <v>22</v>
      </c>
      <c r="I1120" s="2" t="str">
        <f t="shared" si="136"/>
        <v>West</v>
      </c>
      <c r="J1120" t="s">
        <v>56</v>
      </c>
      <c r="K1120" t="s">
        <v>13</v>
      </c>
      <c r="L1120">
        <v>19</v>
      </c>
      <c r="M1120">
        <v>120</v>
      </c>
      <c r="N1120">
        <f t="shared" si="140"/>
        <v>2280</v>
      </c>
      <c r="O1120">
        <f t="shared" si="141"/>
        <v>228</v>
      </c>
      <c r="P1120" t="str">
        <f t="shared" si="142"/>
        <v>Large Order</v>
      </c>
      <c r="Q1120" t="str">
        <f t="shared" si="143"/>
        <v>Weekday</v>
      </c>
    </row>
    <row r="1121" spans="1:17" x14ac:dyDescent="0.35">
      <c r="A1121" t="s">
        <v>1271</v>
      </c>
      <c r="B1121" s="7">
        <v>45310</v>
      </c>
      <c r="C1121" s="13">
        <f t="shared" si="137"/>
        <v>2024</v>
      </c>
      <c r="D1121" s="7" t="str">
        <f t="shared" si="138"/>
        <v>Jan</v>
      </c>
      <c r="E1121" s="7" t="str">
        <f t="shared" si="139"/>
        <v>Fri</v>
      </c>
      <c r="F1121" t="s">
        <v>304</v>
      </c>
      <c r="G1121" t="s">
        <v>21</v>
      </c>
      <c r="H1121" t="s">
        <v>11</v>
      </c>
      <c r="I1121" s="2" t="str">
        <f t="shared" si="136"/>
        <v>South</v>
      </c>
      <c r="J1121" t="s">
        <v>27</v>
      </c>
      <c r="K1121" t="s">
        <v>36</v>
      </c>
      <c r="L1121">
        <v>1</v>
      </c>
      <c r="M1121">
        <v>120</v>
      </c>
      <c r="N1121">
        <f t="shared" si="140"/>
        <v>120</v>
      </c>
      <c r="O1121">
        <f t="shared" si="141"/>
        <v>12</v>
      </c>
      <c r="P1121" t="str">
        <f t="shared" si="142"/>
        <v>Standard Order</v>
      </c>
      <c r="Q1121" t="str">
        <f t="shared" si="143"/>
        <v>Weekday</v>
      </c>
    </row>
    <row r="1122" spans="1:17" x14ac:dyDescent="0.35">
      <c r="A1122" t="s">
        <v>1272</v>
      </c>
      <c r="B1122" s="7">
        <v>45315</v>
      </c>
      <c r="C1122" s="13">
        <f t="shared" si="137"/>
        <v>2024</v>
      </c>
      <c r="D1122" s="7" t="str">
        <f t="shared" si="138"/>
        <v>Jan</v>
      </c>
      <c r="E1122" s="7" t="str">
        <f t="shared" si="139"/>
        <v>Wed</v>
      </c>
      <c r="F1122" t="s">
        <v>78</v>
      </c>
      <c r="G1122" t="s">
        <v>96</v>
      </c>
      <c r="H1122" t="s">
        <v>22</v>
      </c>
      <c r="I1122" s="2" t="str">
        <f t="shared" si="136"/>
        <v>South</v>
      </c>
      <c r="J1122" t="s">
        <v>56</v>
      </c>
      <c r="K1122" t="s">
        <v>32</v>
      </c>
      <c r="L1122">
        <v>6</v>
      </c>
      <c r="M1122">
        <v>120</v>
      </c>
      <c r="N1122">
        <f t="shared" si="140"/>
        <v>720</v>
      </c>
      <c r="O1122">
        <f t="shared" si="141"/>
        <v>72</v>
      </c>
      <c r="P1122" t="str">
        <f t="shared" si="142"/>
        <v>Large Order</v>
      </c>
      <c r="Q1122" t="str">
        <f t="shared" si="143"/>
        <v>Weekday</v>
      </c>
    </row>
    <row r="1123" spans="1:17" x14ac:dyDescent="0.35">
      <c r="A1123" t="s">
        <v>1273</v>
      </c>
      <c r="B1123" s="7">
        <v>45341</v>
      </c>
      <c r="C1123" s="13">
        <f t="shared" si="137"/>
        <v>2024</v>
      </c>
      <c r="D1123" s="7" t="str">
        <f t="shared" si="138"/>
        <v>Feb</v>
      </c>
      <c r="E1123" s="7" t="str">
        <f t="shared" si="139"/>
        <v>Mon</v>
      </c>
      <c r="F1123" t="s">
        <v>366</v>
      </c>
      <c r="G1123" t="s">
        <v>59</v>
      </c>
      <c r="H1123" t="s">
        <v>22</v>
      </c>
      <c r="I1123" s="2" t="str">
        <f t="shared" si="136"/>
        <v>Central</v>
      </c>
      <c r="J1123" t="s">
        <v>56</v>
      </c>
      <c r="K1123" t="s">
        <v>13</v>
      </c>
      <c r="L1123">
        <v>3</v>
      </c>
      <c r="M1123">
        <v>120</v>
      </c>
      <c r="N1123">
        <f t="shared" si="140"/>
        <v>360</v>
      </c>
      <c r="O1123">
        <f t="shared" si="141"/>
        <v>36</v>
      </c>
      <c r="P1123" t="str">
        <f t="shared" si="142"/>
        <v>Standard Order</v>
      </c>
      <c r="Q1123" t="str">
        <f t="shared" si="143"/>
        <v>Weekday</v>
      </c>
    </row>
    <row r="1124" spans="1:17" x14ac:dyDescent="0.35">
      <c r="A1124" t="s">
        <v>1274</v>
      </c>
      <c r="B1124" s="7">
        <v>45350</v>
      </c>
      <c r="C1124" s="13">
        <f t="shared" si="137"/>
        <v>2024</v>
      </c>
      <c r="D1124" s="7" t="str">
        <f t="shared" si="138"/>
        <v>Feb</v>
      </c>
      <c r="E1124" s="7" t="str">
        <f t="shared" si="139"/>
        <v>Wed</v>
      </c>
      <c r="F1124" t="s">
        <v>432</v>
      </c>
      <c r="G1124" t="s">
        <v>197</v>
      </c>
      <c r="H1124" t="s">
        <v>22</v>
      </c>
      <c r="I1124" s="2" t="str">
        <f t="shared" si="136"/>
        <v>West</v>
      </c>
      <c r="J1124" t="s">
        <v>306</v>
      </c>
      <c r="K1124" t="s">
        <v>23</v>
      </c>
      <c r="L1124">
        <v>3</v>
      </c>
      <c r="M1124">
        <v>120</v>
      </c>
      <c r="N1124">
        <f t="shared" si="140"/>
        <v>360</v>
      </c>
      <c r="O1124">
        <f t="shared" si="141"/>
        <v>36</v>
      </c>
      <c r="P1124" t="str">
        <f t="shared" si="142"/>
        <v>Standard Order</v>
      </c>
      <c r="Q1124" t="str">
        <f t="shared" si="143"/>
        <v>Weekday</v>
      </c>
    </row>
    <row r="1125" spans="1:17" x14ac:dyDescent="0.35">
      <c r="A1125" t="s">
        <v>1275</v>
      </c>
      <c r="B1125" s="7">
        <v>45464</v>
      </c>
      <c r="C1125" s="13">
        <f t="shared" si="137"/>
        <v>2024</v>
      </c>
      <c r="D1125" s="7" t="str">
        <f t="shared" si="138"/>
        <v>Jun</v>
      </c>
      <c r="E1125" s="7" t="str">
        <f t="shared" si="139"/>
        <v>Fri</v>
      </c>
      <c r="F1125" t="s">
        <v>304</v>
      </c>
      <c r="G1125" t="s">
        <v>72</v>
      </c>
      <c r="H1125" t="s">
        <v>22</v>
      </c>
      <c r="I1125" s="2" t="str">
        <f t="shared" si="136"/>
        <v>South</v>
      </c>
      <c r="J1125" t="s">
        <v>27</v>
      </c>
      <c r="K1125" t="s">
        <v>36</v>
      </c>
      <c r="L1125">
        <v>4</v>
      </c>
      <c r="M1125">
        <v>120</v>
      </c>
      <c r="N1125">
        <f t="shared" si="140"/>
        <v>480</v>
      </c>
      <c r="O1125">
        <f t="shared" si="141"/>
        <v>48</v>
      </c>
      <c r="P1125" t="str">
        <f t="shared" si="142"/>
        <v>Standard Order</v>
      </c>
      <c r="Q1125" t="str">
        <f t="shared" si="143"/>
        <v>Weekday</v>
      </c>
    </row>
    <row r="1126" spans="1:17" x14ac:dyDescent="0.35">
      <c r="A1126" t="s">
        <v>1276</v>
      </c>
      <c r="B1126" s="7">
        <v>45571</v>
      </c>
      <c r="C1126" s="13">
        <f t="shared" si="137"/>
        <v>2024</v>
      </c>
      <c r="D1126" s="7" t="str">
        <f t="shared" si="138"/>
        <v>Oct</v>
      </c>
      <c r="E1126" s="7" t="str">
        <f t="shared" si="139"/>
        <v>Sun</v>
      </c>
      <c r="F1126" t="s">
        <v>99</v>
      </c>
      <c r="G1126" t="s">
        <v>119</v>
      </c>
      <c r="H1126" t="s">
        <v>17</v>
      </c>
      <c r="I1126" s="2" t="str">
        <f t="shared" si="136"/>
        <v>South</v>
      </c>
      <c r="J1126" t="s">
        <v>56</v>
      </c>
      <c r="K1126" t="s">
        <v>32</v>
      </c>
      <c r="L1126">
        <v>2</v>
      </c>
      <c r="M1126">
        <v>120</v>
      </c>
      <c r="N1126">
        <f t="shared" si="140"/>
        <v>240</v>
      </c>
      <c r="O1126">
        <f t="shared" si="141"/>
        <v>24</v>
      </c>
      <c r="P1126" t="str">
        <f t="shared" si="142"/>
        <v>Standard Order</v>
      </c>
      <c r="Q1126" t="str">
        <f t="shared" si="143"/>
        <v>Weekend</v>
      </c>
    </row>
    <row r="1127" spans="1:17" x14ac:dyDescent="0.35">
      <c r="A1127" t="s">
        <v>1277</v>
      </c>
      <c r="B1127" s="7">
        <v>45324</v>
      </c>
      <c r="C1127" s="13">
        <f t="shared" si="137"/>
        <v>2024</v>
      </c>
      <c r="D1127" s="7" t="str">
        <f t="shared" si="138"/>
        <v>Feb</v>
      </c>
      <c r="E1127" s="7" t="str">
        <f t="shared" si="139"/>
        <v>Fri</v>
      </c>
      <c r="F1127" t="s">
        <v>114</v>
      </c>
      <c r="G1127" t="s">
        <v>119</v>
      </c>
      <c r="H1127" t="s">
        <v>17</v>
      </c>
      <c r="I1127" s="2" t="str">
        <f t="shared" si="136"/>
        <v>South</v>
      </c>
      <c r="J1127" t="s">
        <v>56</v>
      </c>
      <c r="K1127" t="s">
        <v>32</v>
      </c>
      <c r="L1127">
        <v>14</v>
      </c>
      <c r="M1127">
        <v>120</v>
      </c>
      <c r="N1127">
        <f t="shared" si="140"/>
        <v>1680</v>
      </c>
      <c r="O1127">
        <f t="shared" si="141"/>
        <v>168</v>
      </c>
      <c r="P1127" t="str">
        <f t="shared" si="142"/>
        <v>Large Order</v>
      </c>
      <c r="Q1127" t="str">
        <f t="shared" si="143"/>
        <v>Weekday</v>
      </c>
    </row>
    <row r="1128" spans="1:17" x14ac:dyDescent="0.35">
      <c r="A1128" t="s">
        <v>1278</v>
      </c>
      <c r="B1128" s="7">
        <v>45575</v>
      </c>
      <c r="C1128" s="13">
        <f t="shared" si="137"/>
        <v>2024</v>
      </c>
      <c r="D1128" s="7" t="str">
        <f t="shared" si="138"/>
        <v>Oct</v>
      </c>
      <c r="E1128" s="7" t="str">
        <f t="shared" si="139"/>
        <v>Thu</v>
      </c>
      <c r="F1128" t="s">
        <v>30</v>
      </c>
      <c r="G1128" t="s">
        <v>59</v>
      </c>
      <c r="H1128" t="s">
        <v>17</v>
      </c>
      <c r="I1128" s="2" t="str">
        <f t="shared" si="136"/>
        <v>North</v>
      </c>
      <c r="J1128" t="s">
        <v>56</v>
      </c>
      <c r="K1128" t="s">
        <v>36</v>
      </c>
      <c r="L1128">
        <v>2</v>
      </c>
      <c r="M1128">
        <v>120</v>
      </c>
      <c r="N1128">
        <f t="shared" si="140"/>
        <v>240</v>
      </c>
      <c r="O1128">
        <f t="shared" si="141"/>
        <v>24</v>
      </c>
      <c r="P1128" t="str">
        <f t="shared" si="142"/>
        <v>Standard Order</v>
      </c>
      <c r="Q1128" t="str">
        <f t="shared" si="143"/>
        <v>Weekday</v>
      </c>
    </row>
    <row r="1129" spans="1:17" x14ac:dyDescent="0.35">
      <c r="A1129" t="s">
        <v>1279</v>
      </c>
      <c r="B1129" s="7">
        <v>45484</v>
      </c>
      <c r="C1129" s="13">
        <f t="shared" si="137"/>
        <v>2024</v>
      </c>
      <c r="D1129" s="7" t="str">
        <f t="shared" si="138"/>
        <v>Jul</v>
      </c>
      <c r="E1129" s="7" t="str">
        <f t="shared" si="139"/>
        <v>Thu</v>
      </c>
      <c r="F1129" t="s">
        <v>420</v>
      </c>
      <c r="G1129" t="s">
        <v>35</v>
      </c>
      <c r="H1129" t="s">
        <v>11</v>
      </c>
      <c r="I1129" s="2" t="str">
        <f t="shared" si="136"/>
        <v>Central</v>
      </c>
      <c r="J1129" t="s">
        <v>12</v>
      </c>
      <c r="K1129" t="s">
        <v>28</v>
      </c>
      <c r="L1129">
        <v>3</v>
      </c>
      <c r="M1129">
        <v>120</v>
      </c>
      <c r="N1129">
        <f t="shared" si="140"/>
        <v>360</v>
      </c>
      <c r="O1129">
        <f t="shared" si="141"/>
        <v>36</v>
      </c>
      <c r="P1129" t="str">
        <f t="shared" si="142"/>
        <v>Standard Order</v>
      </c>
      <c r="Q1129" t="str">
        <f t="shared" si="143"/>
        <v>Weekday</v>
      </c>
    </row>
    <row r="1130" spans="1:17" x14ac:dyDescent="0.35">
      <c r="A1130" t="s">
        <v>1280</v>
      </c>
      <c r="B1130" s="7">
        <v>45337</v>
      </c>
      <c r="C1130" s="13">
        <f t="shared" si="137"/>
        <v>2024</v>
      </c>
      <c r="D1130" s="7" t="str">
        <f t="shared" si="138"/>
        <v>Feb</v>
      </c>
      <c r="E1130" s="7" t="str">
        <f t="shared" si="139"/>
        <v>Thu</v>
      </c>
      <c r="F1130" t="s">
        <v>369</v>
      </c>
      <c r="G1130" t="s">
        <v>74</v>
      </c>
      <c r="H1130" t="s">
        <v>22</v>
      </c>
      <c r="I1130" s="2" t="str">
        <f t="shared" si="136"/>
        <v>South</v>
      </c>
      <c r="J1130" t="s">
        <v>306</v>
      </c>
      <c r="K1130" t="s">
        <v>23</v>
      </c>
      <c r="L1130">
        <v>14</v>
      </c>
      <c r="M1130">
        <v>120</v>
      </c>
      <c r="N1130">
        <f t="shared" si="140"/>
        <v>1680</v>
      </c>
      <c r="O1130">
        <f t="shared" si="141"/>
        <v>168</v>
      </c>
      <c r="P1130" t="str">
        <f t="shared" si="142"/>
        <v>Large Order</v>
      </c>
      <c r="Q1130" t="str">
        <f t="shared" si="143"/>
        <v>Weekday</v>
      </c>
    </row>
    <row r="1131" spans="1:17" x14ac:dyDescent="0.35">
      <c r="A1131" t="s">
        <v>1281</v>
      </c>
      <c r="B1131" s="7">
        <v>45646</v>
      </c>
      <c r="C1131" s="13">
        <f t="shared" si="137"/>
        <v>2024</v>
      </c>
      <c r="D1131" s="7" t="str">
        <f t="shared" si="138"/>
        <v>Dec</v>
      </c>
      <c r="E1131" s="7" t="str">
        <f t="shared" si="139"/>
        <v>Fri</v>
      </c>
      <c r="F1131" t="s">
        <v>34</v>
      </c>
      <c r="G1131" t="s">
        <v>21</v>
      </c>
      <c r="H1131" t="s">
        <v>11</v>
      </c>
      <c r="I1131" s="2" t="str">
        <f t="shared" si="136"/>
        <v>North</v>
      </c>
      <c r="J1131" t="s">
        <v>56</v>
      </c>
      <c r="K1131" t="s">
        <v>23</v>
      </c>
      <c r="L1131">
        <v>9</v>
      </c>
      <c r="M1131">
        <v>120</v>
      </c>
      <c r="N1131">
        <f t="shared" si="140"/>
        <v>1080</v>
      </c>
      <c r="O1131">
        <f t="shared" si="141"/>
        <v>108</v>
      </c>
      <c r="P1131" t="str">
        <f t="shared" si="142"/>
        <v>Large Order</v>
      </c>
      <c r="Q1131" t="str">
        <f t="shared" si="143"/>
        <v>Weekday</v>
      </c>
    </row>
    <row r="1132" spans="1:17" x14ac:dyDescent="0.35">
      <c r="A1132" t="s">
        <v>1282</v>
      </c>
      <c r="B1132" s="7">
        <v>45414</v>
      </c>
      <c r="C1132" s="13">
        <f t="shared" si="137"/>
        <v>2024</v>
      </c>
      <c r="D1132" s="7" t="str">
        <f t="shared" si="138"/>
        <v>May</v>
      </c>
      <c r="E1132" s="7" t="str">
        <f t="shared" si="139"/>
        <v>Thu</v>
      </c>
      <c r="F1132" t="s">
        <v>235</v>
      </c>
      <c r="G1132" t="s">
        <v>109</v>
      </c>
      <c r="H1132" t="s">
        <v>22</v>
      </c>
      <c r="I1132" s="2" t="str">
        <f t="shared" si="136"/>
        <v>East</v>
      </c>
      <c r="J1132" t="s">
        <v>12</v>
      </c>
      <c r="K1132" t="s">
        <v>36</v>
      </c>
      <c r="L1132">
        <v>6</v>
      </c>
      <c r="M1132">
        <v>120</v>
      </c>
      <c r="N1132">
        <f t="shared" si="140"/>
        <v>720</v>
      </c>
      <c r="O1132">
        <f t="shared" si="141"/>
        <v>72</v>
      </c>
      <c r="P1132" t="str">
        <f t="shared" si="142"/>
        <v>Large Order</v>
      </c>
      <c r="Q1132" t="str">
        <f t="shared" si="143"/>
        <v>Weekday</v>
      </c>
    </row>
    <row r="1133" spans="1:17" x14ac:dyDescent="0.35">
      <c r="A1133" t="s">
        <v>1283</v>
      </c>
      <c r="B1133" s="7">
        <v>45337</v>
      </c>
      <c r="C1133" s="13">
        <f t="shared" si="137"/>
        <v>2024</v>
      </c>
      <c r="D1133" s="7" t="str">
        <f t="shared" si="138"/>
        <v>Feb</v>
      </c>
      <c r="E1133" s="7" t="str">
        <f t="shared" si="139"/>
        <v>Thu</v>
      </c>
      <c r="F1133" t="s">
        <v>451</v>
      </c>
      <c r="G1133" t="s">
        <v>87</v>
      </c>
      <c r="H1133" t="s">
        <v>17</v>
      </c>
      <c r="I1133" s="2" t="str">
        <f t="shared" si="136"/>
        <v>Central</v>
      </c>
      <c r="J1133" t="s">
        <v>42</v>
      </c>
      <c r="K1133" t="s">
        <v>28</v>
      </c>
      <c r="L1133">
        <v>1</v>
      </c>
      <c r="M1133">
        <v>120</v>
      </c>
      <c r="N1133">
        <f t="shared" si="140"/>
        <v>120</v>
      </c>
      <c r="O1133">
        <f t="shared" si="141"/>
        <v>12</v>
      </c>
      <c r="P1133" t="str">
        <f t="shared" si="142"/>
        <v>Standard Order</v>
      </c>
      <c r="Q1133" t="str">
        <f t="shared" si="143"/>
        <v>Weekday</v>
      </c>
    </row>
    <row r="1134" spans="1:17" x14ac:dyDescent="0.35">
      <c r="A1134" t="s">
        <v>1284</v>
      </c>
      <c r="B1134" s="7">
        <v>45352</v>
      </c>
      <c r="C1134" s="13">
        <f t="shared" si="137"/>
        <v>2024</v>
      </c>
      <c r="D1134" s="7" t="str">
        <f t="shared" si="138"/>
        <v>Mar</v>
      </c>
      <c r="E1134" s="7" t="str">
        <f t="shared" si="139"/>
        <v>Fri</v>
      </c>
      <c r="F1134" t="s">
        <v>339</v>
      </c>
      <c r="G1134" t="s">
        <v>48</v>
      </c>
      <c r="H1134" t="s">
        <v>11</v>
      </c>
      <c r="I1134" s="2" t="str">
        <f t="shared" si="136"/>
        <v>East</v>
      </c>
      <c r="J1134" t="s">
        <v>306</v>
      </c>
      <c r="K1134" t="s">
        <v>23</v>
      </c>
      <c r="L1134">
        <v>18</v>
      </c>
      <c r="M1134">
        <v>120</v>
      </c>
      <c r="N1134">
        <f t="shared" si="140"/>
        <v>2160</v>
      </c>
      <c r="O1134">
        <f t="shared" si="141"/>
        <v>216</v>
      </c>
      <c r="P1134" t="str">
        <f t="shared" si="142"/>
        <v>Large Order</v>
      </c>
      <c r="Q1134" t="str">
        <f t="shared" si="143"/>
        <v>Weekday</v>
      </c>
    </row>
    <row r="1135" spans="1:17" x14ac:dyDescent="0.35">
      <c r="A1135" t="s">
        <v>1285</v>
      </c>
      <c r="B1135" s="7">
        <v>45612</v>
      </c>
      <c r="C1135" s="13">
        <f t="shared" si="137"/>
        <v>2024</v>
      </c>
      <c r="D1135" s="7" t="str">
        <f t="shared" si="138"/>
        <v>Nov</v>
      </c>
      <c r="E1135" s="7" t="str">
        <f t="shared" si="139"/>
        <v>Sat</v>
      </c>
      <c r="F1135" t="s">
        <v>371</v>
      </c>
      <c r="G1135" t="s">
        <v>79</v>
      </c>
      <c r="H1135" t="s">
        <v>11</v>
      </c>
      <c r="I1135" s="2" t="str">
        <f t="shared" si="136"/>
        <v>South</v>
      </c>
      <c r="J1135" t="s">
        <v>42</v>
      </c>
      <c r="K1135" t="s">
        <v>28</v>
      </c>
      <c r="L1135">
        <v>7</v>
      </c>
      <c r="M1135">
        <v>120</v>
      </c>
      <c r="N1135">
        <f t="shared" si="140"/>
        <v>840</v>
      </c>
      <c r="O1135">
        <f t="shared" si="141"/>
        <v>84</v>
      </c>
      <c r="P1135" t="str">
        <f t="shared" si="142"/>
        <v>Large Order</v>
      </c>
      <c r="Q1135" t="str">
        <f t="shared" si="143"/>
        <v>Weekend</v>
      </c>
    </row>
    <row r="1136" spans="1:17" x14ac:dyDescent="0.35">
      <c r="A1136" t="s">
        <v>1286</v>
      </c>
      <c r="B1136" s="7">
        <v>45642</v>
      </c>
      <c r="C1136" s="13">
        <f t="shared" si="137"/>
        <v>2024</v>
      </c>
      <c r="D1136" s="7" t="str">
        <f t="shared" si="138"/>
        <v>Dec</v>
      </c>
      <c r="E1136" s="7" t="str">
        <f t="shared" si="139"/>
        <v>Mon</v>
      </c>
      <c r="F1136" t="s">
        <v>553</v>
      </c>
      <c r="G1136" t="s">
        <v>45</v>
      </c>
      <c r="H1136" t="s">
        <v>17</v>
      </c>
      <c r="I1136" s="2" t="str">
        <f t="shared" si="136"/>
        <v>East</v>
      </c>
      <c r="J1136" t="s">
        <v>56</v>
      </c>
      <c r="K1136" t="s">
        <v>32</v>
      </c>
      <c r="L1136">
        <v>2</v>
      </c>
      <c r="M1136">
        <v>120</v>
      </c>
      <c r="N1136">
        <f t="shared" si="140"/>
        <v>240</v>
      </c>
      <c r="O1136">
        <f t="shared" si="141"/>
        <v>24</v>
      </c>
      <c r="P1136" t="str">
        <f t="shared" si="142"/>
        <v>Standard Order</v>
      </c>
      <c r="Q1136" t="str">
        <f t="shared" si="143"/>
        <v>Weekday</v>
      </c>
    </row>
    <row r="1137" spans="1:17" x14ac:dyDescent="0.35">
      <c r="A1137" t="s">
        <v>1287</v>
      </c>
      <c r="B1137" s="7">
        <v>45437</v>
      </c>
      <c r="C1137" s="13">
        <f t="shared" si="137"/>
        <v>2024</v>
      </c>
      <c r="D1137" s="7" t="str">
        <f t="shared" si="138"/>
        <v>May</v>
      </c>
      <c r="E1137" s="7" t="str">
        <f t="shared" si="139"/>
        <v>Sat</v>
      </c>
      <c r="F1137" t="s">
        <v>95</v>
      </c>
      <c r="G1137" t="s">
        <v>72</v>
      </c>
      <c r="H1137" t="s">
        <v>17</v>
      </c>
      <c r="I1137" s="2" t="str">
        <f t="shared" si="136"/>
        <v>North</v>
      </c>
      <c r="J1137" t="s">
        <v>42</v>
      </c>
      <c r="K1137" t="s">
        <v>23</v>
      </c>
      <c r="L1137">
        <v>20</v>
      </c>
      <c r="M1137">
        <v>120</v>
      </c>
      <c r="N1137">
        <f t="shared" si="140"/>
        <v>2400</v>
      </c>
      <c r="O1137">
        <f t="shared" si="141"/>
        <v>240</v>
      </c>
      <c r="P1137" t="str">
        <f t="shared" si="142"/>
        <v>Large Order</v>
      </c>
      <c r="Q1137" t="str">
        <f t="shared" si="143"/>
        <v>Weekend</v>
      </c>
    </row>
    <row r="1138" spans="1:17" x14ac:dyDescent="0.35">
      <c r="A1138" t="s">
        <v>1288</v>
      </c>
      <c r="B1138" s="7">
        <v>45314</v>
      </c>
      <c r="C1138" s="13">
        <f t="shared" si="137"/>
        <v>2024</v>
      </c>
      <c r="D1138" s="7" t="str">
        <f t="shared" si="138"/>
        <v>Jan</v>
      </c>
      <c r="E1138" s="7" t="str">
        <f t="shared" si="139"/>
        <v>Tue</v>
      </c>
      <c r="F1138" t="s">
        <v>15</v>
      </c>
      <c r="G1138" t="s">
        <v>174</v>
      </c>
      <c r="H1138" t="s">
        <v>22</v>
      </c>
      <c r="I1138" s="2" t="str">
        <f t="shared" si="136"/>
        <v>North</v>
      </c>
      <c r="J1138" t="s">
        <v>12</v>
      </c>
      <c r="K1138" t="s">
        <v>13</v>
      </c>
      <c r="L1138">
        <v>6</v>
      </c>
      <c r="M1138">
        <v>120</v>
      </c>
      <c r="N1138">
        <f t="shared" si="140"/>
        <v>720</v>
      </c>
      <c r="O1138">
        <f t="shared" si="141"/>
        <v>72</v>
      </c>
      <c r="P1138" t="str">
        <f t="shared" si="142"/>
        <v>Large Order</v>
      </c>
      <c r="Q1138" t="str">
        <f t="shared" si="143"/>
        <v>Weekday</v>
      </c>
    </row>
    <row r="1139" spans="1:17" x14ac:dyDescent="0.35">
      <c r="A1139" t="s">
        <v>1289</v>
      </c>
      <c r="B1139" s="7">
        <v>45540</v>
      </c>
      <c r="C1139" s="13">
        <f t="shared" si="137"/>
        <v>2024</v>
      </c>
      <c r="D1139" s="7" t="str">
        <f t="shared" si="138"/>
        <v>Sep</v>
      </c>
      <c r="E1139" s="7" t="str">
        <f t="shared" si="139"/>
        <v>Thu</v>
      </c>
      <c r="F1139" t="s">
        <v>345</v>
      </c>
      <c r="G1139" t="s">
        <v>197</v>
      </c>
      <c r="H1139" t="s">
        <v>11</v>
      </c>
      <c r="I1139" s="2" t="str">
        <f t="shared" si="136"/>
        <v>East</v>
      </c>
      <c r="J1139" t="s">
        <v>12</v>
      </c>
      <c r="K1139" t="s">
        <v>32</v>
      </c>
      <c r="L1139">
        <v>15</v>
      </c>
      <c r="M1139">
        <v>120</v>
      </c>
      <c r="N1139">
        <f t="shared" si="140"/>
        <v>1800</v>
      </c>
      <c r="O1139">
        <f t="shared" si="141"/>
        <v>180</v>
      </c>
      <c r="P1139" t="str">
        <f t="shared" si="142"/>
        <v>Large Order</v>
      </c>
      <c r="Q1139" t="str">
        <f t="shared" si="143"/>
        <v>Weekday</v>
      </c>
    </row>
    <row r="1140" spans="1:17" x14ac:dyDescent="0.35">
      <c r="A1140" t="s">
        <v>1290</v>
      </c>
      <c r="B1140" s="7">
        <v>45506</v>
      </c>
      <c r="C1140" s="13">
        <f t="shared" si="137"/>
        <v>2024</v>
      </c>
      <c r="D1140" s="7" t="str">
        <f t="shared" si="138"/>
        <v>Aug</v>
      </c>
      <c r="E1140" s="7" t="str">
        <f t="shared" si="139"/>
        <v>Fri</v>
      </c>
      <c r="F1140" t="s">
        <v>104</v>
      </c>
      <c r="G1140" t="s">
        <v>197</v>
      </c>
      <c r="H1140" t="s">
        <v>22</v>
      </c>
      <c r="I1140" s="2" t="str">
        <f t="shared" si="136"/>
        <v>South</v>
      </c>
      <c r="J1140" t="s">
        <v>42</v>
      </c>
      <c r="K1140" t="s">
        <v>13</v>
      </c>
      <c r="L1140">
        <v>4</v>
      </c>
      <c r="M1140">
        <v>120</v>
      </c>
      <c r="N1140">
        <f t="shared" si="140"/>
        <v>480</v>
      </c>
      <c r="O1140">
        <f t="shared" si="141"/>
        <v>48</v>
      </c>
      <c r="P1140" t="str">
        <f t="shared" si="142"/>
        <v>Standard Order</v>
      </c>
      <c r="Q1140" t="str">
        <f t="shared" si="143"/>
        <v>Weekday</v>
      </c>
    </row>
    <row r="1141" spans="1:17" x14ac:dyDescent="0.35">
      <c r="A1141" t="s">
        <v>1291</v>
      </c>
      <c r="B1141" s="7">
        <v>45413</v>
      </c>
      <c r="C1141" s="13">
        <f t="shared" si="137"/>
        <v>2024</v>
      </c>
      <c r="D1141" s="7" t="str">
        <f t="shared" si="138"/>
        <v>May</v>
      </c>
      <c r="E1141" s="7" t="str">
        <f t="shared" si="139"/>
        <v>Wed</v>
      </c>
      <c r="F1141" t="s">
        <v>304</v>
      </c>
      <c r="G1141" t="s">
        <v>31</v>
      </c>
      <c r="H1141" t="s">
        <v>17</v>
      </c>
      <c r="I1141" s="2" t="str">
        <f t="shared" si="136"/>
        <v>South</v>
      </c>
      <c r="J1141" t="s">
        <v>56</v>
      </c>
      <c r="K1141" t="s">
        <v>36</v>
      </c>
      <c r="L1141">
        <v>8</v>
      </c>
      <c r="M1141">
        <v>120</v>
      </c>
      <c r="N1141">
        <f t="shared" si="140"/>
        <v>960</v>
      </c>
      <c r="O1141">
        <f t="shared" si="141"/>
        <v>96</v>
      </c>
      <c r="P1141" t="str">
        <f t="shared" si="142"/>
        <v>Large Order</v>
      </c>
      <c r="Q1141" t="str">
        <f t="shared" si="143"/>
        <v>Weekday</v>
      </c>
    </row>
    <row r="1142" spans="1:17" x14ac:dyDescent="0.35">
      <c r="A1142" t="s">
        <v>1292</v>
      </c>
      <c r="B1142" s="7">
        <v>45540</v>
      </c>
      <c r="C1142" s="13">
        <f t="shared" si="137"/>
        <v>2024</v>
      </c>
      <c r="D1142" s="7" t="str">
        <f t="shared" si="138"/>
        <v>Sep</v>
      </c>
      <c r="E1142" s="7" t="str">
        <f t="shared" si="139"/>
        <v>Thu</v>
      </c>
      <c r="F1142" t="s">
        <v>9</v>
      </c>
      <c r="G1142" t="s">
        <v>65</v>
      </c>
      <c r="H1142" t="s">
        <v>17</v>
      </c>
      <c r="I1142" s="2" t="str">
        <f t="shared" si="136"/>
        <v>South</v>
      </c>
      <c r="J1142" t="s">
        <v>56</v>
      </c>
      <c r="K1142" t="s">
        <v>23</v>
      </c>
      <c r="L1142">
        <v>20</v>
      </c>
      <c r="M1142">
        <v>120</v>
      </c>
      <c r="N1142">
        <f t="shared" si="140"/>
        <v>2400</v>
      </c>
      <c r="O1142">
        <f t="shared" si="141"/>
        <v>240</v>
      </c>
      <c r="P1142" t="str">
        <f t="shared" si="142"/>
        <v>Large Order</v>
      </c>
      <c r="Q1142" t="str">
        <f t="shared" si="143"/>
        <v>Weekday</v>
      </c>
    </row>
    <row r="1143" spans="1:17" x14ac:dyDescent="0.35">
      <c r="A1143" t="s">
        <v>1293</v>
      </c>
      <c r="B1143" s="7">
        <v>45483</v>
      </c>
      <c r="C1143" s="13">
        <f t="shared" si="137"/>
        <v>2024</v>
      </c>
      <c r="D1143" s="7" t="str">
        <f t="shared" si="138"/>
        <v>Jul</v>
      </c>
      <c r="E1143" s="7" t="str">
        <f t="shared" si="139"/>
        <v>Wed</v>
      </c>
      <c r="F1143" t="s">
        <v>99</v>
      </c>
      <c r="G1143" t="s">
        <v>21</v>
      </c>
      <c r="H1143" t="s">
        <v>17</v>
      </c>
      <c r="I1143" s="2" t="str">
        <f t="shared" si="136"/>
        <v>Central</v>
      </c>
      <c r="J1143" t="s">
        <v>56</v>
      </c>
      <c r="K1143" t="s">
        <v>28</v>
      </c>
      <c r="L1143">
        <v>12</v>
      </c>
      <c r="M1143">
        <v>120</v>
      </c>
      <c r="N1143">
        <f t="shared" si="140"/>
        <v>1440</v>
      </c>
      <c r="O1143">
        <f t="shared" si="141"/>
        <v>144</v>
      </c>
      <c r="P1143" t="str">
        <f t="shared" si="142"/>
        <v>Large Order</v>
      </c>
      <c r="Q1143" t="str">
        <f t="shared" si="143"/>
        <v>Weekday</v>
      </c>
    </row>
    <row r="1144" spans="1:17" x14ac:dyDescent="0.35">
      <c r="A1144" t="s">
        <v>1294</v>
      </c>
      <c r="B1144" s="7">
        <v>45463</v>
      </c>
      <c r="C1144" s="13">
        <f t="shared" si="137"/>
        <v>2024</v>
      </c>
      <c r="D1144" s="7" t="str">
        <f t="shared" si="138"/>
        <v>Jun</v>
      </c>
      <c r="E1144" s="7" t="str">
        <f t="shared" si="139"/>
        <v>Thu</v>
      </c>
      <c r="F1144" t="s">
        <v>34</v>
      </c>
      <c r="G1144" t="s">
        <v>79</v>
      </c>
      <c r="H1144" t="s">
        <v>11</v>
      </c>
      <c r="I1144" s="2" t="str">
        <f t="shared" si="136"/>
        <v>East</v>
      </c>
      <c r="J1144" t="s">
        <v>306</v>
      </c>
      <c r="K1144" t="s">
        <v>23</v>
      </c>
      <c r="L1144">
        <v>9</v>
      </c>
      <c r="M1144">
        <v>120</v>
      </c>
      <c r="N1144">
        <f t="shared" si="140"/>
        <v>1080</v>
      </c>
      <c r="O1144">
        <f t="shared" si="141"/>
        <v>108</v>
      </c>
      <c r="P1144" t="str">
        <f t="shared" si="142"/>
        <v>Large Order</v>
      </c>
      <c r="Q1144" t="str">
        <f t="shared" si="143"/>
        <v>Weekday</v>
      </c>
    </row>
    <row r="1145" spans="1:17" x14ac:dyDescent="0.35">
      <c r="A1145" t="s">
        <v>1295</v>
      </c>
      <c r="B1145" s="7">
        <v>45526</v>
      </c>
      <c r="C1145" s="13">
        <f t="shared" si="137"/>
        <v>2024</v>
      </c>
      <c r="D1145" s="7" t="str">
        <f t="shared" si="138"/>
        <v>Aug</v>
      </c>
      <c r="E1145" s="7" t="str">
        <f t="shared" si="139"/>
        <v>Thu</v>
      </c>
      <c r="F1145" t="s">
        <v>572</v>
      </c>
      <c r="G1145" t="s">
        <v>197</v>
      </c>
      <c r="H1145" t="s">
        <v>11</v>
      </c>
      <c r="I1145" s="2" t="str">
        <f t="shared" si="136"/>
        <v>South</v>
      </c>
      <c r="J1145" t="s">
        <v>42</v>
      </c>
      <c r="K1145" t="s">
        <v>36</v>
      </c>
      <c r="L1145">
        <v>10</v>
      </c>
      <c r="M1145">
        <v>120</v>
      </c>
      <c r="N1145">
        <f t="shared" si="140"/>
        <v>1200</v>
      </c>
      <c r="O1145">
        <f t="shared" si="141"/>
        <v>120</v>
      </c>
      <c r="P1145" t="str">
        <f t="shared" si="142"/>
        <v>Large Order</v>
      </c>
      <c r="Q1145" t="str">
        <f t="shared" si="143"/>
        <v>Weekday</v>
      </c>
    </row>
    <row r="1146" spans="1:17" x14ac:dyDescent="0.35">
      <c r="A1146" t="s">
        <v>1296</v>
      </c>
      <c r="B1146" s="7">
        <v>45379</v>
      </c>
      <c r="C1146" s="13">
        <f t="shared" si="137"/>
        <v>2024</v>
      </c>
      <c r="D1146" s="7" t="str">
        <f t="shared" si="138"/>
        <v>Mar</v>
      </c>
      <c r="E1146" s="7" t="str">
        <f t="shared" si="139"/>
        <v>Thu</v>
      </c>
      <c r="F1146" t="s">
        <v>314</v>
      </c>
      <c r="G1146" t="s">
        <v>10</v>
      </c>
      <c r="H1146" t="s">
        <v>22</v>
      </c>
      <c r="I1146" s="2" t="str">
        <f t="shared" si="136"/>
        <v>West</v>
      </c>
      <c r="J1146" t="s">
        <v>56</v>
      </c>
      <c r="K1146" t="s">
        <v>23</v>
      </c>
      <c r="L1146">
        <v>14</v>
      </c>
      <c r="M1146">
        <v>120</v>
      </c>
      <c r="N1146">
        <f t="shared" si="140"/>
        <v>1680</v>
      </c>
      <c r="O1146">
        <f t="shared" si="141"/>
        <v>168</v>
      </c>
      <c r="P1146" t="str">
        <f t="shared" si="142"/>
        <v>Large Order</v>
      </c>
      <c r="Q1146" t="str">
        <f t="shared" si="143"/>
        <v>Weekday</v>
      </c>
    </row>
    <row r="1147" spans="1:17" x14ac:dyDescent="0.35">
      <c r="A1147" t="s">
        <v>1297</v>
      </c>
      <c r="B1147" s="7">
        <v>45402</v>
      </c>
      <c r="C1147" s="13">
        <f t="shared" si="137"/>
        <v>2024</v>
      </c>
      <c r="D1147" s="7" t="str">
        <f t="shared" si="138"/>
        <v>Apr</v>
      </c>
      <c r="E1147" s="7" t="str">
        <f t="shared" si="139"/>
        <v>Sat</v>
      </c>
      <c r="F1147" t="s">
        <v>449</v>
      </c>
      <c r="G1147" t="s">
        <v>26</v>
      </c>
      <c r="H1147" t="s">
        <v>17</v>
      </c>
      <c r="I1147" s="2" t="str">
        <f t="shared" si="136"/>
        <v>Central</v>
      </c>
      <c r="J1147" t="s">
        <v>27</v>
      </c>
      <c r="K1147" t="s">
        <v>28</v>
      </c>
      <c r="L1147">
        <v>1</v>
      </c>
      <c r="M1147">
        <v>120</v>
      </c>
      <c r="N1147">
        <f t="shared" si="140"/>
        <v>120</v>
      </c>
      <c r="O1147">
        <f t="shared" si="141"/>
        <v>12</v>
      </c>
      <c r="P1147" t="str">
        <f t="shared" si="142"/>
        <v>Standard Order</v>
      </c>
      <c r="Q1147" t="str">
        <f t="shared" si="143"/>
        <v>Weekend</v>
      </c>
    </row>
    <row r="1148" spans="1:17" x14ac:dyDescent="0.35">
      <c r="A1148" t="s">
        <v>1298</v>
      </c>
      <c r="B1148" s="7">
        <v>45418</v>
      </c>
      <c r="C1148" s="13">
        <f t="shared" si="137"/>
        <v>2024</v>
      </c>
      <c r="D1148" s="7" t="str">
        <f t="shared" si="138"/>
        <v>May</v>
      </c>
      <c r="E1148" s="7" t="str">
        <f t="shared" si="139"/>
        <v>Mon</v>
      </c>
      <c r="F1148" t="s">
        <v>187</v>
      </c>
      <c r="G1148" t="s">
        <v>197</v>
      </c>
      <c r="H1148" t="s">
        <v>17</v>
      </c>
      <c r="I1148" s="2" t="str">
        <f t="shared" si="136"/>
        <v>North</v>
      </c>
      <c r="J1148" t="s">
        <v>306</v>
      </c>
      <c r="K1148" t="s">
        <v>36</v>
      </c>
      <c r="L1148">
        <v>19</v>
      </c>
      <c r="M1148">
        <v>120</v>
      </c>
      <c r="N1148">
        <f t="shared" si="140"/>
        <v>2280</v>
      </c>
      <c r="O1148">
        <f t="shared" si="141"/>
        <v>228</v>
      </c>
      <c r="P1148" t="str">
        <f t="shared" si="142"/>
        <v>Large Order</v>
      </c>
      <c r="Q1148" t="str">
        <f t="shared" si="143"/>
        <v>Weekday</v>
      </c>
    </row>
    <row r="1149" spans="1:17" x14ac:dyDescent="0.35">
      <c r="A1149" t="s">
        <v>1299</v>
      </c>
      <c r="B1149" s="7">
        <v>45294</v>
      </c>
      <c r="C1149" s="13">
        <f t="shared" si="137"/>
        <v>2024</v>
      </c>
      <c r="D1149" s="7" t="str">
        <f t="shared" si="138"/>
        <v>Jan</v>
      </c>
      <c r="E1149" s="7" t="str">
        <f t="shared" si="139"/>
        <v>Wed</v>
      </c>
      <c r="F1149" t="s">
        <v>572</v>
      </c>
      <c r="G1149" t="s">
        <v>35</v>
      </c>
      <c r="H1149" t="s">
        <v>11</v>
      </c>
      <c r="I1149" s="2" t="str">
        <f t="shared" si="136"/>
        <v>North</v>
      </c>
      <c r="J1149" t="s">
        <v>12</v>
      </c>
      <c r="K1149" t="s">
        <v>36</v>
      </c>
      <c r="L1149">
        <v>17</v>
      </c>
      <c r="M1149">
        <v>120</v>
      </c>
      <c r="N1149">
        <f t="shared" si="140"/>
        <v>2040</v>
      </c>
      <c r="O1149">
        <f t="shared" si="141"/>
        <v>204</v>
      </c>
      <c r="P1149" t="str">
        <f t="shared" si="142"/>
        <v>Large Order</v>
      </c>
      <c r="Q1149" t="str">
        <f t="shared" si="143"/>
        <v>Weekday</v>
      </c>
    </row>
    <row r="1150" spans="1:17" x14ac:dyDescent="0.35">
      <c r="A1150" t="s">
        <v>1300</v>
      </c>
      <c r="B1150" s="7">
        <v>45493</v>
      </c>
      <c r="C1150" s="13">
        <f t="shared" si="137"/>
        <v>2024</v>
      </c>
      <c r="D1150" s="7" t="str">
        <f t="shared" si="138"/>
        <v>Jul</v>
      </c>
      <c r="E1150" s="7" t="str">
        <f t="shared" si="139"/>
        <v>Sat</v>
      </c>
      <c r="F1150" t="s">
        <v>517</v>
      </c>
      <c r="G1150" t="s">
        <v>70</v>
      </c>
      <c r="H1150" t="s">
        <v>22</v>
      </c>
      <c r="I1150" s="2" t="str">
        <f t="shared" si="136"/>
        <v>West</v>
      </c>
      <c r="J1150" t="s">
        <v>12</v>
      </c>
      <c r="K1150" t="s">
        <v>36</v>
      </c>
      <c r="L1150">
        <v>16</v>
      </c>
      <c r="M1150">
        <v>120</v>
      </c>
      <c r="N1150">
        <f t="shared" si="140"/>
        <v>1920</v>
      </c>
      <c r="O1150">
        <f t="shared" si="141"/>
        <v>192</v>
      </c>
      <c r="P1150" t="str">
        <f t="shared" si="142"/>
        <v>Large Order</v>
      </c>
      <c r="Q1150" t="str">
        <f t="shared" si="143"/>
        <v>Weekend</v>
      </c>
    </row>
    <row r="1151" spans="1:17" x14ac:dyDescent="0.35">
      <c r="A1151" t="s">
        <v>1301</v>
      </c>
      <c r="B1151" s="7">
        <v>45298</v>
      </c>
      <c r="C1151" s="13">
        <f t="shared" si="137"/>
        <v>2024</v>
      </c>
      <c r="D1151" s="7" t="str">
        <f t="shared" si="138"/>
        <v>Jan</v>
      </c>
      <c r="E1151" s="7" t="str">
        <f t="shared" si="139"/>
        <v>Sun</v>
      </c>
      <c r="F1151" t="s">
        <v>465</v>
      </c>
      <c r="G1151" t="s">
        <v>65</v>
      </c>
      <c r="H1151" t="s">
        <v>22</v>
      </c>
      <c r="I1151" s="2" t="str">
        <f t="shared" si="136"/>
        <v>West</v>
      </c>
      <c r="J1151" t="s">
        <v>27</v>
      </c>
      <c r="K1151" t="s">
        <v>28</v>
      </c>
      <c r="L1151">
        <v>5</v>
      </c>
      <c r="M1151">
        <v>120</v>
      </c>
      <c r="N1151">
        <f t="shared" si="140"/>
        <v>600</v>
      </c>
      <c r="O1151">
        <f t="shared" si="141"/>
        <v>60</v>
      </c>
      <c r="P1151" t="str">
        <f t="shared" si="142"/>
        <v>Large Order</v>
      </c>
      <c r="Q1151" t="str">
        <f t="shared" si="143"/>
        <v>Weekend</v>
      </c>
    </row>
    <row r="1152" spans="1:17" x14ac:dyDescent="0.35">
      <c r="A1152" t="s">
        <v>1302</v>
      </c>
      <c r="B1152" s="7">
        <v>45623</v>
      </c>
      <c r="C1152" s="13">
        <f t="shared" si="137"/>
        <v>2024</v>
      </c>
      <c r="D1152" s="7" t="str">
        <f t="shared" si="138"/>
        <v>Nov</v>
      </c>
      <c r="E1152" s="7" t="str">
        <f t="shared" si="139"/>
        <v>Wed</v>
      </c>
      <c r="F1152" t="s">
        <v>203</v>
      </c>
      <c r="G1152" t="s">
        <v>41</v>
      </c>
      <c r="H1152" t="s">
        <v>11</v>
      </c>
      <c r="I1152" s="2" t="str">
        <f t="shared" si="136"/>
        <v>North</v>
      </c>
      <c r="J1152" t="s">
        <v>27</v>
      </c>
      <c r="K1152" t="s">
        <v>23</v>
      </c>
      <c r="L1152">
        <v>10</v>
      </c>
      <c r="M1152">
        <v>120</v>
      </c>
      <c r="N1152">
        <f t="shared" si="140"/>
        <v>1200</v>
      </c>
      <c r="O1152">
        <f t="shared" si="141"/>
        <v>120</v>
      </c>
      <c r="P1152" t="str">
        <f t="shared" si="142"/>
        <v>Large Order</v>
      </c>
      <c r="Q1152" t="str">
        <f t="shared" si="143"/>
        <v>Weekday</v>
      </c>
    </row>
    <row r="1153" spans="1:17" x14ac:dyDescent="0.35">
      <c r="A1153" t="s">
        <v>1303</v>
      </c>
      <c r="B1153" s="7">
        <v>45584</v>
      </c>
      <c r="C1153" s="13">
        <f t="shared" si="137"/>
        <v>2024</v>
      </c>
      <c r="D1153" s="7" t="str">
        <f t="shared" si="138"/>
        <v>Oct</v>
      </c>
      <c r="E1153" s="7" t="str">
        <f t="shared" si="139"/>
        <v>Sat</v>
      </c>
      <c r="F1153" t="s">
        <v>323</v>
      </c>
      <c r="G1153" t="s">
        <v>70</v>
      </c>
      <c r="H1153" t="s">
        <v>22</v>
      </c>
      <c r="I1153" s="2" t="str">
        <f t="shared" si="136"/>
        <v>West</v>
      </c>
      <c r="J1153" t="s">
        <v>12</v>
      </c>
      <c r="K1153" t="s">
        <v>23</v>
      </c>
      <c r="L1153">
        <v>15</v>
      </c>
      <c r="M1153">
        <v>120</v>
      </c>
      <c r="N1153">
        <f t="shared" si="140"/>
        <v>1800</v>
      </c>
      <c r="O1153">
        <f t="shared" si="141"/>
        <v>180</v>
      </c>
      <c r="P1153" t="str">
        <f t="shared" si="142"/>
        <v>Large Order</v>
      </c>
      <c r="Q1153" t="str">
        <f t="shared" si="143"/>
        <v>Weekend</v>
      </c>
    </row>
    <row r="1154" spans="1:17" x14ac:dyDescent="0.35">
      <c r="A1154" t="s">
        <v>1304</v>
      </c>
      <c r="B1154" s="7">
        <v>45386</v>
      </c>
      <c r="C1154" s="13">
        <f t="shared" si="137"/>
        <v>2024</v>
      </c>
      <c r="D1154" s="7" t="str">
        <f t="shared" si="138"/>
        <v>Apr</v>
      </c>
      <c r="E1154" s="7" t="str">
        <f t="shared" si="139"/>
        <v>Thu</v>
      </c>
      <c r="F1154" t="s">
        <v>200</v>
      </c>
      <c r="G1154" t="s">
        <v>62</v>
      </c>
      <c r="H1154" t="s">
        <v>22</v>
      </c>
      <c r="I1154" s="2" t="str">
        <f t="shared" si="136"/>
        <v>Central</v>
      </c>
      <c r="J1154" t="s">
        <v>27</v>
      </c>
      <c r="K1154" t="s">
        <v>13</v>
      </c>
      <c r="L1154">
        <v>1</v>
      </c>
      <c r="M1154">
        <v>120</v>
      </c>
      <c r="N1154">
        <f t="shared" si="140"/>
        <v>120</v>
      </c>
      <c r="O1154">
        <f t="shared" si="141"/>
        <v>12</v>
      </c>
      <c r="P1154" t="str">
        <f t="shared" si="142"/>
        <v>Standard Order</v>
      </c>
      <c r="Q1154" t="str">
        <f t="shared" si="143"/>
        <v>Weekday</v>
      </c>
    </row>
    <row r="1155" spans="1:17" x14ac:dyDescent="0.35">
      <c r="A1155" t="s">
        <v>1305</v>
      </c>
      <c r="B1155" s="7">
        <v>45489</v>
      </c>
      <c r="C1155" s="13">
        <f t="shared" si="137"/>
        <v>2024</v>
      </c>
      <c r="D1155" s="7" t="str">
        <f t="shared" si="138"/>
        <v>Jul</v>
      </c>
      <c r="E1155" s="7" t="str">
        <f t="shared" si="139"/>
        <v>Tue</v>
      </c>
      <c r="F1155" t="s">
        <v>465</v>
      </c>
      <c r="G1155" t="s">
        <v>79</v>
      </c>
      <c r="H1155" t="s">
        <v>17</v>
      </c>
      <c r="I1155" s="2" t="str">
        <f t="shared" ref="I1155:I1218" si="144">TRIM(J1156)</f>
        <v>Central</v>
      </c>
      <c r="J1155" t="s">
        <v>306</v>
      </c>
      <c r="K1155" t="s">
        <v>32</v>
      </c>
      <c r="L1155">
        <v>10</v>
      </c>
      <c r="M1155">
        <v>120</v>
      </c>
      <c r="N1155">
        <f t="shared" si="140"/>
        <v>1200</v>
      </c>
      <c r="O1155">
        <f t="shared" si="141"/>
        <v>120</v>
      </c>
      <c r="P1155" t="str">
        <f t="shared" si="142"/>
        <v>Large Order</v>
      </c>
      <c r="Q1155" t="str">
        <f t="shared" si="143"/>
        <v>Weekday</v>
      </c>
    </row>
    <row r="1156" spans="1:17" x14ac:dyDescent="0.35">
      <c r="A1156" t="s">
        <v>1306</v>
      </c>
      <c r="B1156" s="7">
        <v>45649</v>
      </c>
      <c r="C1156" s="13">
        <f t="shared" ref="C1156:C1219" si="145">YEAR(B1156)</f>
        <v>2024</v>
      </c>
      <c r="D1156" s="7" t="str">
        <f t="shared" ref="D1156:D1219" si="146">TEXT(B1156,"mmm")</f>
        <v>Dec</v>
      </c>
      <c r="E1156" s="7" t="str">
        <f t="shared" ref="E1156:E1219" si="147">TEXT(B1156,"ddd")</f>
        <v>Mon</v>
      </c>
      <c r="F1156" t="s">
        <v>594</v>
      </c>
      <c r="G1156" t="s">
        <v>65</v>
      </c>
      <c r="H1156" t="s">
        <v>22</v>
      </c>
      <c r="I1156" s="2" t="str">
        <f t="shared" si="144"/>
        <v>East</v>
      </c>
      <c r="J1156" t="s">
        <v>306</v>
      </c>
      <c r="K1156" t="s">
        <v>32</v>
      </c>
      <c r="L1156">
        <v>3</v>
      </c>
      <c r="M1156">
        <v>120</v>
      </c>
      <c r="N1156">
        <f t="shared" ref="N1156:N1219" si="148">M1156*L1156</f>
        <v>360</v>
      </c>
      <c r="O1156">
        <f t="shared" ref="O1156:O1219" si="149">N1156*0.1</f>
        <v>36</v>
      </c>
      <c r="P1156" t="str">
        <f t="shared" ref="P1156:P1219" si="150">IF(N1156&gt;500,"Large Order","Standard Order")</f>
        <v>Standard Order</v>
      </c>
      <c r="Q1156" t="str">
        <f t="shared" ref="Q1156:Q1219" si="151">IF(OR(TRIM(E1156)="Sat",TRIM(E1156)="Sun"),"Weekend","Weekday")</f>
        <v>Weekday</v>
      </c>
    </row>
    <row r="1157" spans="1:17" x14ac:dyDescent="0.35">
      <c r="A1157" t="s">
        <v>1307</v>
      </c>
      <c r="B1157" s="7">
        <v>45320</v>
      </c>
      <c r="C1157" s="13">
        <f t="shared" si="145"/>
        <v>2024</v>
      </c>
      <c r="D1157" s="7" t="str">
        <f t="shared" si="146"/>
        <v>Jan</v>
      </c>
      <c r="E1157" s="7" t="str">
        <f t="shared" si="147"/>
        <v>Mon</v>
      </c>
      <c r="F1157" t="s">
        <v>345</v>
      </c>
      <c r="G1157" t="s">
        <v>79</v>
      </c>
      <c r="H1157" t="s">
        <v>22</v>
      </c>
      <c r="I1157" s="2" t="str">
        <f t="shared" si="144"/>
        <v>East</v>
      </c>
      <c r="J1157" t="s">
        <v>42</v>
      </c>
      <c r="K1157" t="s">
        <v>23</v>
      </c>
      <c r="L1157">
        <v>4</v>
      </c>
      <c r="M1157">
        <v>120</v>
      </c>
      <c r="N1157">
        <f t="shared" si="148"/>
        <v>480</v>
      </c>
      <c r="O1157">
        <f t="shared" si="149"/>
        <v>48</v>
      </c>
      <c r="P1157" t="str">
        <f t="shared" si="150"/>
        <v>Standard Order</v>
      </c>
      <c r="Q1157" t="str">
        <f t="shared" si="151"/>
        <v>Weekday</v>
      </c>
    </row>
    <row r="1158" spans="1:17" x14ac:dyDescent="0.35">
      <c r="A1158" t="s">
        <v>1308</v>
      </c>
      <c r="B1158" s="7">
        <v>45608</v>
      </c>
      <c r="C1158" s="13">
        <f t="shared" si="145"/>
        <v>2024</v>
      </c>
      <c r="D1158" s="7" t="str">
        <f t="shared" si="146"/>
        <v>Nov</v>
      </c>
      <c r="E1158" s="7" t="str">
        <f t="shared" si="147"/>
        <v>Tue</v>
      </c>
      <c r="F1158" t="s">
        <v>116</v>
      </c>
      <c r="G1158" t="s">
        <v>45</v>
      </c>
      <c r="H1158" t="s">
        <v>17</v>
      </c>
      <c r="I1158" s="2" t="str">
        <f t="shared" si="144"/>
        <v>South</v>
      </c>
      <c r="J1158" t="s">
        <v>42</v>
      </c>
      <c r="K1158" t="s">
        <v>36</v>
      </c>
      <c r="L1158">
        <v>18</v>
      </c>
      <c r="M1158">
        <v>120</v>
      </c>
      <c r="N1158">
        <f t="shared" si="148"/>
        <v>2160</v>
      </c>
      <c r="O1158">
        <f t="shared" si="149"/>
        <v>216</v>
      </c>
      <c r="P1158" t="str">
        <f t="shared" si="150"/>
        <v>Large Order</v>
      </c>
      <c r="Q1158" t="str">
        <f t="shared" si="151"/>
        <v>Weekday</v>
      </c>
    </row>
    <row r="1159" spans="1:17" x14ac:dyDescent="0.35">
      <c r="A1159" t="s">
        <v>1309</v>
      </c>
      <c r="B1159" s="7">
        <v>45655</v>
      </c>
      <c r="C1159" s="13">
        <f t="shared" si="145"/>
        <v>2024</v>
      </c>
      <c r="D1159" s="7" t="str">
        <f t="shared" si="146"/>
        <v>Dec</v>
      </c>
      <c r="E1159" s="7" t="str">
        <f t="shared" si="147"/>
        <v>Sun</v>
      </c>
      <c r="F1159" t="s">
        <v>420</v>
      </c>
      <c r="G1159" t="s">
        <v>72</v>
      </c>
      <c r="H1159" t="s">
        <v>11</v>
      </c>
      <c r="I1159" s="2" t="str">
        <f t="shared" si="144"/>
        <v>South</v>
      </c>
      <c r="J1159" t="s">
        <v>56</v>
      </c>
      <c r="K1159" t="s">
        <v>23</v>
      </c>
      <c r="L1159">
        <v>8</v>
      </c>
      <c r="M1159">
        <v>120</v>
      </c>
      <c r="N1159">
        <f t="shared" si="148"/>
        <v>960</v>
      </c>
      <c r="O1159">
        <f t="shared" si="149"/>
        <v>96</v>
      </c>
      <c r="P1159" t="str">
        <f t="shared" si="150"/>
        <v>Large Order</v>
      </c>
      <c r="Q1159" t="str">
        <f t="shared" si="151"/>
        <v>Weekend</v>
      </c>
    </row>
    <row r="1160" spans="1:17" x14ac:dyDescent="0.35">
      <c r="A1160" t="s">
        <v>1310</v>
      </c>
      <c r="B1160" s="7">
        <v>45589</v>
      </c>
      <c r="C1160" s="13">
        <f t="shared" si="145"/>
        <v>2024</v>
      </c>
      <c r="D1160" s="7" t="str">
        <f t="shared" si="146"/>
        <v>Oct</v>
      </c>
      <c r="E1160" s="7" t="str">
        <f t="shared" si="147"/>
        <v>Thu</v>
      </c>
      <c r="F1160" t="s">
        <v>424</v>
      </c>
      <c r="G1160" t="s">
        <v>72</v>
      </c>
      <c r="H1160" t="s">
        <v>11</v>
      </c>
      <c r="I1160" s="2" t="str">
        <f t="shared" si="144"/>
        <v>North</v>
      </c>
      <c r="J1160" t="s">
        <v>56</v>
      </c>
      <c r="K1160" t="s">
        <v>36</v>
      </c>
      <c r="L1160">
        <v>12</v>
      </c>
      <c r="M1160">
        <v>120</v>
      </c>
      <c r="N1160">
        <f t="shared" si="148"/>
        <v>1440</v>
      </c>
      <c r="O1160">
        <f t="shared" si="149"/>
        <v>144</v>
      </c>
      <c r="P1160" t="str">
        <f t="shared" si="150"/>
        <v>Large Order</v>
      </c>
      <c r="Q1160" t="str">
        <f t="shared" si="151"/>
        <v>Weekday</v>
      </c>
    </row>
    <row r="1161" spans="1:17" x14ac:dyDescent="0.35">
      <c r="A1161" t="s">
        <v>1311</v>
      </c>
      <c r="B1161" s="7">
        <v>45640</v>
      </c>
      <c r="C1161" s="13">
        <f t="shared" si="145"/>
        <v>2024</v>
      </c>
      <c r="D1161" s="7" t="str">
        <f t="shared" si="146"/>
        <v>Dec</v>
      </c>
      <c r="E1161" s="7" t="str">
        <f t="shared" si="147"/>
        <v>Sat</v>
      </c>
      <c r="F1161" t="s">
        <v>309</v>
      </c>
      <c r="G1161" t="s">
        <v>10</v>
      </c>
      <c r="H1161" t="s">
        <v>17</v>
      </c>
      <c r="I1161" s="2" t="str">
        <f t="shared" si="144"/>
        <v>West</v>
      </c>
      <c r="J1161" t="s">
        <v>12</v>
      </c>
      <c r="K1161" t="s">
        <v>23</v>
      </c>
      <c r="L1161">
        <v>12</v>
      </c>
      <c r="M1161">
        <v>120</v>
      </c>
      <c r="N1161">
        <f t="shared" si="148"/>
        <v>1440</v>
      </c>
      <c r="O1161">
        <f t="shared" si="149"/>
        <v>144</v>
      </c>
      <c r="P1161" t="str">
        <f t="shared" si="150"/>
        <v>Large Order</v>
      </c>
      <c r="Q1161" t="str">
        <f t="shared" si="151"/>
        <v>Weekend</v>
      </c>
    </row>
    <row r="1162" spans="1:17" x14ac:dyDescent="0.35">
      <c r="A1162" t="s">
        <v>1312</v>
      </c>
      <c r="B1162" s="7">
        <v>45548</v>
      </c>
      <c r="C1162" s="13">
        <f t="shared" si="145"/>
        <v>2024</v>
      </c>
      <c r="D1162" s="7" t="str">
        <f t="shared" si="146"/>
        <v>Sep</v>
      </c>
      <c r="E1162" s="7" t="str">
        <f t="shared" si="147"/>
        <v>Fri</v>
      </c>
      <c r="F1162" t="s">
        <v>339</v>
      </c>
      <c r="G1162" t="s">
        <v>62</v>
      </c>
      <c r="H1162" t="s">
        <v>11</v>
      </c>
      <c r="I1162" s="2" t="str">
        <f t="shared" si="144"/>
        <v>East</v>
      </c>
      <c r="J1162" t="s">
        <v>27</v>
      </c>
      <c r="K1162" t="s">
        <v>36</v>
      </c>
      <c r="L1162">
        <v>18</v>
      </c>
      <c r="M1162">
        <v>120</v>
      </c>
      <c r="N1162">
        <f t="shared" si="148"/>
        <v>2160</v>
      </c>
      <c r="O1162">
        <f t="shared" si="149"/>
        <v>216</v>
      </c>
      <c r="P1162" t="str">
        <f t="shared" si="150"/>
        <v>Large Order</v>
      </c>
      <c r="Q1162" t="str">
        <f t="shared" si="151"/>
        <v>Weekday</v>
      </c>
    </row>
    <row r="1163" spans="1:17" x14ac:dyDescent="0.35">
      <c r="A1163" t="s">
        <v>1313</v>
      </c>
      <c r="B1163" s="7">
        <v>45441</v>
      </c>
      <c r="C1163" s="13">
        <f t="shared" si="145"/>
        <v>2024</v>
      </c>
      <c r="D1163" s="7" t="str">
        <f t="shared" si="146"/>
        <v>May</v>
      </c>
      <c r="E1163" s="7" t="str">
        <f t="shared" si="147"/>
        <v>Wed</v>
      </c>
      <c r="F1163" t="s">
        <v>430</v>
      </c>
      <c r="G1163" t="s">
        <v>41</v>
      </c>
      <c r="H1163" t="s">
        <v>22</v>
      </c>
      <c r="I1163" s="2" t="str">
        <f t="shared" si="144"/>
        <v>South</v>
      </c>
      <c r="J1163" t="s">
        <v>42</v>
      </c>
      <c r="K1163" t="s">
        <v>23</v>
      </c>
      <c r="L1163">
        <v>3</v>
      </c>
      <c r="M1163">
        <v>120</v>
      </c>
      <c r="N1163">
        <f t="shared" si="148"/>
        <v>360</v>
      </c>
      <c r="O1163">
        <f t="shared" si="149"/>
        <v>36</v>
      </c>
      <c r="P1163" t="str">
        <f t="shared" si="150"/>
        <v>Standard Order</v>
      </c>
      <c r="Q1163" t="str">
        <f t="shared" si="151"/>
        <v>Weekday</v>
      </c>
    </row>
    <row r="1164" spans="1:17" x14ac:dyDescent="0.35">
      <c r="A1164" t="s">
        <v>1314</v>
      </c>
      <c r="B1164" s="7">
        <v>45336</v>
      </c>
      <c r="C1164" s="13">
        <f t="shared" si="145"/>
        <v>2024</v>
      </c>
      <c r="D1164" s="7" t="str">
        <f t="shared" si="146"/>
        <v>Feb</v>
      </c>
      <c r="E1164" s="7" t="str">
        <f t="shared" si="147"/>
        <v>Wed</v>
      </c>
      <c r="F1164" t="s">
        <v>81</v>
      </c>
      <c r="G1164" t="s">
        <v>74</v>
      </c>
      <c r="H1164" t="s">
        <v>17</v>
      </c>
      <c r="I1164" s="2" t="str">
        <f t="shared" si="144"/>
        <v>West</v>
      </c>
      <c r="J1164" t="s">
        <v>56</v>
      </c>
      <c r="K1164" t="s">
        <v>32</v>
      </c>
      <c r="L1164">
        <v>3</v>
      </c>
      <c r="M1164">
        <v>120</v>
      </c>
      <c r="N1164">
        <f t="shared" si="148"/>
        <v>360</v>
      </c>
      <c r="O1164">
        <f t="shared" si="149"/>
        <v>36</v>
      </c>
      <c r="P1164" t="str">
        <f t="shared" si="150"/>
        <v>Standard Order</v>
      </c>
      <c r="Q1164" t="str">
        <f t="shared" si="151"/>
        <v>Weekday</v>
      </c>
    </row>
    <row r="1165" spans="1:17" x14ac:dyDescent="0.35">
      <c r="A1165" t="s">
        <v>1315</v>
      </c>
      <c r="B1165" s="7">
        <v>45349</v>
      </c>
      <c r="C1165" s="13">
        <f t="shared" si="145"/>
        <v>2024</v>
      </c>
      <c r="D1165" s="7" t="str">
        <f t="shared" si="146"/>
        <v>Feb</v>
      </c>
      <c r="E1165" s="7" t="str">
        <f t="shared" si="147"/>
        <v>Tue</v>
      </c>
      <c r="F1165" t="s">
        <v>424</v>
      </c>
      <c r="G1165" t="s">
        <v>16</v>
      </c>
      <c r="H1165" t="s">
        <v>11</v>
      </c>
      <c r="I1165" s="2" t="str">
        <f t="shared" si="144"/>
        <v>Central</v>
      </c>
      <c r="J1165" t="s">
        <v>27</v>
      </c>
      <c r="K1165" t="s">
        <v>13</v>
      </c>
      <c r="L1165">
        <v>7</v>
      </c>
      <c r="M1165">
        <v>120</v>
      </c>
      <c r="N1165">
        <f t="shared" si="148"/>
        <v>840</v>
      </c>
      <c r="O1165">
        <f t="shared" si="149"/>
        <v>84</v>
      </c>
      <c r="P1165" t="str">
        <f t="shared" si="150"/>
        <v>Large Order</v>
      </c>
      <c r="Q1165" t="str">
        <f t="shared" si="151"/>
        <v>Weekday</v>
      </c>
    </row>
    <row r="1166" spans="1:17" x14ac:dyDescent="0.35">
      <c r="A1166" t="s">
        <v>1316</v>
      </c>
      <c r="B1166" s="7">
        <v>45442</v>
      </c>
      <c r="C1166" s="13">
        <f t="shared" si="145"/>
        <v>2024</v>
      </c>
      <c r="D1166" s="7" t="str">
        <f t="shared" si="146"/>
        <v>May</v>
      </c>
      <c r="E1166" s="7" t="str">
        <f t="shared" si="147"/>
        <v>Thu</v>
      </c>
      <c r="F1166" t="s">
        <v>572</v>
      </c>
      <c r="G1166" t="s">
        <v>16</v>
      </c>
      <c r="H1166" t="s">
        <v>22</v>
      </c>
      <c r="I1166" s="2" t="str">
        <f t="shared" si="144"/>
        <v>South</v>
      </c>
      <c r="J1166" t="s">
        <v>306</v>
      </c>
      <c r="K1166" t="s">
        <v>23</v>
      </c>
      <c r="L1166">
        <v>16</v>
      </c>
      <c r="M1166">
        <v>120</v>
      </c>
      <c r="N1166">
        <f t="shared" si="148"/>
        <v>1920</v>
      </c>
      <c r="O1166">
        <f t="shared" si="149"/>
        <v>192</v>
      </c>
      <c r="P1166" t="str">
        <f t="shared" si="150"/>
        <v>Large Order</v>
      </c>
      <c r="Q1166" t="str">
        <f t="shared" si="151"/>
        <v>Weekday</v>
      </c>
    </row>
    <row r="1167" spans="1:17" x14ac:dyDescent="0.35">
      <c r="A1167" t="s">
        <v>1317</v>
      </c>
      <c r="B1167" s="7">
        <v>45622</v>
      </c>
      <c r="C1167" s="13">
        <f t="shared" si="145"/>
        <v>2024</v>
      </c>
      <c r="D1167" s="7" t="str">
        <f t="shared" si="146"/>
        <v>Nov</v>
      </c>
      <c r="E1167" s="7" t="str">
        <f t="shared" si="147"/>
        <v>Tue</v>
      </c>
      <c r="F1167" t="s">
        <v>138</v>
      </c>
      <c r="G1167" t="s">
        <v>10</v>
      </c>
      <c r="H1167" t="s">
        <v>17</v>
      </c>
      <c r="I1167" s="2" t="str">
        <f t="shared" si="144"/>
        <v>West</v>
      </c>
      <c r="J1167" t="s">
        <v>56</v>
      </c>
      <c r="K1167" t="s">
        <v>28</v>
      </c>
      <c r="L1167">
        <v>1</v>
      </c>
      <c r="M1167">
        <v>120</v>
      </c>
      <c r="N1167">
        <f t="shared" si="148"/>
        <v>120</v>
      </c>
      <c r="O1167">
        <f t="shared" si="149"/>
        <v>12</v>
      </c>
      <c r="P1167" t="str">
        <f t="shared" si="150"/>
        <v>Standard Order</v>
      </c>
      <c r="Q1167" t="str">
        <f t="shared" si="151"/>
        <v>Weekday</v>
      </c>
    </row>
    <row r="1168" spans="1:17" x14ac:dyDescent="0.35">
      <c r="A1168" t="s">
        <v>1318</v>
      </c>
      <c r="B1168" s="7">
        <v>45558</v>
      </c>
      <c r="C1168" s="13">
        <f t="shared" si="145"/>
        <v>2024</v>
      </c>
      <c r="D1168" s="7" t="str">
        <f t="shared" si="146"/>
        <v>Sep</v>
      </c>
      <c r="E1168" s="7" t="str">
        <f t="shared" si="147"/>
        <v>Mon</v>
      </c>
      <c r="F1168" t="s">
        <v>736</v>
      </c>
      <c r="G1168" t="s">
        <v>59</v>
      </c>
      <c r="H1168" t="s">
        <v>17</v>
      </c>
      <c r="I1168" s="2" t="str">
        <f t="shared" si="144"/>
        <v>Central</v>
      </c>
      <c r="J1168" t="s">
        <v>27</v>
      </c>
      <c r="K1168" t="s">
        <v>32</v>
      </c>
      <c r="L1168">
        <v>11</v>
      </c>
      <c r="M1168">
        <v>120</v>
      </c>
      <c r="N1168">
        <f t="shared" si="148"/>
        <v>1320</v>
      </c>
      <c r="O1168">
        <f t="shared" si="149"/>
        <v>132</v>
      </c>
      <c r="P1168" t="str">
        <f t="shared" si="150"/>
        <v>Large Order</v>
      </c>
      <c r="Q1168" t="str">
        <f t="shared" si="151"/>
        <v>Weekday</v>
      </c>
    </row>
    <row r="1169" spans="1:17" x14ac:dyDescent="0.35">
      <c r="A1169" t="s">
        <v>1319</v>
      </c>
      <c r="B1169" s="7">
        <v>45540</v>
      </c>
      <c r="C1169" s="13">
        <f t="shared" si="145"/>
        <v>2024</v>
      </c>
      <c r="D1169" s="7" t="str">
        <f t="shared" si="146"/>
        <v>Sep</v>
      </c>
      <c r="E1169" s="7" t="str">
        <f t="shared" si="147"/>
        <v>Thu</v>
      </c>
      <c r="F1169" t="s">
        <v>449</v>
      </c>
      <c r="G1169" t="s">
        <v>174</v>
      </c>
      <c r="H1169" t="s">
        <v>22</v>
      </c>
      <c r="I1169" s="2" t="str">
        <f t="shared" si="144"/>
        <v>East</v>
      </c>
      <c r="J1169" t="s">
        <v>306</v>
      </c>
      <c r="K1169" t="s">
        <v>36</v>
      </c>
      <c r="L1169">
        <v>15</v>
      </c>
      <c r="M1169">
        <v>120</v>
      </c>
      <c r="N1169">
        <f t="shared" si="148"/>
        <v>1800</v>
      </c>
      <c r="O1169">
        <f t="shared" si="149"/>
        <v>180</v>
      </c>
      <c r="P1169" t="str">
        <f t="shared" si="150"/>
        <v>Large Order</v>
      </c>
      <c r="Q1169" t="str">
        <f t="shared" si="151"/>
        <v>Weekday</v>
      </c>
    </row>
    <row r="1170" spans="1:17" x14ac:dyDescent="0.35">
      <c r="A1170" t="s">
        <v>1320</v>
      </c>
      <c r="B1170" s="7">
        <v>45359</v>
      </c>
      <c r="C1170" s="13">
        <f t="shared" si="145"/>
        <v>2024</v>
      </c>
      <c r="D1170" s="7" t="str">
        <f t="shared" si="146"/>
        <v>Mar</v>
      </c>
      <c r="E1170" s="7" t="str">
        <f t="shared" si="147"/>
        <v>Fri</v>
      </c>
      <c r="F1170" t="s">
        <v>147</v>
      </c>
      <c r="G1170" t="s">
        <v>197</v>
      </c>
      <c r="H1170" t="s">
        <v>11</v>
      </c>
      <c r="I1170" s="2" t="str">
        <f t="shared" si="144"/>
        <v>East</v>
      </c>
      <c r="J1170" t="s">
        <v>42</v>
      </c>
      <c r="K1170" t="s">
        <v>32</v>
      </c>
      <c r="L1170">
        <v>16</v>
      </c>
      <c r="M1170">
        <v>120</v>
      </c>
      <c r="N1170">
        <f t="shared" si="148"/>
        <v>1920</v>
      </c>
      <c r="O1170">
        <f t="shared" si="149"/>
        <v>192</v>
      </c>
      <c r="P1170" t="str">
        <f t="shared" si="150"/>
        <v>Large Order</v>
      </c>
      <c r="Q1170" t="str">
        <f t="shared" si="151"/>
        <v>Weekday</v>
      </c>
    </row>
    <row r="1171" spans="1:17" x14ac:dyDescent="0.35">
      <c r="A1171" t="s">
        <v>1321</v>
      </c>
      <c r="B1171" s="7">
        <v>45316</v>
      </c>
      <c r="C1171" s="13">
        <f t="shared" si="145"/>
        <v>2024</v>
      </c>
      <c r="D1171" s="7" t="str">
        <f t="shared" si="146"/>
        <v>Jan</v>
      </c>
      <c r="E1171" s="7" t="str">
        <f t="shared" si="147"/>
        <v>Thu</v>
      </c>
      <c r="F1171" t="s">
        <v>167</v>
      </c>
      <c r="G1171" t="s">
        <v>70</v>
      </c>
      <c r="H1171" t="s">
        <v>17</v>
      </c>
      <c r="I1171" s="2" t="str">
        <f t="shared" si="144"/>
        <v>South</v>
      </c>
      <c r="J1171" t="s">
        <v>42</v>
      </c>
      <c r="K1171" t="s">
        <v>28</v>
      </c>
      <c r="L1171">
        <v>6</v>
      </c>
      <c r="M1171">
        <v>120</v>
      </c>
      <c r="N1171">
        <f t="shared" si="148"/>
        <v>720</v>
      </c>
      <c r="O1171">
        <f t="shared" si="149"/>
        <v>72</v>
      </c>
      <c r="P1171" t="str">
        <f t="shared" si="150"/>
        <v>Large Order</v>
      </c>
      <c r="Q1171" t="str">
        <f t="shared" si="151"/>
        <v>Weekday</v>
      </c>
    </row>
    <row r="1172" spans="1:17" x14ac:dyDescent="0.35">
      <c r="A1172" t="s">
        <v>1322</v>
      </c>
      <c r="B1172" s="7">
        <v>45656</v>
      </c>
      <c r="C1172" s="13">
        <f t="shared" si="145"/>
        <v>2024</v>
      </c>
      <c r="D1172" s="7" t="str">
        <f t="shared" si="146"/>
        <v>Dec</v>
      </c>
      <c r="E1172" s="7" t="str">
        <f t="shared" si="147"/>
        <v>Mon</v>
      </c>
      <c r="F1172" t="s">
        <v>312</v>
      </c>
      <c r="G1172" t="s">
        <v>45</v>
      </c>
      <c r="H1172" t="s">
        <v>17</v>
      </c>
      <c r="I1172" s="2" t="str">
        <f t="shared" si="144"/>
        <v>South</v>
      </c>
      <c r="J1172" t="s">
        <v>56</v>
      </c>
      <c r="K1172" t="s">
        <v>13</v>
      </c>
      <c r="L1172">
        <v>5</v>
      </c>
      <c r="M1172">
        <v>120</v>
      </c>
      <c r="N1172">
        <f t="shared" si="148"/>
        <v>600</v>
      </c>
      <c r="O1172">
        <f t="shared" si="149"/>
        <v>60</v>
      </c>
      <c r="P1172" t="str">
        <f t="shared" si="150"/>
        <v>Large Order</v>
      </c>
      <c r="Q1172" t="str">
        <f t="shared" si="151"/>
        <v>Weekday</v>
      </c>
    </row>
    <row r="1173" spans="1:17" x14ac:dyDescent="0.35">
      <c r="A1173" t="s">
        <v>1323</v>
      </c>
      <c r="B1173" s="7">
        <v>45313</v>
      </c>
      <c r="C1173" s="13">
        <f t="shared" si="145"/>
        <v>2024</v>
      </c>
      <c r="D1173" s="7" t="str">
        <f t="shared" si="146"/>
        <v>Jan</v>
      </c>
      <c r="E1173" s="7" t="str">
        <f t="shared" si="147"/>
        <v>Mon</v>
      </c>
      <c r="F1173" t="s">
        <v>38</v>
      </c>
      <c r="G1173" t="s">
        <v>70</v>
      </c>
      <c r="H1173" t="s">
        <v>22</v>
      </c>
      <c r="I1173" s="2" t="str">
        <f t="shared" si="144"/>
        <v>East</v>
      </c>
      <c r="J1173" t="s">
        <v>56</v>
      </c>
      <c r="K1173" t="s">
        <v>28</v>
      </c>
      <c r="L1173">
        <v>9</v>
      </c>
      <c r="M1173">
        <v>120</v>
      </c>
      <c r="N1173">
        <f t="shared" si="148"/>
        <v>1080</v>
      </c>
      <c r="O1173">
        <f t="shared" si="149"/>
        <v>108</v>
      </c>
      <c r="P1173" t="str">
        <f t="shared" si="150"/>
        <v>Large Order</v>
      </c>
      <c r="Q1173" t="str">
        <f t="shared" si="151"/>
        <v>Weekday</v>
      </c>
    </row>
    <row r="1174" spans="1:17" x14ac:dyDescent="0.35">
      <c r="A1174" t="s">
        <v>1324</v>
      </c>
      <c r="B1174" s="7">
        <v>45579</v>
      </c>
      <c r="C1174" s="13">
        <f t="shared" si="145"/>
        <v>2024</v>
      </c>
      <c r="D1174" s="7" t="str">
        <f t="shared" si="146"/>
        <v>Oct</v>
      </c>
      <c r="E1174" s="7" t="str">
        <f t="shared" si="147"/>
        <v>Mon</v>
      </c>
      <c r="F1174" t="s">
        <v>369</v>
      </c>
      <c r="G1174" t="s">
        <v>48</v>
      </c>
      <c r="H1174" t="s">
        <v>11</v>
      </c>
      <c r="I1174" s="2" t="str">
        <f t="shared" si="144"/>
        <v>North</v>
      </c>
      <c r="J1174" t="s">
        <v>42</v>
      </c>
      <c r="K1174" t="s">
        <v>36</v>
      </c>
      <c r="L1174">
        <v>5</v>
      </c>
      <c r="M1174">
        <v>120</v>
      </c>
      <c r="N1174">
        <f t="shared" si="148"/>
        <v>600</v>
      </c>
      <c r="O1174">
        <f t="shared" si="149"/>
        <v>60</v>
      </c>
      <c r="P1174" t="str">
        <f t="shared" si="150"/>
        <v>Large Order</v>
      </c>
      <c r="Q1174" t="str">
        <f t="shared" si="151"/>
        <v>Weekday</v>
      </c>
    </row>
    <row r="1175" spans="1:17" x14ac:dyDescent="0.35">
      <c r="A1175" t="s">
        <v>1325</v>
      </c>
      <c r="B1175" s="7">
        <v>45375</v>
      </c>
      <c r="C1175" s="13">
        <f t="shared" si="145"/>
        <v>2024</v>
      </c>
      <c r="D1175" s="7" t="str">
        <f t="shared" si="146"/>
        <v>Mar</v>
      </c>
      <c r="E1175" s="7" t="str">
        <f t="shared" si="147"/>
        <v>Sun</v>
      </c>
      <c r="F1175" t="s">
        <v>312</v>
      </c>
      <c r="G1175" t="s">
        <v>96</v>
      </c>
      <c r="H1175" t="s">
        <v>17</v>
      </c>
      <c r="I1175" s="2" t="str">
        <f t="shared" si="144"/>
        <v>North</v>
      </c>
      <c r="J1175" t="s">
        <v>12</v>
      </c>
      <c r="K1175" t="s">
        <v>28</v>
      </c>
      <c r="L1175">
        <v>13</v>
      </c>
      <c r="M1175">
        <v>120</v>
      </c>
      <c r="N1175">
        <f t="shared" si="148"/>
        <v>1560</v>
      </c>
      <c r="O1175">
        <f t="shared" si="149"/>
        <v>156</v>
      </c>
      <c r="P1175" t="str">
        <f t="shared" si="150"/>
        <v>Large Order</v>
      </c>
      <c r="Q1175" t="str">
        <f t="shared" si="151"/>
        <v>Weekend</v>
      </c>
    </row>
    <row r="1176" spans="1:17" x14ac:dyDescent="0.35">
      <c r="A1176" t="s">
        <v>1326</v>
      </c>
      <c r="B1176" s="7">
        <v>45526</v>
      </c>
      <c r="C1176" s="13">
        <f t="shared" si="145"/>
        <v>2024</v>
      </c>
      <c r="D1176" s="7" t="str">
        <f t="shared" si="146"/>
        <v>Aug</v>
      </c>
      <c r="E1176" s="7" t="str">
        <f t="shared" si="147"/>
        <v>Thu</v>
      </c>
      <c r="F1176" t="s">
        <v>38</v>
      </c>
      <c r="G1176" t="s">
        <v>84</v>
      </c>
      <c r="H1176" t="s">
        <v>11</v>
      </c>
      <c r="I1176" s="2" t="str">
        <f t="shared" si="144"/>
        <v>West</v>
      </c>
      <c r="J1176" t="s">
        <v>12</v>
      </c>
      <c r="K1176" t="s">
        <v>32</v>
      </c>
      <c r="L1176">
        <v>18</v>
      </c>
      <c r="M1176">
        <v>120</v>
      </c>
      <c r="N1176">
        <f t="shared" si="148"/>
        <v>2160</v>
      </c>
      <c r="O1176">
        <f t="shared" si="149"/>
        <v>216</v>
      </c>
      <c r="P1176" t="str">
        <f t="shared" si="150"/>
        <v>Large Order</v>
      </c>
      <c r="Q1176" t="str">
        <f t="shared" si="151"/>
        <v>Weekday</v>
      </c>
    </row>
    <row r="1177" spans="1:17" x14ac:dyDescent="0.35">
      <c r="A1177" t="s">
        <v>1327</v>
      </c>
      <c r="B1177" s="7">
        <v>45623</v>
      </c>
      <c r="C1177" s="13">
        <f t="shared" si="145"/>
        <v>2024</v>
      </c>
      <c r="D1177" s="7" t="str">
        <f t="shared" si="146"/>
        <v>Nov</v>
      </c>
      <c r="E1177" s="7" t="str">
        <f t="shared" si="147"/>
        <v>Wed</v>
      </c>
      <c r="F1177" t="s">
        <v>369</v>
      </c>
      <c r="G1177" t="s">
        <v>74</v>
      </c>
      <c r="H1177" t="s">
        <v>17</v>
      </c>
      <c r="I1177" s="2" t="str">
        <f t="shared" si="144"/>
        <v>North</v>
      </c>
      <c r="J1177" t="s">
        <v>27</v>
      </c>
      <c r="K1177" t="s">
        <v>36</v>
      </c>
      <c r="L1177">
        <v>19</v>
      </c>
      <c r="M1177">
        <v>120</v>
      </c>
      <c r="N1177">
        <f t="shared" si="148"/>
        <v>2280</v>
      </c>
      <c r="O1177">
        <f t="shared" si="149"/>
        <v>228</v>
      </c>
      <c r="P1177" t="str">
        <f t="shared" si="150"/>
        <v>Large Order</v>
      </c>
      <c r="Q1177" t="str">
        <f t="shared" si="151"/>
        <v>Weekday</v>
      </c>
    </row>
    <row r="1178" spans="1:17" x14ac:dyDescent="0.35">
      <c r="A1178" t="s">
        <v>1328</v>
      </c>
      <c r="B1178" s="7">
        <v>45518</v>
      </c>
      <c r="C1178" s="13">
        <f t="shared" si="145"/>
        <v>2024</v>
      </c>
      <c r="D1178" s="7" t="str">
        <f t="shared" si="146"/>
        <v>Aug</v>
      </c>
      <c r="E1178" s="7" t="str">
        <f t="shared" si="147"/>
        <v>Wed</v>
      </c>
      <c r="F1178" t="s">
        <v>47</v>
      </c>
      <c r="G1178" t="s">
        <v>84</v>
      </c>
      <c r="H1178" t="s">
        <v>22</v>
      </c>
      <c r="I1178" s="2" t="str">
        <f t="shared" si="144"/>
        <v>East</v>
      </c>
      <c r="J1178" t="s">
        <v>12</v>
      </c>
      <c r="K1178" t="s">
        <v>28</v>
      </c>
      <c r="L1178">
        <v>16</v>
      </c>
      <c r="M1178">
        <v>120</v>
      </c>
      <c r="N1178">
        <f t="shared" si="148"/>
        <v>1920</v>
      </c>
      <c r="O1178">
        <f t="shared" si="149"/>
        <v>192</v>
      </c>
      <c r="P1178" t="str">
        <f t="shared" si="150"/>
        <v>Large Order</v>
      </c>
      <c r="Q1178" t="str">
        <f t="shared" si="151"/>
        <v>Weekday</v>
      </c>
    </row>
    <row r="1179" spans="1:17" x14ac:dyDescent="0.35">
      <c r="A1179" t="s">
        <v>1329</v>
      </c>
      <c r="B1179" s="7">
        <v>45639</v>
      </c>
      <c r="C1179" s="13">
        <f t="shared" si="145"/>
        <v>2024</v>
      </c>
      <c r="D1179" s="7" t="str">
        <f t="shared" si="146"/>
        <v>Dec</v>
      </c>
      <c r="E1179" s="7" t="str">
        <f t="shared" si="147"/>
        <v>Fri</v>
      </c>
      <c r="F1179" t="s">
        <v>378</v>
      </c>
      <c r="G1179" t="s">
        <v>96</v>
      </c>
      <c r="H1179" t="s">
        <v>11</v>
      </c>
      <c r="I1179" s="2" t="str">
        <f t="shared" si="144"/>
        <v>East</v>
      </c>
      <c r="J1179" t="s">
        <v>42</v>
      </c>
      <c r="K1179" t="s">
        <v>28</v>
      </c>
      <c r="L1179">
        <v>13</v>
      </c>
      <c r="M1179">
        <v>120</v>
      </c>
      <c r="N1179">
        <f t="shared" si="148"/>
        <v>1560</v>
      </c>
      <c r="O1179">
        <f t="shared" si="149"/>
        <v>156</v>
      </c>
      <c r="P1179" t="str">
        <f t="shared" si="150"/>
        <v>Large Order</v>
      </c>
      <c r="Q1179" t="str">
        <f t="shared" si="151"/>
        <v>Weekday</v>
      </c>
    </row>
    <row r="1180" spans="1:17" x14ac:dyDescent="0.35">
      <c r="A1180" t="s">
        <v>1330</v>
      </c>
      <c r="B1180" s="7">
        <v>45520</v>
      </c>
      <c r="C1180" s="13">
        <f t="shared" si="145"/>
        <v>2024</v>
      </c>
      <c r="D1180" s="7" t="str">
        <f t="shared" si="146"/>
        <v>Aug</v>
      </c>
      <c r="E1180" s="7" t="str">
        <f t="shared" si="147"/>
        <v>Fri</v>
      </c>
      <c r="F1180" t="s">
        <v>182</v>
      </c>
      <c r="G1180" t="s">
        <v>79</v>
      </c>
      <c r="H1180" t="s">
        <v>11</v>
      </c>
      <c r="I1180" s="2" t="str">
        <f t="shared" si="144"/>
        <v>South</v>
      </c>
      <c r="J1180" t="s">
        <v>42</v>
      </c>
      <c r="K1180" t="s">
        <v>36</v>
      </c>
      <c r="L1180">
        <v>20</v>
      </c>
      <c r="M1180">
        <v>120</v>
      </c>
      <c r="N1180">
        <f t="shared" si="148"/>
        <v>2400</v>
      </c>
      <c r="O1180">
        <f t="shared" si="149"/>
        <v>240</v>
      </c>
      <c r="P1180" t="str">
        <f t="shared" si="150"/>
        <v>Large Order</v>
      </c>
      <c r="Q1180" t="str">
        <f t="shared" si="151"/>
        <v>Weekday</v>
      </c>
    </row>
    <row r="1181" spans="1:17" x14ac:dyDescent="0.35">
      <c r="A1181" t="s">
        <v>1331</v>
      </c>
      <c r="B1181" s="7">
        <v>45561</v>
      </c>
      <c r="C1181" s="13">
        <f t="shared" si="145"/>
        <v>2024</v>
      </c>
      <c r="D1181" s="7" t="str">
        <f t="shared" si="146"/>
        <v>Sep</v>
      </c>
      <c r="E1181" s="7" t="str">
        <f t="shared" si="147"/>
        <v>Thu</v>
      </c>
      <c r="F1181" t="s">
        <v>240</v>
      </c>
      <c r="G1181" t="s">
        <v>96</v>
      </c>
      <c r="H1181" t="s">
        <v>17</v>
      </c>
      <c r="I1181" s="2" t="str">
        <f t="shared" si="144"/>
        <v>Central</v>
      </c>
      <c r="J1181" t="s">
        <v>56</v>
      </c>
      <c r="K1181" t="s">
        <v>23</v>
      </c>
      <c r="L1181">
        <v>3</v>
      </c>
      <c r="M1181">
        <v>120</v>
      </c>
      <c r="N1181">
        <f t="shared" si="148"/>
        <v>360</v>
      </c>
      <c r="O1181">
        <f t="shared" si="149"/>
        <v>36</v>
      </c>
      <c r="P1181" t="str">
        <f t="shared" si="150"/>
        <v>Standard Order</v>
      </c>
      <c r="Q1181" t="str">
        <f t="shared" si="151"/>
        <v>Weekday</v>
      </c>
    </row>
    <row r="1182" spans="1:17" x14ac:dyDescent="0.35">
      <c r="A1182" t="s">
        <v>1332</v>
      </c>
      <c r="B1182" s="7">
        <v>45638</v>
      </c>
      <c r="C1182" s="13">
        <f t="shared" si="145"/>
        <v>2024</v>
      </c>
      <c r="D1182" s="7" t="str">
        <f t="shared" si="146"/>
        <v>Dec</v>
      </c>
      <c r="E1182" s="7" t="str">
        <f t="shared" si="147"/>
        <v>Thu</v>
      </c>
      <c r="F1182" t="s">
        <v>317</v>
      </c>
      <c r="G1182" t="s">
        <v>31</v>
      </c>
      <c r="H1182" t="s">
        <v>11</v>
      </c>
      <c r="I1182" s="2" t="str">
        <f t="shared" si="144"/>
        <v>East</v>
      </c>
      <c r="J1182" t="s">
        <v>306</v>
      </c>
      <c r="K1182" t="s">
        <v>36</v>
      </c>
      <c r="L1182">
        <v>7</v>
      </c>
      <c r="M1182">
        <v>120</v>
      </c>
      <c r="N1182">
        <f t="shared" si="148"/>
        <v>840</v>
      </c>
      <c r="O1182">
        <f t="shared" si="149"/>
        <v>84</v>
      </c>
      <c r="P1182" t="str">
        <f t="shared" si="150"/>
        <v>Large Order</v>
      </c>
      <c r="Q1182" t="str">
        <f t="shared" si="151"/>
        <v>Weekday</v>
      </c>
    </row>
    <row r="1183" spans="1:17" x14ac:dyDescent="0.35">
      <c r="A1183" t="s">
        <v>1333</v>
      </c>
      <c r="B1183" s="7">
        <v>45601</v>
      </c>
      <c r="C1183" s="13">
        <f t="shared" si="145"/>
        <v>2024</v>
      </c>
      <c r="D1183" s="7" t="str">
        <f t="shared" si="146"/>
        <v>Nov</v>
      </c>
      <c r="E1183" s="7" t="str">
        <f t="shared" si="147"/>
        <v>Tue</v>
      </c>
      <c r="F1183" t="s">
        <v>345</v>
      </c>
      <c r="G1183" t="s">
        <v>31</v>
      </c>
      <c r="H1183" t="s">
        <v>11</v>
      </c>
      <c r="I1183" s="2" t="str">
        <f t="shared" si="144"/>
        <v>North</v>
      </c>
      <c r="J1183" t="s">
        <v>42</v>
      </c>
      <c r="K1183" t="s">
        <v>23</v>
      </c>
      <c r="L1183">
        <v>5</v>
      </c>
      <c r="M1183">
        <v>120</v>
      </c>
      <c r="N1183">
        <f t="shared" si="148"/>
        <v>600</v>
      </c>
      <c r="O1183">
        <f t="shared" si="149"/>
        <v>60</v>
      </c>
      <c r="P1183" t="str">
        <f t="shared" si="150"/>
        <v>Large Order</v>
      </c>
      <c r="Q1183" t="str">
        <f t="shared" si="151"/>
        <v>Weekday</v>
      </c>
    </row>
    <row r="1184" spans="1:17" x14ac:dyDescent="0.35">
      <c r="A1184" t="s">
        <v>1334</v>
      </c>
      <c r="B1184" s="7">
        <v>45481</v>
      </c>
      <c r="C1184" s="13">
        <f t="shared" si="145"/>
        <v>2024</v>
      </c>
      <c r="D1184" s="7" t="str">
        <f t="shared" si="146"/>
        <v>Jul</v>
      </c>
      <c r="E1184" s="7" t="str">
        <f t="shared" si="147"/>
        <v>Mon</v>
      </c>
      <c r="F1184" t="s">
        <v>53</v>
      </c>
      <c r="G1184" t="s">
        <v>74</v>
      </c>
      <c r="H1184" t="s">
        <v>17</v>
      </c>
      <c r="I1184" s="2" t="str">
        <f t="shared" si="144"/>
        <v>West</v>
      </c>
      <c r="J1184" t="s">
        <v>12</v>
      </c>
      <c r="K1184" t="s">
        <v>23</v>
      </c>
      <c r="L1184">
        <v>12</v>
      </c>
      <c r="M1184">
        <v>120</v>
      </c>
      <c r="N1184">
        <f t="shared" si="148"/>
        <v>1440</v>
      </c>
      <c r="O1184">
        <f t="shared" si="149"/>
        <v>144</v>
      </c>
      <c r="P1184" t="str">
        <f t="shared" si="150"/>
        <v>Large Order</v>
      </c>
      <c r="Q1184" t="str">
        <f t="shared" si="151"/>
        <v>Weekday</v>
      </c>
    </row>
    <row r="1185" spans="1:17" x14ac:dyDescent="0.35">
      <c r="A1185" t="s">
        <v>1335</v>
      </c>
      <c r="B1185" s="7">
        <v>45579</v>
      </c>
      <c r="C1185" s="13">
        <f t="shared" si="145"/>
        <v>2024</v>
      </c>
      <c r="D1185" s="7" t="str">
        <f t="shared" si="146"/>
        <v>Oct</v>
      </c>
      <c r="E1185" s="7" t="str">
        <f t="shared" si="147"/>
        <v>Mon</v>
      </c>
      <c r="F1185" t="s">
        <v>203</v>
      </c>
      <c r="G1185" t="s">
        <v>84</v>
      </c>
      <c r="H1185" t="s">
        <v>11</v>
      </c>
      <c r="I1185" s="2" t="str">
        <f t="shared" si="144"/>
        <v>West</v>
      </c>
      <c r="J1185" t="s">
        <v>27</v>
      </c>
      <c r="K1185" t="s">
        <v>32</v>
      </c>
      <c r="L1185">
        <v>14</v>
      </c>
      <c r="M1185">
        <v>120</v>
      </c>
      <c r="N1185">
        <f t="shared" si="148"/>
        <v>1680</v>
      </c>
      <c r="O1185">
        <f t="shared" si="149"/>
        <v>168</v>
      </c>
      <c r="P1185" t="str">
        <f t="shared" si="150"/>
        <v>Large Order</v>
      </c>
      <c r="Q1185" t="str">
        <f t="shared" si="151"/>
        <v>Weekday</v>
      </c>
    </row>
    <row r="1186" spans="1:17" x14ac:dyDescent="0.35">
      <c r="A1186" t="s">
        <v>1336</v>
      </c>
      <c r="B1186" s="7">
        <v>45375</v>
      </c>
      <c r="C1186" s="13">
        <f t="shared" si="145"/>
        <v>2024</v>
      </c>
      <c r="D1186" s="7" t="str">
        <f t="shared" si="146"/>
        <v>Mar</v>
      </c>
      <c r="E1186" s="7" t="str">
        <f t="shared" si="147"/>
        <v>Sun</v>
      </c>
      <c r="F1186" t="s">
        <v>388</v>
      </c>
      <c r="G1186" t="s">
        <v>16</v>
      </c>
      <c r="H1186" t="s">
        <v>17</v>
      </c>
      <c r="I1186" s="2" t="str">
        <f t="shared" si="144"/>
        <v>Central</v>
      </c>
      <c r="J1186" t="s">
        <v>27</v>
      </c>
      <c r="K1186" t="s">
        <v>28</v>
      </c>
      <c r="L1186">
        <v>19</v>
      </c>
      <c r="M1186">
        <v>120</v>
      </c>
      <c r="N1186">
        <f t="shared" si="148"/>
        <v>2280</v>
      </c>
      <c r="O1186">
        <f t="shared" si="149"/>
        <v>228</v>
      </c>
      <c r="P1186" t="str">
        <f t="shared" si="150"/>
        <v>Large Order</v>
      </c>
      <c r="Q1186" t="str">
        <f t="shared" si="151"/>
        <v>Weekend</v>
      </c>
    </row>
    <row r="1187" spans="1:17" x14ac:dyDescent="0.35">
      <c r="A1187" t="s">
        <v>1337</v>
      </c>
      <c r="B1187" s="7">
        <v>45398</v>
      </c>
      <c r="C1187" s="13">
        <f t="shared" si="145"/>
        <v>2024</v>
      </c>
      <c r="D1187" s="7" t="str">
        <f t="shared" si="146"/>
        <v>Apr</v>
      </c>
      <c r="E1187" s="7" t="str">
        <f t="shared" si="147"/>
        <v>Tue</v>
      </c>
      <c r="F1187" t="s">
        <v>68</v>
      </c>
      <c r="G1187" t="s">
        <v>72</v>
      </c>
      <c r="H1187" t="s">
        <v>17</v>
      </c>
      <c r="I1187" s="2" t="str">
        <f t="shared" si="144"/>
        <v>West</v>
      </c>
      <c r="J1187" t="s">
        <v>306</v>
      </c>
      <c r="K1187" t="s">
        <v>36</v>
      </c>
      <c r="L1187">
        <v>3</v>
      </c>
      <c r="M1187">
        <v>120</v>
      </c>
      <c r="N1187">
        <f t="shared" si="148"/>
        <v>360</v>
      </c>
      <c r="O1187">
        <f t="shared" si="149"/>
        <v>36</v>
      </c>
      <c r="P1187" t="str">
        <f t="shared" si="150"/>
        <v>Standard Order</v>
      </c>
      <c r="Q1187" t="str">
        <f t="shared" si="151"/>
        <v>Weekday</v>
      </c>
    </row>
    <row r="1188" spans="1:17" x14ac:dyDescent="0.35">
      <c r="A1188" t="s">
        <v>1338</v>
      </c>
      <c r="B1188" s="7">
        <v>45484</v>
      </c>
      <c r="C1188" s="13">
        <f t="shared" si="145"/>
        <v>2024</v>
      </c>
      <c r="D1188" s="7" t="str">
        <f t="shared" si="146"/>
        <v>Jul</v>
      </c>
      <c r="E1188" s="7" t="str">
        <f t="shared" si="147"/>
        <v>Thu</v>
      </c>
      <c r="F1188" t="s">
        <v>203</v>
      </c>
      <c r="G1188" t="s">
        <v>21</v>
      </c>
      <c r="H1188" t="s">
        <v>11</v>
      </c>
      <c r="I1188" s="2" t="str">
        <f t="shared" si="144"/>
        <v>South</v>
      </c>
      <c r="J1188" t="s">
        <v>27</v>
      </c>
      <c r="K1188" t="s">
        <v>36</v>
      </c>
      <c r="L1188">
        <v>9</v>
      </c>
      <c r="M1188">
        <v>120</v>
      </c>
      <c r="N1188">
        <f t="shared" si="148"/>
        <v>1080</v>
      </c>
      <c r="O1188">
        <f t="shared" si="149"/>
        <v>108</v>
      </c>
      <c r="P1188" t="str">
        <f t="shared" si="150"/>
        <v>Large Order</v>
      </c>
      <c r="Q1188" t="str">
        <f t="shared" si="151"/>
        <v>Weekday</v>
      </c>
    </row>
    <row r="1189" spans="1:17" x14ac:dyDescent="0.35">
      <c r="A1189" t="s">
        <v>1339</v>
      </c>
      <c r="B1189" s="7">
        <v>45528</v>
      </c>
      <c r="C1189" s="13">
        <f t="shared" si="145"/>
        <v>2024</v>
      </c>
      <c r="D1189" s="7" t="str">
        <f t="shared" si="146"/>
        <v>Aug</v>
      </c>
      <c r="E1189" s="7" t="str">
        <f t="shared" si="147"/>
        <v>Sat</v>
      </c>
      <c r="F1189" t="s">
        <v>369</v>
      </c>
      <c r="G1189" t="s">
        <v>65</v>
      </c>
      <c r="H1189" t="s">
        <v>22</v>
      </c>
      <c r="I1189" s="2" t="str">
        <f t="shared" si="144"/>
        <v>East</v>
      </c>
      <c r="J1189" t="s">
        <v>56</v>
      </c>
      <c r="K1189" t="s">
        <v>32</v>
      </c>
      <c r="L1189">
        <v>6</v>
      </c>
      <c r="M1189">
        <v>120</v>
      </c>
      <c r="N1189">
        <f t="shared" si="148"/>
        <v>720</v>
      </c>
      <c r="O1189">
        <f t="shared" si="149"/>
        <v>72</v>
      </c>
      <c r="P1189" t="str">
        <f t="shared" si="150"/>
        <v>Large Order</v>
      </c>
      <c r="Q1189" t="str">
        <f t="shared" si="151"/>
        <v>Weekend</v>
      </c>
    </row>
    <row r="1190" spans="1:17" x14ac:dyDescent="0.35">
      <c r="A1190" t="s">
        <v>1340</v>
      </c>
      <c r="B1190" s="7">
        <v>45575</v>
      </c>
      <c r="C1190" s="13">
        <f t="shared" si="145"/>
        <v>2024</v>
      </c>
      <c r="D1190" s="7" t="str">
        <f t="shared" si="146"/>
        <v>Oct</v>
      </c>
      <c r="E1190" s="7" t="str">
        <f t="shared" si="147"/>
        <v>Thu</v>
      </c>
      <c r="F1190" t="s">
        <v>374</v>
      </c>
      <c r="G1190" t="s">
        <v>59</v>
      </c>
      <c r="H1190" t="s">
        <v>11</v>
      </c>
      <c r="I1190" s="2" t="str">
        <f t="shared" si="144"/>
        <v>South</v>
      </c>
      <c r="J1190" t="s">
        <v>42</v>
      </c>
      <c r="K1190" t="s">
        <v>23</v>
      </c>
      <c r="L1190">
        <v>10</v>
      </c>
      <c r="M1190">
        <v>120</v>
      </c>
      <c r="N1190">
        <f t="shared" si="148"/>
        <v>1200</v>
      </c>
      <c r="O1190">
        <f t="shared" si="149"/>
        <v>120</v>
      </c>
      <c r="P1190" t="str">
        <f t="shared" si="150"/>
        <v>Large Order</v>
      </c>
      <c r="Q1190" t="str">
        <f t="shared" si="151"/>
        <v>Weekday</v>
      </c>
    </row>
    <row r="1191" spans="1:17" x14ac:dyDescent="0.35">
      <c r="A1191" t="s">
        <v>1341</v>
      </c>
      <c r="B1191" s="7">
        <v>45406</v>
      </c>
      <c r="C1191" s="13">
        <f t="shared" si="145"/>
        <v>2024</v>
      </c>
      <c r="D1191" s="7" t="str">
        <f t="shared" si="146"/>
        <v>Apr</v>
      </c>
      <c r="E1191" s="7" t="str">
        <f t="shared" si="147"/>
        <v>Wed</v>
      </c>
      <c r="F1191" t="s">
        <v>64</v>
      </c>
      <c r="G1191" t="s">
        <v>26</v>
      </c>
      <c r="H1191" t="s">
        <v>11</v>
      </c>
      <c r="I1191" s="2" t="str">
        <f t="shared" si="144"/>
        <v>East</v>
      </c>
      <c r="J1191" t="s">
        <v>56</v>
      </c>
      <c r="K1191" t="s">
        <v>23</v>
      </c>
      <c r="L1191">
        <v>10</v>
      </c>
      <c r="M1191">
        <v>120</v>
      </c>
      <c r="N1191">
        <f t="shared" si="148"/>
        <v>1200</v>
      </c>
      <c r="O1191">
        <f t="shared" si="149"/>
        <v>120</v>
      </c>
      <c r="P1191" t="str">
        <f t="shared" si="150"/>
        <v>Large Order</v>
      </c>
      <c r="Q1191" t="str">
        <f t="shared" si="151"/>
        <v>Weekday</v>
      </c>
    </row>
    <row r="1192" spans="1:17" x14ac:dyDescent="0.35">
      <c r="A1192" t="s">
        <v>1342</v>
      </c>
      <c r="B1192" s="7">
        <v>45355</v>
      </c>
      <c r="C1192" s="13">
        <f t="shared" si="145"/>
        <v>2024</v>
      </c>
      <c r="D1192" s="7" t="str">
        <f t="shared" si="146"/>
        <v>Mar</v>
      </c>
      <c r="E1192" s="7" t="str">
        <f t="shared" si="147"/>
        <v>Mon</v>
      </c>
      <c r="F1192" t="s">
        <v>350</v>
      </c>
      <c r="G1192" t="s">
        <v>87</v>
      </c>
      <c r="H1192" t="s">
        <v>22</v>
      </c>
      <c r="I1192" s="2" t="str">
        <f t="shared" si="144"/>
        <v>West</v>
      </c>
      <c r="J1192" t="s">
        <v>42</v>
      </c>
      <c r="K1192" t="s">
        <v>28</v>
      </c>
      <c r="L1192">
        <v>6</v>
      </c>
      <c r="M1192">
        <v>120</v>
      </c>
      <c r="N1192">
        <f t="shared" si="148"/>
        <v>720</v>
      </c>
      <c r="O1192">
        <f t="shared" si="149"/>
        <v>72</v>
      </c>
      <c r="P1192" t="str">
        <f t="shared" si="150"/>
        <v>Large Order</v>
      </c>
      <c r="Q1192" t="str">
        <f t="shared" si="151"/>
        <v>Weekday</v>
      </c>
    </row>
    <row r="1193" spans="1:17" x14ac:dyDescent="0.35">
      <c r="A1193" t="s">
        <v>1343</v>
      </c>
      <c r="B1193" s="7">
        <v>45306</v>
      </c>
      <c r="C1193" s="13">
        <f t="shared" si="145"/>
        <v>2024</v>
      </c>
      <c r="D1193" s="7" t="str">
        <f t="shared" si="146"/>
        <v>Jan</v>
      </c>
      <c r="E1193" s="7" t="str">
        <f t="shared" si="147"/>
        <v>Mon</v>
      </c>
      <c r="F1193" t="s">
        <v>114</v>
      </c>
      <c r="G1193" t="s">
        <v>10</v>
      </c>
      <c r="H1193" t="s">
        <v>17</v>
      </c>
      <c r="I1193" s="2" t="str">
        <f t="shared" si="144"/>
        <v>East</v>
      </c>
      <c r="J1193" t="s">
        <v>27</v>
      </c>
      <c r="K1193" t="s">
        <v>36</v>
      </c>
      <c r="L1193">
        <v>20</v>
      </c>
      <c r="M1193">
        <v>120</v>
      </c>
      <c r="N1193">
        <f t="shared" si="148"/>
        <v>2400</v>
      </c>
      <c r="O1193">
        <f t="shared" si="149"/>
        <v>240</v>
      </c>
      <c r="P1193" t="str">
        <f t="shared" si="150"/>
        <v>Large Order</v>
      </c>
      <c r="Q1193" t="str">
        <f t="shared" si="151"/>
        <v>Weekday</v>
      </c>
    </row>
    <row r="1194" spans="1:17" x14ac:dyDescent="0.35">
      <c r="A1194" t="s">
        <v>1344</v>
      </c>
      <c r="B1194" s="7">
        <v>45538</v>
      </c>
      <c r="C1194" s="13">
        <f t="shared" si="145"/>
        <v>2024</v>
      </c>
      <c r="D1194" s="7" t="str">
        <f t="shared" si="146"/>
        <v>Sep</v>
      </c>
      <c r="E1194" s="7" t="str">
        <f t="shared" si="147"/>
        <v>Tue</v>
      </c>
      <c r="F1194" t="s">
        <v>614</v>
      </c>
      <c r="G1194" t="s">
        <v>21</v>
      </c>
      <c r="H1194" t="s">
        <v>17</v>
      </c>
      <c r="I1194" s="2" t="str">
        <f t="shared" si="144"/>
        <v>Central</v>
      </c>
      <c r="J1194" t="s">
        <v>42</v>
      </c>
      <c r="K1194" t="s">
        <v>13</v>
      </c>
      <c r="L1194">
        <v>16</v>
      </c>
      <c r="M1194">
        <v>120</v>
      </c>
      <c r="N1194">
        <f t="shared" si="148"/>
        <v>1920</v>
      </c>
      <c r="O1194">
        <f t="shared" si="149"/>
        <v>192</v>
      </c>
      <c r="P1194" t="str">
        <f t="shared" si="150"/>
        <v>Large Order</v>
      </c>
      <c r="Q1194" t="str">
        <f t="shared" si="151"/>
        <v>Weekday</v>
      </c>
    </row>
    <row r="1195" spans="1:17" x14ac:dyDescent="0.35">
      <c r="A1195" t="s">
        <v>1345</v>
      </c>
      <c r="B1195" s="7">
        <v>45483</v>
      </c>
      <c r="C1195" s="13">
        <f t="shared" si="145"/>
        <v>2024</v>
      </c>
      <c r="D1195" s="7" t="str">
        <f t="shared" si="146"/>
        <v>Jul</v>
      </c>
      <c r="E1195" s="7" t="str">
        <f t="shared" si="147"/>
        <v>Wed</v>
      </c>
      <c r="F1195" t="s">
        <v>345</v>
      </c>
      <c r="G1195" t="s">
        <v>96</v>
      </c>
      <c r="H1195" t="s">
        <v>22</v>
      </c>
      <c r="I1195" s="2" t="str">
        <f t="shared" si="144"/>
        <v>South</v>
      </c>
      <c r="J1195" t="s">
        <v>306</v>
      </c>
      <c r="K1195" t="s">
        <v>13</v>
      </c>
      <c r="L1195">
        <v>9</v>
      </c>
      <c r="M1195">
        <v>120</v>
      </c>
      <c r="N1195">
        <f t="shared" si="148"/>
        <v>1080</v>
      </c>
      <c r="O1195">
        <f t="shared" si="149"/>
        <v>108</v>
      </c>
      <c r="P1195" t="str">
        <f t="shared" si="150"/>
        <v>Large Order</v>
      </c>
      <c r="Q1195" t="str">
        <f t="shared" si="151"/>
        <v>Weekday</v>
      </c>
    </row>
    <row r="1196" spans="1:17" x14ac:dyDescent="0.35">
      <c r="A1196" t="s">
        <v>1346</v>
      </c>
      <c r="B1196" s="7">
        <v>45366</v>
      </c>
      <c r="C1196" s="13">
        <f t="shared" si="145"/>
        <v>2024</v>
      </c>
      <c r="D1196" s="7" t="str">
        <f t="shared" si="146"/>
        <v>Mar</v>
      </c>
      <c r="E1196" s="7" t="str">
        <f t="shared" si="147"/>
        <v>Fri</v>
      </c>
      <c r="F1196" t="s">
        <v>38</v>
      </c>
      <c r="G1196" t="s">
        <v>48</v>
      </c>
      <c r="H1196" t="s">
        <v>17</v>
      </c>
      <c r="I1196" s="2" t="str">
        <f t="shared" si="144"/>
        <v>North</v>
      </c>
      <c r="J1196" t="s">
        <v>56</v>
      </c>
      <c r="K1196" t="s">
        <v>32</v>
      </c>
      <c r="L1196">
        <v>6</v>
      </c>
      <c r="M1196">
        <v>120</v>
      </c>
      <c r="N1196">
        <f t="shared" si="148"/>
        <v>720</v>
      </c>
      <c r="O1196">
        <f t="shared" si="149"/>
        <v>72</v>
      </c>
      <c r="P1196" t="str">
        <f t="shared" si="150"/>
        <v>Large Order</v>
      </c>
      <c r="Q1196" t="str">
        <f t="shared" si="151"/>
        <v>Weekday</v>
      </c>
    </row>
    <row r="1197" spans="1:17" x14ac:dyDescent="0.35">
      <c r="A1197" t="s">
        <v>1347</v>
      </c>
      <c r="B1197" s="7">
        <v>45506</v>
      </c>
      <c r="C1197" s="13">
        <f t="shared" si="145"/>
        <v>2024</v>
      </c>
      <c r="D1197" s="7" t="str">
        <f t="shared" si="146"/>
        <v>Aug</v>
      </c>
      <c r="E1197" s="7" t="str">
        <f t="shared" si="147"/>
        <v>Fri</v>
      </c>
      <c r="F1197" t="s">
        <v>541</v>
      </c>
      <c r="G1197" t="s">
        <v>74</v>
      </c>
      <c r="H1197" t="s">
        <v>17</v>
      </c>
      <c r="I1197" s="2" t="str">
        <f t="shared" si="144"/>
        <v>South</v>
      </c>
      <c r="J1197" t="s">
        <v>12</v>
      </c>
      <c r="K1197" t="s">
        <v>13</v>
      </c>
      <c r="L1197">
        <v>10</v>
      </c>
      <c r="M1197">
        <v>120</v>
      </c>
      <c r="N1197">
        <f t="shared" si="148"/>
        <v>1200</v>
      </c>
      <c r="O1197">
        <f t="shared" si="149"/>
        <v>120</v>
      </c>
      <c r="P1197" t="str">
        <f t="shared" si="150"/>
        <v>Large Order</v>
      </c>
      <c r="Q1197" t="str">
        <f t="shared" si="151"/>
        <v>Weekday</v>
      </c>
    </row>
    <row r="1198" spans="1:17" x14ac:dyDescent="0.35">
      <c r="A1198" t="s">
        <v>1348</v>
      </c>
      <c r="B1198" s="7">
        <v>45555</v>
      </c>
      <c r="C1198" s="13">
        <f t="shared" si="145"/>
        <v>2024</v>
      </c>
      <c r="D1198" s="7" t="str">
        <f t="shared" si="146"/>
        <v>Sep</v>
      </c>
      <c r="E1198" s="7" t="str">
        <f t="shared" si="147"/>
        <v>Fri</v>
      </c>
      <c r="F1198" t="s">
        <v>150</v>
      </c>
      <c r="G1198" t="s">
        <v>119</v>
      </c>
      <c r="H1198" t="s">
        <v>22</v>
      </c>
      <c r="I1198" s="2" t="str">
        <f t="shared" si="144"/>
        <v>East</v>
      </c>
      <c r="J1198" t="s">
        <v>56</v>
      </c>
      <c r="K1198" t="s">
        <v>28</v>
      </c>
      <c r="L1198">
        <v>4</v>
      </c>
      <c r="M1198">
        <v>120</v>
      </c>
      <c r="N1198">
        <f t="shared" si="148"/>
        <v>480</v>
      </c>
      <c r="O1198">
        <f t="shared" si="149"/>
        <v>48</v>
      </c>
      <c r="P1198" t="str">
        <f t="shared" si="150"/>
        <v>Standard Order</v>
      </c>
      <c r="Q1198" t="str">
        <f t="shared" si="151"/>
        <v>Weekday</v>
      </c>
    </row>
    <row r="1199" spans="1:17" x14ac:dyDescent="0.35">
      <c r="A1199" t="s">
        <v>1349</v>
      </c>
      <c r="B1199" s="7">
        <v>45570</v>
      </c>
      <c r="C1199" s="13">
        <f t="shared" si="145"/>
        <v>2024</v>
      </c>
      <c r="D1199" s="7" t="str">
        <f t="shared" si="146"/>
        <v>Oct</v>
      </c>
      <c r="E1199" s="7" t="str">
        <f t="shared" si="147"/>
        <v>Sat</v>
      </c>
      <c r="F1199" t="s">
        <v>187</v>
      </c>
      <c r="G1199" t="s">
        <v>26</v>
      </c>
      <c r="H1199" t="s">
        <v>17</v>
      </c>
      <c r="I1199" s="2" t="str">
        <f t="shared" si="144"/>
        <v>South</v>
      </c>
      <c r="J1199" t="s">
        <v>42</v>
      </c>
      <c r="K1199" t="s">
        <v>36</v>
      </c>
      <c r="L1199">
        <v>12</v>
      </c>
      <c r="M1199">
        <v>120</v>
      </c>
      <c r="N1199">
        <f t="shared" si="148"/>
        <v>1440</v>
      </c>
      <c r="O1199">
        <f t="shared" si="149"/>
        <v>144</v>
      </c>
      <c r="P1199" t="str">
        <f t="shared" si="150"/>
        <v>Large Order</v>
      </c>
      <c r="Q1199" t="str">
        <f t="shared" si="151"/>
        <v>Weekend</v>
      </c>
    </row>
    <row r="1200" spans="1:17" x14ac:dyDescent="0.35">
      <c r="A1200" t="s">
        <v>1350</v>
      </c>
      <c r="B1200" s="7">
        <v>45472</v>
      </c>
      <c r="C1200" s="13">
        <f t="shared" si="145"/>
        <v>2024</v>
      </c>
      <c r="D1200" s="7" t="str">
        <f t="shared" si="146"/>
        <v>Jun</v>
      </c>
      <c r="E1200" s="7" t="str">
        <f t="shared" si="147"/>
        <v>Sat</v>
      </c>
      <c r="F1200" t="s">
        <v>167</v>
      </c>
      <c r="G1200" t="s">
        <v>160</v>
      </c>
      <c r="H1200" t="s">
        <v>11</v>
      </c>
      <c r="I1200" s="2" t="str">
        <f t="shared" si="144"/>
        <v>North</v>
      </c>
      <c r="J1200" t="s">
        <v>56</v>
      </c>
      <c r="K1200" t="s">
        <v>23</v>
      </c>
      <c r="L1200">
        <v>10</v>
      </c>
      <c r="M1200">
        <v>120</v>
      </c>
      <c r="N1200">
        <f t="shared" si="148"/>
        <v>1200</v>
      </c>
      <c r="O1200">
        <f t="shared" si="149"/>
        <v>120</v>
      </c>
      <c r="P1200" t="str">
        <f t="shared" si="150"/>
        <v>Large Order</v>
      </c>
      <c r="Q1200" t="str">
        <f t="shared" si="151"/>
        <v>Weekend</v>
      </c>
    </row>
    <row r="1201" spans="1:17" x14ac:dyDescent="0.35">
      <c r="A1201" t="s">
        <v>1351</v>
      </c>
      <c r="B1201" s="7">
        <v>45502</v>
      </c>
      <c r="C1201" s="13">
        <f t="shared" si="145"/>
        <v>2024</v>
      </c>
      <c r="D1201" s="7" t="str">
        <f t="shared" si="146"/>
        <v>Jul</v>
      </c>
      <c r="E1201" s="7" t="str">
        <f t="shared" si="147"/>
        <v>Mon</v>
      </c>
      <c r="F1201" t="s">
        <v>47</v>
      </c>
      <c r="G1201" t="s">
        <v>65</v>
      </c>
      <c r="H1201" t="s">
        <v>11</v>
      </c>
      <c r="I1201" s="2" t="str">
        <f t="shared" si="144"/>
        <v>Central</v>
      </c>
      <c r="J1201" t="s">
        <v>12</v>
      </c>
      <c r="K1201" t="s">
        <v>28</v>
      </c>
      <c r="L1201">
        <v>5</v>
      </c>
      <c r="M1201">
        <v>120</v>
      </c>
      <c r="N1201">
        <f t="shared" si="148"/>
        <v>600</v>
      </c>
      <c r="O1201">
        <f t="shared" si="149"/>
        <v>60</v>
      </c>
      <c r="P1201" t="str">
        <f t="shared" si="150"/>
        <v>Large Order</v>
      </c>
      <c r="Q1201" t="str">
        <f t="shared" si="151"/>
        <v>Weekday</v>
      </c>
    </row>
    <row r="1202" spans="1:17" x14ac:dyDescent="0.35">
      <c r="A1202" t="s">
        <v>1352</v>
      </c>
      <c r="B1202" s="7">
        <v>45578</v>
      </c>
      <c r="C1202" s="13">
        <f t="shared" si="145"/>
        <v>2024</v>
      </c>
      <c r="D1202" s="7" t="str">
        <f t="shared" si="146"/>
        <v>Oct</v>
      </c>
      <c r="E1202" s="7" t="str">
        <f t="shared" si="147"/>
        <v>Sun</v>
      </c>
      <c r="F1202" t="s">
        <v>594</v>
      </c>
      <c r="G1202" t="s">
        <v>174</v>
      </c>
      <c r="H1202" t="s">
        <v>22</v>
      </c>
      <c r="I1202" s="2" t="str">
        <f t="shared" si="144"/>
        <v>North</v>
      </c>
      <c r="J1202" t="s">
        <v>306</v>
      </c>
      <c r="K1202" t="s">
        <v>13</v>
      </c>
      <c r="L1202">
        <v>18</v>
      </c>
      <c r="M1202">
        <v>120</v>
      </c>
      <c r="N1202">
        <f t="shared" si="148"/>
        <v>2160</v>
      </c>
      <c r="O1202">
        <f t="shared" si="149"/>
        <v>216</v>
      </c>
      <c r="P1202" t="str">
        <f t="shared" si="150"/>
        <v>Large Order</v>
      </c>
      <c r="Q1202" t="str">
        <f t="shared" si="151"/>
        <v>Weekend</v>
      </c>
    </row>
    <row r="1203" spans="1:17" x14ac:dyDescent="0.35">
      <c r="A1203" t="s">
        <v>1353</v>
      </c>
      <c r="B1203" s="7">
        <v>45505</v>
      </c>
      <c r="C1203" s="13">
        <f t="shared" si="145"/>
        <v>2024</v>
      </c>
      <c r="D1203" s="7" t="str">
        <f t="shared" si="146"/>
        <v>Aug</v>
      </c>
      <c r="E1203" s="7" t="str">
        <f t="shared" si="147"/>
        <v>Thu</v>
      </c>
      <c r="F1203" t="s">
        <v>366</v>
      </c>
      <c r="G1203" t="s">
        <v>16</v>
      </c>
      <c r="H1203" t="s">
        <v>11</v>
      </c>
      <c r="I1203" s="2" t="str">
        <f t="shared" si="144"/>
        <v>West</v>
      </c>
      <c r="J1203" t="s">
        <v>12</v>
      </c>
      <c r="K1203" t="s">
        <v>32</v>
      </c>
      <c r="L1203">
        <v>1</v>
      </c>
      <c r="M1203">
        <v>120</v>
      </c>
      <c r="N1203">
        <f t="shared" si="148"/>
        <v>120</v>
      </c>
      <c r="O1203">
        <f t="shared" si="149"/>
        <v>12</v>
      </c>
      <c r="P1203" t="str">
        <f t="shared" si="150"/>
        <v>Standard Order</v>
      </c>
      <c r="Q1203" t="str">
        <f t="shared" si="151"/>
        <v>Weekday</v>
      </c>
    </row>
    <row r="1204" spans="1:17" x14ac:dyDescent="0.35">
      <c r="A1204" t="s">
        <v>1354</v>
      </c>
      <c r="B1204" s="7">
        <v>45645</v>
      </c>
      <c r="C1204" s="13">
        <f t="shared" si="145"/>
        <v>2024</v>
      </c>
      <c r="D1204" s="7" t="str">
        <f t="shared" si="146"/>
        <v>Dec</v>
      </c>
      <c r="E1204" s="7" t="str">
        <f t="shared" si="147"/>
        <v>Thu</v>
      </c>
      <c r="F1204" t="s">
        <v>83</v>
      </c>
      <c r="G1204" t="s">
        <v>109</v>
      </c>
      <c r="H1204" t="s">
        <v>11</v>
      </c>
      <c r="I1204" s="2" t="str">
        <f t="shared" si="144"/>
        <v>North</v>
      </c>
      <c r="J1204" t="s">
        <v>27</v>
      </c>
      <c r="K1204" t="s">
        <v>32</v>
      </c>
      <c r="L1204">
        <v>17</v>
      </c>
      <c r="M1204">
        <v>120</v>
      </c>
      <c r="N1204">
        <f t="shared" si="148"/>
        <v>2040</v>
      </c>
      <c r="O1204">
        <f t="shared" si="149"/>
        <v>204</v>
      </c>
      <c r="P1204" t="str">
        <f t="shared" si="150"/>
        <v>Large Order</v>
      </c>
      <c r="Q1204" t="str">
        <f t="shared" si="151"/>
        <v>Weekday</v>
      </c>
    </row>
    <row r="1205" spans="1:17" x14ac:dyDescent="0.35">
      <c r="A1205" t="s">
        <v>1355</v>
      </c>
      <c r="B1205" s="7">
        <v>45380</v>
      </c>
      <c r="C1205" s="13">
        <f t="shared" si="145"/>
        <v>2024</v>
      </c>
      <c r="D1205" s="7" t="str">
        <f t="shared" si="146"/>
        <v>Mar</v>
      </c>
      <c r="E1205" s="7" t="str">
        <f t="shared" si="147"/>
        <v>Fri</v>
      </c>
      <c r="F1205" t="s">
        <v>369</v>
      </c>
      <c r="G1205" t="s">
        <v>84</v>
      </c>
      <c r="H1205" t="s">
        <v>17</v>
      </c>
      <c r="I1205" s="2" t="str">
        <f t="shared" si="144"/>
        <v>South</v>
      </c>
      <c r="J1205" t="s">
        <v>12</v>
      </c>
      <c r="K1205" t="s">
        <v>28</v>
      </c>
      <c r="L1205">
        <v>4</v>
      </c>
      <c r="M1205">
        <v>120</v>
      </c>
      <c r="N1205">
        <f t="shared" si="148"/>
        <v>480</v>
      </c>
      <c r="O1205">
        <f t="shared" si="149"/>
        <v>48</v>
      </c>
      <c r="P1205" t="str">
        <f t="shared" si="150"/>
        <v>Standard Order</v>
      </c>
      <c r="Q1205" t="str">
        <f t="shared" si="151"/>
        <v>Weekday</v>
      </c>
    </row>
    <row r="1206" spans="1:17" x14ac:dyDescent="0.35">
      <c r="A1206" t="s">
        <v>1356</v>
      </c>
      <c r="B1206" s="7">
        <v>45644</v>
      </c>
      <c r="C1206" s="13">
        <f t="shared" si="145"/>
        <v>2024</v>
      </c>
      <c r="D1206" s="7" t="str">
        <f t="shared" si="146"/>
        <v>Dec</v>
      </c>
      <c r="E1206" s="7" t="str">
        <f t="shared" si="147"/>
        <v>Wed</v>
      </c>
      <c r="F1206" t="s">
        <v>51</v>
      </c>
      <c r="G1206" t="s">
        <v>65</v>
      </c>
      <c r="H1206" t="s">
        <v>17</v>
      </c>
      <c r="I1206" s="2" t="str">
        <f t="shared" si="144"/>
        <v>North</v>
      </c>
      <c r="J1206" t="s">
        <v>56</v>
      </c>
      <c r="K1206" t="s">
        <v>23</v>
      </c>
      <c r="L1206">
        <v>5</v>
      </c>
      <c r="M1206">
        <v>120</v>
      </c>
      <c r="N1206">
        <f t="shared" si="148"/>
        <v>600</v>
      </c>
      <c r="O1206">
        <f t="shared" si="149"/>
        <v>60</v>
      </c>
      <c r="P1206" t="str">
        <f t="shared" si="150"/>
        <v>Large Order</v>
      </c>
      <c r="Q1206" t="str">
        <f t="shared" si="151"/>
        <v>Weekday</v>
      </c>
    </row>
    <row r="1207" spans="1:17" x14ac:dyDescent="0.35">
      <c r="A1207" t="s">
        <v>1357</v>
      </c>
      <c r="B1207" s="7">
        <v>45645</v>
      </c>
      <c r="C1207" s="13">
        <f t="shared" si="145"/>
        <v>2024</v>
      </c>
      <c r="D1207" s="7" t="str">
        <f t="shared" si="146"/>
        <v>Dec</v>
      </c>
      <c r="E1207" s="7" t="str">
        <f t="shared" si="147"/>
        <v>Thu</v>
      </c>
      <c r="F1207" t="s">
        <v>332</v>
      </c>
      <c r="G1207" t="s">
        <v>96</v>
      </c>
      <c r="H1207" t="s">
        <v>11</v>
      </c>
      <c r="I1207" s="2" t="str">
        <f t="shared" si="144"/>
        <v>Central</v>
      </c>
      <c r="J1207" t="s">
        <v>12</v>
      </c>
      <c r="K1207" t="s">
        <v>13</v>
      </c>
      <c r="L1207">
        <v>16</v>
      </c>
      <c r="M1207">
        <v>120</v>
      </c>
      <c r="N1207">
        <f t="shared" si="148"/>
        <v>1920</v>
      </c>
      <c r="O1207">
        <f t="shared" si="149"/>
        <v>192</v>
      </c>
      <c r="P1207" t="str">
        <f t="shared" si="150"/>
        <v>Large Order</v>
      </c>
      <c r="Q1207" t="str">
        <f t="shared" si="151"/>
        <v>Weekday</v>
      </c>
    </row>
    <row r="1208" spans="1:17" x14ac:dyDescent="0.35">
      <c r="A1208" t="s">
        <v>1358</v>
      </c>
      <c r="B1208" s="7">
        <v>45392</v>
      </c>
      <c r="C1208" s="13">
        <f t="shared" si="145"/>
        <v>2024</v>
      </c>
      <c r="D1208" s="7" t="str">
        <f t="shared" si="146"/>
        <v>Apr</v>
      </c>
      <c r="E1208" s="7" t="str">
        <f t="shared" si="147"/>
        <v>Wed</v>
      </c>
      <c r="F1208" t="s">
        <v>15</v>
      </c>
      <c r="G1208" t="s">
        <v>59</v>
      </c>
      <c r="H1208" t="s">
        <v>11</v>
      </c>
      <c r="I1208" s="2" t="str">
        <f t="shared" si="144"/>
        <v>North</v>
      </c>
      <c r="J1208" t="s">
        <v>306</v>
      </c>
      <c r="K1208" t="s">
        <v>32</v>
      </c>
      <c r="L1208">
        <v>2</v>
      </c>
      <c r="M1208">
        <v>120</v>
      </c>
      <c r="N1208">
        <f t="shared" si="148"/>
        <v>240</v>
      </c>
      <c r="O1208">
        <f t="shared" si="149"/>
        <v>24</v>
      </c>
      <c r="P1208" t="str">
        <f t="shared" si="150"/>
        <v>Standard Order</v>
      </c>
      <c r="Q1208" t="str">
        <f t="shared" si="151"/>
        <v>Weekday</v>
      </c>
    </row>
    <row r="1209" spans="1:17" x14ac:dyDescent="0.35">
      <c r="A1209" t="s">
        <v>1359</v>
      </c>
      <c r="B1209" s="7">
        <v>45314</v>
      </c>
      <c r="C1209" s="13">
        <f t="shared" si="145"/>
        <v>2024</v>
      </c>
      <c r="D1209" s="7" t="str">
        <f t="shared" si="146"/>
        <v>Jan</v>
      </c>
      <c r="E1209" s="7" t="str">
        <f t="shared" si="147"/>
        <v>Tue</v>
      </c>
      <c r="F1209" t="s">
        <v>58</v>
      </c>
      <c r="G1209" t="s">
        <v>119</v>
      </c>
      <c r="H1209" t="s">
        <v>17</v>
      </c>
      <c r="I1209" s="2" t="str">
        <f t="shared" si="144"/>
        <v>South</v>
      </c>
      <c r="J1209" t="s">
        <v>12</v>
      </c>
      <c r="K1209" t="s">
        <v>36</v>
      </c>
      <c r="L1209">
        <v>4</v>
      </c>
      <c r="M1209">
        <v>120</v>
      </c>
      <c r="N1209">
        <f t="shared" si="148"/>
        <v>480</v>
      </c>
      <c r="O1209">
        <f t="shared" si="149"/>
        <v>48</v>
      </c>
      <c r="P1209" t="str">
        <f t="shared" si="150"/>
        <v>Standard Order</v>
      </c>
      <c r="Q1209" t="str">
        <f t="shared" si="151"/>
        <v>Weekday</v>
      </c>
    </row>
    <row r="1210" spans="1:17" x14ac:dyDescent="0.35">
      <c r="A1210" t="s">
        <v>1360</v>
      </c>
      <c r="B1210" s="7">
        <v>45397</v>
      </c>
      <c r="C1210" s="13">
        <f t="shared" si="145"/>
        <v>2024</v>
      </c>
      <c r="D1210" s="7" t="str">
        <f t="shared" si="146"/>
        <v>Apr</v>
      </c>
      <c r="E1210" s="7" t="str">
        <f t="shared" si="147"/>
        <v>Mon</v>
      </c>
      <c r="F1210" t="s">
        <v>449</v>
      </c>
      <c r="G1210" t="s">
        <v>41</v>
      </c>
      <c r="H1210" t="s">
        <v>11</v>
      </c>
      <c r="I1210" s="2" t="str">
        <f t="shared" si="144"/>
        <v>East</v>
      </c>
      <c r="J1210" t="s">
        <v>56</v>
      </c>
      <c r="K1210" t="s">
        <v>28</v>
      </c>
      <c r="L1210">
        <v>12</v>
      </c>
      <c r="M1210">
        <v>120</v>
      </c>
      <c r="N1210">
        <f t="shared" si="148"/>
        <v>1440</v>
      </c>
      <c r="O1210">
        <f t="shared" si="149"/>
        <v>144</v>
      </c>
      <c r="P1210" t="str">
        <f t="shared" si="150"/>
        <v>Large Order</v>
      </c>
      <c r="Q1210" t="str">
        <f t="shared" si="151"/>
        <v>Weekday</v>
      </c>
    </row>
    <row r="1211" spans="1:17" x14ac:dyDescent="0.35">
      <c r="A1211" t="s">
        <v>1361</v>
      </c>
      <c r="B1211" s="7">
        <v>45434</v>
      </c>
      <c r="C1211" s="13">
        <f t="shared" si="145"/>
        <v>2024</v>
      </c>
      <c r="D1211" s="7" t="str">
        <f t="shared" si="146"/>
        <v>May</v>
      </c>
      <c r="E1211" s="7" t="str">
        <f t="shared" si="147"/>
        <v>Wed</v>
      </c>
      <c r="F1211" t="s">
        <v>361</v>
      </c>
      <c r="G1211" t="s">
        <v>45</v>
      </c>
      <c r="H1211" t="s">
        <v>17</v>
      </c>
      <c r="I1211" s="2" t="str">
        <f t="shared" si="144"/>
        <v>North</v>
      </c>
      <c r="J1211" t="s">
        <v>42</v>
      </c>
      <c r="K1211" t="s">
        <v>36</v>
      </c>
      <c r="L1211">
        <v>17</v>
      </c>
      <c r="M1211">
        <v>120</v>
      </c>
      <c r="N1211">
        <f t="shared" si="148"/>
        <v>2040</v>
      </c>
      <c r="O1211">
        <f t="shared" si="149"/>
        <v>204</v>
      </c>
      <c r="P1211" t="str">
        <f t="shared" si="150"/>
        <v>Large Order</v>
      </c>
      <c r="Q1211" t="str">
        <f t="shared" si="151"/>
        <v>Weekday</v>
      </c>
    </row>
    <row r="1212" spans="1:17" x14ac:dyDescent="0.35">
      <c r="A1212" t="s">
        <v>1362</v>
      </c>
      <c r="B1212" s="7">
        <v>45415</v>
      </c>
      <c r="C1212" s="13">
        <f t="shared" si="145"/>
        <v>2024</v>
      </c>
      <c r="D1212" s="7" t="str">
        <f t="shared" si="146"/>
        <v>May</v>
      </c>
      <c r="E1212" s="7" t="str">
        <f t="shared" si="147"/>
        <v>Fri</v>
      </c>
      <c r="F1212" t="s">
        <v>358</v>
      </c>
      <c r="G1212" t="s">
        <v>102</v>
      </c>
      <c r="H1212" t="s">
        <v>22</v>
      </c>
      <c r="I1212" s="2" t="str">
        <f t="shared" si="144"/>
        <v>East</v>
      </c>
      <c r="J1212" t="s">
        <v>12</v>
      </c>
      <c r="K1212" t="s">
        <v>36</v>
      </c>
      <c r="L1212">
        <v>19</v>
      </c>
      <c r="M1212">
        <v>120</v>
      </c>
      <c r="N1212">
        <f t="shared" si="148"/>
        <v>2280</v>
      </c>
      <c r="O1212">
        <f t="shared" si="149"/>
        <v>228</v>
      </c>
      <c r="P1212" t="str">
        <f t="shared" si="150"/>
        <v>Large Order</v>
      </c>
      <c r="Q1212" t="str">
        <f t="shared" si="151"/>
        <v>Weekday</v>
      </c>
    </row>
    <row r="1213" spans="1:17" x14ac:dyDescent="0.35">
      <c r="A1213" t="s">
        <v>1363</v>
      </c>
      <c r="B1213" s="7">
        <v>45403</v>
      </c>
      <c r="C1213" s="13">
        <f t="shared" si="145"/>
        <v>2024</v>
      </c>
      <c r="D1213" s="7" t="str">
        <f t="shared" si="146"/>
        <v>Apr</v>
      </c>
      <c r="E1213" s="7" t="str">
        <f t="shared" si="147"/>
        <v>Sun</v>
      </c>
      <c r="F1213" t="s">
        <v>436</v>
      </c>
      <c r="G1213" t="s">
        <v>45</v>
      </c>
      <c r="H1213" t="s">
        <v>11</v>
      </c>
      <c r="I1213" s="2" t="str">
        <f t="shared" si="144"/>
        <v>West</v>
      </c>
      <c r="J1213" t="s">
        <v>42</v>
      </c>
      <c r="K1213" t="s">
        <v>13</v>
      </c>
      <c r="L1213">
        <v>18</v>
      </c>
      <c r="M1213">
        <v>120</v>
      </c>
      <c r="N1213">
        <f t="shared" si="148"/>
        <v>2160</v>
      </c>
      <c r="O1213">
        <f t="shared" si="149"/>
        <v>216</v>
      </c>
      <c r="P1213" t="str">
        <f t="shared" si="150"/>
        <v>Large Order</v>
      </c>
      <c r="Q1213" t="str">
        <f t="shared" si="151"/>
        <v>Weekend</v>
      </c>
    </row>
    <row r="1214" spans="1:17" x14ac:dyDescent="0.35">
      <c r="A1214" t="s">
        <v>1364</v>
      </c>
      <c r="B1214" s="7">
        <v>45401</v>
      </c>
      <c r="C1214" s="13">
        <f t="shared" si="145"/>
        <v>2024</v>
      </c>
      <c r="D1214" s="7" t="str">
        <f t="shared" si="146"/>
        <v>Apr</v>
      </c>
      <c r="E1214" s="7" t="str">
        <f t="shared" si="147"/>
        <v>Fri</v>
      </c>
      <c r="F1214" t="s">
        <v>358</v>
      </c>
      <c r="G1214" t="s">
        <v>48</v>
      </c>
      <c r="H1214" t="s">
        <v>22</v>
      </c>
      <c r="I1214" s="2" t="str">
        <f t="shared" si="144"/>
        <v>West</v>
      </c>
      <c r="J1214" t="s">
        <v>27</v>
      </c>
      <c r="K1214" t="s">
        <v>13</v>
      </c>
      <c r="L1214">
        <v>19</v>
      </c>
      <c r="M1214">
        <v>120</v>
      </c>
      <c r="N1214">
        <f t="shared" si="148"/>
        <v>2280</v>
      </c>
      <c r="O1214">
        <f t="shared" si="149"/>
        <v>228</v>
      </c>
      <c r="P1214" t="str">
        <f t="shared" si="150"/>
        <v>Large Order</v>
      </c>
      <c r="Q1214" t="str">
        <f t="shared" si="151"/>
        <v>Weekday</v>
      </c>
    </row>
    <row r="1215" spans="1:17" x14ac:dyDescent="0.35">
      <c r="A1215" t="s">
        <v>1365</v>
      </c>
      <c r="B1215" s="7">
        <v>45384</v>
      </c>
      <c r="C1215" s="13">
        <f t="shared" si="145"/>
        <v>2024</v>
      </c>
      <c r="D1215" s="7" t="str">
        <f t="shared" si="146"/>
        <v>Apr</v>
      </c>
      <c r="E1215" s="7" t="str">
        <f t="shared" si="147"/>
        <v>Tue</v>
      </c>
      <c r="F1215" t="s">
        <v>182</v>
      </c>
      <c r="G1215" t="s">
        <v>65</v>
      </c>
      <c r="H1215" t="s">
        <v>17</v>
      </c>
      <c r="I1215" s="2" t="str">
        <f t="shared" si="144"/>
        <v>North</v>
      </c>
      <c r="J1215" t="s">
        <v>27</v>
      </c>
      <c r="K1215" t="s">
        <v>13</v>
      </c>
      <c r="L1215">
        <v>17</v>
      </c>
      <c r="M1215">
        <v>120</v>
      </c>
      <c r="N1215">
        <f t="shared" si="148"/>
        <v>2040</v>
      </c>
      <c r="O1215">
        <f t="shared" si="149"/>
        <v>204</v>
      </c>
      <c r="P1215" t="str">
        <f t="shared" si="150"/>
        <v>Large Order</v>
      </c>
      <c r="Q1215" t="str">
        <f t="shared" si="151"/>
        <v>Weekday</v>
      </c>
    </row>
    <row r="1216" spans="1:17" x14ac:dyDescent="0.35">
      <c r="A1216" t="s">
        <v>1366</v>
      </c>
      <c r="B1216" s="7">
        <v>45452</v>
      </c>
      <c r="C1216" s="13">
        <f t="shared" si="145"/>
        <v>2024</v>
      </c>
      <c r="D1216" s="7" t="str">
        <f t="shared" si="146"/>
        <v>Jun</v>
      </c>
      <c r="E1216" s="7" t="str">
        <f t="shared" si="147"/>
        <v>Sun</v>
      </c>
      <c r="F1216" t="s">
        <v>114</v>
      </c>
      <c r="G1216" t="s">
        <v>160</v>
      </c>
      <c r="H1216" t="s">
        <v>17</v>
      </c>
      <c r="I1216" s="2" t="str">
        <f t="shared" si="144"/>
        <v>North</v>
      </c>
      <c r="J1216" t="s">
        <v>12</v>
      </c>
      <c r="K1216" t="s">
        <v>32</v>
      </c>
      <c r="L1216">
        <v>5</v>
      </c>
      <c r="M1216">
        <v>120</v>
      </c>
      <c r="N1216">
        <f t="shared" si="148"/>
        <v>600</v>
      </c>
      <c r="O1216">
        <f t="shared" si="149"/>
        <v>60</v>
      </c>
      <c r="P1216" t="str">
        <f t="shared" si="150"/>
        <v>Large Order</v>
      </c>
      <c r="Q1216" t="str">
        <f t="shared" si="151"/>
        <v>Weekend</v>
      </c>
    </row>
    <row r="1217" spans="1:17" x14ac:dyDescent="0.35">
      <c r="A1217" t="s">
        <v>1367</v>
      </c>
      <c r="B1217" s="7">
        <v>45652</v>
      </c>
      <c r="C1217" s="13">
        <f t="shared" si="145"/>
        <v>2024</v>
      </c>
      <c r="D1217" s="7" t="str">
        <f t="shared" si="146"/>
        <v>Dec</v>
      </c>
      <c r="E1217" s="7" t="str">
        <f t="shared" si="147"/>
        <v>Thu</v>
      </c>
      <c r="F1217" t="s">
        <v>55</v>
      </c>
      <c r="G1217" t="s">
        <v>10</v>
      </c>
      <c r="H1217" t="s">
        <v>22</v>
      </c>
      <c r="I1217" s="2" t="str">
        <f t="shared" si="144"/>
        <v>East</v>
      </c>
      <c r="J1217" t="s">
        <v>12</v>
      </c>
      <c r="K1217" t="s">
        <v>23</v>
      </c>
      <c r="L1217">
        <v>11</v>
      </c>
      <c r="M1217">
        <v>120</v>
      </c>
      <c r="N1217">
        <f t="shared" si="148"/>
        <v>1320</v>
      </c>
      <c r="O1217">
        <f t="shared" si="149"/>
        <v>132</v>
      </c>
      <c r="P1217" t="str">
        <f t="shared" si="150"/>
        <v>Large Order</v>
      </c>
      <c r="Q1217" t="str">
        <f t="shared" si="151"/>
        <v>Weekday</v>
      </c>
    </row>
    <row r="1218" spans="1:17" x14ac:dyDescent="0.35">
      <c r="A1218" t="s">
        <v>1368</v>
      </c>
      <c r="B1218" s="7">
        <v>45437</v>
      </c>
      <c r="C1218" s="13">
        <f t="shared" si="145"/>
        <v>2024</v>
      </c>
      <c r="D1218" s="7" t="str">
        <f t="shared" si="146"/>
        <v>May</v>
      </c>
      <c r="E1218" s="7" t="str">
        <f t="shared" si="147"/>
        <v>Sat</v>
      </c>
      <c r="F1218" t="s">
        <v>366</v>
      </c>
      <c r="G1218" t="s">
        <v>41</v>
      </c>
      <c r="H1218" t="s">
        <v>22</v>
      </c>
      <c r="I1218" s="2" t="str">
        <f t="shared" si="144"/>
        <v>North</v>
      </c>
      <c r="J1218" t="s">
        <v>42</v>
      </c>
      <c r="K1218" t="s">
        <v>23</v>
      </c>
      <c r="L1218">
        <v>15</v>
      </c>
      <c r="M1218">
        <v>120</v>
      </c>
      <c r="N1218">
        <f t="shared" si="148"/>
        <v>1800</v>
      </c>
      <c r="O1218">
        <f t="shared" si="149"/>
        <v>180</v>
      </c>
      <c r="P1218" t="str">
        <f t="shared" si="150"/>
        <v>Large Order</v>
      </c>
      <c r="Q1218" t="str">
        <f t="shared" si="151"/>
        <v>Weekend</v>
      </c>
    </row>
    <row r="1219" spans="1:17" x14ac:dyDescent="0.35">
      <c r="A1219" t="s">
        <v>1369</v>
      </c>
      <c r="B1219" s="7">
        <v>45440</v>
      </c>
      <c r="C1219" s="13">
        <f t="shared" si="145"/>
        <v>2024</v>
      </c>
      <c r="D1219" s="7" t="str">
        <f t="shared" si="146"/>
        <v>May</v>
      </c>
      <c r="E1219" s="7" t="str">
        <f t="shared" si="147"/>
        <v>Tue</v>
      </c>
      <c r="F1219" t="s">
        <v>309</v>
      </c>
      <c r="G1219" t="s">
        <v>35</v>
      </c>
      <c r="H1219" t="s">
        <v>11</v>
      </c>
      <c r="I1219" s="2" t="str">
        <f t="shared" ref="I1219:I1282" si="152">TRIM(J1220)</f>
        <v>West</v>
      </c>
      <c r="J1219" t="s">
        <v>12</v>
      </c>
      <c r="K1219" t="s">
        <v>23</v>
      </c>
      <c r="L1219">
        <v>12</v>
      </c>
      <c r="M1219">
        <v>120</v>
      </c>
      <c r="N1219">
        <f t="shared" si="148"/>
        <v>1440</v>
      </c>
      <c r="O1219">
        <f t="shared" si="149"/>
        <v>144</v>
      </c>
      <c r="P1219" t="str">
        <f t="shared" si="150"/>
        <v>Large Order</v>
      </c>
      <c r="Q1219" t="str">
        <f t="shared" si="151"/>
        <v>Weekday</v>
      </c>
    </row>
    <row r="1220" spans="1:17" x14ac:dyDescent="0.35">
      <c r="A1220" t="s">
        <v>1370</v>
      </c>
      <c r="B1220" s="7">
        <v>45636</v>
      </c>
      <c r="C1220" s="13">
        <f t="shared" ref="C1220:C1283" si="153">YEAR(B1220)</f>
        <v>2024</v>
      </c>
      <c r="D1220" s="7" t="str">
        <f t="shared" ref="D1220:D1283" si="154">TEXT(B1220,"mmm")</f>
        <v>Dec</v>
      </c>
      <c r="E1220" s="7" t="str">
        <f t="shared" ref="E1220:E1283" si="155">TEXT(B1220,"ddd")</f>
        <v>Tue</v>
      </c>
      <c r="F1220" t="s">
        <v>15</v>
      </c>
      <c r="G1220" t="s">
        <v>160</v>
      </c>
      <c r="H1220" t="s">
        <v>17</v>
      </c>
      <c r="I1220" s="2" t="str">
        <f t="shared" si="152"/>
        <v>North</v>
      </c>
      <c r="J1220" t="s">
        <v>27</v>
      </c>
      <c r="K1220" t="s">
        <v>23</v>
      </c>
      <c r="L1220">
        <v>3</v>
      </c>
      <c r="M1220">
        <v>120</v>
      </c>
      <c r="N1220">
        <f t="shared" ref="N1220:N1283" si="156">M1220*L1220</f>
        <v>360</v>
      </c>
      <c r="O1220">
        <f t="shared" ref="O1220:O1283" si="157">N1220*0.1</f>
        <v>36</v>
      </c>
      <c r="P1220" t="str">
        <f t="shared" ref="P1220:P1283" si="158">IF(N1220&gt;500,"Large Order","Standard Order")</f>
        <v>Standard Order</v>
      </c>
      <c r="Q1220" t="str">
        <f t="shared" ref="Q1220:Q1283" si="159">IF(OR(TRIM(E1220)="Sat",TRIM(E1220)="Sun"),"Weekend","Weekday")</f>
        <v>Weekday</v>
      </c>
    </row>
    <row r="1221" spans="1:17" x14ac:dyDescent="0.35">
      <c r="A1221" t="s">
        <v>1371</v>
      </c>
      <c r="B1221" s="7">
        <v>45497</v>
      </c>
      <c r="C1221" s="13">
        <f t="shared" si="153"/>
        <v>2024</v>
      </c>
      <c r="D1221" s="7" t="str">
        <f t="shared" si="154"/>
        <v>Jul</v>
      </c>
      <c r="E1221" s="7" t="str">
        <f t="shared" si="155"/>
        <v>Wed</v>
      </c>
      <c r="F1221" t="s">
        <v>465</v>
      </c>
      <c r="G1221" t="s">
        <v>84</v>
      </c>
      <c r="H1221" t="s">
        <v>22</v>
      </c>
      <c r="I1221" s="2" t="str">
        <f t="shared" si="152"/>
        <v>West</v>
      </c>
      <c r="J1221" t="s">
        <v>12</v>
      </c>
      <c r="K1221" t="s">
        <v>28</v>
      </c>
      <c r="L1221">
        <v>6</v>
      </c>
      <c r="M1221">
        <v>120</v>
      </c>
      <c r="N1221">
        <f t="shared" si="156"/>
        <v>720</v>
      </c>
      <c r="O1221">
        <f t="shared" si="157"/>
        <v>72</v>
      </c>
      <c r="P1221" t="str">
        <f t="shared" si="158"/>
        <v>Large Order</v>
      </c>
      <c r="Q1221" t="str">
        <f t="shared" si="159"/>
        <v>Weekday</v>
      </c>
    </row>
    <row r="1222" spans="1:17" x14ac:dyDescent="0.35">
      <c r="A1222" t="s">
        <v>1372</v>
      </c>
      <c r="B1222" s="7">
        <v>45465</v>
      </c>
      <c r="C1222" s="13">
        <f t="shared" si="153"/>
        <v>2024</v>
      </c>
      <c r="D1222" s="7" t="str">
        <f t="shared" si="154"/>
        <v>Jun</v>
      </c>
      <c r="E1222" s="7" t="str">
        <f t="shared" si="155"/>
        <v>Sat</v>
      </c>
      <c r="F1222" t="s">
        <v>104</v>
      </c>
      <c r="G1222" t="s">
        <v>102</v>
      </c>
      <c r="H1222" t="s">
        <v>22</v>
      </c>
      <c r="I1222" s="2" t="str">
        <f t="shared" si="152"/>
        <v>Central</v>
      </c>
      <c r="J1222" t="s">
        <v>27</v>
      </c>
      <c r="K1222" t="s">
        <v>23</v>
      </c>
      <c r="L1222">
        <v>8</v>
      </c>
      <c r="M1222">
        <v>120</v>
      </c>
      <c r="N1222">
        <f t="shared" si="156"/>
        <v>960</v>
      </c>
      <c r="O1222">
        <f t="shared" si="157"/>
        <v>96</v>
      </c>
      <c r="P1222" t="str">
        <f t="shared" si="158"/>
        <v>Large Order</v>
      </c>
      <c r="Q1222" t="str">
        <f t="shared" si="159"/>
        <v>Weekend</v>
      </c>
    </row>
    <row r="1223" spans="1:17" x14ac:dyDescent="0.35">
      <c r="A1223" t="s">
        <v>1373</v>
      </c>
      <c r="B1223" s="7">
        <v>45434</v>
      </c>
      <c r="C1223" s="13">
        <f t="shared" si="153"/>
        <v>2024</v>
      </c>
      <c r="D1223" s="7" t="str">
        <f t="shared" si="154"/>
        <v>May</v>
      </c>
      <c r="E1223" s="7" t="str">
        <f t="shared" si="155"/>
        <v>Wed</v>
      </c>
      <c r="F1223" t="s">
        <v>332</v>
      </c>
      <c r="G1223" t="s">
        <v>59</v>
      </c>
      <c r="H1223" t="s">
        <v>22</v>
      </c>
      <c r="I1223" s="2" t="str">
        <f t="shared" si="152"/>
        <v>Central</v>
      </c>
      <c r="J1223" t="s">
        <v>306</v>
      </c>
      <c r="K1223" t="s">
        <v>23</v>
      </c>
      <c r="L1223">
        <v>9</v>
      </c>
      <c r="M1223">
        <v>120</v>
      </c>
      <c r="N1223">
        <f t="shared" si="156"/>
        <v>1080</v>
      </c>
      <c r="O1223">
        <f t="shared" si="157"/>
        <v>108</v>
      </c>
      <c r="P1223" t="str">
        <f t="shared" si="158"/>
        <v>Large Order</v>
      </c>
      <c r="Q1223" t="str">
        <f t="shared" si="159"/>
        <v>Weekday</v>
      </c>
    </row>
    <row r="1224" spans="1:17" x14ac:dyDescent="0.35">
      <c r="A1224" t="s">
        <v>1374</v>
      </c>
      <c r="B1224" s="7">
        <v>45474</v>
      </c>
      <c r="C1224" s="13">
        <f t="shared" si="153"/>
        <v>2024</v>
      </c>
      <c r="D1224" s="7" t="str">
        <f t="shared" si="154"/>
        <v>Jul</v>
      </c>
      <c r="E1224" s="7" t="str">
        <f t="shared" si="155"/>
        <v>Mon</v>
      </c>
      <c r="F1224" t="s">
        <v>553</v>
      </c>
      <c r="G1224" t="s">
        <v>31</v>
      </c>
      <c r="H1224" t="s">
        <v>22</v>
      </c>
      <c r="I1224" s="2" t="str">
        <f t="shared" si="152"/>
        <v>East</v>
      </c>
      <c r="J1224" t="s">
        <v>306</v>
      </c>
      <c r="K1224" t="s">
        <v>28</v>
      </c>
      <c r="L1224">
        <v>16</v>
      </c>
      <c r="M1224">
        <v>120</v>
      </c>
      <c r="N1224">
        <f t="shared" si="156"/>
        <v>1920</v>
      </c>
      <c r="O1224">
        <f t="shared" si="157"/>
        <v>192</v>
      </c>
      <c r="P1224" t="str">
        <f t="shared" si="158"/>
        <v>Large Order</v>
      </c>
      <c r="Q1224" t="str">
        <f t="shared" si="159"/>
        <v>Weekday</v>
      </c>
    </row>
    <row r="1225" spans="1:17" x14ac:dyDescent="0.35">
      <c r="A1225" t="s">
        <v>1375</v>
      </c>
      <c r="B1225" s="7">
        <v>45524</v>
      </c>
      <c r="C1225" s="13">
        <f t="shared" si="153"/>
        <v>2024</v>
      </c>
      <c r="D1225" s="7" t="str">
        <f t="shared" si="154"/>
        <v>Aug</v>
      </c>
      <c r="E1225" s="7" t="str">
        <f t="shared" si="155"/>
        <v>Tue</v>
      </c>
      <c r="F1225" t="s">
        <v>15</v>
      </c>
      <c r="G1225" t="s">
        <v>35</v>
      </c>
      <c r="H1225" t="s">
        <v>11</v>
      </c>
      <c r="I1225" s="2" t="str">
        <f t="shared" si="152"/>
        <v>North</v>
      </c>
      <c r="J1225" t="s">
        <v>42</v>
      </c>
      <c r="K1225" t="s">
        <v>28</v>
      </c>
      <c r="L1225">
        <v>16</v>
      </c>
      <c r="M1225">
        <v>120</v>
      </c>
      <c r="N1225">
        <f t="shared" si="156"/>
        <v>1920</v>
      </c>
      <c r="O1225">
        <f t="shared" si="157"/>
        <v>192</v>
      </c>
      <c r="P1225" t="str">
        <f t="shared" si="158"/>
        <v>Large Order</v>
      </c>
      <c r="Q1225" t="str">
        <f t="shared" si="159"/>
        <v>Weekday</v>
      </c>
    </row>
    <row r="1226" spans="1:17" x14ac:dyDescent="0.35">
      <c r="A1226" t="s">
        <v>1376</v>
      </c>
      <c r="B1226" s="7">
        <v>45307</v>
      </c>
      <c r="C1226" s="13">
        <f t="shared" si="153"/>
        <v>2024</v>
      </c>
      <c r="D1226" s="7" t="str">
        <f t="shared" si="154"/>
        <v>Jan</v>
      </c>
      <c r="E1226" s="7" t="str">
        <f t="shared" si="155"/>
        <v>Tue</v>
      </c>
      <c r="F1226" t="s">
        <v>108</v>
      </c>
      <c r="G1226" t="s">
        <v>10</v>
      </c>
      <c r="H1226" t="s">
        <v>22</v>
      </c>
      <c r="I1226" s="2" t="str">
        <f t="shared" si="152"/>
        <v>East</v>
      </c>
      <c r="J1226" t="s">
        <v>12</v>
      </c>
      <c r="K1226" t="s">
        <v>28</v>
      </c>
      <c r="L1226">
        <v>16</v>
      </c>
      <c r="M1226">
        <v>120</v>
      </c>
      <c r="N1226">
        <f t="shared" si="156"/>
        <v>1920</v>
      </c>
      <c r="O1226">
        <f t="shared" si="157"/>
        <v>192</v>
      </c>
      <c r="P1226" t="str">
        <f t="shared" si="158"/>
        <v>Large Order</v>
      </c>
      <c r="Q1226" t="str">
        <f t="shared" si="159"/>
        <v>Weekday</v>
      </c>
    </row>
    <row r="1227" spans="1:17" x14ac:dyDescent="0.35">
      <c r="A1227" t="s">
        <v>1377</v>
      </c>
      <c r="B1227" s="7">
        <v>45487</v>
      </c>
      <c r="C1227" s="13">
        <f t="shared" si="153"/>
        <v>2024</v>
      </c>
      <c r="D1227" s="7" t="str">
        <f t="shared" si="154"/>
        <v>Jul</v>
      </c>
      <c r="E1227" s="7" t="str">
        <f t="shared" si="155"/>
        <v>Sun</v>
      </c>
      <c r="F1227" t="s">
        <v>493</v>
      </c>
      <c r="G1227" t="s">
        <v>16</v>
      </c>
      <c r="H1227" t="s">
        <v>22</v>
      </c>
      <c r="I1227" s="2" t="str">
        <f t="shared" si="152"/>
        <v>West</v>
      </c>
      <c r="J1227" t="s">
        <v>42</v>
      </c>
      <c r="K1227" t="s">
        <v>13</v>
      </c>
      <c r="L1227">
        <v>10</v>
      </c>
      <c r="M1227">
        <v>120</v>
      </c>
      <c r="N1227">
        <f t="shared" si="156"/>
        <v>1200</v>
      </c>
      <c r="O1227">
        <f t="shared" si="157"/>
        <v>120</v>
      </c>
      <c r="P1227" t="str">
        <f t="shared" si="158"/>
        <v>Large Order</v>
      </c>
      <c r="Q1227" t="str">
        <f t="shared" si="159"/>
        <v>Weekend</v>
      </c>
    </row>
    <row r="1228" spans="1:17" x14ac:dyDescent="0.35">
      <c r="A1228" t="s">
        <v>1378</v>
      </c>
      <c r="B1228" s="7">
        <v>45331</v>
      </c>
      <c r="C1228" s="13">
        <f t="shared" si="153"/>
        <v>2024</v>
      </c>
      <c r="D1228" s="7" t="str">
        <f t="shared" si="154"/>
        <v>Feb</v>
      </c>
      <c r="E1228" s="7" t="str">
        <f t="shared" si="155"/>
        <v>Fri</v>
      </c>
      <c r="F1228" t="s">
        <v>371</v>
      </c>
      <c r="G1228" t="s">
        <v>70</v>
      </c>
      <c r="H1228" t="s">
        <v>22</v>
      </c>
      <c r="I1228" s="2" t="str">
        <f t="shared" si="152"/>
        <v>Central</v>
      </c>
      <c r="J1228" t="s">
        <v>27</v>
      </c>
      <c r="K1228" t="s">
        <v>23</v>
      </c>
      <c r="L1228">
        <v>7</v>
      </c>
      <c r="M1228">
        <v>120</v>
      </c>
      <c r="N1228">
        <f t="shared" si="156"/>
        <v>840</v>
      </c>
      <c r="O1228">
        <f t="shared" si="157"/>
        <v>84</v>
      </c>
      <c r="P1228" t="str">
        <f t="shared" si="158"/>
        <v>Large Order</v>
      </c>
      <c r="Q1228" t="str">
        <f t="shared" si="159"/>
        <v>Weekday</v>
      </c>
    </row>
    <row r="1229" spans="1:17" x14ac:dyDescent="0.35">
      <c r="A1229" t="s">
        <v>1379</v>
      </c>
      <c r="B1229" s="7">
        <v>45543</v>
      </c>
      <c r="C1229" s="13">
        <f t="shared" si="153"/>
        <v>2024</v>
      </c>
      <c r="D1229" s="7" t="str">
        <f t="shared" si="154"/>
        <v>Sep</v>
      </c>
      <c r="E1229" s="7" t="str">
        <f t="shared" si="155"/>
        <v>Sun</v>
      </c>
      <c r="F1229" t="s">
        <v>358</v>
      </c>
      <c r="G1229" t="s">
        <v>72</v>
      </c>
      <c r="H1229" t="s">
        <v>17</v>
      </c>
      <c r="I1229" s="2" t="str">
        <f t="shared" si="152"/>
        <v>West</v>
      </c>
      <c r="J1229" t="s">
        <v>306</v>
      </c>
      <c r="K1229" t="s">
        <v>13</v>
      </c>
      <c r="L1229">
        <v>18</v>
      </c>
      <c r="M1229">
        <v>120</v>
      </c>
      <c r="N1229">
        <f t="shared" si="156"/>
        <v>2160</v>
      </c>
      <c r="O1229">
        <f t="shared" si="157"/>
        <v>216</v>
      </c>
      <c r="P1229" t="str">
        <f t="shared" si="158"/>
        <v>Large Order</v>
      </c>
      <c r="Q1229" t="str">
        <f t="shared" si="159"/>
        <v>Weekend</v>
      </c>
    </row>
    <row r="1230" spans="1:17" x14ac:dyDescent="0.35">
      <c r="A1230" t="s">
        <v>1380</v>
      </c>
      <c r="B1230" s="7">
        <v>45512</v>
      </c>
      <c r="C1230" s="13">
        <f t="shared" si="153"/>
        <v>2024</v>
      </c>
      <c r="D1230" s="7" t="str">
        <f t="shared" si="154"/>
        <v>Aug</v>
      </c>
      <c r="E1230" s="7" t="str">
        <f t="shared" si="155"/>
        <v>Thu</v>
      </c>
      <c r="F1230" t="s">
        <v>114</v>
      </c>
      <c r="G1230" t="s">
        <v>72</v>
      </c>
      <c r="H1230" t="s">
        <v>17</v>
      </c>
      <c r="I1230" s="2" t="str">
        <f t="shared" si="152"/>
        <v>East</v>
      </c>
      <c r="J1230" t="s">
        <v>27</v>
      </c>
      <c r="K1230" t="s">
        <v>13</v>
      </c>
      <c r="L1230">
        <v>13</v>
      </c>
      <c r="M1230">
        <v>120</v>
      </c>
      <c r="N1230">
        <f t="shared" si="156"/>
        <v>1560</v>
      </c>
      <c r="O1230">
        <f t="shared" si="157"/>
        <v>156</v>
      </c>
      <c r="P1230" t="str">
        <f t="shared" si="158"/>
        <v>Large Order</v>
      </c>
      <c r="Q1230" t="str">
        <f t="shared" si="159"/>
        <v>Weekday</v>
      </c>
    </row>
    <row r="1231" spans="1:17" x14ac:dyDescent="0.35">
      <c r="A1231" t="s">
        <v>1381</v>
      </c>
      <c r="B1231" s="7">
        <v>45308</v>
      </c>
      <c r="C1231" s="13">
        <f t="shared" si="153"/>
        <v>2024</v>
      </c>
      <c r="D1231" s="7" t="str">
        <f t="shared" si="154"/>
        <v>Jan</v>
      </c>
      <c r="E1231" s="7" t="str">
        <f t="shared" si="155"/>
        <v>Wed</v>
      </c>
      <c r="F1231" t="s">
        <v>235</v>
      </c>
      <c r="G1231" t="s">
        <v>62</v>
      </c>
      <c r="H1231" t="s">
        <v>22</v>
      </c>
      <c r="I1231" s="2" t="str">
        <f t="shared" si="152"/>
        <v>West</v>
      </c>
      <c r="J1231" t="s">
        <v>42</v>
      </c>
      <c r="K1231" t="s">
        <v>28</v>
      </c>
      <c r="L1231">
        <v>6</v>
      </c>
      <c r="M1231">
        <v>120</v>
      </c>
      <c r="N1231">
        <f t="shared" si="156"/>
        <v>720</v>
      </c>
      <c r="O1231">
        <f t="shared" si="157"/>
        <v>72</v>
      </c>
      <c r="P1231" t="str">
        <f t="shared" si="158"/>
        <v>Large Order</v>
      </c>
      <c r="Q1231" t="str">
        <f t="shared" si="159"/>
        <v>Weekday</v>
      </c>
    </row>
    <row r="1232" spans="1:17" x14ac:dyDescent="0.35">
      <c r="A1232" t="s">
        <v>1382</v>
      </c>
      <c r="B1232" s="7">
        <v>45451</v>
      </c>
      <c r="C1232" s="13">
        <f t="shared" si="153"/>
        <v>2024</v>
      </c>
      <c r="D1232" s="7" t="str">
        <f t="shared" si="154"/>
        <v>Jun</v>
      </c>
      <c r="E1232" s="7" t="str">
        <f t="shared" si="155"/>
        <v>Sat</v>
      </c>
      <c r="F1232" t="s">
        <v>436</v>
      </c>
      <c r="G1232" t="s">
        <v>119</v>
      </c>
      <c r="H1232" t="s">
        <v>17</v>
      </c>
      <c r="I1232" s="2" t="str">
        <f t="shared" si="152"/>
        <v>Central</v>
      </c>
      <c r="J1232" t="s">
        <v>27</v>
      </c>
      <c r="K1232" t="s">
        <v>23</v>
      </c>
      <c r="L1232">
        <v>4</v>
      </c>
      <c r="M1232">
        <v>120</v>
      </c>
      <c r="N1232">
        <f t="shared" si="156"/>
        <v>480</v>
      </c>
      <c r="O1232">
        <f t="shared" si="157"/>
        <v>48</v>
      </c>
      <c r="P1232" t="str">
        <f t="shared" si="158"/>
        <v>Standard Order</v>
      </c>
      <c r="Q1232" t="str">
        <f t="shared" si="159"/>
        <v>Weekend</v>
      </c>
    </row>
    <row r="1233" spans="1:17" x14ac:dyDescent="0.35">
      <c r="A1233" t="s">
        <v>1383</v>
      </c>
      <c r="B1233" s="7">
        <v>45629</v>
      </c>
      <c r="C1233" s="13">
        <f t="shared" si="153"/>
        <v>2024</v>
      </c>
      <c r="D1233" s="7" t="str">
        <f t="shared" si="154"/>
        <v>Dec</v>
      </c>
      <c r="E1233" s="7" t="str">
        <f t="shared" si="155"/>
        <v>Tue</v>
      </c>
      <c r="F1233" t="s">
        <v>378</v>
      </c>
      <c r="G1233" t="s">
        <v>59</v>
      </c>
      <c r="H1233" t="s">
        <v>22</v>
      </c>
      <c r="I1233" s="2" t="str">
        <f t="shared" si="152"/>
        <v>East</v>
      </c>
      <c r="J1233" t="s">
        <v>306</v>
      </c>
      <c r="K1233" t="s">
        <v>28</v>
      </c>
      <c r="L1233">
        <v>16</v>
      </c>
      <c r="M1233">
        <v>120</v>
      </c>
      <c r="N1233">
        <f t="shared" si="156"/>
        <v>1920</v>
      </c>
      <c r="O1233">
        <f t="shared" si="157"/>
        <v>192</v>
      </c>
      <c r="P1233" t="str">
        <f t="shared" si="158"/>
        <v>Large Order</v>
      </c>
      <c r="Q1233" t="str">
        <f t="shared" si="159"/>
        <v>Weekday</v>
      </c>
    </row>
    <row r="1234" spans="1:17" x14ac:dyDescent="0.35">
      <c r="A1234" t="s">
        <v>1384</v>
      </c>
      <c r="B1234" s="7">
        <v>45551</v>
      </c>
      <c r="C1234" s="13">
        <f t="shared" si="153"/>
        <v>2024</v>
      </c>
      <c r="D1234" s="7" t="str">
        <f t="shared" si="154"/>
        <v>Sep</v>
      </c>
      <c r="E1234" s="7" t="str">
        <f t="shared" si="155"/>
        <v>Mon</v>
      </c>
      <c r="F1234" t="s">
        <v>131</v>
      </c>
      <c r="G1234" t="s">
        <v>35</v>
      </c>
      <c r="H1234" t="s">
        <v>17</v>
      </c>
      <c r="I1234" s="2" t="str">
        <f t="shared" si="152"/>
        <v>East</v>
      </c>
      <c r="J1234" t="s">
        <v>42</v>
      </c>
      <c r="K1234" t="s">
        <v>36</v>
      </c>
      <c r="L1234">
        <v>19</v>
      </c>
      <c r="M1234">
        <v>120</v>
      </c>
      <c r="N1234">
        <f t="shared" si="156"/>
        <v>2280</v>
      </c>
      <c r="O1234">
        <f t="shared" si="157"/>
        <v>228</v>
      </c>
      <c r="P1234" t="str">
        <f t="shared" si="158"/>
        <v>Large Order</v>
      </c>
      <c r="Q1234" t="str">
        <f t="shared" si="159"/>
        <v>Weekday</v>
      </c>
    </row>
    <row r="1235" spans="1:17" x14ac:dyDescent="0.35">
      <c r="A1235" t="s">
        <v>1385</v>
      </c>
      <c r="B1235" s="7">
        <v>45638</v>
      </c>
      <c r="C1235" s="13">
        <f t="shared" si="153"/>
        <v>2024</v>
      </c>
      <c r="D1235" s="7" t="str">
        <f t="shared" si="154"/>
        <v>Dec</v>
      </c>
      <c r="E1235" s="7" t="str">
        <f t="shared" si="155"/>
        <v>Thu</v>
      </c>
      <c r="F1235" t="s">
        <v>182</v>
      </c>
      <c r="G1235" t="s">
        <v>79</v>
      </c>
      <c r="H1235" t="s">
        <v>17</v>
      </c>
      <c r="I1235" s="2" t="str">
        <f t="shared" si="152"/>
        <v>Central</v>
      </c>
      <c r="J1235" t="s">
        <v>42</v>
      </c>
      <c r="K1235" t="s">
        <v>28</v>
      </c>
      <c r="L1235">
        <v>1</v>
      </c>
      <c r="M1235">
        <v>120</v>
      </c>
      <c r="N1235">
        <f t="shared" si="156"/>
        <v>120</v>
      </c>
      <c r="O1235">
        <f t="shared" si="157"/>
        <v>12</v>
      </c>
      <c r="P1235" t="str">
        <f t="shared" si="158"/>
        <v>Standard Order</v>
      </c>
      <c r="Q1235" t="str">
        <f t="shared" si="159"/>
        <v>Weekday</v>
      </c>
    </row>
    <row r="1236" spans="1:17" x14ac:dyDescent="0.35">
      <c r="A1236" t="s">
        <v>1386</v>
      </c>
      <c r="B1236" s="7">
        <v>45479</v>
      </c>
      <c r="C1236" s="13">
        <f t="shared" si="153"/>
        <v>2024</v>
      </c>
      <c r="D1236" s="7" t="str">
        <f t="shared" si="154"/>
        <v>Jul</v>
      </c>
      <c r="E1236" s="7" t="str">
        <f t="shared" si="155"/>
        <v>Sat</v>
      </c>
      <c r="F1236" t="s">
        <v>20</v>
      </c>
      <c r="G1236" t="s">
        <v>96</v>
      </c>
      <c r="H1236" t="s">
        <v>22</v>
      </c>
      <c r="I1236" s="2" t="str">
        <f t="shared" si="152"/>
        <v>East</v>
      </c>
      <c r="J1236" t="s">
        <v>306</v>
      </c>
      <c r="K1236" t="s">
        <v>23</v>
      </c>
      <c r="L1236">
        <v>11</v>
      </c>
      <c r="M1236">
        <v>120</v>
      </c>
      <c r="N1236">
        <f t="shared" si="156"/>
        <v>1320</v>
      </c>
      <c r="O1236">
        <f t="shared" si="157"/>
        <v>132</v>
      </c>
      <c r="P1236" t="str">
        <f t="shared" si="158"/>
        <v>Large Order</v>
      </c>
      <c r="Q1236" t="str">
        <f t="shared" si="159"/>
        <v>Weekend</v>
      </c>
    </row>
    <row r="1237" spans="1:17" x14ac:dyDescent="0.35">
      <c r="A1237" t="s">
        <v>1387</v>
      </c>
      <c r="B1237" s="7">
        <v>45468</v>
      </c>
      <c r="C1237" s="13">
        <f t="shared" si="153"/>
        <v>2024</v>
      </c>
      <c r="D1237" s="7" t="str">
        <f t="shared" si="154"/>
        <v>Jun</v>
      </c>
      <c r="E1237" s="7" t="str">
        <f t="shared" si="155"/>
        <v>Tue</v>
      </c>
      <c r="F1237" t="s">
        <v>182</v>
      </c>
      <c r="G1237" t="s">
        <v>79</v>
      </c>
      <c r="H1237" t="s">
        <v>17</v>
      </c>
      <c r="I1237" s="2" t="str">
        <f t="shared" si="152"/>
        <v>North</v>
      </c>
      <c r="J1237" t="s">
        <v>42</v>
      </c>
      <c r="K1237" t="s">
        <v>32</v>
      </c>
      <c r="L1237">
        <v>8</v>
      </c>
      <c r="M1237">
        <v>120</v>
      </c>
      <c r="N1237">
        <f t="shared" si="156"/>
        <v>960</v>
      </c>
      <c r="O1237">
        <f t="shared" si="157"/>
        <v>96</v>
      </c>
      <c r="P1237" t="str">
        <f t="shared" si="158"/>
        <v>Large Order</v>
      </c>
      <c r="Q1237" t="str">
        <f t="shared" si="159"/>
        <v>Weekday</v>
      </c>
    </row>
    <row r="1238" spans="1:17" x14ac:dyDescent="0.35">
      <c r="A1238" t="s">
        <v>1388</v>
      </c>
      <c r="B1238" s="7">
        <v>45595</v>
      </c>
      <c r="C1238" s="13">
        <f t="shared" si="153"/>
        <v>2024</v>
      </c>
      <c r="D1238" s="7" t="str">
        <f t="shared" si="154"/>
        <v>Oct</v>
      </c>
      <c r="E1238" s="7" t="str">
        <f t="shared" si="155"/>
        <v>Wed</v>
      </c>
      <c r="F1238" t="s">
        <v>81</v>
      </c>
      <c r="G1238" t="s">
        <v>74</v>
      </c>
      <c r="H1238" t="s">
        <v>22</v>
      </c>
      <c r="I1238" s="2" t="str">
        <f t="shared" si="152"/>
        <v>West</v>
      </c>
      <c r="J1238" t="s">
        <v>12</v>
      </c>
      <c r="K1238" t="s">
        <v>13</v>
      </c>
      <c r="L1238">
        <v>4</v>
      </c>
      <c r="M1238">
        <v>120</v>
      </c>
      <c r="N1238">
        <f t="shared" si="156"/>
        <v>480</v>
      </c>
      <c r="O1238">
        <f t="shared" si="157"/>
        <v>48</v>
      </c>
      <c r="P1238" t="str">
        <f t="shared" si="158"/>
        <v>Standard Order</v>
      </c>
      <c r="Q1238" t="str">
        <f t="shared" si="159"/>
        <v>Weekday</v>
      </c>
    </row>
    <row r="1239" spans="1:17" x14ac:dyDescent="0.35">
      <c r="A1239" t="s">
        <v>1389</v>
      </c>
      <c r="B1239" s="7">
        <v>45567</v>
      </c>
      <c r="C1239" s="13">
        <f t="shared" si="153"/>
        <v>2024</v>
      </c>
      <c r="D1239" s="7" t="str">
        <f t="shared" si="154"/>
        <v>Oct</v>
      </c>
      <c r="E1239" s="7" t="str">
        <f t="shared" si="155"/>
        <v>Wed</v>
      </c>
      <c r="F1239" t="s">
        <v>187</v>
      </c>
      <c r="G1239" t="s">
        <v>41</v>
      </c>
      <c r="H1239" t="s">
        <v>11</v>
      </c>
      <c r="I1239" s="2" t="str">
        <f t="shared" si="152"/>
        <v>West</v>
      </c>
      <c r="J1239" t="s">
        <v>27</v>
      </c>
      <c r="K1239" t="s">
        <v>23</v>
      </c>
      <c r="L1239">
        <v>14</v>
      </c>
      <c r="M1239">
        <v>120</v>
      </c>
      <c r="N1239">
        <f t="shared" si="156"/>
        <v>1680</v>
      </c>
      <c r="O1239">
        <f t="shared" si="157"/>
        <v>168</v>
      </c>
      <c r="P1239" t="str">
        <f t="shared" si="158"/>
        <v>Large Order</v>
      </c>
      <c r="Q1239" t="str">
        <f t="shared" si="159"/>
        <v>Weekday</v>
      </c>
    </row>
    <row r="1240" spans="1:17" x14ac:dyDescent="0.35">
      <c r="A1240" t="s">
        <v>1390</v>
      </c>
      <c r="B1240" s="7">
        <v>45428</v>
      </c>
      <c r="C1240" s="13">
        <f t="shared" si="153"/>
        <v>2024</v>
      </c>
      <c r="D1240" s="7" t="str">
        <f t="shared" si="154"/>
        <v>May</v>
      </c>
      <c r="E1240" s="7" t="str">
        <f t="shared" si="155"/>
        <v>Thu</v>
      </c>
      <c r="F1240" t="s">
        <v>138</v>
      </c>
      <c r="G1240" t="s">
        <v>59</v>
      </c>
      <c r="H1240" t="s">
        <v>22</v>
      </c>
      <c r="I1240" s="2" t="str">
        <f t="shared" si="152"/>
        <v>Central</v>
      </c>
      <c r="J1240" t="s">
        <v>27</v>
      </c>
      <c r="K1240" t="s">
        <v>23</v>
      </c>
      <c r="L1240">
        <v>1</v>
      </c>
      <c r="M1240">
        <v>120</v>
      </c>
      <c r="N1240">
        <f t="shared" si="156"/>
        <v>120</v>
      </c>
      <c r="O1240">
        <f t="shared" si="157"/>
        <v>12</v>
      </c>
      <c r="P1240" t="str">
        <f t="shared" si="158"/>
        <v>Standard Order</v>
      </c>
      <c r="Q1240" t="str">
        <f t="shared" si="159"/>
        <v>Weekday</v>
      </c>
    </row>
    <row r="1241" spans="1:17" x14ac:dyDescent="0.35">
      <c r="A1241" t="s">
        <v>1391</v>
      </c>
      <c r="B1241" s="7">
        <v>45584</v>
      </c>
      <c r="C1241" s="13">
        <f t="shared" si="153"/>
        <v>2024</v>
      </c>
      <c r="D1241" s="7" t="str">
        <f t="shared" si="154"/>
        <v>Oct</v>
      </c>
      <c r="E1241" s="7" t="str">
        <f t="shared" si="155"/>
        <v>Sat</v>
      </c>
      <c r="F1241" t="s">
        <v>53</v>
      </c>
      <c r="G1241" t="s">
        <v>102</v>
      </c>
      <c r="H1241" t="s">
        <v>17</v>
      </c>
      <c r="I1241" s="2" t="str">
        <f t="shared" si="152"/>
        <v>East</v>
      </c>
      <c r="J1241" t="s">
        <v>306</v>
      </c>
      <c r="K1241" t="s">
        <v>28</v>
      </c>
      <c r="L1241">
        <v>16</v>
      </c>
      <c r="M1241">
        <v>120</v>
      </c>
      <c r="N1241">
        <f t="shared" si="156"/>
        <v>1920</v>
      </c>
      <c r="O1241">
        <f t="shared" si="157"/>
        <v>192</v>
      </c>
      <c r="P1241" t="str">
        <f t="shared" si="158"/>
        <v>Large Order</v>
      </c>
      <c r="Q1241" t="str">
        <f t="shared" si="159"/>
        <v>Weekend</v>
      </c>
    </row>
    <row r="1242" spans="1:17" x14ac:dyDescent="0.35">
      <c r="A1242" t="s">
        <v>1392</v>
      </c>
      <c r="B1242" s="7">
        <v>45464</v>
      </c>
      <c r="C1242" s="13">
        <f t="shared" si="153"/>
        <v>2024</v>
      </c>
      <c r="D1242" s="7" t="str">
        <f t="shared" si="154"/>
        <v>Jun</v>
      </c>
      <c r="E1242" s="7" t="str">
        <f t="shared" si="155"/>
        <v>Fri</v>
      </c>
      <c r="F1242" t="s">
        <v>432</v>
      </c>
      <c r="G1242" t="s">
        <v>45</v>
      </c>
      <c r="H1242" t="s">
        <v>22</v>
      </c>
      <c r="I1242" s="2" t="str">
        <f t="shared" si="152"/>
        <v>North</v>
      </c>
      <c r="J1242" t="s">
        <v>42</v>
      </c>
      <c r="K1242" t="s">
        <v>23</v>
      </c>
      <c r="L1242">
        <v>20</v>
      </c>
      <c r="M1242">
        <v>120</v>
      </c>
      <c r="N1242">
        <f t="shared" si="156"/>
        <v>2400</v>
      </c>
      <c r="O1242">
        <f t="shared" si="157"/>
        <v>240</v>
      </c>
      <c r="P1242" t="str">
        <f t="shared" si="158"/>
        <v>Large Order</v>
      </c>
      <c r="Q1242" t="str">
        <f t="shared" si="159"/>
        <v>Weekday</v>
      </c>
    </row>
    <row r="1243" spans="1:17" x14ac:dyDescent="0.35">
      <c r="A1243" t="s">
        <v>1393</v>
      </c>
      <c r="B1243" s="7">
        <v>45395</v>
      </c>
      <c r="C1243" s="13">
        <f t="shared" si="153"/>
        <v>2024</v>
      </c>
      <c r="D1243" s="7" t="str">
        <f t="shared" si="154"/>
        <v>Apr</v>
      </c>
      <c r="E1243" s="7" t="str">
        <f t="shared" si="155"/>
        <v>Sat</v>
      </c>
      <c r="F1243" t="s">
        <v>432</v>
      </c>
      <c r="G1243" t="s">
        <v>174</v>
      </c>
      <c r="H1243" t="s">
        <v>22</v>
      </c>
      <c r="I1243" s="2" t="str">
        <f t="shared" si="152"/>
        <v>South</v>
      </c>
      <c r="J1243" t="s">
        <v>12</v>
      </c>
      <c r="K1243" t="s">
        <v>13</v>
      </c>
      <c r="L1243">
        <v>7</v>
      </c>
      <c r="M1243">
        <v>120</v>
      </c>
      <c r="N1243">
        <f t="shared" si="156"/>
        <v>840</v>
      </c>
      <c r="O1243">
        <f t="shared" si="157"/>
        <v>84</v>
      </c>
      <c r="P1243" t="str">
        <f t="shared" si="158"/>
        <v>Large Order</v>
      </c>
      <c r="Q1243" t="str">
        <f t="shared" si="159"/>
        <v>Weekend</v>
      </c>
    </row>
    <row r="1244" spans="1:17" x14ac:dyDescent="0.35">
      <c r="A1244" t="s">
        <v>1394</v>
      </c>
      <c r="B1244" s="7">
        <v>45444</v>
      </c>
      <c r="C1244" s="13">
        <f t="shared" si="153"/>
        <v>2024</v>
      </c>
      <c r="D1244" s="7" t="str">
        <f t="shared" si="154"/>
        <v>Jun</v>
      </c>
      <c r="E1244" s="7" t="str">
        <f t="shared" si="155"/>
        <v>Sat</v>
      </c>
      <c r="F1244" t="s">
        <v>314</v>
      </c>
      <c r="G1244" t="s">
        <v>109</v>
      </c>
      <c r="H1244" t="s">
        <v>17</v>
      </c>
      <c r="I1244" s="2" t="str">
        <f t="shared" si="152"/>
        <v>East</v>
      </c>
      <c r="J1244" t="s">
        <v>56</v>
      </c>
      <c r="K1244" t="s">
        <v>36</v>
      </c>
      <c r="L1244">
        <v>3</v>
      </c>
      <c r="M1244">
        <v>120</v>
      </c>
      <c r="N1244">
        <f t="shared" si="156"/>
        <v>360</v>
      </c>
      <c r="O1244">
        <f t="shared" si="157"/>
        <v>36</v>
      </c>
      <c r="P1244" t="str">
        <f t="shared" si="158"/>
        <v>Standard Order</v>
      </c>
      <c r="Q1244" t="str">
        <f t="shared" si="159"/>
        <v>Weekend</v>
      </c>
    </row>
    <row r="1245" spans="1:17" x14ac:dyDescent="0.35">
      <c r="A1245" t="s">
        <v>1395</v>
      </c>
      <c r="B1245" s="7">
        <v>45340</v>
      </c>
      <c r="C1245" s="13">
        <f t="shared" si="153"/>
        <v>2024</v>
      </c>
      <c r="D1245" s="7" t="str">
        <f t="shared" si="154"/>
        <v>Feb</v>
      </c>
      <c r="E1245" s="7" t="str">
        <f t="shared" si="155"/>
        <v>Sun</v>
      </c>
      <c r="F1245" t="s">
        <v>449</v>
      </c>
      <c r="G1245" t="s">
        <v>10</v>
      </c>
      <c r="H1245" t="s">
        <v>17</v>
      </c>
      <c r="I1245" s="2" t="str">
        <f t="shared" si="152"/>
        <v>North</v>
      </c>
      <c r="J1245" t="s">
        <v>42</v>
      </c>
      <c r="K1245" t="s">
        <v>23</v>
      </c>
      <c r="L1245">
        <v>19</v>
      </c>
      <c r="M1245">
        <v>120</v>
      </c>
      <c r="N1245">
        <f t="shared" si="156"/>
        <v>2280</v>
      </c>
      <c r="O1245">
        <f t="shared" si="157"/>
        <v>228</v>
      </c>
      <c r="P1245" t="str">
        <f t="shared" si="158"/>
        <v>Large Order</v>
      </c>
      <c r="Q1245" t="str">
        <f t="shared" si="159"/>
        <v>Weekend</v>
      </c>
    </row>
    <row r="1246" spans="1:17" x14ac:dyDescent="0.35">
      <c r="A1246" t="s">
        <v>1396</v>
      </c>
      <c r="B1246" s="7">
        <v>45510</v>
      </c>
      <c r="C1246" s="13">
        <f t="shared" si="153"/>
        <v>2024</v>
      </c>
      <c r="D1246" s="7" t="str">
        <f t="shared" si="154"/>
        <v>Aug</v>
      </c>
      <c r="E1246" s="7" t="str">
        <f t="shared" si="155"/>
        <v>Tue</v>
      </c>
      <c r="F1246" t="s">
        <v>95</v>
      </c>
      <c r="G1246" t="s">
        <v>21</v>
      </c>
      <c r="H1246" t="s">
        <v>17</v>
      </c>
      <c r="I1246" s="2" t="str">
        <f t="shared" si="152"/>
        <v>East</v>
      </c>
      <c r="J1246" t="s">
        <v>12</v>
      </c>
      <c r="K1246" t="s">
        <v>32</v>
      </c>
      <c r="L1246">
        <v>10</v>
      </c>
      <c r="M1246">
        <v>120</v>
      </c>
      <c r="N1246">
        <f t="shared" si="156"/>
        <v>1200</v>
      </c>
      <c r="O1246">
        <f t="shared" si="157"/>
        <v>120</v>
      </c>
      <c r="P1246" t="str">
        <f t="shared" si="158"/>
        <v>Large Order</v>
      </c>
      <c r="Q1246" t="str">
        <f t="shared" si="159"/>
        <v>Weekday</v>
      </c>
    </row>
    <row r="1247" spans="1:17" x14ac:dyDescent="0.35">
      <c r="A1247" t="s">
        <v>1397</v>
      </c>
      <c r="B1247" s="7">
        <v>45513</v>
      </c>
      <c r="C1247" s="13">
        <f t="shared" si="153"/>
        <v>2024</v>
      </c>
      <c r="D1247" s="7" t="str">
        <f t="shared" si="154"/>
        <v>Aug</v>
      </c>
      <c r="E1247" s="7" t="str">
        <f t="shared" si="155"/>
        <v>Fri</v>
      </c>
      <c r="F1247" t="s">
        <v>371</v>
      </c>
      <c r="G1247" t="s">
        <v>65</v>
      </c>
      <c r="H1247" t="s">
        <v>22</v>
      </c>
      <c r="I1247" s="2" t="str">
        <f t="shared" si="152"/>
        <v>Central</v>
      </c>
      <c r="J1247" t="s">
        <v>42</v>
      </c>
      <c r="K1247" t="s">
        <v>36</v>
      </c>
      <c r="L1247">
        <v>14</v>
      </c>
      <c r="M1247">
        <v>120</v>
      </c>
      <c r="N1247">
        <f t="shared" si="156"/>
        <v>1680</v>
      </c>
      <c r="O1247">
        <f t="shared" si="157"/>
        <v>168</v>
      </c>
      <c r="P1247" t="str">
        <f t="shared" si="158"/>
        <v>Large Order</v>
      </c>
      <c r="Q1247" t="str">
        <f t="shared" si="159"/>
        <v>Weekday</v>
      </c>
    </row>
    <row r="1248" spans="1:17" x14ac:dyDescent="0.35">
      <c r="A1248" t="s">
        <v>1398</v>
      </c>
      <c r="B1248" s="7">
        <v>45555</v>
      </c>
      <c r="C1248" s="13">
        <f t="shared" si="153"/>
        <v>2024</v>
      </c>
      <c r="D1248" s="7" t="str">
        <f t="shared" si="154"/>
        <v>Sep</v>
      </c>
      <c r="E1248" s="7" t="str">
        <f t="shared" si="155"/>
        <v>Fri</v>
      </c>
      <c r="F1248" t="s">
        <v>366</v>
      </c>
      <c r="G1248" t="s">
        <v>45</v>
      </c>
      <c r="H1248" t="s">
        <v>22</v>
      </c>
      <c r="I1248" s="2" t="str">
        <f t="shared" si="152"/>
        <v>South</v>
      </c>
      <c r="J1248" t="s">
        <v>306</v>
      </c>
      <c r="K1248" t="s">
        <v>36</v>
      </c>
      <c r="L1248">
        <v>1</v>
      </c>
      <c r="M1248">
        <v>120</v>
      </c>
      <c r="N1248">
        <f t="shared" si="156"/>
        <v>120</v>
      </c>
      <c r="O1248">
        <f t="shared" si="157"/>
        <v>12</v>
      </c>
      <c r="P1248" t="str">
        <f t="shared" si="158"/>
        <v>Standard Order</v>
      </c>
      <c r="Q1248" t="str">
        <f t="shared" si="159"/>
        <v>Weekday</v>
      </c>
    </row>
    <row r="1249" spans="1:17" x14ac:dyDescent="0.35">
      <c r="A1249" t="s">
        <v>1399</v>
      </c>
      <c r="B1249" s="7">
        <v>45387</v>
      </c>
      <c r="C1249" s="13">
        <f t="shared" si="153"/>
        <v>2024</v>
      </c>
      <c r="D1249" s="7" t="str">
        <f t="shared" si="154"/>
        <v>Apr</v>
      </c>
      <c r="E1249" s="7" t="str">
        <f t="shared" si="155"/>
        <v>Fri</v>
      </c>
      <c r="F1249" t="s">
        <v>314</v>
      </c>
      <c r="G1249" t="s">
        <v>41</v>
      </c>
      <c r="H1249" t="s">
        <v>17</v>
      </c>
      <c r="I1249" s="2" t="str">
        <f t="shared" si="152"/>
        <v>Central</v>
      </c>
      <c r="J1249" t="s">
        <v>56</v>
      </c>
      <c r="K1249" t="s">
        <v>36</v>
      </c>
      <c r="L1249">
        <v>15</v>
      </c>
      <c r="M1249">
        <v>120</v>
      </c>
      <c r="N1249">
        <f t="shared" si="156"/>
        <v>1800</v>
      </c>
      <c r="O1249">
        <f t="shared" si="157"/>
        <v>180</v>
      </c>
      <c r="P1249" t="str">
        <f t="shared" si="158"/>
        <v>Large Order</v>
      </c>
      <c r="Q1249" t="str">
        <f t="shared" si="159"/>
        <v>Weekday</v>
      </c>
    </row>
    <row r="1250" spans="1:17" x14ac:dyDescent="0.35">
      <c r="A1250" t="s">
        <v>1400</v>
      </c>
      <c r="B1250" s="7">
        <v>45606</v>
      </c>
      <c r="C1250" s="13">
        <f t="shared" si="153"/>
        <v>2024</v>
      </c>
      <c r="D1250" s="7" t="str">
        <f t="shared" si="154"/>
        <v>Nov</v>
      </c>
      <c r="E1250" s="7" t="str">
        <f t="shared" si="155"/>
        <v>Sun</v>
      </c>
      <c r="F1250" t="s">
        <v>337</v>
      </c>
      <c r="G1250" t="s">
        <v>84</v>
      </c>
      <c r="H1250" t="s">
        <v>17</v>
      </c>
      <c r="I1250" s="2" t="str">
        <f t="shared" si="152"/>
        <v>South</v>
      </c>
      <c r="J1250" t="s">
        <v>306</v>
      </c>
      <c r="K1250" t="s">
        <v>32</v>
      </c>
      <c r="L1250">
        <v>2</v>
      </c>
      <c r="M1250">
        <v>120</v>
      </c>
      <c r="N1250">
        <f t="shared" si="156"/>
        <v>240</v>
      </c>
      <c r="O1250">
        <f t="shared" si="157"/>
        <v>24</v>
      </c>
      <c r="P1250" t="str">
        <f t="shared" si="158"/>
        <v>Standard Order</v>
      </c>
      <c r="Q1250" t="str">
        <f t="shared" si="159"/>
        <v>Weekend</v>
      </c>
    </row>
    <row r="1251" spans="1:17" x14ac:dyDescent="0.35">
      <c r="A1251" t="s">
        <v>1401</v>
      </c>
      <c r="B1251" s="7">
        <v>45528</v>
      </c>
      <c r="C1251" s="13">
        <f t="shared" si="153"/>
        <v>2024</v>
      </c>
      <c r="D1251" s="7" t="str">
        <f t="shared" si="154"/>
        <v>Aug</v>
      </c>
      <c r="E1251" s="7" t="str">
        <f t="shared" si="155"/>
        <v>Sat</v>
      </c>
      <c r="F1251" t="s">
        <v>167</v>
      </c>
      <c r="G1251" t="s">
        <v>84</v>
      </c>
      <c r="H1251" t="s">
        <v>11</v>
      </c>
      <c r="I1251" s="2" t="str">
        <f t="shared" si="152"/>
        <v>South</v>
      </c>
      <c r="J1251" t="s">
        <v>56</v>
      </c>
      <c r="K1251" t="s">
        <v>23</v>
      </c>
      <c r="L1251">
        <v>10</v>
      </c>
      <c r="M1251">
        <v>120</v>
      </c>
      <c r="N1251">
        <f t="shared" si="156"/>
        <v>1200</v>
      </c>
      <c r="O1251">
        <f t="shared" si="157"/>
        <v>120</v>
      </c>
      <c r="P1251" t="str">
        <f t="shared" si="158"/>
        <v>Large Order</v>
      </c>
      <c r="Q1251" t="str">
        <f t="shared" si="159"/>
        <v>Weekend</v>
      </c>
    </row>
    <row r="1252" spans="1:17" x14ac:dyDescent="0.35">
      <c r="A1252" t="s">
        <v>1402</v>
      </c>
      <c r="B1252" s="7">
        <v>45455</v>
      </c>
      <c r="C1252" s="13">
        <f t="shared" si="153"/>
        <v>2024</v>
      </c>
      <c r="D1252" s="7" t="str">
        <f t="shared" si="154"/>
        <v>Jun</v>
      </c>
      <c r="E1252" s="7" t="str">
        <f t="shared" si="155"/>
        <v>Wed</v>
      </c>
      <c r="F1252" t="s">
        <v>58</v>
      </c>
      <c r="G1252" t="s">
        <v>87</v>
      </c>
      <c r="H1252" t="s">
        <v>22</v>
      </c>
      <c r="I1252" s="2" t="str">
        <f t="shared" si="152"/>
        <v>South</v>
      </c>
      <c r="J1252" t="s">
        <v>56</v>
      </c>
      <c r="K1252" t="s">
        <v>28</v>
      </c>
      <c r="L1252">
        <v>9</v>
      </c>
      <c r="M1252">
        <v>120</v>
      </c>
      <c r="N1252">
        <f t="shared" si="156"/>
        <v>1080</v>
      </c>
      <c r="O1252">
        <f t="shared" si="157"/>
        <v>108</v>
      </c>
      <c r="P1252" t="str">
        <f t="shared" si="158"/>
        <v>Large Order</v>
      </c>
      <c r="Q1252" t="str">
        <f t="shared" si="159"/>
        <v>Weekday</v>
      </c>
    </row>
    <row r="1253" spans="1:17" x14ac:dyDescent="0.35">
      <c r="A1253" t="s">
        <v>1403</v>
      </c>
      <c r="B1253" s="7">
        <v>45423</v>
      </c>
      <c r="C1253" s="13">
        <f t="shared" si="153"/>
        <v>2024</v>
      </c>
      <c r="D1253" s="7" t="str">
        <f t="shared" si="154"/>
        <v>May</v>
      </c>
      <c r="E1253" s="7" t="str">
        <f t="shared" si="155"/>
        <v>Sat</v>
      </c>
      <c r="F1253" t="s">
        <v>455</v>
      </c>
      <c r="G1253" t="s">
        <v>31</v>
      </c>
      <c r="H1253" t="s">
        <v>22</v>
      </c>
      <c r="I1253" s="2" t="str">
        <f t="shared" si="152"/>
        <v>West</v>
      </c>
      <c r="J1253" t="s">
        <v>56</v>
      </c>
      <c r="K1253" t="s">
        <v>28</v>
      </c>
      <c r="L1253">
        <v>8</v>
      </c>
      <c r="M1253">
        <v>120</v>
      </c>
      <c r="N1253">
        <f t="shared" si="156"/>
        <v>960</v>
      </c>
      <c r="O1253">
        <f t="shared" si="157"/>
        <v>96</v>
      </c>
      <c r="P1253" t="str">
        <f t="shared" si="158"/>
        <v>Large Order</v>
      </c>
      <c r="Q1253" t="str">
        <f t="shared" si="159"/>
        <v>Weekend</v>
      </c>
    </row>
    <row r="1254" spans="1:17" x14ac:dyDescent="0.35">
      <c r="A1254" t="s">
        <v>1404</v>
      </c>
      <c r="B1254" s="7">
        <v>45306</v>
      </c>
      <c r="C1254" s="13">
        <f t="shared" si="153"/>
        <v>2024</v>
      </c>
      <c r="D1254" s="7" t="str">
        <f t="shared" si="154"/>
        <v>Jan</v>
      </c>
      <c r="E1254" s="7" t="str">
        <f t="shared" si="155"/>
        <v>Mon</v>
      </c>
      <c r="F1254" t="s">
        <v>78</v>
      </c>
      <c r="G1254" t="s">
        <v>35</v>
      </c>
      <c r="H1254" t="s">
        <v>17</v>
      </c>
      <c r="I1254" s="2" t="str">
        <f t="shared" si="152"/>
        <v>South</v>
      </c>
      <c r="J1254" t="s">
        <v>27</v>
      </c>
      <c r="K1254" t="s">
        <v>23</v>
      </c>
      <c r="L1254">
        <v>18</v>
      </c>
      <c r="M1254">
        <v>120</v>
      </c>
      <c r="N1254">
        <f t="shared" si="156"/>
        <v>2160</v>
      </c>
      <c r="O1254">
        <f t="shared" si="157"/>
        <v>216</v>
      </c>
      <c r="P1254" t="str">
        <f t="shared" si="158"/>
        <v>Large Order</v>
      </c>
      <c r="Q1254" t="str">
        <f t="shared" si="159"/>
        <v>Weekday</v>
      </c>
    </row>
    <row r="1255" spans="1:17" x14ac:dyDescent="0.35">
      <c r="A1255" t="s">
        <v>1405</v>
      </c>
      <c r="B1255" s="7">
        <v>45623</v>
      </c>
      <c r="C1255" s="13">
        <f t="shared" si="153"/>
        <v>2024</v>
      </c>
      <c r="D1255" s="7" t="str">
        <f t="shared" si="154"/>
        <v>Nov</v>
      </c>
      <c r="E1255" s="7" t="str">
        <f t="shared" si="155"/>
        <v>Wed</v>
      </c>
      <c r="F1255" t="s">
        <v>122</v>
      </c>
      <c r="G1255" t="s">
        <v>26</v>
      </c>
      <c r="H1255" t="s">
        <v>11</v>
      </c>
      <c r="I1255" s="2" t="str">
        <f t="shared" si="152"/>
        <v>North</v>
      </c>
      <c r="J1255" t="s">
        <v>56</v>
      </c>
      <c r="K1255" t="s">
        <v>32</v>
      </c>
      <c r="L1255">
        <v>5</v>
      </c>
      <c r="M1255">
        <v>120</v>
      </c>
      <c r="N1255">
        <f t="shared" si="156"/>
        <v>600</v>
      </c>
      <c r="O1255">
        <f t="shared" si="157"/>
        <v>60</v>
      </c>
      <c r="P1255" t="str">
        <f t="shared" si="158"/>
        <v>Large Order</v>
      </c>
      <c r="Q1255" t="str">
        <f t="shared" si="159"/>
        <v>Weekday</v>
      </c>
    </row>
    <row r="1256" spans="1:17" x14ac:dyDescent="0.35">
      <c r="A1256" t="s">
        <v>1406</v>
      </c>
      <c r="B1256" s="7">
        <v>45629</v>
      </c>
      <c r="C1256" s="13">
        <f t="shared" si="153"/>
        <v>2024</v>
      </c>
      <c r="D1256" s="7" t="str">
        <f t="shared" si="154"/>
        <v>Dec</v>
      </c>
      <c r="E1256" s="7" t="str">
        <f t="shared" si="155"/>
        <v>Tue</v>
      </c>
      <c r="F1256" t="s">
        <v>378</v>
      </c>
      <c r="G1256" t="s">
        <v>84</v>
      </c>
      <c r="H1256" t="s">
        <v>11</v>
      </c>
      <c r="I1256" s="2" t="str">
        <f t="shared" si="152"/>
        <v>East</v>
      </c>
      <c r="J1256" t="s">
        <v>12</v>
      </c>
      <c r="K1256" t="s">
        <v>13</v>
      </c>
      <c r="L1256">
        <v>16</v>
      </c>
      <c r="M1256">
        <v>120</v>
      </c>
      <c r="N1256">
        <f t="shared" si="156"/>
        <v>1920</v>
      </c>
      <c r="O1256">
        <f t="shared" si="157"/>
        <v>192</v>
      </c>
      <c r="P1256" t="str">
        <f t="shared" si="158"/>
        <v>Large Order</v>
      </c>
      <c r="Q1256" t="str">
        <f t="shared" si="159"/>
        <v>Weekday</v>
      </c>
    </row>
    <row r="1257" spans="1:17" x14ac:dyDescent="0.35">
      <c r="A1257" t="s">
        <v>1407</v>
      </c>
      <c r="B1257" s="7">
        <v>45334</v>
      </c>
      <c r="C1257" s="13">
        <f t="shared" si="153"/>
        <v>2024</v>
      </c>
      <c r="D1257" s="7" t="str">
        <f t="shared" si="154"/>
        <v>Feb</v>
      </c>
      <c r="E1257" s="7" t="str">
        <f t="shared" si="155"/>
        <v>Mon</v>
      </c>
      <c r="F1257" t="s">
        <v>38</v>
      </c>
      <c r="G1257" t="s">
        <v>10</v>
      </c>
      <c r="H1257" t="s">
        <v>22</v>
      </c>
      <c r="I1257" s="2" t="str">
        <f t="shared" si="152"/>
        <v>South</v>
      </c>
      <c r="J1257" t="s">
        <v>42</v>
      </c>
      <c r="K1257" t="s">
        <v>13</v>
      </c>
      <c r="L1257">
        <v>14</v>
      </c>
      <c r="M1257">
        <v>120</v>
      </c>
      <c r="N1257">
        <f t="shared" si="156"/>
        <v>1680</v>
      </c>
      <c r="O1257">
        <f t="shared" si="157"/>
        <v>168</v>
      </c>
      <c r="P1257" t="str">
        <f t="shared" si="158"/>
        <v>Large Order</v>
      </c>
      <c r="Q1257" t="str">
        <f t="shared" si="159"/>
        <v>Weekday</v>
      </c>
    </row>
    <row r="1258" spans="1:17" x14ac:dyDescent="0.35">
      <c r="A1258" t="s">
        <v>1408</v>
      </c>
      <c r="B1258" s="7">
        <v>45495</v>
      </c>
      <c r="C1258" s="13">
        <f t="shared" si="153"/>
        <v>2024</v>
      </c>
      <c r="D1258" s="7" t="str">
        <f t="shared" si="154"/>
        <v>Jul</v>
      </c>
      <c r="E1258" s="7" t="str">
        <f t="shared" si="155"/>
        <v>Mon</v>
      </c>
      <c r="F1258" t="s">
        <v>329</v>
      </c>
      <c r="G1258" t="s">
        <v>102</v>
      </c>
      <c r="H1258" t="s">
        <v>11</v>
      </c>
      <c r="I1258" s="2" t="str">
        <f t="shared" si="152"/>
        <v>Central</v>
      </c>
      <c r="J1258" t="s">
        <v>56</v>
      </c>
      <c r="K1258" t="s">
        <v>13</v>
      </c>
      <c r="L1258">
        <v>19</v>
      </c>
      <c r="M1258">
        <v>120</v>
      </c>
      <c r="N1258">
        <f t="shared" si="156"/>
        <v>2280</v>
      </c>
      <c r="O1258">
        <f t="shared" si="157"/>
        <v>228</v>
      </c>
      <c r="P1258" t="str">
        <f t="shared" si="158"/>
        <v>Large Order</v>
      </c>
      <c r="Q1258" t="str">
        <f t="shared" si="159"/>
        <v>Weekday</v>
      </c>
    </row>
    <row r="1259" spans="1:17" x14ac:dyDescent="0.35">
      <c r="A1259" t="s">
        <v>1409</v>
      </c>
      <c r="B1259" s="7">
        <v>45559</v>
      </c>
      <c r="C1259" s="13">
        <f t="shared" si="153"/>
        <v>2024</v>
      </c>
      <c r="D1259" s="7" t="str">
        <f t="shared" si="154"/>
        <v>Sep</v>
      </c>
      <c r="E1259" s="7" t="str">
        <f t="shared" si="155"/>
        <v>Tue</v>
      </c>
      <c r="F1259" t="s">
        <v>317</v>
      </c>
      <c r="G1259" t="s">
        <v>26</v>
      </c>
      <c r="H1259" t="s">
        <v>22</v>
      </c>
      <c r="I1259" s="2" t="str">
        <f t="shared" si="152"/>
        <v>East</v>
      </c>
      <c r="J1259" t="s">
        <v>306</v>
      </c>
      <c r="K1259" t="s">
        <v>28</v>
      </c>
      <c r="L1259">
        <v>16</v>
      </c>
      <c r="M1259">
        <v>120</v>
      </c>
      <c r="N1259">
        <f t="shared" si="156"/>
        <v>1920</v>
      </c>
      <c r="O1259">
        <f t="shared" si="157"/>
        <v>192</v>
      </c>
      <c r="P1259" t="str">
        <f t="shared" si="158"/>
        <v>Large Order</v>
      </c>
      <c r="Q1259" t="str">
        <f t="shared" si="159"/>
        <v>Weekday</v>
      </c>
    </row>
    <row r="1260" spans="1:17" x14ac:dyDescent="0.35">
      <c r="A1260" t="s">
        <v>1410</v>
      </c>
      <c r="B1260" s="7">
        <v>45599</v>
      </c>
      <c r="C1260" s="13">
        <f t="shared" si="153"/>
        <v>2024</v>
      </c>
      <c r="D1260" s="7" t="str">
        <f t="shared" si="154"/>
        <v>Nov</v>
      </c>
      <c r="E1260" s="7" t="str">
        <f t="shared" si="155"/>
        <v>Sun</v>
      </c>
      <c r="F1260" t="s">
        <v>114</v>
      </c>
      <c r="G1260" t="s">
        <v>59</v>
      </c>
      <c r="H1260" t="s">
        <v>17</v>
      </c>
      <c r="I1260" s="2" t="str">
        <f t="shared" si="152"/>
        <v>North</v>
      </c>
      <c r="J1260" t="s">
        <v>42</v>
      </c>
      <c r="K1260" t="s">
        <v>28</v>
      </c>
      <c r="L1260">
        <v>13</v>
      </c>
      <c r="M1260">
        <v>120</v>
      </c>
      <c r="N1260">
        <f t="shared" si="156"/>
        <v>1560</v>
      </c>
      <c r="O1260">
        <f t="shared" si="157"/>
        <v>156</v>
      </c>
      <c r="P1260" t="str">
        <f t="shared" si="158"/>
        <v>Large Order</v>
      </c>
      <c r="Q1260" t="str">
        <f t="shared" si="159"/>
        <v>Weekend</v>
      </c>
    </row>
    <row r="1261" spans="1:17" x14ac:dyDescent="0.35">
      <c r="A1261" t="s">
        <v>1411</v>
      </c>
      <c r="B1261" s="7">
        <v>45508</v>
      </c>
      <c r="C1261" s="13">
        <f t="shared" si="153"/>
        <v>2024</v>
      </c>
      <c r="D1261" s="7" t="str">
        <f t="shared" si="154"/>
        <v>Aug</v>
      </c>
      <c r="E1261" s="7" t="str">
        <f t="shared" si="155"/>
        <v>Sun</v>
      </c>
      <c r="F1261" t="s">
        <v>133</v>
      </c>
      <c r="G1261" t="s">
        <v>45</v>
      </c>
      <c r="H1261" t="s">
        <v>11</v>
      </c>
      <c r="I1261" s="2" t="str">
        <f t="shared" si="152"/>
        <v>North</v>
      </c>
      <c r="J1261" t="s">
        <v>12</v>
      </c>
      <c r="K1261" t="s">
        <v>23</v>
      </c>
      <c r="L1261">
        <v>7</v>
      </c>
      <c r="M1261">
        <v>120</v>
      </c>
      <c r="N1261">
        <f t="shared" si="156"/>
        <v>840</v>
      </c>
      <c r="O1261">
        <f t="shared" si="157"/>
        <v>84</v>
      </c>
      <c r="P1261" t="str">
        <f t="shared" si="158"/>
        <v>Large Order</v>
      </c>
      <c r="Q1261" t="str">
        <f t="shared" si="159"/>
        <v>Weekend</v>
      </c>
    </row>
    <row r="1262" spans="1:17" x14ac:dyDescent="0.35">
      <c r="A1262" t="s">
        <v>1412</v>
      </c>
      <c r="B1262" s="7">
        <v>45501</v>
      </c>
      <c r="C1262" s="13">
        <f t="shared" si="153"/>
        <v>2024</v>
      </c>
      <c r="D1262" s="7" t="str">
        <f t="shared" si="154"/>
        <v>Jul</v>
      </c>
      <c r="E1262" s="7" t="str">
        <f t="shared" si="155"/>
        <v>Sun</v>
      </c>
      <c r="F1262" t="s">
        <v>230</v>
      </c>
      <c r="G1262" t="s">
        <v>35</v>
      </c>
      <c r="H1262" t="s">
        <v>22</v>
      </c>
      <c r="I1262" s="2" t="str">
        <f t="shared" si="152"/>
        <v>West</v>
      </c>
      <c r="J1262" t="s">
        <v>12</v>
      </c>
      <c r="K1262" t="s">
        <v>13</v>
      </c>
      <c r="L1262">
        <v>18</v>
      </c>
      <c r="M1262">
        <v>120</v>
      </c>
      <c r="N1262">
        <f t="shared" si="156"/>
        <v>2160</v>
      </c>
      <c r="O1262">
        <f t="shared" si="157"/>
        <v>216</v>
      </c>
      <c r="P1262" t="str">
        <f t="shared" si="158"/>
        <v>Large Order</v>
      </c>
      <c r="Q1262" t="str">
        <f t="shared" si="159"/>
        <v>Weekend</v>
      </c>
    </row>
    <row r="1263" spans="1:17" x14ac:dyDescent="0.35">
      <c r="A1263" t="s">
        <v>1413</v>
      </c>
      <c r="B1263" s="7">
        <v>45454</v>
      </c>
      <c r="C1263" s="13">
        <f t="shared" si="153"/>
        <v>2024</v>
      </c>
      <c r="D1263" s="7" t="str">
        <f t="shared" si="154"/>
        <v>Jun</v>
      </c>
      <c r="E1263" s="7" t="str">
        <f t="shared" si="155"/>
        <v>Tue</v>
      </c>
      <c r="F1263" t="s">
        <v>591</v>
      </c>
      <c r="G1263" t="s">
        <v>41</v>
      </c>
      <c r="H1263" t="s">
        <v>17</v>
      </c>
      <c r="I1263" s="2" t="str">
        <f t="shared" si="152"/>
        <v>East</v>
      </c>
      <c r="J1263" t="s">
        <v>27</v>
      </c>
      <c r="K1263" t="s">
        <v>28</v>
      </c>
      <c r="L1263">
        <v>8</v>
      </c>
      <c r="M1263">
        <v>120</v>
      </c>
      <c r="N1263">
        <f t="shared" si="156"/>
        <v>960</v>
      </c>
      <c r="O1263">
        <f t="shared" si="157"/>
        <v>96</v>
      </c>
      <c r="P1263" t="str">
        <f t="shared" si="158"/>
        <v>Large Order</v>
      </c>
      <c r="Q1263" t="str">
        <f t="shared" si="159"/>
        <v>Weekday</v>
      </c>
    </row>
    <row r="1264" spans="1:17" x14ac:dyDescent="0.35">
      <c r="A1264" t="s">
        <v>1414</v>
      </c>
      <c r="B1264" s="7">
        <v>45477</v>
      </c>
      <c r="C1264" s="13">
        <f t="shared" si="153"/>
        <v>2024</v>
      </c>
      <c r="D1264" s="7" t="str">
        <f t="shared" si="154"/>
        <v>Jul</v>
      </c>
      <c r="E1264" s="7" t="str">
        <f t="shared" si="155"/>
        <v>Thu</v>
      </c>
      <c r="F1264" t="s">
        <v>553</v>
      </c>
      <c r="G1264" t="s">
        <v>74</v>
      </c>
      <c r="H1264" t="s">
        <v>22</v>
      </c>
      <c r="I1264" s="2" t="str">
        <f t="shared" si="152"/>
        <v>North</v>
      </c>
      <c r="J1264" t="s">
        <v>42</v>
      </c>
      <c r="K1264" t="s">
        <v>36</v>
      </c>
      <c r="L1264">
        <v>1</v>
      </c>
      <c r="M1264">
        <v>120</v>
      </c>
      <c r="N1264">
        <f t="shared" si="156"/>
        <v>120</v>
      </c>
      <c r="O1264">
        <f t="shared" si="157"/>
        <v>12</v>
      </c>
      <c r="P1264" t="str">
        <f t="shared" si="158"/>
        <v>Standard Order</v>
      </c>
      <c r="Q1264" t="str">
        <f t="shared" si="159"/>
        <v>Weekday</v>
      </c>
    </row>
    <row r="1265" spans="1:17" x14ac:dyDescent="0.35">
      <c r="A1265" t="s">
        <v>1415</v>
      </c>
      <c r="B1265" s="7">
        <v>45309</v>
      </c>
      <c r="C1265" s="13">
        <f t="shared" si="153"/>
        <v>2024</v>
      </c>
      <c r="D1265" s="7" t="str">
        <f t="shared" si="154"/>
        <v>Jan</v>
      </c>
      <c r="E1265" s="7" t="str">
        <f t="shared" si="155"/>
        <v>Thu</v>
      </c>
      <c r="F1265" t="s">
        <v>304</v>
      </c>
      <c r="G1265" t="s">
        <v>62</v>
      </c>
      <c r="H1265" t="s">
        <v>22</v>
      </c>
      <c r="I1265" s="2" t="str">
        <f t="shared" si="152"/>
        <v>East</v>
      </c>
      <c r="J1265" t="s">
        <v>12</v>
      </c>
      <c r="K1265" t="s">
        <v>23</v>
      </c>
      <c r="L1265">
        <v>8</v>
      </c>
      <c r="M1265">
        <v>120</v>
      </c>
      <c r="N1265">
        <f t="shared" si="156"/>
        <v>960</v>
      </c>
      <c r="O1265">
        <f t="shared" si="157"/>
        <v>96</v>
      </c>
      <c r="P1265" t="str">
        <f t="shared" si="158"/>
        <v>Large Order</v>
      </c>
      <c r="Q1265" t="str">
        <f t="shared" si="159"/>
        <v>Weekday</v>
      </c>
    </row>
    <row r="1266" spans="1:17" x14ac:dyDescent="0.35">
      <c r="A1266" t="s">
        <v>1416</v>
      </c>
      <c r="B1266" s="7">
        <v>45450</v>
      </c>
      <c r="C1266" s="13">
        <f t="shared" si="153"/>
        <v>2024</v>
      </c>
      <c r="D1266" s="7" t="str">
        <f t="shared" si="154"/>
        <v>Jun</v>
      </c>
      <c r="E1266" s="7" t="str">
        <f t="shared" si="155"/>
        <v>Fri</v>
      </c>
      <c r="F1266" t="s">
        <v>541</v>
      </c>
      <c r="G1266" t="s">
        <v>41</v>
      </c>
      <c r="H1266" t="s">
        <v>22</v>
      </c>
      <c r="I1266" s="2" t="str">
        <f t="shared" si="152"/>
        <v>West</v>
      </c>
      <c r="J1266" t="s">
        <v>42</v>
      </c>
      <c r="K1266" t="s">
        <v>28</v>
      </c>
      <c r="L1266">
        <v>4</v>
      </c>
      <c r="M1266">
        <v>120</v>
      </c>
      <c r="N1266">
        <f t="shared" si="156"/>
        <v>480</v>
      </c>
      <c r="O1266">
        <f t="shared" si="157"/>
        <v>48</v>
      </c>
      <c r="P1266" t="str">
        <f t="shared" si="158"/>
        <v>Standard Order</v>
      </c>
      <c r="Q1266" t="str">
        <f t="shared" si="159"/>
        <v>Weekday</v>
      </c>
    </row>
    <row r="1267" spans="1:17" x14ac:dyDescent="0.35">
      <c r="A1267" t="s">
        <v>1417</v>
      </c>
      <c r="B1267" s="7">
        <v>45518</v>
      </c>
      <c r="C1267" s="13">
        <f t="shared" si="153"/>
        <v>2024</v>
      </c>
      <c r="D1267" s="7" t="str">
        <f t="shared" si="154"/>
        <v>Aug</v>
      </c>
      <c r="E1267" s="7" t="str">
        <f t="shared" si="155"/>
        <v>Wed</v>
      </c>
      <c r="F1267" t="s">
        <v>53</v>
      </c>
      <c r="G1267" t="s">
        <v>26</v>
      </c>
      <c r="H1267" t="s">
        <v>11</v>
      </c>
      <c r="I1267" s="2" t="str">
        <f t="shared" si="152"/>
        <v>West</v>
      </c>
      <c r="J1267" t="s">
        <v>27</v>
      </c>
      <c r="K1267" t="s">
        <v>28</v>
      </c>
      <c r="L1267">
        <v>10</v>
      </c>
      <c r="M1267">
        <v>120</v>
      </c>
      <c r="N1267">
        <f t="shared" si="156"/>
        <v>1200</v>
      </c>
      <c r="O1267">
        <f t="shared" si="157"/>
        <v>120</v>
      </c>
      <c r="P1267" t="str">
        <f t="shared" si="158"/>
        <v>Large Order</v>
      </c>
      <c r="Q1267" t="str">
        <f t="shared" si="159"/>
        <v>Weekday</v>
      </c>
    </row>
    <row r="1268" spans="1:17" x14ac:dyDescent="0.35">
      <c r="A1268" t="s">
        <v>1418</v>
      </c>
      <c r="B1268" s="7">
        <v>45444</v>
      </c>
      <c r="C1268" s="13">
        <f t="shared" si="153"/>
        <v>2024</v>
      </c>
      <c r="D1268" s="7" t="str">
        <f t="shared" si="154"/>
        <v>Jun</v>
      </c>
      <c r="E1268" s="7" t="str">
        <f t="shared" si="155"/>
        <v>Sat</v>
      </c>
      <c r="F1268" t="s">
        <v>95</v>
      </c>
      <c r="G1268" t="s">
        <v>21</v>
      </c>
      <c r="H1268" t="s">
        <v>11</v>
      </c>
      <c r="I1268" s="2" t="str">
        <f t="shared" si="152"/>
        <v>West</v>
      </c>
      <c r="J1268" t="s">
        <v>27</v>
      </c>
      <c r="K1268" t="s">
        <v>23</v>
      </c>
      <c r="L1268">
        <v>11</v>
      </c>
      <c r="M1268">
        <v>120</v>
      </c>
      <c r="N1268">
        <f t="shared" si="156"/>
        <v>1320</v>
      </c>
      <c r="O1268">
        <f t="shared" si="157"/>
        <v>132</v>
      </c>
      <c r="P1268" t="str">
        <f t="shared" si="158"/>
        <v>Large Order</v>
      </c>
      <c r="Q1268" t="str">
        <f t="shared" si="159"/>
        <v>Weekend</v>
      </c>
    </row>
    <row r="1269" spans="1:17" x14ac:dyDescent="0.35">
      <c r="A1269" t="s">
        <v>1419</v>
      </c>
      <c r="B1269" s="7">
        <v>45309</v>
      </c>
      <c r="C1269" s="13">
        <f t="shared" si="153"/>
        <v>2024</v>
      </c>
      <c r="D1269" s="7" t="str">
        <f t="shared" si="154"/>
        <v>Jan</v>
      </c>
      <c r="E1269" s="7" t="str">
        <f t="shared" si="155"/>
        <v>Thu</v>
      </c>
      <c r="F1269" t="s">
        <v>89</v>
      </c>
      <c r="G1269" t="s">
        <v>35</v>
      </c>
      <c r="H1269" t="s">
        <v>11</v>
      </c>
      <c r="I1269" s="2" t="str">
        <f t="shared" si="152"/>
        <v>East</v>
      </c>
      <c r="J1269" t="s">
        <v>27</v>
      </c>
      <c r="K1269" t="s">
        <v>32</v>
      </c>
      <c r="L1269">
        <v>14</v>
      </c>
      <c r="M1269">
        <v>120</v>
      </c>
      <c r="N1269">
        <f t="shared" si="156"/>
        <v>1680</v>
      </c>
      <c r="O1269">
        <f t="shared" si="157"/>
        <v>168</v>
      </c>
      <c r="P1269" t="str">
        <f t="shared" si="158"/>
        <v>Large Order</v>
      </c>
      <c r="Q1269" t="str">
        <f t="shared" si="159"/>
        <v>Weekday</v>
      </c>
    </row>
    <row r="1270" spans="1:17" x14ac:dyDescent="0.35">
      <c r="A1270" t="s">
        <v>1420</v>
      </c>
      <c r="B1270" s="7">
        <v>45508</v>
      </c>
      <c r="C1270" s="13">
        <f t="shared" si="153"/>
        <v>2024</v>
      </c>
      <c r="D1270" s="7" t="str">
        <f t="shared" si="154"/>
        <v>Aug</v>
      </c>
      <c r="E1270" s="7" t="str">
        <f t="shared" si="155"/>
        <v>Sun</v>
      </c>
      <c r="F1270" t="s">
        <v>108</v>
      </c>
      <c r="G1270" t="s">
        <v>160</v>
      </c>
      <c r="H1270" t="s">
        <v>11</v>
      </c>
      <c r="I1270" s="2" t="str">
        <f t="shared" si="152"/>
        <v>West</v>
      </c>
      <c r="J1270" t="s">
        <v>42</v>
      </c>
      <c r="K1270" t="s">
        <v>36</v>
      </c>
      <c r="L1270">
        <v>3</v>
      </c>
      <c r="M1270">
        <v>120</v>
      </c>
      <c r="N1270">
        <f t="shared" si="156"/>
        <v>360</v>
      </c>
      <c r="O1270">
        <f t="shared" si="157"/>
        <v>36</v>
      </c>
      <c r="P1270" t="str">
        <f t="shared" si="158"/>
        <v>Standard Order</v>
      </c>
      <c r="Q1270" t="str">
        <f t="shared" si="159"/>
        <v>Weekend</v>
      </c>
    </row>
    <row r="1271" spans="1:17" x14ac:dyDescent="0.35">
      <c r="A1271" t="s">
        <v>1421</v>
      </c>
      <c r="B1271" s="7">
        <v>45572</v>
      </c>
      <c r="C1271" s="13">
        <f t="shared" si="153"/>
        <v>2024</v>
      </c>
      <c r="D1271" s="7" t="str">
        <f t="shared" si="154"/>
        <v>Oct</v>
      </c>
      <c r="E1271" s="7" t="str">
        <f t="shared" si="155"/>
        <v>Mon</v>
      </c>
      <c r="F1271" t="s">
        <v>304</v>
      </c>
      <c r="G1271" t="s">
        <v>62</v>
      </c>
      <c r="H1271" t="s">
        <v>17</v>
      </c>
      <c r="I1271" s="2" t="str">
        <f t="shared" si="152"/>
        <v>South</v>
      </c>
      <c r="J1271" t="s">
        <v>27</v>
      </c>
      <c r="K1271" t="s">
        <v>28</v>
      </c>
      <c r="L1271">
        <v>1</v>
      </c>
      <c r="M1271">
        <v>120</v>
      </c>
      <c r="N1271">
        <f t="shared" si="156"/>
        <v>120</v>
      </c>
      <c r="O1271">
        <f t="shared" si="157"/>
        <v>12</v>
      </c>
      <c r="P1271" t="str">
        <f t="shared" si="158"/>
        <v>Standard Order</v>
      </c>
      <c r="Q1271" t="str">
        <f t="shared" si="159"/>
        <v>Weekday</v>
      </c>
    </row>
    <row r="1272" spans="1:17" x14ac:dyDescent="0.35">
      <c r="A1272" t="s">
        <v>1422</v>
      </c>
      <c r="B1272" s="7">
        <v>45614</v>
      </c>
      <c r="C1272" s="13">
        <f t="shared" si="153"/>
        <v>2024</v>
      </c>
      <c r="D1272" s="7" t="str">
        <f t="shared" si="154"/>
        <v>Nov</v>
      </c>
      <c r="E1272" s="7" t="str">
        <f t="shared" si="155"/>
        <v>Mon</v>
      </c>
      <c r="F1272" t="s">
        <v>396</v>
      </c>
      <c r="G1272" t="s">
        <v>96</v>
      </c>
      <c r="H1272" t="s">
        <v>22</v>
      </c>
      <c r="I1272" s="2" t="str">
        <f t="shared" si="152"/>
        <v>North</v>
      </c>
      <c r="J1272" t="s">
        <v>56</v>
      </c>
      <c r="K1272" t="s">
        <v>32</v>
      </c>
      <c r="L1272">
        <v>13</v>
      </c>
      <c r="M1272">
        <v>120</v>
      </c>
      <c r="N1272">
        <f t="shared" si="156"/>
        <v>1560</v>
      </c>
      <c r="O1272">
        <f t="shared" si="157"/>
        <v>156</v>
      </c>
      <c r="P1272" t="str">
        <f t="shared" si="158"/>
        <v>Large Order</v>
      </c>
      <c r="Q1272" t="str">
        <f t="shared" si="159"/>
        <v>Weekday</v>
      </c>
    </row>
    <row r="1273" spans="1:17" x14ac:dyDescent="0.35">
      <c r="A1273" t="s">
        <v>1423</v>
      </c>
      <c r="B1273" s="7">
        <v>45452</v>
      </c>
      <c r="C1273" s="13">
        <f t="shared" si="153"/>
        <v>2024</v>
      </c>
      <c r="D1273" s="7" t="str">
        <f t="shared" si="154"/>
        <v>Jun</v>
      </c>
      <c r="E1273" s="7" t="str">
        <f t="shared" si="155"/>
        <v>Sun</v>
      </c>
      <c r="F1273" t="s">
        <v>314</v>
      </c>
      <c r="G1273" t="s">
        <v>45</v>
      </c>
      <c r="H1273" t="s">
        <v>11</v>
      </c>
      <c r="I1273" s="2" t="str">
        <f t="shared" si="152"/>
        <v>East</v>
      </c>
      <c r="J1273" t="s">
        <v>12</v>
      </c>
      <c r="K1273" t="s">
        <v>28</v>
      </c>
      <c r="L1273">
        <v>8</v>
      </c>
      <c r="M1273">
        <v>120</v>
      </c>
      <c r="N1273">
        <f t="shared" si="156"/>
        <v>960</v>
      </c>
      <c r="O1273">
        <f t="shared" si="157"/>
        <v>96</v>
      </c>
      <c r="P1273" t="str">
        <f t="shared" si="158"/>
        <v>Large Order</v>
      </c>
      <c r="Q1273" t="str">
        <f t="shared" si="159"/>
        <v>Weekend</v>
      </c>
    </row>
    <row r="1274" spans="1:17" x14ac:dyDescent="0.35">
      <c r="A1274" t="s">
        <v>1424</v>
      </c>
      <c r="B1274" s="7">
        <v>45596</v>
      </c>
      <c r="C1274" s="13">
        <f t="shared" si="153"/>
        <v>2024</v>
      </c>
      <c r="D1274" s="7" t="str">
        <f t="shared" si="154"/>
        <v>Oct</v>
      </c>
      <c r="E1274" s="7" t="str">
        <f t="shared" si="155"/>
        <v>Thu</v>
      </c>
      <c r="F1274" t="s">
        <v>455</v>
      </c>
      <c r="G1274" t="s">
        <v>70</v>
      </c>
      <c r="H1274" t="s">
        <v>17</v>
      </c>
      <c r="I1274" s="2" t="str">
        <f t="shared" si="152"/>
        <v>Central</v>
      </c>
      <c r="J1274" t="s">
        <v>42</v>
      </c>
      <c r="K1274" t="s">
        <v>28</v>
      </c>
      <c r="L1274">
        <v>16</v>
      </c>
      <c r="M1274">
        <v>120</v>
      </c>
      <c r="N1274">
        <f t="shared" si="156"/>
        <v>1920</v>
      </c>
      <c r="O1274">
        <f t="shared" si="157"/>
        <v>192</v>
      </c>
      <c r="P1274" t="str">
        <f t="shared" si="158"/>
        <v>Large Order</v>
      </c>
      <c r="Q1274" t="str">
        <f t="shared" si="159"/>
        <v>Weekday</v>
      </c>
    </row>
    <row r="1275" spans="1:17" x14ac:dyDescent="0.35">
      <c r="A1275" t="s">
        <v>1425</v>
      </c>
      <c r="B1275" s="7">
        <v>45425</v>
      </c>
      <c r="C1275" s="13">
        <f t="shared" si="153"/>
        <v>2024</v>
      </c>
      <c r="D1275" s="7" t="str">
        <f t="shared" si="154"/>
        <v>May</v>
      </c>
      <c r="E1275" s="7" t="str">
        <f t="shared" si="155"/>
        <v>Mon</v>
      </c>
      <c r="F1275" t="s">
        <v>235</v>
      </c>
      <c r="G1275" t="s">
        <v>72</v>
      </c>
      <c r="H1275" t="s">
        <v>22</v>
      </c>
      <c r="I1275" s="2" t="str">
        <f t="shared" si="152"/>
        <v>West</v>
      </c>
      <c r="J1275" t="s">
        <v>306</v>
      </c>
      <c r="K1275" t="s">
        <v>23</v>
      </c>
      <c r="L1275">
        <v>10</v>
      </c>
      <c r="M1275">
        <v>120</v>
      </c>
      <c r="N1275">
        <f t="shared" si="156"/>
        <v>1200</v>
      </c>
      <c r="O1275">
        <f t="shared" si="157"/>
        <v>120</v>
      </c>
      <c r="P1275" t="str">
        <f t="shared" si="158"/>
        <v>Large Order</v>
      </c>
      <c r="Q1275" t="str">
        <f t="shared" si="159"/>
        <v>Weekday</v>
      </c>
    </row>
    <row r="1276" spans="1:17" x14ac:dyDescent="0.35">
      <c r="A1276" t="s">
        <v>1426</v>
      </c>
      <c r="B1276" s="7">
        <v>45480</v>
      </c>
      <c r="C1276" s="13">
        <f t="shared" si="153"/>
        <v>2024</v>
      </c>
      <c r="D1276" s="7" t="str">
        <f t="shared" si="154"/>
        <v>Jul</v>
      </c>
      <c r="E1276" s="7" t="str">
        <f t="shared" si="155"/>
        <v>Sun</v>
      </c>
      <c r="F1276" t="s">
        <v>44</v>
      </c>
      <c r="G1276" t="s">
        <v>59</v>
      </c>
      <c r="H1276" t="s">
        <v>17</v>
      </c>
      <c r="I1276" s="2" t="str">
        <f t="shared" si="152"/>
        <v>South</v>
      </c>
      <c r="J1276" t="s">
        <v>27</v>
      </c>
      <c r="K1276" t="s">
        <v>13</v>
      </c>
      <c r="L1276">
        <v>8</v>
      </c>
      <c r="M1276">
        <v>120</v>
      </c>
      <c r="N1276">
        <f t="shared" si="156"/>
        <v>960</v>
      </c>
      <c r="O1276">
        <f t="shared" si="157"/>
        <v>96</v>
      </c>
      <c r="P1276" t="str">
        <f t="shared" si="158"/>
        <v>Large Order</v>
      </c>
      <c r="Q1276" t="str">
        <f t="shared" si="159"/>
        <v>Weekend</v>
      </c>
    </row>
    <row r="1277" spans="1:17" x14ac:dyDescent="0.35">
      <c r="A1277" t="s">
        <v>1427</v>
      </c>
      <c r="B1277" s="7">
        <v>45577</v>
      </c>
      <c r="C1277" s="13">
        <f t="shared" si="153"/>
        <v>2024</v>
      </c>
      <c r="D1277" s="7" t="str">
        <f t="shared" si="154"/>
        <v>Oct</v>
      </c>
      <c r="E1277" s="7" t="str">
        <f t="shared" si="155"/>
        <v>Sat</v>
      </c>
      <c r="F1277" t="s">
        <v>736</v>
      </c>
      <c r="G1277" t="s">
        <v>10</v>
      </c>
      <c r="H1277" t="s">
        <v>22</v>
      </c>
      <c r="I1277" s="2" t="str">
        <f t="shared" si="152"/>
        <v>West</v>
      </c>
      <c r="J1277" t="s">
        <v>56</v>
      </c>
      <c r="K1277" t="s">
        <v>28</v>
      </c>
      <c r="L1277">
        <v>15</v>
      </c>
      <c r="M1277">
        <v>120</v>
      </c>
      <c r="N1277">
        <f t="shared" si="156"/>
        <v>1800</v>
      </c>
      <c r="O1277">
        <f t="shared" si="157"/>
        <v>180</v>
      </c>
      <c r="P1277" t="str">
        <f t="shared" si="158"/>
        <v>Large Order</v>
      </c>
      <c r="Q1277" t="str">
        <f t="shared" si="159"/>
        <v>Weekend</v>
      </c>
    </row>
    <row r="1278" spans="1:17" x14ac:dyDescent="0.35">
      <c r="A1278" t="s">
        <v>1428</v>
      </c>
      <c r="B1278" s="7">
        <v>45317</v>
      </c>
      <c r="C1278" s="13">
        <f t="shared" si="153"/>
        <v>2024</v>
      </c>
      <c r="D1278" s="7" t="str">
        <f t="shared" si="154"/>
        <v>Jan</v>
      </c>
      <c r="E1278" s="7" t="str">
        <f t="shared" si="155"/>
        <v>Fri</v>
      </c>
      <c r="F1278" t="s">
        <v>341</v>
      </c>
      <c r="G1278" t="s">
        <v>109</v>
      </c>
      <c r="H1278" t="s">
        <v>22</v>
      </c>
      <c r="I1278" s="2" t="str">
        <f t="shared" si="152"/>
        <v>North</v>
      </c>
      <c r="J1278" t="s">
        <v>27</v>
      </c>
      <c r="K1278" t="s">
        <v>32</v>
      </c>
      <c r="L1278">
        <v>9</v>
      </c>
      <c r="M1278">
        <v>120</v>
      </c>
      <c r="N1278">
        <f t="shared" si="156"/>
        <v>1080</v>
      </c>
      <c r="O1278">
        <f t="shared" si="157"/>
        <v>108</v>
      </c>
      <c r="P1278" t="str">
        <f t="shared" si="158"/>
        <v>Large Order</v>
      </c>
      <c r="Q1278" t="str">
        <f t="shared" si="159"/>
        <v>Weekday</v>
      </c>
    </row>
    <row r="1279" spans="1:17" x14ac:dyDescent="0.35">
      <c r="A1279" t="s">
        <v>1429</v>
      </c>
      <c r="B1279" s="7">
        <v>45379</v>
      </c>
      <c r="C1279" s="13">
        <f t="shared" si="153"/>
        <v>2024</v>
      </c>
      <c r="D1279" s="7" t="str">
        <f t="shared" si="154"/>
        <v>Mar</v>
      </c>
      <c r="E1279" s="7" t="str">
        <f t="shared" si="155"/>
        <v>Thu</v>
      </c>
      <c r="F1279" t="s">
        <v>614</v>
      </c>
      <c r="G1279" t="s">
        <v>62</v>
      </c>
      <c r="H1279" t="s">
        <v>11</v>
      </c>
      <c r="I1279" s="2" t="str">
        <f t="shared" si="152"/>
        <v>South</v>
      </c>
      <c r="J1279" t="s">
        <v>12</v>
      </c>
      <c r="K1279" t="s">
        <v>23</v>
      </c>
      <c r="L1279">
        <v>17</v>
      </c>
      <c r="M1279">
        <v>120</v>
      </c>
      <c r="N1279">
        <f t="shared" si="156"/>
        <v>2040</v>
      </c>
      <c r="O1279">
        <f t="shared" si="157"/>
        <v>204</v>
      </c>
      <c r="P1279" t="str">
        <f t="shared" si="158"/>
        <v>Large Order</v>
      </c>
      <c r="Q1279" t="str">
        <f t="shared" si="159"/>
        <v>Weekday</v>
      </c>
    </row>
    <row r="1280" spans="1:17" x14ac:dyDescent="0.35">
      <c r="A1280" t="s">
        <v>1430</v>
      </c>
      <c r="B1280" s="7">
        <v>45636</v>
      </c>
      <c r="C1280" s="13">
        <f t="shared" si="153"/>
        <v>2024</v>
      </c>
      <c r="D1280" s="7" t="str">
        <f t="shared" si="154"/>
        <v>Dec</v>
      </c>
      <c r="E1280" s="7" t="str">
        <f t="shared" si="155"/>
        <v>Tue</v>
      </c>
      <c r="F1280" t="s">
        <v>432</v>
      </c>
      <c r="G1280" t="s">
        <v>62</v>
      </c>
      <c r="H1280" t="s">
        <v>11</v>
      </c>
      <c r="I1280" s="2" t="str">
        <f t="shared" si="152"/>
        <v>West</v>
      </c>
      <c r="J1280" t="s">
        <v>56</v>
      </c>
      <c r="K1280" t="s">
        <v>32</v>
      </c>
      <c r="L1280">
        <v>7</v>
      </c>
      <c r="M1280">
        <v>120</v>
      </c>
      <c r="N1280">
        <f t="shared" si="156"/>
        <v>840</v>
      </c>
      <c r="O1280">
        <f t="shared" si="157"/>
        <v>84</v>
      </c>
      <c r="P1280" t="str">
        <f t="shared" si="158"/>
        <v>Large Order</v>
      </c>
      <c r="Q1280" t="str">
        <f t="shared" si="159"/>
        <v>Weekday</v>
      </c>
    </row>
    <row r="1281" spans="1:17" x14ac:dyDescent="0.35">
      <c r="A1281" t="s">
        <v>1431</v>
      </c>
      <c r="B1281" s="7">
        <v>45439</v>
      </c>
      <c r="C1281" s="13">
        <f t="shared" si="153"/>
        <v>2024</v>
      </c>
      <c r="D1281" s="7" t="str">
        <f t="shared" si="154"/>
        <v>May</v>
      </c>
      <c r="E1281" s="7" t="str">
        <f t="shared" si="155"/>
        <v>Mon</v>
      </c>
      <c r="F1281" t="s">
        <v>323</v>
      </c>
      <c r="G1281" t="s">
        <v>16</v>
      </c>
      <c r="H1281" t="s">
        <v>17</v>
      </c>
      <c r="I1281" s="2" t="str">
        <f t="shared" si="152"/>
        <v>South</v>
      </c>
      <c r="J1281" t="s">
        <v>27</v>
      </c>
      <c r="K1281" t="s">
        <v>36</v>
      </c>
      <c r="L1281">
        <v>14</v>
      </c>
      <c r="M1281">
        <v>120</v>
      </c>
      <c r="N1281">
        <f t="shared" si="156"/>
        <v>1680</v>
      </c>
      <c r="O1281">
        <f t="shared" si="157"/>
        <v>168</v>
      </c>
      <c r="P1281" t="str">
        <f t="shared" si="158"/>
        <v>Large Order</v>
      </c>
      <c r="Q1281" t="str">
        <f t="shared" si="159"/>
        <v>Weekday</v>
      </c>
    </row>
    <row r="1282" spans="1:17" x14ac:dyDescent="0.35">
      <c r="A1282" t="s">
        <v>1432</v>
      </c>
      <c r="B1282" s="7">
        <v>45402</v>
      </c>
      <c r="C1282" s="13">
        <f t="shared" si="153"/>
        <v>2024</v>
      </c>
      <c r="D1282" s="7" t="str">
        <f t="shared" si="154"/>
        <v>Apr</v>
      </c>
      <c r="E1282" s="7" t="str">
        <f t="shared" si="155"/>
        <v>Sat</v>
      </c>
      <c r="F1282" t="s">
        <v>55</v>
      </c>
      <c r="G1282" t="s">
        <v>87</v>
      </c>
      <c r="H1282" t="s">
        <v>22</v>
      </c>
      <c r="I1282" s="2" t="str">
        <f t="shared" si="152"/>
        <v>South</v>
      </c>
      <c r="J1282" t="s">
        <v>56</v>
      </c>
      <c r="K1282" t="s">
        <v>28</v>
      </c>
      <c r="L1282">
        <v>6</v>
      </c>
      <c r="M1282">
        <v>120</v>
      </c>
      <c r="N1282">
        <f t="shared" si="156"/>
        <v>720</v>
      </c>
      <c r="O1282">
        <f t="shared" si="157"/>
        <v>72</v>
      </c>
      <c r="P1282" t="str">
        <f t="shared" si="158"/>
        <v>Large Order</v>
      </c>
      <c r="Q1282" t="str">
        <f t="shared" si="159"/>
        <v>Weekend</v>
      </c>
    </row>
    <row r="1283" spans="1:17" x14ac:dyDescent="0.35">
      <c r="A1283" t="s">
        <v>1433</v>
      </c>
      <c r="B1283" s="7">
        <v>45306</v>
      </c>
      <c r="C1283" s="13">
        <f t="shared" si="153"/>
        <v>2024</v>
      </c>
      <c r="D1283" s="7" t="str">
        <f t="shared" si="154"/>
        <v>Jan</v>
      </c>
      <c r="E1283" s="7" t="str">
        <f t="shared" si="155"/>
        <v>Mon</v>
      </c>
      <c r="F1283" t="s">
        <v>61</v>
      </c>
      <c r="G1283" t="s">
        <v>109</v>
      </c>
      <c r="H1283" t="s">
        <v>17</v>
      </c>
      <c r="I1283" s="2" t="str">
        <f t="shared" ref="I1283:I1346" si="160">TRIM(J1284)</f>
        <v>West</v>
      </c>
      <c r="J1283" t="s">
        <v>56</v>
      </c>
      <c r="K1283" t="s">
        <v>32</v>
      </c>
      <c r="L1283">
        <v>15</v>
      </c>
      <c r="M1283">
        <v>120</v>
      </c>
      <c r="N1283">
        <f t="shared" si="156"/>
        <v>1800</v>
      </c>
      <c r="O1283">
        <f t="shared" si="157"/>
        <v>180</v>
      </c>
      <c r="P1283" t="str">
        <f t="shared" si="158"/>
        <v>Large Order</v>
      </c>
      <c r="Q1283" t="str">
        <f t="shared" si="159"/>
        <v>Weekday</v>
      </c>
    </row>
    <row r="1284" spans="1:17" x14ac:dyDescent="0.35">
      <c r="A1284" t="s">
        <v>1434</v>
      </c>
      <c r="B1284" s="7">
        <v>45590</v>
      </c>
      <c r="C1284" s="13">
        <f t="shared" ref="C1284:C1347" si="161">YEAR(B1284)</f>
        <v>2024</v>
      </c>
      <c r="D1284" s="7" t="str">
        <f t="shared" ref="D1284:D1347" si="162">TEXT(B1284,"mmm")</f>
        <v>Oct</v>
      </c>
      <c r="E1284" s="7" t="str">
        <f t="shared" ref="E1284:E1347" si="163">TEXT(B1284,"ddd")</f>
        <v>Fri</v>
      </c>
      <c r="F1284" t="s">
        <v>455</v>
      </c>
      <c r="G1284" t="s">
        <v>10</v>
      </c>
      <c r="H1284" t="s">
        <v>22</v>
      </c>
      <c r="I1284" s="2" t="str">
        <f t="shared" si="160"/>
        <v>South</v>
      </c>
      <c r="J1284" t="s">
        <v>27</v>
      </c>
      <c r="K1284" t="s">
        <v>32</v>
      </c>
      <c r="L1284">
        <v>1</v>
      </c>
      <c r="M1284">
        <v>120</v>
      </c>
      <c r="N1284">
        <f t="shared" ref="N1284:N1347" si="164">M1284*L1284</f>
        <v>120</v>
      </c>
      <c r="O1284">
        <f t="shared" ref="O1284:O1347" si="165">N1284*0.1</f>
        <v>12</v>
      </c>
      <c r="P1284" t="str">
        <f t="shared" ref="P1284:P1347" si="166">IF(N1284&gt;500,"Large Order","Standard Order")</f>
        <v>Standard Order</v>
      </c>
      <c r="Q1284" t="str">
        <f t="shared" ref="Q1284:Q1347" si="167">IF(OR(TRIM(E1284)="Sat",TRIM(E1284)="Sun"),"Weekend","Weekday")</f>
        <v>Weekday</v>
      </c>
    </row>
    <row r="1285" spans="1:17" x14ac:dyDescent="0.35">
      <c r="A1285" t="s">
        <v>1435</v>
      </c>
      <c r="B1285" s="7">
        <v>45646</v>
      </c>
      <c r="C1285" s="13">
        <f t="shared" si="161"/>
        <v>2024</v>
      </c>
      <c r="D1285" s="7" t="str">
        <f t="shared" si="162"/>
        <v>Dec</v>
      </c>
      <c r="E1285" s="7" t="str">
        <f t="shared" si="163"/>
        <v>Fri</v>
      </c>
      <c r="F1285" t="s">
        <v>106</v>
      </c>
      <c r="G1285" t="s">
        <v>62</v>
      </c>
      <c r="H1285" t="s">
        <v>22</v>
      </c>
      <c r="I1285" s="2" t="str">
        <f t="shared" si="160"/>
        <v>Central</v>
      </c>
      <c r="J1285" t="s">
        <v>56</v>
      </c>
      <c r="K1285" t="s">
        <v>36</v>
      </c>
      <c r="L1285">
        <v>13</v>
      </c>
      <c r="M1285">
        <v>120</v>
      </c>
      <c r="N1285">
        <f t="shared" si="164"/>
        <v>1560</v>
      </c>
      <c r="O1285">
        <f t="shared" si="165"/>
        <v>156</v>
      </c>
      <c r="P1285" t="str">
        <f t="shared" si="166"/>
        <v>Large Order</v>
      </c>
      <c r="Q1285" t="str">
        <f t="shared" si="167"/>
        <v>Weekday</v>
      </c>
    </row>
    <row r="1286" spans="1:17" x14ac:dyDescent="0.35">
      <c r="A1286" t="s">
        <v>1436</v>
      </c>
      <c r="B1286" s="7">
        <v>45423</v>
      </c>
      <c r="C1286" s="13">
        <f t="shared" si="161"/>
        <v>2024</v>
      </c>
      <c r="D1286" s="7" t="str">
        <f t="shared" si="162"/>
        <v>May</v>
      </c>
      <c r="E1286" s="7" t="str">
        <f t="shared" si="163"/>
        <v>Sat</v>
      </c>
      <c r="F1286" t="s">
        <v>208</v>
      </c>
      <c r="G1286" t="s">
        <v>79</v>
      </c>
      <c r="H1286" t="s">
        <v>11</v>
      </c>
      <c r="I1286" s="2" t="str">
        <f t="shared" si="160"/>
        <v>Central</v>
      </c>
      <c r="J1286" t="s">
        <v>306</v>
      </c>
      <c r="K1286" t="s">
        <v>28</v>
      </c>
      <c r="L1286">
        <v>2</v>
      </c>
      <c r="M1286">
        <v>120</v>
      </c>
      <c r="N1286">
        <f t="shared" si="164"/>
        <v>240</v>
      </c>
      <c r="O1286">
        <f t="shared" si="165"/>
        <v>24</v>
      </c>
      <c r="P1286" t="str">
        <f t="shared" si="166"/>
        <v>Standard Order</v>
      </c>
      <c r="Q1286" t="str">
        <f t="shared" si="167"/>
        <v>Weekend</v>
      </c>
    </row>
    <row r="1287" spans="1:17" x14ac:dyDescent="0.35">
      <c r="A1287" t="s">
        <v>1437</v>
      </c>
      <c r="B1287" s="7">
        <v>45533</v>
      </c>
      <c r="C1287" s="13">
        <f t="shared" si="161"/>
        <v>2024</v>
      </c>
      <c r="D1287" s="7" t="str">
        <f t="shared" si="162"/>
        <v>Aug</v>
      </c>
      <c r="E1287" s="7" t="str">
        <f t="shared" si="163"/>
        <v>Thu</v>
      </c>
      <c r="F1287" t="s">
        <v>182</v>
      </c>
      <c r="G1287" t="s">
        <v>62</v>
      </c>
      <c r="H1287" t="s">
        <v>22</v>
      </c>
      <c r="I1287" s="2" t="str">
        <f t="shared" si="160"/>
        <v>West</v>
      </c>
      <c r="J1287" t="s">
        <v>306</v>
      </c>
      <c r="K1287" t="s">
        <v>36</v>
      </c>
      <c r="L1287">
        <v>2</v>
      </c>
      <c r="M1287">
        <v>120</v>
      </c>
      <c r="N1287">
        <f t="shared" si="164"/>
        <v>240</v>
      </c>
      <c r="O1287">
        <f t="shared" si="165"/>
        <v>24</v>
      </c>
      <c r="P1287" t="str">
        <f t="shared" si="166"/>
        <v>Standard Order</v>
      </c>
      <c r="Q1287" t="str">
        <f t="shared" si="167"/>
        <v>Weekday</v>
      </c>
    </row>
    <row r="1288" spans="1:17" x14ac:dyDescent="0.35">
      <c r="A1288" t="s">
        <v>1438</v>
      </c>
      <c r="B1288" s="7">
        <v>45609</v>
      </c>
      <c r="C1288" s="13">
        <f t="shared" si="161"/>
        <v>2024</v>
      </c>
      <c r="D1288" s="7" t="str">
        <f t="shared" si="162"/>
        <v>Nov</v>
      </c>
      <c r="E1288" s="7" t="str">
        <f t="shared" si="163"/>
        <v>Wed</v>
      </c>
      <c r="F1288" t="s">
        <v>159</v>
      </c>
      <c r="G1288" t="s">
        <v>41</v>
      </c>
      <c r="H1288" t="s">
        <v>17</v>
      </c>
      <c r="I1288" s="2" t="str">
        <f t="shared" si="160"/>
        <v>East</v>
      </c>
      <c r="J1288" t="s">
        <v>27</v>
      </c>
      <c r="K1288" t="s">
        <v>36</v>
      </c>
      <c r="L1288">
        <v>12</v>
      </c>
      <c r="M1288">
        <v>120</v>
      </c>
      <c r="N1288">
        <f t="shared" si="164"/>
        <v>1440</v>
      </c>
      <c r="O1288">
        <f t="shared" si="165"/>
        <v>144</v>
      </c>
      <c r="P1288" t="str">
        <f t="shared" si="166"/>
        <v>Large Order</v>
      </c>
      <c r="Q1288" t="str">
        <f t="shared" si="167"/>
        <v>Weekday</v>
      </c>
    </row>
    <row r="1289" spans="1:17" x14ac:dyDescent="0.35">
      <c r="A1289" t="s">
        <v>1439</v>
      </c>
      <c r="B1289" s="7">
        <v>45313</v>
      </c>
      <c r="C1289" s="13">
        <f t="shared" si="161"/>
        <v>2024</v>
      </c>
      <c r="D1289" s="7" t="str">
        <f t="shared" si="162"/>
        <v>Jan</v>
      </c>
      <c r="E1289" s="7" t="str">
        <f t="shared" si="163"/>
        <v>Mon</v>
      </c>
      <c r="F1289" t="s">
        <v>361</v>
      </c>
      <c r="G1289" t="s">
        <v>45</v>
      </c>
      <c r="H1289" t="s">
        <v>11</v>
      </c>
      <c r="I1289" s="2" t="str">
        <f t="shared" si="160"/>
        <v>East</v>
      </c>
      <c r="J1289" t="s">
        <v>42</v>
      </c>
      <c r="K1289" t="s">
        <v>32</v>
      </c>
      <c r="L1289">
        <v>17</v>
      </c>
      <c r="M1289">
        <v>120</v>
      </c>
      <c r="N1289">
        <f t="shared" si="164"/>
        <v>2040</v>
      </c>
      <c r="O1289">
        <f t="shared" si="165"/>
        <v>204</v>
      </c>
      <c r="P1289" t="str">
        <f t="shared" si="166"/>
        <v>Large Order</v>
      </c>
      <c r="Q1289" t="str">
        <f t="shared" si="167"/>
        <v>Weekday</v>
      </c>
    </row>
    <row r="1290" spans="1:17" x14ac:dyDescent="0.35">
      <c r="A1290" t="s">
        <v>1440</v>
      </c>
      <c r="B1290" s="7">
        <v>45531</v>
      </c>
      <c r="C1290" s="13">
        <f t="shared" si="161"/>
        <v>2024</v>
      </c>
      <c r="D1290" s="7" t="str">
        <f t="shared" si="162"/>
        <v>Aug</v>
      </c>
      <c r="E1290" s="7" t="str">
        <f t="shared" si="163"/>
        <v>Tue</v>
      </c>
      <c r="F1290" t="s">
        <v>34</v>
      </c>
      <c r="G1290" t="s">
        <v>62</v>
      </c>
      <c r="H1290" t="s">
        <v>11</v>
      </c>
      <c r="I1290" s="2" t="str">
        <f t="shared" si="160"/>
        <v>South</v>
      </c>
      <c r="J1290" t="s">
        <v>42</v>
      </c>
      <c r="K1290" t="s">
        <v>32</v>
      </c>
      <c r="L1290">
        <v>17</v>
      </c>
      <c r="M1290">
        <v>120</v>
      </c>
      <c r="N1290">
        <f t="shared" si="164"/>
        <v>2040</v>
      </c>
      <c r="O1290">
        <f t="shared" si="165"/>
        <v>204</v>
      </c>
      <c r="P1290" t="str">
        <f t="shared" si="166"/>
        <v>Large Order</v>
      </c>
      <c r="Q1290" t="str">
        <f t="shared" si="167"/>
        <v>Weekday</v>
      </c>
    </row>
    <row r="1291" spans="1:17" x14ac:dyDescent="0.35">
      <c r="A1291" t="s">
        <v>1441</v>
      </c>
      <c r="B1291" s="7">
        <v>45351</v>
      </c>
      <c r="C1291" s="13">
        <f t="shared" si="161"/>
        <v>2024</v>
      </c>
      <c r="D1291" s="7" t="str">
        <f t="shared" si="162"/>
        <v>Feb</v>
      </c>
      <c r="E1291" s="7" t="str">
        <f t="shared" si="163"/>
        <v>Thu</v>
      </c>
      <c r="F1291" t="s">
        <v>38</v>
      </c>
      <c r="G1291" t="s">
        <v>35</v>
      </c>
      <c r="H1291" t="s">
        <v>11</v>
      </c>
      <c r="I1291" s="2" t="str">
        <f t="shared" si="160"/>
        <v>East</v>
      </c>
      <c r="J1291" t="s">
        <v>56</v>
      </c>
      <c r="K1291" t="s">
        <v>23</v>
      </c>
      <c r="L1291">
        <v>9</v>
      </c>
      <c r="M1291">
        <v>120</v>
      </c>
      <c r="N1291">
        <f t="shared" si="164"/>
        <v>1080</v>
      </c>
      <c r="O1291">
        <f t="shared" si="165"/>
        <v>108</v>
      </c>
      <c r="P1291" t="str">
        <f t="shared" si="166"/>
        <v>Large Order</v>
      </c>
      <c r="Q1291" t="str">
        <f t="shared" si="167"/>
        <v>Weekday</v>
      </c>
    </row>
    <row r="1292" spans="1:17" x14ac:dyDescent="0.35">
      <c r="A1292" t="s">
        <v>1442</v>
      </c>
      <c r="B1292" s="7">
        <v>45436</v>
      </c>
      <c r="C1292" s="13">
        <f t="shared" si="161"/>
        <v>2024</v>
      </c>
      <c r="D1292" s="7" t="str">
        <f t="shared" si="162"/>
        <v>May</v>
      </c>
      <c r="E1292" s="7" t="str">
        <f t="shared" si="163"/>
        <v>Fri</v>
      </c>
      <c r="F1292" t="s">
        <v>86</v>
      </c>
      <c r="G1292" t="s">
        <v>160</v>
      </c>
      <c r="H1292" t="s">
        <v>22</v>
      </c>
      <c r="I1292" s="2" t="str">
        <f t="shared" si="160"/>
        <v>South</v>
      </c>
      <c r="J1292" t="s">
        <v>42</v>
      </c>
      <c r="K1292" t="s">
        <v>28</v>
      </c>
      <c r="L1292">
        <v>11</v>
      </c>
      <c r="M1292">
        <v>120</v>
      </c>
      <c r="N1292">
        <f t="shared" si="164"/>
        <v>1320</v>
      </c>
      <c r="O1292">
        <f t="shared" si="165"/>
        <v>132</v>
      </c>
      <c r="P1292" t="str">
        <f t="shared" si="166"/>
        <v>Large Order</v>
      </c>
      <c r="Q1292" t="str">
        <f t="shared" si="167"/>
        <v>Weekday</v>
      </c>
    </row>
    <row r="1293" spans="1:17" x14ac:dyDescent="0.35">
      <c r="A1293" t="s">
        <v>1443</v>
      </c>
      <c r="B1293" s="7">
        <v>45453</v>
      </c>
      <c r="C1293" s="13">
        <f t="shared" si="161"/>
        <v>2024</v>
      </c>
      <c r="D1293" s="7" t="str">
        <f t="shared" si="162"/>
        <v>Jun</v>
      </c>
      <c r="E1293" s="7" t="str">
        <f t="shared" si="163"/>
        <v>Mon</v>
      </c>
      <c r="F1293" t="s">
        <v>304</v>
      </c>
      <c r="G1293" t="s">
        <v>174</v>
      </c>
      <c r="H1293" t="s">
        <v>17</v>
      </c>
      <c r="I1293" s="2" t="str">
        <f t="shared" si="160"/>
        <v>North</v>
      </c>
      <c r="J1293" t="s">
        <v>56</v>
      </c>
      <c r="K1293" t="s">
        <v>28</v>
      </c>
      <c r="L1293">
        <v>15</v>
      </c>
      <c r="M1293">
        <v>120</v>
      </c>
      <c r="N1293">
        <f t="shared" si="164"/>
        <v>1800</v>
      </c>
      <c r="O1293">
        <f t="shared" si="165"/>
        <v>180</v>
      </c>
      <c r="P1293" t="str">
        <f t="shared" si="166"/>
        <v>Large Order</v>
      </c>
      <c r="Q1293" t="str">
        <f t="shared" si="167"/>
        <v>Weekday</v>
      </c>
    </row>
    <row r="1294" spans="1:17" x14ac:dyDescent="0.35">
      <c r="A1294" t="s">
        <v>1444</v>
      </c>
      <c r="B1294" s="7">
        <v>45319</v>
      </c>
      <c r="C1294" s="13">
        <f t="shared" si="161"/>
        <v>2024</v>
      </c>
      <c r="D1294" s="7" t="str">
        <f t="shared" si="162"/>
        <v>Jan</v>
      </c>
      <c r="E1294" s="7" t="str">
        <f t="shared" si="163"/>
        <v>Sun</v>
      </c>
      <c r="F1294" t="s">
        <v>51</v>
      </c>
      <c r="G1294" t="s">
        <v>35</v>
      </c>
      <c r="H1294" t="s">
        <v>11</v>
      </c>
      <c r="I1294" s="2" t="str">
        <f t="shared" si="160"/>
        <v>North</v>
      </c>
      <c r="J1294" t="s">
        <v>12</v>
      </c>
      <c r="K1294" t="s">
        <v>23</v>
      </c>
      <c r="L1294">
        <v>9</v>
      </c>
      <c r="M1294">
        <v>120</v>
      </c>
      <c r="N1294">
        <f t="shared" si="164"/>
        <v>1080</v>
      </c>
      <c r="O1294">
        <f t="shared" si="165"/>
        <v>108</v>
      </c>
      <c r="P1294" t="str">
        <f t="shared" si="166"/>
        <v>Large Order</v>
      </c>
      <c r="Q1294" t="str">
        <f t="shared" si="167"/>
        <v>Weekend</v>
      </c>
    </row>
    <row r="1295" spans="1:17" x14ac:dyDescent="0.35">
      <c r="A1295" t="s">
        <v>1445</v>
      </c>
      <c r="B1295" s="7">
        <v>45515</v>
      </c>
      <c r="C1295" s="13">
        <f t="shared" si="161"/>
        <v>2024</v>
      </c>
      <c r="D1295" s="7" t="str">
        <f t="shared" si="162"/>
        <v>Aug</v>
      </c>
      <c r="E1295" s="7" t="str">
        <f t="shared" si="163"/>
        <v>Sun</v>
      </c>
      <c r="F1295" t="s">
        <v>40</v>
      </c>
      <c r="G1295" t="s">
        <v>70</v>
      </c>
      <c r="H1295" t="s">
        <v>17</v>
      </c>
      <c r="I1295" s="2" t="str">
        <f t="shared" si="160"/>
        <v>North</v>
      </c>
      <c r="J1295" t="s">
        <v>12</v>
      </c>
      <c r="K1295" t="s">
        <v>36</v>
      </c>
      <c r="L1295">
        <v>12</v>
      </c>
      <c r="M1295">
        <v>120</v>
      </c>
      <c r="N1295">
        <f t="shared" si="164"/>
        <v>1440</v>
      </c>
      <c r="O1295">
        <f t="shared" si="165"/>
        <v>144</v>
      </c>
      <c r="P1295" t="str">
        <f t="shared" si="166"/>
        <v>Large Order</v>
      </c>
      <c r="Q1295" t="str">
        <f t="shared" si="167"/>
        <v>Weekend</v>
      </c>
    </row>
    <row r="1296" spans="1:17" x14ac:dyDescent="0.35">
      <c r="A1296" t="s">
        <v>1446</v>
      </c>
      <c r="B1296" s="7">
        <v>45540</v>
      </c>
      <c r="C1296" s="13">
        <f t="shared" si="161"/>
        <v>2024</v>
      </c>
      <c r="D1296" s="7" t="str">
        <f t="shared" si="162"/>
        <v>Sep</v>
      </c>
      <c r="E1296" s="7" t="str">
        <f t="shared" si="163"/>
        <v>Thu</v>
      </c>
      <c r="F1296" t="s">
        <v>366</v>
      </c>
      <c r="G1296" t="s">
        <v>84</v>
      </c>
      <c r="H1296" t="s">
        <v>17</v>
      </c>
      <c r="I1296" s="2" t="str">
        <f t="shared" si="160"/>
        <v>South</v>
      </c>
      <c r="J1296" t="s">
        <v>12</v>
      </c>
      <c r="K1296" t="s">
        <v>13</v>
      </c>
      <c r="L1296">
        <v>5</v>
      </c>
      <c r="M1296">
        <v>120</v>
      </c>
      <c r="N1296">
        <f t="shared" si="164"/>
        <v>600</v>
      </c>
      <c r="O1296">
        <f t="shared" si="165"/>
        <v>60</v>
      </c>
      <c r="P1296" t="str">
        <f t="shared" si="166"/>
        <v>Large Order</v>
      </c>
      <c r="Q1296" t="str">
        <f t="shared" si="167"/>
        <v>Weekday</v>
      </c>
    </row>
    <row r="1297" spans="1:17" x14ac:dyDescent="0.35">
      <c r="A1297" t="s">
        <v>1447</v>
      </c>
      <c r="B1297" s="7">
        <v>45396</v>
      </c>
      <c r="C1297" s="13">
        <f t="shared" si="161"/>
        <v>2024</v>
      </c>
      <c r="D1297" s="7" t="str">
        <f t="shared" si="162"/>
        <v>Apr</v>
      </c>
      <c r="E1297" s="7" t="str">
        <f t="shared" si="163"/>
        <v>Sun</v>
      </c>
      <c r="F1297" t="s">
        <v>55</v>
      </c>
      <c r="G1297" t="s">
        <v>84</v>
      </c>
      <c r="H1297" t="s">
        <v>11</v>
      </c>
      <c r="I1297" s="2" t="str">
        <f t="shared" si="160"/>
        <v>Central</v>
      </c>
      <c r="J1297" t="s">
        <v>56</v>
      </c>
      <c r="K1297" t="s">
        <v>36</v>
      </c>
      <c r="L1297">
        <v>17</v>
      </c>
      <c r="M1297">
        <v>120</v>
      </c>
      <c r="N1297">
        <f t="shared" si="164"/>
        <v>2040</v>
      </c>
      <c r="O1297">
        <f t="shared" si="165"/>
        <v>204</v>
      </c>
      <c r="P1297" t="str">
        <f t="shared" si="166"/>
        <v>Large Order</v>
      </c>
      <c r="Q1297" t="str">
        <f t="shared" si="167"/>
        <v>Weekend</v>
      </c>
    </row>
    <row r="1298" spans="1:17" x14ac:dyDescent="0.35">
      <c r="A1298" t="s">
        <v>1448</v>
      </c>
      <c r="B1298" s="7">
        <v>45631</v>
      </c>
      <c r="C1298" s="13">
        <f t="shared" si="161"/>
        <v>2024</v>
      </c>
      <c r="D1298" s="7" t="str">
        <f t="shared" si="162"/>
        <v>Dec</v>
      </c>
      <c r="E1298" s="7" t="str">
        <f t="shared" si="163"/>
        <v>Thu</v>
      </c>
      <c r="F1298" t="s">
        <v>361</v>
      </c>
      <c r="G1298" t="s">
        <v>96</v>
      </c>
      <c r="H1298" t="s">
        <v>11</v>
      </c>
      <c r="I1298" s="2" t="str">
        <f t="shared" si="160"/>
        <v>West</v>
      </c>
      <c r="J1298" t="s">
        <v>306</v>
      </c>
      <c r="K1298" t="s">
        <v>28</v>
      </c>
      <c r="L1298">
        <v>17</v>
      </c>
      <c r="M1298">
        <v>120</v>
      </c>
      <c r="N1298">
        <f t="shared" si="164"/>
        <v>2040</v>
      </c>
      <c r="O1298">
        <f t="shared" si="165"/>
        <v>204</v>
      </c>
      <c r="P1298" t="str">
        <f t="shared" si="166"/>
        <v>Large Order</v>
      </c>
      <c r="Q1298" t="str">
        <f t="shared" si="167"/>
        <v>Weekday</v>
      </c>
    </row>
    <row r="1299" spans="1:17" x14ac:dyDescent="0.35">
      <c r="A1299" t="s">
        <v>1449</v>
      </c>
      <c r="B1299" s="7">
        <v>45505</v>
      </c>
      <c r="C1299" s="13">
        <f t="shared" si="161"/>
        <v>2024</v>
      </c>
      <c r="D1299" s="7" t="str">
        <f t="shared" si="162"/>
        <v>Aug</v>
      </c>
      <c r="E1299" s="7" t="str">
        <f t="shared" si="163"/>
        <v>Thu</v>
      </c>
      <c r="F1299" t="s">
        <v>208</v>
      </c>
      <c r="G1299" t="s">
        <v>41</v>
      </c>
      <c r="H1299" t="s">
        <v>11</v>
      </c>
      <c r="I1299" s="2" t="str">
        <f t="shared" si="160"/>
        <v>North</v>
      </c>
      <c r="J1299" t="s">
        <v>27</v>
      </c>
      <c r="K1299" t="s">
        <v>13</v>
      </c>
      <c r="L1299">
        <v>4</v>
      </c>
      <c r="M1299">
        <v>120</v>
      </c>
      <c r="N1299">
        <f t="shared" si="164"/>
        <v>480</v>
      </c>
      <c r="O1299">
        <f t="shared" si="165"/>
        <v>48</v>
      </c>
      <c r="P1299" t="str">
        <f t="shared" si="166"/>
        <v>Standard Order</v>
      </c>
      <c r="Q1299" t="str">
        <f t="shared" si="167"/>
        <v>Weekday</v>
      </c>
    </row>
    <row r="1300" spans="1:17" x14ac:dyDescent="0.35">
      <c r="A1300" t="s">
        <v>1450</v>
      </c>
      <c r="B1300" s="7">
        <v>45437</v>
      </c>
      <c r="C1300" s="13">
        <f t="shared" si="161"/>
        <v>2024</v>
      </c>
      <c r="D1300" s="7" t="str">
        <f t="shared" si="162"/>
        <v>May</v>
      </c>
      <c r="E1300" s="7" t="str">
        <f t="shared" si="163"/>
        <v>Sat</v>
      </c>
      <c r="F1300" t="s">
        <v>455</v>
      </c>
      <c r="G1300" t="s">
        <v>31</v>
      </c>
      <c r="H1300" t="s">
        <v>22</v>
      </c>
      <c r="I1300" s="2" t="str">
        <f t="shared" si="160"/>
        <v>North</v>
      </c>
      <c r="J1300" t="s">
        <v>12</v>
      </c>
      <c r="K1300" t="s">
        <v>13</v>
      </c>
      <c r="L1300">
        <v>12</v>
      </c>
      <c r="M1300">
        <v>120</v>
      </c>
      <c r="N1300">
        <f t="shared" si="164"/>
        <v>1440</v>
      </c>
      <c r="O1300">
        <f t="shared" si="165"/>
        <v>144</v>
      </c>
      <c r="P1300" t="str">
        <f t="shared" si="166"/>
        <v>Large Order</v>
      </c>
      <c r="Q1300" t="str">
        <f t="shared" si="167"/>
        <v>Weekend</v>
      </c>
    </row>
    <row r="1301" spans="1:17" x14ac:dyDescent="0.35">
      <c r="A1301" t="s">
        <v>1451</v>
      </c>
      <c r="B1301" s="7">
        <v>45457</v>
      </c>
      <c r="C1301" s="13">
        <f t="shared" si="161"/>
        <v>2024</v>
      </c>
      <c r="D1301" s="7" t="str">
        <f t="shared" si="162"/>
        <v>Jun</v>
      </c>
      <c r="E1301" s="7" t="str">
        <f t="shared" si="163"/>
        <v>Fri</v>
      </c>
      <c r="F1301" t="s">
        <v>125</v>
      </c>
      <c r="G1301" t="s">
        <v>70</v>
      </c>
      <c r="H1301" t="s">
        <v>11</v>
      </c>
      <c r="I1301" s="2" t="str">
        <f t="shared" si="160"/>
        <v>East</v>
      </c>
      <c r="J1301" t="s">
        <v>12</v>
      </c>
      <c r="K1301" t="s">
        <v>32</v>
      </c>
      <c r="L1301">
        <v>16</v>
      </c>
      <c r="M1301">
        <v>120</v>
      </c>
      <c r="N1301">
        <f t="shared" si="164"/>
        <v>1920</v>
      </c>
      <c r="O1301">
        <f t="shared" si="165"/>
        <v>192</v>
      </c>
      <c r="P1301" t="str">
        <f t="shared" si="166"/>
        <v>Large Order</v>
      </c>
      <c r="Q1301" t="str">
        <f t="shared" si="167"/>
        <v>Weekday</v>
      </c>
    </row>
    <row r="1302" spans="1:17" x14ac:dyDescent="0.35">
      <c r="A1302" t="s">
        <v>1452</v>
      </c>
      <c r="B1302" s="7">
        <v>45596</v>
      </c>
      <c r="C1302" s="13">
        <f t="shared" si="161"/>
        <v>2024</v>
      </c>
      <c r="D1302" s="7" t="str">
        <f t="shared" si="162"/>
        <v>Oct</v>
      </c>
      <c r="E1302" s="7" t="str">
        <f t="shared" si="163"/>
        <v>Thu</v>
      </c>
      <c r="F1302" t="s">
        <v>371</v>
      </c>
      <c r="G1302" t="s">
        <v>79</v>
      </c>
      <c r="H1302" t="s">
        <v>11</v>
      </c>
      <c r="I1302" s="2" t="str">
        <f t="shared" si="160"/>
        <v>East</v>
      </c>
      <c r="J1302" t="s">
        <v>42</v>
      </c>
      <c r="K1302" t="s">
        <v>32</v>
      </c>
      <c r="L1302">
        <v>20</v>
      </c>
      <c r="M1302">
        <v>120</v>
      </c>
      <c r="N1302">
        <f t="shared" si="164"/>
        <v>2400</v>
      </c>
      <c r="O1302">
        <f t="shared" si="165"/>
        <v>240</v>
      </c>
      <c r="P1302" t="str">
        <f t="shared" si="166"/>
        <v>Large Order</v>
      </c>
      <c r="Q1302" t="str">
        <f t="shared" si="167"/>
        <v>Weekday</v>
      </c>
    </row>
    <row r="1303" spans="1:17" x14ac:dyDescent="0.35">
      <c r="A1303" t="s">
        <v>1453</v>
      </c>
      <c r="B1303" s="7">
        <v>45619</v>
      </c>
      <c r="C1303" s="13">
        <f t="shared" si="161"/>
        <v>2024</v>
      </c>
      <c r="D1303" s="7" t="str">
        <f t="shared" si="162"/>
        <v>Nov</v>
      </c>
      <c r="E1303" s="7" t="str">
        <f t="shared" si="163"/>
        <v>Sat</v>
      </c>
      <c r="F1303" t="s">
        <v>40</v>
      </c>
      <c r="G1303" t="s">
        <v>96</v>
      </c>
      <c r="H1303" t="s">
        <v>22</v>
      </c>
      <c r="I1303" s="2" t="str">
        <f t="shared" si="160"/>
        <v>North</v>
      </c>
      <c r="J1303" t="s">
        <v>42</v>
      </c>
      <c r="K1303" t="s">
        <v>28</v>
      </c>
      <c r="L1303">
        <v>8</v>
      </c>
      <c r="M1303">
        <v>120</v>
      </c>
      <c r="N1303">
        <f t="shared" si="164"/>
        <v>960</v>
      </c>
      <c r="O1303">
        <f t="shared" si="165"/>
        <v>96</v>
      </c>
      <c r="P1303" t="str">
        <f t="shared" si="166"/>
        <v>Large Order</v>
      </c>
      <c r="Q1303" t="str">
        <f t="shared" si="167"/>
        <v>Weekend</v>
      </c>
    </row>
    <row r="1304" spans="1:17" x14ac:dyDescent="0.35">
      <c r="A1304" t="s">
        <v>1454</v>
      </c>
      <c r="B1304" s="7">
        <v>45344</v>
      </c>
      <c r="C1304" s="13">
        <f t="shared" si="161"/>
        <v>2024</v>
      </c>
      <c r="D1304" s="7" t="str">
        <f t="shared" si="162"/>
        <v>Feb</v>
      </c>
      <c r="E1304" s="7" t="str">
        <f t="shared" si="163"/>
        <v>Thu</v>
      </c>
      <c r="F1304" t="s">
        <v>422</v>
      </c>
      <c r="G1304" t="s">
        <v>84</v>
      </c>
      <c r="H1304" t="s">
        <v>22</v>
      </c>
      <c r="I1304" s="2" t="str">
        <f t="shared" si="160"/>
        <v>Central</v>
      </c>
      <c r="J1304" t="s">
        <v>12</v>
      </c>
      <c r="K1304" t="s">
        <v>36</v>
      </c>
      <c r="L1304">
        <v>14</v>
      </c>
      <c r="M1304">
        <v>120</v>
      </c>
      <c r="N1304">
        <f t="shared" si="164"/>
        <v>1680</v>
      </c>
      <c r="O1304">
        <f t="shared" si="165"/>
        <v>168</v>
      </c>
      <c r="P1304" t="str">
        <f t="shared" si="166"/>
        <v>Large Order</v>
      </c>
      <c r="Q1304" t="str">
        <f t="shared" si="167"/>
        <v>Weekday</v>
      </c>
    </row>
    <row r="1305" spans="1:17" x14ac:dyDescent="0.35">
      <c r="A1305" t="s">
        <v>1455</v>
      </c>
      <c r="B1305" s="7">
        <v>45339</v>
      </c>
      <c r="C1305" s="13">
        <f t="shared" si="161"/>
        <v>2024</v>
      </c>
      <c r="D1305" s="7" t="str">
        <f t="shared" si="162"/>
        <v>Feb</v>
      </c>
      <c r="E1305" s="7" t="str">
        <f t="shared" si="163"/>
        <v>Sat</v>
      </c>
      <c r="F1305" t="s">
        <v>133</v>
      </c>
      <c r="G1305" t="s">
        <v>197</v>
      </c>
      <c r="H1305" t="s">
        <v>22</v>
      </c>
      <c r="I1305" s="2" t="str">
        <f t="shared" si="160"/>
        <v>South</v>
      </c>
      <c r="J1305" t="s">
        <v>306</v>
      </c>
      <c r="K1305" t="s">
        <v>13</v>
      </c>
      <c r="L1305">
        <v>18</v>
      </c>
      <c r="M1305">
        <v>120</v>
      </c>
      <c r="N1305">
        <f t="shared" si="164"/>
        <v>2160</v>
      </c>
      <c r="O1305">
        <f t="shared" si="165"/>
        <v>216</v>
      </c>
      <c r="P1305" t="str">
        <f t="shared" si="166"/>
        <v>Large Order</v>
      </c>
      <c r="Q1305" t="str">
        <f t="shared" si="167"/>
        <v>Weekend</v>
      </c>
    </row>
    <row r="1306" spans="1:17" x14ac:dyDescent="0.35">
      <c r="A1306" t="s">
        <v>1456</v>
      </c>
      <c r="B1306" s="7">
        <v>45624</v>
      </c>
      <c r="C1306" s="13">
        <f t="shared" si="161"/>
        <v>2024</v>
      </c>
      <c r="D1306" s="7" t="str">
        <f t="shared" si="162"/>
        <v>Nov</v>
      </c>
      <c r="E1306" s="7" t="str">
        <f t="shared" si="163"/>
        <v>Thu</v>
      </c>
      <c r="F1306" t="s">
        <v>424</v>
      </c>
      <c r="G1306" t="s">
        <v>174</v>
      </c>
      <c r="H1306" t="s">
        <v>17</v>
      </c>
      <c r="I1306" s="2" t="str">
        <f t="shared" si="160"/>
        <v>West</v>
      </c>
      <c r="J1306" t="s">
        <v>56</v>
      </c>
      <c r="K1306" t="s">
        <v>23</v>
      </c>
      <c r="L1306">
        <v>19</v>
      </c>
      <c r="M1306">
        <v>120</v>
      </c>
      <c r="N1306">
        <f t="shared" si="164"/>
        <v>2280</v>
      </c>
      <c r="O1306">
        <f t="shared" si="165"/>
        <v>228</v>
      </c>
      <c r="P1306" t="str">
        <f t="shared" si="166"/>
        <v>Large Order</v>
      </c>
      <c r="Q1306" t="str">
        <f t="shared" si="167"/>
        <v>Weekday</v>
      </c>
    </row>
    <row r="1307" spans="1:17" x14ac:dyDescent="0.35">
      <c r="A1307" t="s">
        <v>1457</v>
      </c>
      <c r="B1307" s="7">
        <v>45295</v>
      </c>
      <c r="C1307" s="13">
        <f t="shared" si="161"/>
        <v>2024</v>
      </c>
      <c r="D1307" s="7" t="str">
        <f t="shared" si="162"/>
        <v>Jan</v>
      </c>
      <c r="E1307" s="7" t="str">
        <f t="shared" si="163"/>
        <v>Thu</v>
      </c>
      <c r="F1307" t="s">
        <v>332</v>
      </c>
      <c r="G1307" t="s">
        <v>45</v>
      </c>
      <c r="H1307" t="s">
        <v>22</v>
      </c>
      <c r="I1307" s="2" t="str">
        <f t="shared" si="160"/>
        <v>North</v>
      </c>
      <c r="J1307" t="s">
        <v>27</v>
      </c>
      <c r="K1307" t="s">
        <v>32</v>
      </c>
      <c r="L1307">
        <v>9</v>
      </c>
      <c r="M1307">
        <v>120</v>
      </c>
      <c r="N1307">
        <f t="shared" si="164"/>
        <v>1080</v>
      </c>
      <c r="O1307">
        <f t="shared" si="165"/>
        <v>108</v>
      </c>
      <c r="P1307" t="str">
        <f t="shared" si="166"/>
        <v>Large Order</v>
      </c>
      <c r="Q1307" t="str">
        <f t="shared" si="167"/>
        <v>Weekday</v>
      </c>
    </row>
    <row r="1308" spans="1:17" x14ac:dyDescent="0.35">
      <c r="A1308" t="s">
        <v>1458</v>
      </c>
      <c r="B1308" s="7">
        <v>45464</v>
      </c>
      <c r="C1308" s="13">
        <f t="shared" si="161"/>
        <v>2024</v>
      </c>
      <c r="D1308" s="7" t="str">
        <f t="shared" si="162"/>
        <v>Jun</v>
      </c>
      <c r="E1308" s="7" t="str">
        <f t="shared" si="163"/>
        <v>Fri</v>
      </c>
      <c r="F1308" t="s">
        <v>15</v>
      </c>
      <c r="G1308" t="s">
        <v>10</v>
      </c>
      <c r="H1308" t="s">
        <v>17</v>
      </c>
      <c r="I1308" s="2" t="str">
        <f t="shared" si="160"/>
        <v>North</v>
      </c>
      <c r="J1308" t="s">
        <v>12</v>
      </c>
      <c r="K1308" t="s">
        <v>32</v>
      </c>
      <c r="L1308">
        <v>12</v>
      </c>
      <c r="M1308">
        <v>120</v>
      </c>
      <c r="N1308">
        <f t="shared" si="164"/>
        <v>1440</v>
      </c>
      <c r="O1308">
        <f t="shared" si="165"/>
        <v>144</v>
      </c>
      <c r="P1308" t="str">
        <f t="shared" si="166"/>
        <v>Large Order</v>
      </c>
      <c r="Q1308" t="str">
        <f t="shared" si="167"/>
        <v>Weekday</v>
      </c>
    </row>
    <row r="1309" spans="1:17" x14ac:dyDescent="0.35">
      <c r="A1309" t="s">
        <v>1459</v>
      </c>
      <c r="B1309" s="7">
        <v>45314</v>
      </c>
      <c r="C1309" s="13">
        <f t="shared" si="161"/>
        <v>2024</v>
      </c>
      <c r="D1309" s="7" t="str">
        <f t="shared" si="162"/>
        <v>Jan</v>
      </c>
      <c r="E1309" s="7" t="str">
        <f t="shared" si="163"/>
        <v>Tue</v>
      </c>
      <c r="F1309" t="s">
        <v>388</v>
      </c>
      <c r="G1309" t="s">
        <v>70</v>
      </c>
      <c r="H1309" t="s">
        <v>22</v>
      </c>
      <c r="I1309" s="2" t="str">
        <f t="shared" si="160"/>
        <v>South</v>
      </c>
      <c r="J1309" t="s">
        <v>12</v>
      </c>
      <c r="K1309" t="s">
        <v>23</v>
      </c>
      <c r="L1309">
        <v>3</v>
      </c>
      <c r="M1309">
        <v>120</v>
      </c>
      <c r="N1309">
        <f t="shared" si="164"/>
        <v>360</v>
      </c>
      <c r="O1309">
        <f t="shared" si="165"/>
        <v>36</v>
      </c>
      <c r="P1309" t="str">
        <f t="shared" si="166"/>
        <v>Standard Order</v>
      </c>
      <c r="Q1309" t="str">
        <f t="shared" si="167"/>
        <v>Weekday</v>
      </c>
    </row>
    <row r="1310" spans="1:17" x14ac:dyDescent="0.35">
      <c r="A1310" t="s">
        <v>1460</v>
      </c>
      <c r="B1310" s="7">
        <v>45613</v>
      </c>
      <c r="C1310" s="13">
        <f t="shared" si="161"/>
        <v>2024</v>
      </c>
      <c r="D1310" s="7" t="str">
        <f t="shared" si="162"/>
        <v>Nov</v>
      </c>
      <c r="E1310" s="7" t="str">
        <f t="shared" si="163"/>
        <v>Sun</v>
      </c>
      <c r="F1310" t="s">
        <v>381</v>
      </c>
      <c r="G1310" t="s">
        <v>48</v>
      </c>
      <c r="H1310" t="s">
        <v>22</v>
      </c>
      <c r="I1310" s="2" t="str">
        <f t="shared" si="160"/>
        <v>West</v>
      </c>
      <c r="J1310" t="s">
        <v>56</v>
      </c>
      <c r="K1310" t="s">
        <v>13</v>
      </c>
      <c r="L1310">
        <v>2</v>
      </c>
      <c r="M1310">
        <v>120</v>
      </c>
      <c r="N1310">
        <f t="shared" si="164"/>
        <v>240</v>
      </c>
      <c r="O1310">
        <f t="shared" si="165"/>
        <v>24</v>
      </c>
      <c r="P1310" t="str">
        <f t="shared" si="166"/>
        <v>Standard Order</v>
      </c>
      <c r="Q1310" t="str">
        <f t="shared" si="167"/>
        <v>Weekend</v>
      </c>
    </row>
    <row r="1311" spans="1:17" x14ac:dyDescent="0.35">
      <c r="A1311" t="s">
        <v>1461</v>
      </c>
      <c r="B1311" s="7">
        <v>45440</v>
      </c>
      <c r="C1311" s="13">
        <f t="shared" si="161"/>
        <v>2024</v>
      </c>
      <c r="D1311" s="7" t="str">
        <f t="shared" si="162"/>
        <v>May</v>
      </c>
      <c r="E1311" s="7" t="str">
        <f t="shared" si="163"/>
        <v>Tue</v>
      </c>
      <c r="F1311" t="s">
        <v>81</v>
      </c>
      <c r="G1311" t="s">
        <v>197</v>
      </c>
      <c r="H1311" t="s">
        <v>11</v>
      </c>
      <c r="I1311" s="2" t="str">
        <f t="shared" si="160"/>
        <v>South</v>
      </c>
      <c r="J1311" t="s">
        <v>27</v>
      </c>
      <c r="K1311" t="s">
        <v>32</v>
      </c>
      <c r="L1311">
        <v>15</v>
      </c>
      <c r="M1311">
        <v>120</v>
      </c>
      <c r="N1311">
        <f t="shared" si="164"/>
        <v>1800</v>
      </c>
      <c r="O1311">
        <f t="shared" si="165"/>
        <v>180</v>
      </c>
      <c r="P1311" t="str">
        <f t="shared" si="166"/>
        <v>Large Order</v>
      </c>
      <c r="Q1311" t="str">
        <f t="shared" si="167"/>
        <v>Weekday</v>
      </c>
    </row>
    <row r="1312" spans="1:17" x14ac:dyDescent="0.35">
      <c r="A1312" t="s">
        <v>1462</v>
      </c>
      <c r="B1312" s="7">
        <v>45478</v>
      </c>
      <c r="C1312" s="13">
        <f t="shared" si="161"/>
        <v>2024</v>
      </c>
      <c r="D1312" s="7" t="str">
        <f t="shared" si="162"/>
        <v>Jul</v>
      </c>
      <c r="E1312" s="7" t="str">
        <f t="shared" si="163"/>
        <v>Fri</v>
      </c>
      <c r="F1312" t="s">
        <v>111</v>
      </c>
      <c r="G1312" t="s">
        <v>48</v>
      </c>
      <c r="H1312" t="s">
        <v>17</v>
      </c>
      <c r="I1312" s="2" t="str">
        <f t="shared" si="160"/>
        <v>South</v>
      </c>
      <c r="J1312" t="s">
        <v>56</v>
      </c>
      <c r="K1312" t="s">
        <v>32</v>
      </c>
      <c r="L1312">
        <v>3</v>
      </c>
      <c r="M1312">
        <v>120</v>
      </c>
      <c r="N1312">
        <f t="shared" si="164"/>
        <v>360</v>
      </c>
      <c r="O1312">
        <f t="shared" si="165"/>
        <v>36</v>
      </c>
      <c r="P1312" t="str">
        <f t="shared" si="166"/>
        <v>Standard Order</v>
      </c>
      <c r="Q1312" t="str">
        <f t="shared" si="167"/>
        <v>Weekday</v>
      </c>
    </row>
    <row r="1313" spans="1:17" x14ac:dyDescent="0.35">
      <c r="A1313" t="s">
        <v>1463</v>
      </c>
      <c r="B1313" s="7">
        <v>45379</v>
      </c>
      <c r="C1313" s="13">
        <f t="shared" si="161"/>
        <v>2024</v>
      </c>
      <c r="D1313" s="7" t="str">
        <f t="shared" si="162"/>
        <v>Mar</v>
      </c>
      <c r="E1313" s="7" t="str">
        <f t="shared" si="163"/>
        <v>Thu</v>
      </c>
      <c r="F1313" t="s">
        <v>312</v>
      </c>
      <c r="G1313" t="s">
        <v>84</v>
      </c>
      <c r="H1313" t="s">
        <v>11</v>
      </c>
      <c r="I1313" s="2" t="str">
        <f t="shared" si="160"/>
        <v>East</v>
      </c>
      <c r="J1313" t="s">
        <v>56</v>
      </c>
      <c r="K1313" t="s">
        <v>23</v>
      </c>
      <c r="L1313">
        <v>13</v>
      </c>
      <c r="M1313">
        <v>120</v>
      </c>
      <c r="N1313">
        <f t="shared" si="164"/>
        <v>1560</v>
      </c>
      <c r="O1313">
        <f t="shared" si="165"/>
        <v>156</v>
      </c>
      <c r="P1313" t="str">
        <f t="shared" si="166"/>
        <v>Large Order</v>
      </c>
      <c r="Q1313" t="str">
        <f t="shared" si="167"/>
        <v>Weekday</v>
      </c>
    </row>
    <row r="1314" spans="1:17" x14ac:dyDescent="0.35">
      <c r="A1314" t="s">
        <v>1464</v>
      </c>
      <c r="B1314" s="7">
        <v>45619</v>
      </c>
      <c r="C1314" s="13">
        <f t="shared" si="161"/>
        <v>2024</v>
      </c>
      <c r="D1314" s="7" t="str">
        <f t="shared" si="162"/>
        <v>Nov</v>
      </c>
      <c r="E1314" s="7" t="str">
        <f t="shared" si="163"/>
        <v>Sat</v>
      </c>
      <c r="F1314" t="s">
        <v>465</v>
      </c>
      <c r="G1314" t="s">
        <v>174</v>
      </c>
      <c r="H1314" t="s">
        <v>11</v>
      </c>
      <c r="I1314" s="2" t="str">
        <f t="shared" si="160"/>
        <v>South</v>
      </c>
      <c r="J1314" t="s">
        <v>42</v>
      </c>
      <c r="K1314" t="s">
        <v>13</v>
      </c>
      <c r="L1314">
        <v>8</v>
      </c>
      <c r="M1314">
        <v>120</v>
      </c>
      <c r="N1314">
        <f t="shared" si="164"/>
        <v>960</v>
      </c>
      <c r="O1314">
        <f t="shared" si="165"/>
        <v>96</v>
      </c>
      <c r="P1314" t="str">
        <f t="shared" si="166"/>
        <v>Large Order</v>
      </c>
      <c r="Q1314" t="str">
        <f t="shared" si="167"/>
        <v>Weekend</v>
      </c>
    </row>
    <row r="1315" spans="1:17" x14ac:dyDescent="0.35">
      <c r="A1315" t="s">
        <v>1465</v>
      </c>
      <c r="B1315" s="7">
        <v>45453</v>
      </c>
      <c r="C1315" s="13">
        <f t="shared" si="161"/>
        <v>2024</v>
      </c>
      <c r="D1315" s="7" t="str">
        <f t="shared" si="162"/>
        <v>Jun</v>
      </c>
      <c r="E1315" s="7" t="str">
        <f t="shared" si="163"/>
        <v>Mon</v>
      </c>
      <c r="F1315" t="s">
        <v>341</v>
      </c>
      <c r="G1315" t="s">
        <v>26</v>
      </c>
      <c r="H1315" t="s">
        <v>11</v>
      </c>
      <c r="I1315" s="2" t="str">
        <f t="shared" si="160"/>
        <v>South</v>
      </c>
      <c r="J1315" t="s">
        <v>56</v>
      </c>
      <c r="K1315" t="s">
        <v>36</v>
      </c>
      <c r="L1315">
        <v>11</v>
      </c>
      <c r="M1315">
        <v>120</v>
      </c>
      <c r="N1315">
        <f t="shared" si="164"/>
        <v>1320</v>
      </c>
      <c r="O1315">
        <f t="shared" si="165"/>
        <v>132</v>
      </c>
      <c r="P1315" t="str">
        <f t="shared" si="166"/>
        <v>Large Order</v>
      </c>
      <c r="Q1315" t="str">
        <f t="shared" si="167"/>
        <v>Weekday</v>
      </c>
    </row>
    <row r="1316" spans="1:17" x14ac:dyDescent="0.35">
      <c r="A1316" t="s">
        <v>1466</v>
      </c>
      <c r="B1316" s="7">
        <v>45547</v>
      </c>
      <c r="C1316" s="13">
        <f t="shared" si="161"/>
        <v>2024</v>
      </c>
      <c r="D1316" s="7" t="str">
        <f t="shared" si="162"/>
        <v>Sep</v>
      </c>
      <c r="E1316" s="7" t="str">
        <f t="shared" si="163"/>
        <v>Thu</v>
      </c>
      <c r="F1316" t="s">
        <v>106</v>
      </c>
      <c r="G1316" t="s">
        <v>21</v>
      </c>
      <c r="H1316" t="s">
        <v>17</v>
      </c>
      <c r="I1316" s="2" t="str">
        <f t="shared" si="160"/>
        <v>Central</v>
      </c>
      <c r="J1316" t="s">
        <v>56</v>
      </c>
      <c r="K1316" t="s">
        <v>32</v>
      </c>
      <c r="L1316">
        <v>5</v>
      </c>
      <c r="M1316">
        <v>120</v>
      </c>
      <c r="N1316">
        <f t="shared" si="164"/>
        <v>600</v>
      </c>
      <c r="O1316">
        <f t="shared" si="165"/>
        <v>60</v>
      </c>
      <c r="P1316" t="str">
        <f t="shared" si="166"/>
        <v>Large Order</v>
      </c>
      <c r="Q1316" t="str">
        <f t="shared" si="167"/>
        <v>Weekday</v>
      </c>
    </row>
    <row r="1317" spans="1:17" x14ac:dyDescent="0.35">
      <c r="A1317" t="s">
        <v>1467</v>
      </c>
      <c r="B1317" s="7">
        <v>45579</v>
      </c>
      <c r="C1317" s="13">
        <f t="shared" si="161"/>
        <v>2024</v>
      </c>
      <c r="D1317" s="7" t="str">
        <f t="shared" si="162"/>
        <v>Oct</v>
      </c>
      <c r="E1317" s="7" t="str">
        <f t="shared" si="163"/>
        <v>Mon</v>
      </c>
      <c r="F1317" t="s">
        <v>312</v>
      </c>
      <c r="G1317" t="s">
        <v>26</v>
      </c>
      <c r="H1317" t="s">
        <v>22</v>
      </c>
      <c r="I1317" s="2" t="str">
        <f t="shared" si="160"/>
        <v>North</v>
      </c>
      <c r="J1317" t="s">
        <v>306</v>
      </c>
      <c r="K1317" t="s">
        <v>23</v>
      </c>
      <c r="L1317">
        <v>19</v>
      </c>
      <c r="M1317">
        <v>120</v>
      </c>
      <c r="N1317">
        <f t="shared" si="164"/>
        <v>2280</v>
      </c>
      <c r="O1317">
        <f t="shared" si="165"/>
        <v>228</v>
      </c>
      <c r="P1317" t="str">
        <f t="shared" si="166"/>
        <v>Large Order</v>
      </c>
      <c r="Q1317" t="str">
        <f t="shared" si="167"/>
        <v>Weekday</v>
      </c>
    </row>
    <row r="1318" spans="1:17" x14ac:dyDescent="0.35">
      <c r="A1318" t="s">
        <v>1468</v>
      </c>
      <c r="B1318" s="7">
        <v>45404</v>
      </c>
      <c r="C1318" s="13">
        <f t="shared" si="161"/>
        <v>2024</v>
      </c>
      <c r="D1318" s="7" t="str">
        <f t="shared" si="162"/>
        <v>Apr</v>
      </c>
      <c r="E1318" s="7" t="str">
        <f t="shared" si="163"/>
        <v>Mon</v>
      </c>
      <c r="F1318" t="s">
        <v>99</v>
      </c>
      <c r="G1318" t="s">
        <v>160</v>
      </c>
      <c r="H1318" t="s">
        <v>17</v>
      </c>
      <c r="I1318" s="2" t="str">
        <f t="shared" si="160"/>
        <v>North</v>
      </c>
      <c r="J1318" t="s">
        <v>12</v>
      </c>
      <c r="K1318" t="s">
        <v>13</v>
      </c>
      <c r="L1318">
        <v>4</v>
      </c>
      <c r="M1318">
        <v>120</v>
      </c>
      <c r="N1318">
        <f t="shared" si="164"/>
        <v>480</v>
      </c>
      <c r="O1318">
        <f t="shared" si="165"/>
        <v>48</v>
      </c>
      <c r="P1318" t="str">
        <f t="shared" si="166"/>
        <v>Standard Order</v>
      </c>
      <c r="Q1318" t="str">
        <f t="shared" si="167"/>
        <v>Weekday</v>
      </c>
    </row>
    <row r="1319" spans="1:17" x14ac:dyDescent="0.35">
      <c r="A1319" t="s">
        <v>1469</v>
      </c>
      <c r="B1319" s="7">
        <v>45373</v>
      </c>
      <c r="C1319" s="13">
        <f t="shared" si="161"/>
        <v>2024</v>
      </c>
      <c r="D1319" s="7" t="str">
        <f t="shared" si="162"/>
        <v>Mar</v>
      </c>
      <c r="E1319" s="7" t="str">
        <f t="shared" si="163"/>
        <v>Fri</v>
      </c>
      <c r="F1319" t="s">
        <v>455</v>
      </c>
      <c r="G1319" t="s">
        <v>87</v>
      </c>
      <c r="H1319" t="s">
        <v>22</v>
      </c>
      <c r="I1319" s="2" t="str">
        <f t="shared" si="160"/>
        <v>North</v>
      </c>
      <c r="J1319" t="s">
        <v>12</v>
      </c>
      <c r="K1319" t="s">
        <v>23</v>
      </c>
      <c r="L1319">
        <v>13</v>
      </c>
      <c r="M1319">
        <v>120</v>
      </c>
      <c r="N1319">
        <f t="shared" si="164"/>
        <v>1560</v>
      </c>
      <c r="O1319">
        <f t="shared" si="165"/>
        <v>156</v>
      </c>
      <c r="P1319" t="str">
        <f t="shared" si="166"/>
        <v>Large Order</v>
      </c>
      <c r="Q1319" t="str">
        <f t="shared" si="167"/>
        <v>Weekday</v>
      </c>
    </row>
    <row r="1320" spans="1:17" x14ac:dyDescent="0.35">
      <c r="A1320" t="s">
        <v>1470</v>
      </c>
      <c r="B1320" s="7">
        <v>45531</v>
      </c>
      <c r="C1320" s="13">
        <f t="shared" si="161"/>
        <v>2024</v>
      </c>
      <c r="D1320" s="7" t="str">
        <f t="shared" si="162"/>
        <v>Aug</v>
      </c>
      <c r="E1320" s="7" t="str">
        <f t="shared" si="163"/>
        <v>Tue</v>
      </c>
      <c r="F1320" t="s">
        <v>339</v>
      </c>
      <c r="G1320" t="s">
        <v>26</v>
      </c>
      <c r="H1320" t="s">
        <v>22</v>
      </c>
      <c r="I1320" s="2" t="str">
        <f t="shared" si="160"/>
        <v>West</v>
      </c>
      <c r="J1320" t="s">
        <v>12</v>
      </c>
      <c r="K1320" t="s">
        <v>13</v>
      </c>
      <c r="L1320">
        <v>18</v>
      </c>
      <c r="M1320">
        <v>120</v>
      </c>
      <c r="N1320">
        <f t="shared" si="164"/>
        <v>2160</v>
      </c>
      <c r="O1320">
        <f t="shared" si="165"/>
        <v>216</v>
      </c>
      <c r="P1320" t="str">
        <f t="shared" si="166"/>
        <v>Large Order</v>
      </c>
      <c r="Q1320" t="str">
        <f t="shared" si="167"/>
        <v>Weekday</v>
      </c>
    </row>
    <row r="1321" spans="1:17" x14ac:dyDescent="0.35">
      <c r="A1321" t="s">
        <v>1471</v>
      </c>
      <c r="B1321" s="7">
        <v>45620</v>
      </c>
      <c r="C1321" s="13">
        <f t="shared" si="161"/>
        <v>2024</v>
      </c>
      <c r="D1321" s="7" t="str">
        <f t="shared" si="162"/>
        <v>Nov</v>
      </c>
      <c r="E1321" s="7" t="str">
        <f t="shared" si="163"/>
        <v>Sun</v>
      </c>
      <c r="F1321" t="s">
        <v>47</v>
      </c>
      <c r="G1321" t="s">
        <v>102</v>
      </c>
      <c r="H1321" t="s">
        <v>17</v>
      </c>
      <c r="I1321" s="2" t="str">
        <f t="shared" si="160"/>
        <v>Central</v>
      </c>
      <c r="J1321" t="s">
        <v>27</v>
      </c>
      <c r="K1321" t="s">
        <v>28</v>
      </c>
      <c r="L1321">
        <v>15</v>
      </c>
      <c r="M1321">
        <v>120</v>
      </c>
      <c r="N1321">
        <f t="shared" si="164"/>
        <v>1800</v>
      </c>
      <c r="O1321">
        <f t="shared" si="165"/>
        <v>180</v>
      </c>
      <c r="P1321" t="str">
        <f t="shared" si="166"/>
        <v>Large Order</v>
      </c>
      <c r="Q1321" t="str">
        <f t="shared" si="167"/>
        <v>Weekend</v>
      </c>
    </row>
    <row r="1322" spans="1:17" x14ac:dyDescent="0.35">
      <c r="A1322" t="s">
        <v>1472</v>
      </c>
      <c r="B1322" s="7">
        <v>45426</v>
      </c>
      <c r="C1322" s="13">
        <f t="shared" si="161"/>
        <v>2024</v>
      </c>
      <c r="D1322" s="7" t="str">
        <f t="shared" si="162"/>
        <v>May</v>
      </c>
      <c r="E1322" s="7" t="str">
        <f t="shared" si="163"/>
        <v>Tue</v>
      </c>
      <c r="F1322" t="s">
        <v>358</v>
      </c>
      <c r="G1322" t="s">
        <v>119</v>
      </c>
      <c r="H1322" t="s">
        <v>11</v>
      </c>
      <c r="I1322" s="2" t="str">
        <f t="shared" si="160"/>
        <v>East</v>
      </c>
      <c r="J1322" t="s">
        <v>306</v>
      </c>
      <c r="K1322" t="s">
        <v>13</v>
      </c>
      <c r="L1322">
        <v>10</v>
      </c>
      <c r="M1322">
        <v>120</v>
      </c>
      <c r="N1322">
        <f t="shared" si="164"/>
        <v>1200</v>
      </c>
      <c r="O1322">
        <f t="shared" si="165"/>
        <v>120</v>
      </c>
      <c r="P1322" t="str">
        <f t="shared" si="166"/>
        <v>Large Order</v>
      </c>
      <c r="Q1322" t="str">
        <f t="shared" si="167"/>
        <v>Weekday</v>
      </c>
    </row>
    <row r="1323" spans="1:17" x14ac:dyDescent="0.35">
      <c r="A1323" t="s">
        <v>1473</v>
      </c>
      <c r="B1323" s="7">
        <v>45551</v>
      </c>
      <c r="C1323" s="13">
        <f t="shared" si="161"/>
        <v>2024</v>
      </c>
      <c r="D1323" s="7" t="str">
        <f t="shared" si="162"/>
        <v>Sep</v>
      </c>
      <c r="E1323" s="7" t="str">
        <f t="shared" si="163"/>
        <v>Mon</v>
      </c>
      <c r="F1323" t="s">
        <v>493</v>
      </c>
      <c r="G1323" t="s">
        <v>65</v>
      </c>
      <c r="H1323" t="s">
        <v>11</v>
      </c>
      <c r="I1323" s="2" t="str">
        <f t="shared" si="160"/>
        <v>West</v>
      </c>
      <c r="J1323" t="s">
        <v>42</v>
      </c>
      <c r="K1323" t="s">
        <v>28</v>
      </c>
      <c r="L1323">
        <v>18</v>
      </c>
      <c r="M1323">
        <v>120</v>
      </c>
      <c r="N1323">
        <f t="shared" si="164"/>
        <v>2160</v>
      </c>
      <c r="O1323">
        <f t="shared" si="165"/>
        <v>216</v>
      </c>
      <c r="P1323" t="str">
        <f t="shared" si="166"/>
        <v>Large Order</v>
      </c>
      <c r="Q1323" t="str">
        <f t="shared" si="167"/>
        <v>Weekday</v>
      </c>
    </row>
    <row r="1324" spans="1:17" x14ac:dyDescent="0.35">
      <c r="A1324" t="s">
        <v>1474</v>
      </c>
      <c r="B1324" s="7">
        <v>45563</v>
      </c>
      <c r="C1324" s="13">
        <f t="shared" si="161"/>
        <v>2024</v>
      </c>
      <c r="D1324" s="7" t="str">
        <f t="shared" si="162"/>
        <v>Sep</v>
      </c>
      <c r="E1324" s="7" t="str">
        <f t="shared" si="163"/>
        <v>Sat</v>
      </c>
      <c r="F1324" t="s">
        <v>25</v>
      </c>
      <c r="G1324" t="s">
        <v>109</v>
      </c>
      <c r="H1324" t="s">
        <v>17</v>
      </c>
      <c r="I1324" s="2" t="str">
        <f t="shared" si="160"/>
        <v>Central</v>
      </c>
      <c r="J1324" t="s">
        <v>27</v>
      </c>
      <c r="K1324" t="s">
        <v>13</v>
      </c>
      <c r="L1324">
        <v>4</v>
      </c>
      <c r="M1324">
        <v>120</v>
      </c>
      <c r="N1324">
        <f t="shared" si="164"/>
        <v>480</v>
      </c>
      <c r="O1324">
        <f t="shared" si="165"/>
        <v>48</v>
      </c>
      <c r="P1324" t="str">
        <f t="shared" si="166"/>
        <v>Standard Order</v>
      </c>
      <c r="Q1324" t="str">
        <f t="shared" si="167"/>
        <v>Weekend</v>
      </c>
    </row>
    <row r="1325" spans="1:17" x14ac:dyDescent="0.35">
      <c r="A1325" t="s">
        <v>1475</v>
      </c>
      <c r="B1325" s="7">
        <v>45449</v>
      </c>
      <c r="C1325" s="13">
        <f t="shared" si="161"/>
        <v>2024</v>
      </c>
      <c r="D1325" s="7" t="str">
        <f t="shared" si="162"/>
        <v>Jun</v>
      </c>
      <c r="E1325" s="7" t="str">
        <f t="shared" si="163"/>
        <v>Thu</v>
      </c>
      <c r="F1325" t="s">
        <v>93</v>
      </c>
      <c r="G1325" t="s">
        <v>79</v>
      </c>
      <c r="H1325" t="s">
        <v>11</v>
      </c>
      <c r="I1325" s="2" t="str">
        <f t="shared" si="160"/>
        <v>South</v>
      </c>
      <c r="J1325" t="s">
        <v>306</v>
      </c>
      <c r="K1325" t="s">
        <v>13</v>
      </c>
      <c r="L1325">
        <v>3</v>
      </c>
      <c r="M1325">
        <v>120</v>
      </c>
      <c r="N1325">
        <f t="shared" si="164"/>
        <v>360</v>
      </c>
      <c r="O1325">
        <f t="shared" si="165"/>
        <v>36</v>
      </c>
      <c r="P1325" t="str">
        <f t="shared" si="166"/>
        <v>Standard Order</v>
      </c>
      <c r="Q1325" t="str">
        <f t="shared" si="167"/>
        <v>Weekday</v>
      </c>
    </row>
    <row r="1326" spans="1:17" x14ac:dyDescent="0.35">
      <c r="A1326" t="s">
        <v>1476</v>
      </c>
      <c r="B1326" s="7">
        <v>45327</v>
      </c>
      <c r="C1326" s="13">
        <f t="shared" si="161"/>
        <v>2024</v>
      </c>
      <c r="D1326" s="7" t="str">
        <f t="shared" si="162"/>
        <v>Feb</v>
      </c>
      <c r="E1326" s="7" t="str">
        <f t="shared" si="163"/>
        <v>Mon</v>
      </c>
      <c r="F1326" t="s">
        <v>332</v>
      </c>
      <c r="G1326" t="s">
        <v>174</v>
      </c>
      <c r="H1326" t="s">
        <v>11</v>
      </c>
      <c r="I1326" s="2" t="str">
        <f t="shared" si="160"/>
        <v>Central</v>
      </c>
      <c r="J1326" t="s">
        <v>56</v>
      </c>
      <c r="K1326" t="s">
        <v>23</v>
      </c>
      <c r="L1326">
        <v>18</v>
      </c>
      <c r="M1326">
        <v>120</v>
      </c>
      <c r="N1326">
        <f t="shared" si="164"/>
        <v>2160</v>
      </c>
      <c r="O1326">
        <f t="shared" si="165"/>
        <v>216</v>
      </c>
      <c r="P1326" t="str">
        <f t="shared" si="166"/>
        <v>Large Order</v>
      </c>
      <c r="Q1326" t="str">
        <f t="shared" si="167"/>
        <v>Weekday</v>
      </c>
    </row>
    <row r="1327" spans="1:17" x14ac:dyDescent="0.35">
      <c r="A1327" t="s">
        <v>1477</v>
      </c>
      <c r="B1327" s="7">
        <v>45562</v>
      </c>
      <c r="C1327" s="13">
        <f t="shared" si="161"/>
        <v>2024</v>
      </c>
      <c r="D1327" s="7" t="str">
        <f t="shared" si="162"/>
        <v>Sep</v>
      </c>
      <c r="E1327" s="7" t="str">
        <f t="shared" si="163"/>
        <v>Fri</v>
      </c>
      <c r="F1327" t="s">
        <v>493</v>
      </c>
      <c r="G1327" t="s">
        <v>87</v>
      </c>
      <c r="H1327" t="s">
        <v>11</v>
      </c>
      <c r="I1327" s="2" t="str">
        <f t="shared" si="160"/>
        <v>Central</v>
      </c>
      <c r="J1327" t="s">
        <v>306</v>
      </c>
      <c r="K1327" t="s">
        <v>28</v>
      </c>
      <c r="L1327">
        <v>10</v>
      </c>
      <c r="M1327">
        <v>120</v>
      </c>
      <c r="N1327">
        <f t="shared" si="164"/>
        <v>1200</v>
      </c>
      <c r="O1327">
        <f t="shared" si="165"/>
        <v>120</v>
      </c>
      <c r="P1327" t="str">
        <f t="shared" si="166"/>
        <v>Large Order</v>
      </c>
      <c r="Q1327" t="str">
        <f t="shared" si="167"/>
        <v>Weekday</v>
      </c>
    </row>
    <row r="1328" spans="1:17" x14ac:dyDescent="0.35">
      <c r="A1328" t="s">
        <v>1478</v>
      </c>
      <c r="B1328" s="7">
        <v>45635</v>
      </c>
      <c r="C1328" s="13">
        <f t="shared" si="161"/>
        <v>2024</v>
      </c>
      <c r="D1328" s="7" t="str">
        <f t="shared" si="162"/>
        <v>Dec</v>
      </c>
      <c r="E1328" s="7" t="str">
        <f t="shared" si="163"/>
        <v>Mon</v>
      </c>
      <c r="F1328" t="s">
        <v>350</v>
      </c>
      <c r="G1328" t="s">
        <v>48</v>
      </c>
      <c r="H1328" t="s">
        <v>17</v>
      </c>
      <c r="I1328" s="2" t="str">
        <f t="shared" si="160"/>
        <v>Central</v>
      </c>
      <c r="J1328" t="s">
        <v>306</v>
      </c>
      <c r="K1328" t="s">
        <v>23</v>
      </c>
      <c r="L1328">
        <v>4</v>
      </c>
      <c r="M1328">
        <v>120</v>
      </c>
      <c r="N1328">
        <f t="shared" si="164"/>
        <v>480</v>
      </c>
      <c r="O1328">
        <f t="shared" si="165"/>
        <v>48</v>
      </c>
      <c r="P1328" t="str">
        <f t="shared" si="166"/>
        <v>Standard Order</v>
      </c>
      <c r="Q1328" t="str">
        <f t="shared" si="167"/>
        <v>Weekday</v>
      </c>
    </row>
    <row r="1329" spans="1:17" x14ac:dyDescent="0.35">
      <c r="A1329" t="s">
        <v>1479</v>
      </c>
      <c r="B1329" s="7">
        <v>45324</v>
      </c>
      <c r="C1329" s="13">
        <f t="shared" si="161"/>
        <v>2024</v>
      </c>
      <c r="D1329" s="7" t="str">
        <f t="shared" si="162"/>
        <v>Feb</v>
      </c>
      <c r="E1329" s="7" t="str">
        <f t="shared" si="163"/>
        <v>Fri</v>
      </c>
      <c r="F1329" t="s">
        <v>47</v>
      </c>
      <c r="G1329" t="s">
        <v>96</v>
      </c>
      <c r="H1329" t="s">
        <v>22</v>
      </c>
      <c r="I1329" s="2" t="str">
        <f t="shared" si="160"/>
        <v>South</v>
      </c>
      <c r="J1329" t="s">
        <v>306</v>
      </c>
      <c r="K1329" t="s">
        <v>28</v>
      </c>
      <c r="L1329">
        <v>19</v>
      </c>
      <c r="M1329">
        <v>120</v>
      </c>
      <c r="N1329">
        <f t="shared" si="164"/>
        <v>2280</v>
      </c>
      <c r="O1329">
        <f t="shared" si="165"/>
        <v>228</v>
      </c>
      <c r="P1329" t="str">
        <f t="shared" si="166"/>
        <v>Large Order</v>
      </c>
      <c r="Q1329" t="str">
        <f t="shared" si="167"/>
        <v>Weekday</v>
      </c>
    </row>
    <row r="1330" spans="1:17" x14ac:dyDescent="0.35">
      <c r="A1330" t="s">
        <v>1480</v>
      </c>
      <c r="B1330" s="7">
        <v>45328</v>
      </c>
      <c r="C1330" s="13">
        <f t="shared" si="161"/>
        <v>2024</v>
      </c>
      <c r="D1330" s="7" t="str">
        <f t="shared" si="162"/>
        <v>Feb</v>
      </c>
      <c r="E1330" s="7" t="str">
        <f t="shared" si="163"/>
        <v>Tue</v>
      </c>
      <c r="F1330" t="s">
        <v>369</v>
      </c>
      <c r="G1330" t="s">
        <v>21</v>
      </c>
      <c r="H1330" t="s">
        <v>11</v>
      </c>
      <c r="I1330" s="2" t="str">
        <f t="shared" si="160"/>
        <v>West</v>
      </c>
      <c r="J1330" t="s">
        <v>56</v>
      </c>
      <c r="K1330" t="s">
        <v>13</v>
      </c>
      <c r="L1330">
        <v>2</v>
      </c>
      <c r="M1330">
        <v>120</v>
      </c>
      <c r="N1330">
        <f t="shared" si="164"/>
        <v>240</v>
      </c>
      <c r="O1330">
        <f t="shared" si="165"/>
        <v>24</v>
      </c>
      <c r="P1330" t="str">
        <f t="shared" si="166"/>
        <v>Standard Order</v>
      </c>
      <c r="Q1330" t="str">
        <f t="shared" si="167"/>
        <v>Weekday</v>
      </c>
    </row>
    <row r="1331" spans="1:17" x14ac:dyDescent="0.35">
      <c r="A1331" t="s">
        <v>1481</v>
      </c>
      <c r="B1331" s="7">
        <v>45328</v>
      </c>
      <c r="C1331" s="13">
        <f t="shared" si="161"/>
        <v>2024</v>
      </c>
      <c r="D1331" s="7" t="str">
        <f t="shared" si="162"/>
        <v>Feb</v>
      </c>
      <c r="E1331" s="7" t="str">
        <f t="shared" si="163"/>
        <v>Tue</v>
      </c>
      <c r="F1331" t="s">
        <v>345</v>
      </c>
      <c r="G1331" t="s">
        <v>197</v>
      </c>
      <c r="H1331" t="s">
        <v>17</v>
      </c>
      <c r="I1331" s="2" t="str">
        <f t="shared" si="160"/>
        <v>West</v>
      </c>
      <c r="J1331" t="s">
        <v>27</v>
      </c>
      <c r="K1331" t="s">
        <v>28</v>
      </c>
      <c r="L1331">
        <v>18</v>
      </c>
      <c r="M1331">
        <v>120</v>
      </c>
      <c r="N1331">
        <f t="shared" si="164"/>
        <v>2160</v>
      </c>
      <c r="O1331">
        <f t="shared" si="165"/>
        <v>216</v>
      </c>
      <c r="P1331" t="str">
        <f t="shared" si="166"/>
        <v>Large Order</v>
      </c>
      <c r="Q1331" t="str">
        <f t="shared" si="167"/>
        <v>Weekday</v>
      </c>
    </row>
    <row r="1332" spans="1:17" x14ac:dyDescent="0.35">
      <c r="A1332" t="s">
        <v>1482</v>
      </c>
      <c r="B1332" s="7">
        <v>45584</v>
      </c>
      <c r="C1332" s="13">
        <f t="shared" si="161"/>
        <v>2024</v>
      </c>
      <c r="D1332" s="7" t="str">
        <f t="shared" si="162"/>
        <v>Oct</v>
      </c>
      <c r="E1332" s="7" t="str">
        <f t="shared" si="163"/>
        <v>Sat</v>
      </c>
      <c r="F1332" t="s">
        <v>314</v>
      </c>
      <c r="G1332" t="s">
        <v>35</v>
      </c>
      <c r="H1332" t="s">
        <v>11</v>
      </c>
      <c r="I1332" s="2" t="str">
        <f t="shared" si="160"/>
        <v>West</v>
      </c>
      <c r="J1332" t="s">
        <v>27</v>
      </c>
      <c r="K1332" t="s">
        <v>23</v>
      </c>
      <c r="L1332">
        <v>7</v>
      </c>
      <c r="M1332">
        <v>120</v>
      </c>
      <c r="N1332">
        <f t="shared" si="164"/>
        <v>840</v>
      </c>
      <c r="O1332">
        <f t="shared" si="165"/>
        <v>84</v>
      </c>
      <c r="P1332" t="str">
        <f t="shared" si="166"/>
        <v>Large Order</v>
      </c>
      <c r="Q1332" t="str">
        <f t="shared" si="167"/>
        <v>Weekend</v>
      </c>
    </row>
    <row r="1333" spans="1:17" x14ac:dyDescent="0.35">
      <c r="A1333" t="s">
        <v>1483</v>
      </c>
      <c r="B1333" s="7">
        <v>45629</v>
      </c>
      <c r="C1333" s="13">
        <f t="shared" si="161"/>
        <v>2024</v>
      </c>
      <c r="D1333" s="7" t="str">
        <f t="shared" si="162"/>
        <v>Dec</v>
      </c>
      <c r="E1333" s="7" t="str">
        <f t="shared" si="163"/>
        <v>Tue</v>
      </c>
      <c r="F1333" t="s">
        <v>348</v>
      </c>
      <c r="G1333" t="s">
        <v>48</v>
      </c>
      <c r="H1333" t="s">
        <v>17</v>
      </c>
      <c r="I1333" s="2" t="str">
        <f t="shared" si="160"/>
        <v>East</v>
      </c>
      <c r="J1333" t="s">
        <v>27</v>
      </c>
      <c r="K1333" t="s">
        <v>23</v>
      </c>
      <c r="L1333">
        <v>2</v>
      </c>
      <c r="M1333">
        <v>120</v>
      </c>
      <c r="N1333">
        <f t="shared" si="164"/>
        <v>240</v>
      </c>
      <c r="O1333">
        <f t="shared" si="165"/>
        <v>24</v>
      </c>
      <c r="P1333" t="str">
        <f t="shared" si="166"/>
        <v>Standard Order</v>
      </c>
      <c r="Q1333" t="str">
        <f t="shared" si="167"/>
        <v>Weekday</v>
      </c>
    </row>
    <row r="1334" spans="1:17" x14ac:dyDescent="0.35">
      <c r="A1334" t="s">
        <v>1484</v>
      </c>
      <c r="B1334" s="7">
        <v>45622</v>
      </c>
      <c r="C1334" s="13">
        <f t="shared" si="161"/>
        <v>2024</v>
      </c>
      <c r="D1334" s="7" t="str">
        <f t="shared" si="162"/>
        <v>Nov</v>
      </c>
      <c r="E1334" s="7" t="str">
        <f t="shared" si="163"/>
        <v>Tue</v>
      </c>
      <c r="F1334" t="s">
        <v>108</v>
      </c>
      <c r="G1334" t="s">
        <v>79</v>
      </c>
      <c r="H1334" t="s">
        <v>17</v>
      </c>
      <c r="I1334" s="2" t="str">
        <f t="shared" si="160"/>
        <v>South</v>
      </c>
      <c r="J1334" t="s">
        <v>42</v>
      </c>
      <c r="K1334" t="s">
        <v>13</v>
      </c>
      <c r="L1334">
        <v>8</v>
      </c>
      <c r="M1334">
        <v>120</v>
      </c>
      <c r="N1334">
        <f t="shared" si="164"/>
        <v>960</v>
      </c>
      <c r="O1334">
        <f t="shared" si="165"/>
        <v>96</v>
      </c>
      <c r="P1334" t="str">
        <f t="shared" si="166"/>
        <v>Large Order</v>
      </c>
      <c r="Q1334" t="str">
        <f t="shared" si="167"/>
        <v>Weekday</v>
      </c>
    </row>
    <row r="1335" spans="1:17" x14ac:dyDescent="0.35">
      <c r="A1335" t="s">
        <v>1485</v>
      </c>
      <c r="B1335" s="7">
        <v>45566</v>
      </c>
      <c r="C1335" s="13">
        <f t="shared" si="161"/>
        <v>2024</v>
      </c>
      <c r="D1335" s="7" t="str">
        <f t="shared" si="162"/>
        <v>Oct</v>
      </c>
      <c r="E1335" s="7" t="str">
        <f t="shared" si="163"/>
        <v>Tue</v>
      </c>
      <c r="F1335" t="s">
        <v>430</v>
      </c>
      <c r="G1335" t="s">
        <v>16</v>
      </c>
      <c r="H1335" t="s">
        <v>17</v>
      </c>
      <c r="I1335" s="2" t="str">
        <f t="shared" si="160"/>
        <v>North</v>
      </c>
      <c r="J1335" t="s">
        <v>56</v>
      </c>
      <c r="K1335" t="s">
        <v>32</v>
      </c>
      <c r="L1335">
        <v>15</v>
      </c>
      <c r="M1335">
        <v>120</v>
      </c>
      <c r="N1335">
        <f t="shared" si="164"/>
        <v>1800</v>
      </c>
      <c r="O1335">
        <f t="shared" si="165"/>
        <v>180</v>
      </c>
      <c r="P1335" t="str">
        <f t="shared" si="166"/>
        <v>Large Order</v>
      </c>
      <c r="Q1335" t="str">
        <f t="shared" si="167"/>
        <v>Weekday</v>
      </c>
    </row>
    <row r="1336" spans="1:17" x14ac:dyDescent="0.35">
      <c r="A1336" t="s">
        <v>1486</v>
      </c>
      <c r="B1336" s="7">
        <v>45330</v>
      </c>
      <c r="C1336" s="13">
        <f t="shared" si="161"/>
        <v>2024</v>
      </c>
      <c r="D1336" s="7" t="str">
        <f t="shared" si="162"/>
        <v>Feb</v>
      </c>
      <c r="E1336" s="7" t="str">
        <f t="shared" si="163"/>
        <v>Thu</v>
      </c>
      <c r="F1336" t="s">
        <v>396</v>
      </c>
      <c r="G1336" t="s">
        <v>174</v>
      </c>
      <c r="H1336" t="s">
        <v>11</v>
      </c>
      <c r="I1336" s="2" t="str">
        <f t="shared" si="160"/>
        <v>West</v>
      </c>
      <c r="J1336" t="s">
        <v>12</v>
      </c>
      <c r="K1336" t="s">
        <v>36</v>
      </c>
      <c r="L1336">
        <v>1</v>
      </c>
      <c r="M1336">
        <v>120</v>
      </c>
      <c r="N1336">
        <f t="shared" si="164"/>
        <v>120</v>
      </c>
      <c r="O1336">
        <f t="shared" si="165"/>
        <v>12</v>
      </c>
      <c r="P1336" t="str">
        <f t="shared" si="166"/>
        <v>Standard Order</v>
      </c>
      <c r="Q1336" t="str">
        <f t="shared" si="167"/>
        <v>Weekday</v>
      </c>
    </row>
    <row r="1337" spans="1:17" x14ac:dyDescent="0.35">
      <c r="A1337" t="s">
        <v>1487</v>
      </c>
      <c r="B1337" s="7">
        <v>45413</v>
      </c>
      <c r="C1337" s="13">
        <f t="shared" si="161"/>
        <v>2024</v>
      </c>
      <c r="D1337" s="7" t="str">
        <f t="shared" si="162"/>
        <v>May</v>
      </c>
      <c r="E1337" s="7" t="str">
        <f t="shared" si="163"/>
        <v>Wed</v>
      </c>
      <c r="F1337" t="s">
        <v>30</v>
      </c>
      <c r="G1337" t="s">
        <v>87</v>
      </c>
      <c r="H1337" t="s">
        <v>17</v>
      </c>
      <c r="I1337" s="2" t="str">
        <f t="shared" si="160"/>
        <v>East</v>
      </c>
      <c r="J1337" t="s">
        <v>27</v>
      </c>
      <c r="K1337" t="s">
        <v>28</v>
      </c>
      <c r="L1337">
        <v>13</v>
      </c>
      <c r="M1337">
        <v>120</v>
      </c>
      <c r="N1337">
        <f t="shared" si="164"/>
        <v>1560</v>
      </c>
      <c r="O1337">
        <f t="shared" si="165"/>
        <v>156</v>
      </c>
      <c r="P1337" t="str">
        <f t="shared" si="166"/>
        <v>Large Order</v>
      </c>
      <c r="Q1337" t="str">
        <f t="shared" si="167"/>
        <v>Weekday</v>
      </c>
    </row>
    <row r="1338" spans="1:17" x14ac:dyDescent="0.35">
      <c r="A1338" t="s">
        <v>1488</v>
      </c>
      <c r="B1338" s="7">
        <v>45376</v>
      </c>
      <c r="C1338" s="13">
        <f t="shared" si="161"/>
        <v>2024</v>
      </c>
      <c r="D1338" s="7" t="str">
        <f t="shared" si="162"/>
        <v>Mar</v>
      </c>
      <c r="E1338" s="7" t="str">
        <f t="shared" si="163"/>
        <v>Mon</v>
      </c>
      <c r="F1338" t="s">
        <v>159</v>
      </c>
      <c r="G1338" t="s">
        <v>96</v>
      </c>
      <c r="H1338" t="s">
        <v>17</v>
      </c>
      <c r="I1338" s="2" t="str">
        <f t="shared" si="160"/>
        <v>South</v>
      </c>
      <c r="J1338" t="s">
        <v>42</v>
      </c>
      <c r="K1338" t="s">
        <v>23</v>
      </c>
      <c r="L1338">
        <v>10</v>
      </c>
      <c r="M1338">
        <v>120</v>
      </c>
      <c r="N1338">
        <f t="shared" si="164"/>
        <v>1200</v>
      </c>
      <c r="O1338">
        <f t="shared" si="165"/>
        <v>120</v>
      </c>
      <c r="P1338" t="str">
        <f t="shared" si="166"/>
        <v>Large Order</v>
      </c>
      <c r="Q1338" t="str">
        <f t="shared" si="167"/>
        <v>Weekday</v>
      </c>
    </row>
    <row r="1339" spans="1:17" x14ac:dyDescent="0.35">
      <c r="A1339" t="s">
        <v>1489</v>
      </c>
      <c r="B1339" s="7">
        <v>45576</v>
      </c>
      <c r="C1339" s="13">
        <f t="shared" si="161"/>
        <v>2024</v>
      </c>
      <c r="D1339" s="7" t="str">
        <f t="shared" si="162"/>
        <v>Oct</v>
      </c>
      <c r="E1339" s="7" t="str">
        <f t="shared" si="163"/>
        <v>Fri</v>
      </c>
      <c r="F1339" t="s">
        <v>371</v>
      </c>
      <c r="G1339" t="s">
        <v>62</v>
      </c>
      <c r="H1339" t="s">
        <v>17</v>
      </c>
      <c r="I1339" s="2" t="str">
        <f t="shared" si="160"/>
        <v>North</v>
      </c>
      <c r="J1339" t="s">
        <v>56</v>
      </c>
      <c r="K1339" t="s">
        <v>28</v>
      </c>
      <c r="L1339">
        <v>10</v>
      </c>
      <c r="M1339">
        <v>120</v>
      </c>
      <c r="N1339">
        <f t="shared" si="164"/>
        <v>1200</v>
      </c>
      <c r="O1339">
        <f t="shared" si="165"/>
        <v>120</v>
      </c>
      <c r="P1339" t="str">
        <f t="shared" si="166"/>
        <v>Large Order</v>
      </c>
      <c r="Q1339" t="str">
        <f t="shared" si="167"/>
        <v>Weekday</v>
      </c>
    </row>
    <row r="1340" spans="1:17" x14ac:dyDescent="0.35">
      <c r="A1340" t="s">
        <v>1490</v>
      </c>
      <c r="B1340" s="7">
        <v>45321</v>
      </c>
      <c r="C1340" s="13">
        <f t="shared" si="161"/>
        <v>2024</v>
      </c>
      <c r="D1340" s="7" t="str">
        <f t="shared" si="162"/>
        <v>Jan</v>
      </c>
      <c r="E1340" s="7" t="str">
        <f t="shared" si="163"/>
        <v>Tue</v>
      </c>
      <c r="F1340" t="s">
        <v>361</v>
      </c>
      <c r="G1340" t="s">
        <v>84</v>
      </c>
      <c r="H1340" t="s">
        <v>22</v>
      </c>
      <c r="I1340" s="2" t="str">
        <f t="shared" si="160"/>
        <v>North</v>
      </c>
      <c r="J1340" t="s">
        <v>12</v>
      </c>
      <c r="K1340" t="s">
        <v>32</v>
      </c>
      <c r="L1340">
        <v>2</v>
      </c>
      <c r="M1340">
        <v>120</v>
      </c>
      <c r="N1340">
        <f t="shared" si="164"/>
        <v>240</v>
      </c>
      <c r="O1340">
        <f t="shared" si="165"/>
        <v>24</v>
      </c>
      <c r="P1340" t="str">
        <f t="shared" si="166"/>
        <v>Standard Order</v>
      </c>
      <c r="Q1340" t="str">
        <f t="shared" si="167"/>
        <v>Weekday</v>
      </c>
    </row>
    <row r="1341" spans="1:17" x14ac:dyDescent="0.35">
      <c r="A1341" t="s">
        <v>1491</v>
      </c>
      <c r="B1341" s="7">
        <v>45536</v>
      </c>
      <c r="C1341" s="13">
        <f t="shared" si="161"/>
        <v>2024</v>
      </c>
      <c r="D1341" s="7" t="str">
        <f t="shared" si="162"/>
        <v>Sep</v>
      </c>
      <c r="E1341" s="7" t="str">
        <f t="shared" si="163"/>
        <v>Sun</v>
      </c>
      <c r="F1341" t="s">
        <v>358</v>
      </c>
      <c r="G1341" t="s">
        <v>160</v>
      </c>
      <c r="H1341" t="s">
        <v>11</v>
      </c>
      <c r="I1341" s="2" t="str">
        <f t="shared" si="160"/>
        <v>South</v>
      </c>
      <c r="J1341" t="s">
        <v>12</v>
      </c>
      <c r="K1341" t="s">
        <v>36</v>
      </c>
      <c r="L1341">
        <v>3</v>
      </c>
      <c r="M1341">
        <v>120</v>
      </c>
      <c r="N1341">
        <f t="shared" si="164"/>
        <v>360</v>
      </c>
      <c r="O1341">
        <f t="shared" si="165"/>
        <v>36</v>
      </c>
      <c r="P1341" t="str">
        <f t="shared" si="166"/>
        <v>Standard Order</v>
      </c>
      <c r="Q1341" t="str">
        <f t="shared" si="167"/>
        <v>Weekend</v>
      </c>
    </row>
    <row r="1342" spans="1:17" x14ac:dyDescent="0.35">
      <c r="A1342" t="s">
        <v>1492</v>
      </c>
      <c r="B1342" s="7">
        <v>45327</v>
      </c>
      <c r="C1342" s="13">
        <f t="shared" si="161"/>
        <v>2024</v>
      </c>
      <c r="D1342" s="7" t="str">
        <f t="shared" si="162"/>
        <v>Feb</v>
      </c>
      <c r="E1342" s="7" t="str">
        <f t="shared" si="163"/>
        <v>Mon</v>
      </c>
      <c r="F1342" t="s">
        <v>327</v>
      </c>
      <c r="G1342" t="s">
        <v>10</v>
      </c>
      <c r="H1342" t="s">
        <v>22</v>
      </c>
      <c r="I1342" s="2" t="str">
        <f t="shared" si="160"/>
        <v>North</v>
      </c>
      <c r="J1342" t="s">
        <v>56</v>
      </c>
      <c r="K1342" t="s">
        <v>23</v>
      </c>
      <c r="L1342">
        <v>4</v>
      </c>
      <c r="M1342">
        <v>120</v>
      </c>
      <c r="N1342">
        <f t="shared" si="164"/>
        <v>480</v>
      </c>
      <c r="O1342">
        <f t="shared" si="165"/>
        <v>48</v>
      </c>
      <c r="P1342" t="str">
        <f t="shared" si="166"/>
        <v>Standard Order</v>
      </c>
      <c r="Q1342" t="str">
        <f t="shared" si="167"/>
        <v>Weekday</v>
      </c>
    </row>
    <row r="1343" spans="1:17" x14ac:dyDescent="0.35">
      <c r="A1343" t="s">
        <v>1493</v>
      </c>
      <c r="B1343" s="7">
        <v>45583</v>
      </c>
      <c r="C1343" s="13">
        <f t="shared" si="161"/>
        <v>2024</v>
      </c>
      <c r="D1343" s="7" t="str">
        <f t="shared" si="162"/>
        <v>Oct</v>
      </c>
      <c r="E1343" s="7" t="str">
        <f t="shared" si="163"/>
        <v>Fri</v>
      </c>
      <c r="F1343" t="s">
        <v>78</v>
      </c>
      <c r="G1343" t="s">
        <v>59</v>
      </c>
      <c r="H1343" t="s">
        <v>22</v>
      </c>
      <c r="I1343" s="2" t="str">
        <f t="shared" si="160"/>
        <v>East</v>
      </c>
      <c r="J1343" t="s">
        <v>12</v>
      </c>
      <c r="K1343" t="s">
        <v>36</v>
      </c>
      <c r="L1343">
        <v>3</v>
      </c>
      <c r="M1343">
        <v>120</v>
      </c>
      <c r="N1343">
        <f t="shared" si="164"/>
        <v>360</v>
      </c>
      <c r="O1343">
        <f t="shared" si="165"/>
        <v>36</v>
      </c>
      <c r="P1343" t="str">
        <f t="shared" si="166"/>
        <v>Standard Order</v>
      </c>
      <c r="Q1343" t="str">
        <f t="shared" si="167"/>
        <v>Weekday</v>
      </c>
    </row>
    <row r="1344" spans="1:17" x14ac:dyDescent="0.35">
      <c r="A1344" t="s">
        <v>1494</v>
      </c>
      <c r="B1344" s="7">
        <v>45590</v>
      </c>
      <c r="C1344" s="13">
        <f t="shared" si="161"/>
        <v>2024</v>
      </c>
      <c r="D1344" s="7" t="str">
        <f t="shared" si="162"/>
        <v>Oct</v>
      </c>
      <c r="E1344" s="7" t="str">
        <f t="shared" si="163"/>
        <v>Fri</v>
      </c>
      <c r="F1344" t="s">
        <v>614</v>
      </c>
      <c r="G1344" t="s">
        <v>160</v>
      </c>
      <c r="H1344" t="s">
        <v>17</v>
      </c>
      <c r="I1344" s="2" t="str">
        <f t="shared" si="160"/>
        <v>East</v>
      </c>
      <c r="J1344" t="s">
        <v>42</v>
      </c>
      <c r="K1344" t="s">
        <v>28</v>
      </c>
      <c r="L1344">
        <v>11</v>
      </c>
      <c r="M1344">
        <v>120</v>
      </c>
      <c r="N1344">
        <f t="shared" si="164"/>
        <v>1320</v>
      </c>
      <c r="O1344">
        <f t="shared" si="165"/>
        <v>132</v>
      </c>
      <c r="P1344" t="str">
        <f t="shared" si="166"/>
        <v>Large Order</v>
      </c>
      <c r="Q1344" t="str">
        <f t="shared" si="167"/>
        <v>Weekday</v>
      </c>
    </row>
    <row r="1345" spans="1:17" x14ac:dyDescent="0.35">
      <c r="A1345" t="s">
        <v>1495</v>
      </c>
      <c r="B1345" s="7">
        <v>45494</v>
      </c>
      <c r="C1345" s="13">
        <f t="shared" si="161"/>
        <v>2024</v>
      </c>
      <c r="D1345" s="7" t="str">
        <f t="shared" si="162"/>
        <v>Jul</v>
      </c>
      <c r="E1345" s="7" t="str">
        <f t="shared" si="163"/>
        <v>Sun</v>
      </c>
      <c r="F1345" t="s">
        <v>34</v>
      </c>
      <c r="G1345" t="s">
        <v>41</v>
      </c>
      <c r="H1345" t="s">
        <v>22</v>
      </c>
      <c r="I1345" s="2" t="str">
        <f t="shared" si="160"/>
        <v>Central</v>
      </c>
      <c r="J1345" t="s">
        <v>42</v>
      </c>
      <c r="K1345" t="s">
        <v>23</v>
      </c>
      <c r="L1345">
        <v>11</v>
      </c>
      <c r="M1345">
        <v>120</v>
      </c>
      <c r="N1345">
        <f t="shared" si="164"/>
        <v>1320</v>
      </c>
      <c r="O1345">
        <f t="shared" si="165"/>
        <v>132</v>
      </c>
      <c r="P1345" t="str">
        <f t="shared" si="166"/>
        <v>Large Order</v>
      </c>
      <c r="Q1345" t="str">
        <f t="shared" si="167"/>
        <v>Weekend</v>
      </c>
    </row>
    <row r="1346" spans="1:17" x14ac:dyDescent="0.35">
      <c r="A1346" t="s">
        <v>1496</v>
      </c>
      <c r="B1346" s="7">
        <v>45329</v>
      </c>
      <c r="C1346" s="13">
        <f t="shared" si="161"/>
        <v>2024</v>
      </c>
      <c r="D1346" s="7" t="str">
        <f t="shared" si="162"/>
        <v>Feb</v>
      </c>
      <c r="E1346" s="7" t="str">
        <f t="shared" si="163"/>
        <v>Wed</v>
      </c>
      <c r="F1346" t="s">
        <v>142</v>
      </c>
      <c r="G1346" t="s">
        <v>70</v>
      </c>
      <c r="H1346" t="s">
        <v>22</v>
      </c>
      <c r="I1346" s="2" t="str">
        <f t="shared" si="160"/>
        <v>North</v>
      </c>
      <c r="J1346" t="s">
        <v>306</v>
      </c>
      <c r="K1346" t="s">
        <v>13</v>
      </c>
      <c r="L1346">
        <v>3</v>
      </c>
      <c r="M1346">
        <v>120</v>
      </c>
      <c r="N1346">
        <f t="shared" si="164"/>
        <v>360</v>
      </c>
      <c r="O1346">
        <f t="shared" si="165"/>
        <v>36</v>
      </c>
      <c r="P1346" t="str">
        <f t="shared" si="166"/>
        <v>Standard Order</v>
      </c>
      <c r="Q1346" t="str">
        <f t="shared" si="167"/>
        <v>Weekday</v>
      </c>
    </row>
    <row r="1347" spans="1:17" x14ac:dyDescent="0.35">
      <c r="A1347" t="s">
        <v>1497</v>
      </c>
      <c r="B1347" s="7">
        <v>45551</v>
      </c>
      <c r="C1347" s="13">
        <f t="shared" si="161"/>
        <v>2024</v>
      </c>
      <c r="D1347" s="7" t="str">
        <f t="shared" si="162"/>
        <v>Sep</v>
      </c>
      <c r="E1347" s="7" t="str">
        <f t="shared" si="163"/>
        <v>Mon</v>
      </c>
      <c r="F1347" t="s">
        <v>86</v>
      </c>
      <c r="G1347" t="s">
        <v>16</v>
      </c>
      <c r="H1347" t="s">
        <v>17</v>
      </c>
      <c r="I1347" s="2" t="str">
        <f t="shared" ref="I1347:I1410" si="168">TRIM(J1348)</f>
        <v>Central</v>
      </c>
      <c r="J1347" t="s">
        <v>12</v>
      </c>
      <c r="K1347" t="s">
        <v>28</v>
      </c>
      <c r="L1347">
        <v>12</v>
      </c>
      <c r="M1347">
        <v>120</v>
      </c>
      <c r="N1347">
        <f t="shared" si="164"/>
        <v>1440</v>
      </c>
      <c r="O1347">
        <f t="shared" si="165"/>
        <v>144</v>
      </c>
      <c r="P1347" t="str">
        <f t="shared" si="166"/>
        <v>Large Order</v>
      </c>
      <c r="Q1347" t="str">
        <f t="shared" si="167"/>
        <v>Weekday</v>
      </c>
    </row>
    <row r="1348" spans="1:17" x14ac:dyDescent="0.35">
      <c r="A1348" t="s">
        <v>1498</v>
      </c>
      <c r="B1348" s="7">
        <v>45516</v>
      </c>
      <c r="C1348" s="13">
        <f t="shared" ref="C1348:C1411" si="169">YEAR(B1348)</f>
        <v>2024</v>
      </c>
      <c r="D1348" s="7" t="str">
        <f t="shared" ref="D1348:D1411" si="170">TEXT(B1348,"mmm")</f>
        <v>Aug</v>
      </c>
      <c r="E1348" s="7" t="str">
        <f t="shared" ref="E1348:E1411" si="171">TEXT(B1348,"ddd")</f>
        <v>Mon</v>
      </c>
      <c r="F1348" t="s">
        <v>591</v>
      </c>
      <c r="G1348" t="s">
        <v>62</v>
      </c>
      <c r="H1348" t="s">
        <v>17</v>
      </c>
      <c r="I1348" s="2" t="str">
        <f t="shared" si="168"/>
        <v>South</v>
      </c>
      <c r="J1348" t="s">
        <v>306</v>
      </c>
      <c r="K1348" t="s">
        <v>36</v>
      </c>
      <c r="L1348">
        <v>1</v>
      </c>
      <c r="M1348">
        <v>120</v>
      </c>
      <c r="N1348">
        <f t="shared" ref="N1348:N1411" si="172">M1348*L1348</f>
        <v>120</v>
      </c>
      <c r="O1348">
        <f t="shared" ref="O1348:O1411" si="173">N1348*0.1</f>
        <v>12</v>
      </c>
      <c r="P1348" t="str">
        <f t="shared" ref="P1348:P1411" si="174">IF(N1348&gt;500,"Large Order","Standard Order")</f>
        <v>Standard Order</v>
      </c>
      <c r="Q1348" t="str">
        <f t="shared" ref="Q1348:Q1411" si="175">IF(OR(TRIM(E1348)="Sat",TRIM(E1348)="Sun"),"Weekend","Weekday")</f>
        <v>Weekday</v>
      </c>
    </row>
    <row r="1349" spans="1:17" x14ac:dyDescent="0.35">
      <c r="A1349" t="s">
        <v>1499</v>
      </c>
      <c r="B1349" s="7">
        <v>45575</v>
      </c>
      <c r="C1349" s="13">
        <f t="shared" si="169"/>
        <v>2024</v>
      </c>
      <c r="D1349" s="7" t="str">
        <f t="shared" si="170"/>
        <v>Oct</v>
      </c>
      <c r="E1349" s="7" t="str">
        <f t="shared" si="171"/>
        <v>Thu</v>
      </c>
      <c r="F1349" t="s">
        <v>68</v>
      </c>
      <c r="G1349" t="s">
        <v>41</v>
      </c>
      <c r="H1349" t="s">
        <v>11</v>
      </c>
      <c r="I1349" s="2" t="str">
        <f t="shared" si="168"/>
        <v>Central</v>
      </c>
      <c r="J1349" t="s">
        <v>56</v>
      </c>
      <c r="K1349" t="s">
        <v>32</v>
      </c>
      <c r="L1349">
        <v>4</v>
      </c>
      <c r="M1349">
        <v>120</v>
      </c>
      <c r="N1349">
        <f t="shared" si="172"/>
        <v>480</v>
      </c>
      <c r="O1349">
        <f t="shared" si="173"/>
        <v>48</v>
      </c>
      <c r="P1349" t="str">
        <f t="shared" si="174"/>
        <v>Standard Order</v>
      </c>
      <c r="Q1349" t="str">
        <f t="shared" si="175"/>
        <v>Weekday</v>
      </c>
    </row>
    <row r="1350" spans="1:17" x14ac:dyDescent="0.35">
      <c r="A1350" t="s">
        <v>1500</v>
      </c>
      <c r="B1350" s="7">
        <v>45575</v>
      </c>
      <c r="C1350" s="13">
        <f t="shared" si="169"/>
        <v>2024</v>
      </c>
      <c r="D1350" s="7" t="str">
        <f t="shared" si="170"/>
        <v>Oct</v>
      </c>
      <c r="E1350" s="7" t="str">
        <f t="shared" si="171"/>
        <v>Thu</v>
      </c>
      <c r="F1350" t="s">
        <v>125</v>
      </c>
      <c r="G1350" t="s">
        <v>26</v>
      </c>
      <c r="H1350" t="s">
        <v>17</v>
      </c>
      <c r="I1350" s="2" t="str">
        <f t="shared" si="168"/>
        <v>East</v>
      </c>
      <c r="J1350" t="s">
        <v>306</v>
      </c>
      <c r="K1350" t="s">
        <v>28</v>
      </c>
      <c r="L1350">
        <v>11</v>
      </c>
      <c r="M1350">
        <v>120</v>
      </c>
      <c r="N1350">
        <f t="shared" si="172"/>
        <v>1320</v>
      </c>
      <c r="O1350">
        <f t="shared" si="173"/>
        <v>132</v>
      </c>
      <c r="P1350" t="str">
        <f t="shared" si="174"/>
        <v>Large Order</v>
      </c>
      <c r="Q1350" t="str">
        <f t="shared" si="175"/>
        <v>Weekday</v>
      </c>
    </row>
    <row r="1351" spans="1:17" x14ac:dyDescent="0.35">
      <c r="A1351" t="s">
        <v>1501</v>
      </c>
      <c r="B1351" s="7">
        <v>45616</v>
      </c>
      <c r="C1351" s="13">
        <f t="shared" si="169"/>
        <v>2024</v>
      </c>
      <c r="D1351" s="7" t="str">
        <f t="shared" si="170"/>
        <v>Nov</v>
      </c>
      <c r="E1351" s="7" t="str">
        <f t="shared" si="171"/>
        <v>Wed</v>
      </c>
      <c r="F1351" t="s">
        <v>86</v>
      </c>
      <c r="G1351" t="s">
        <v>160</v>
      </c>
      <c r="H1351" t="s">
        <v>17</v>
      </c>
      <c r="I1351" s="2" t="str">
        <f t="shared" si="168"/>
        <v>South</v>
      </c>
      <c r="J1351" t="s">
        <v>42</v>
      </c>
      <c r="K1351" t="s">
        <v>13</v>
      </c>
      <c r="L1351">
        <v>3</v>
      </c>
      <c r="M1351">
        <v>120</v>
      </c>
      <c r="N1351">
        <f t="shared" si="172"/>
        <v>360</v>
      </c>
      <c r="O1351">
        <f t="shared" si="173"/>
        <v>36</v>
      </c>
      <c r="P1351" t="str">
        <f t="shared" si="174"/>
        <v>Standard Order</v>
      </c>
      <c r="Q1351" t="str">
        <f t="shared" si="175"/>
        <v>Weekday</v>
      </c>
    </row>
    <row r="1352" spans="1:17" x14ac:dyDescent="0.35">
      <c r="A1352" t="s">
        <v>1502</v>
      </c>
      <c r="B1352" s="7">
        <v>45433</v>
      </c>
      <c r="C1352" s="13">
        <f t="shared" si="169"/>
        <v>2024</v>
      </c>
      <c r="D1352" s="7" t="str">
        <f t="shared" si="170"/>
        <v>May</v>
      </c>
      <c r="E1352" s="7" t="str">
        <f t="shared" si="171"/>
        <v>Tue</v>
      </c>
      <c r="F1352" t="s">
        <v>116</v>
      </c>
      <c r="G1352" t="s">
        <v>96</v>
      </c>
      <c r="H1352" t="s">
        <v>17</v>
      </c>
      <c r="I1352" s="2" t="str">
        <f t="shared" si="168"/>
        <v>North</v>
      </c>
      <c r="J1352" t="s">
        <v>56</v>
      </c>
      <c r="K1352" t="s">
        <v>32</v>
      </c>
      <c r="L1352">
        <v>6</v>
      </c>
      <c r="M1352">
        <v>120</v>
      </c>
      <c r="N1352">
        <f t="shared" si="172"/>
        <v>720</v>
      </c>
      <c r="O1352">
        <f t="shared" si="173"/>
        <v>72</v>
      </c>
      <c r="P1352" t="str">
        <f t="shared" si="174"/>
        <v>Large Order</v>
      </c>
      <c r="Q1352" t="str">
        <f t="shared" si="175"/>
        <v>Weekday</v>
      </c>
    </row>
    <row r="1353" spans="1:17" x14ac:dyDescent="0.35">
      <c r="A1353" t="s">
        <v>1503</v>
      </c>
      <c r="B1353" s="7">
        <v>45574</v>
      </c>
      <c r="C1353" s="13">
        <f t="shared" si="169"/>
        <v>2024</v>
      </c>
      <c r="D1353" s="7" t="str">
        <f t="shared" si="170"/>
        <v>Oct</v>
      </c>
      <c r="E1353" s="7" t="str">
        <f t="shared" si="171"/>
        <v>Wed</v>
      </c>
      <c r="F1353" t="s">
        <v>369</v>
      </c>
      <c r="G1353" t="s">
        <v>87</v>
      </c>
      <c r="H1353" t="s">
        <v>22</v>
      </c>
      <c r="I1353" s="2" t="str">
        <f t="shared" si="168"/>
        <v>East</v>
      </c>
      <c r="J1353" t="s">
        <v>12</v>
      </c>
      <c r="K1353" t="s">
        <v>13</v>
      </c>
      <c r="L1353">
        <v>3</v>
      </c>
      <c r="M1353">
        <v>120</v>
      </c>
      <c r="N1353">
        <f t="shared" si="172"/>
        <v>360</v>
      </c>
      <c r="O1353">
        <f t="shared" si="173"/>
        <v>36</v>
      </c>
      <c r="P1353" t="str">
        <f t="shared" si="174"/>
        <v>Standard Order</v>
      </c>
      <c r="Q1353" t="str">
        <f t="shared" si="175"/>
        <v>Weekday</v>
      </c>
    </row>
    <row r="1354" spans="1:17" x14ac:dyDescent="0.35">
      <c r="A1354" t="s">
        <v>1504</v>
      </c>
      <c r="B1354" s="7">
        <v>45645</v>
      </c>
      <c r="C1354" s="13">
        <f t="shared" si="169"/>
        <v>2024</v>
      </c>
      <c r="D1354" s="7" t="str">
        <f t="shared" si="170"/>
        <v>Dec</v>
      </c>
      <c r="E1354" s="7" t="str">
        <f t="shared" si="171"/>
        <v>Thu</v>
      </c>
      <c r="F1354" t="s">
        <v>125</v>
      </c>
      <c r="G1354" t="s">
        <v>174</v>
      </c>
      <c r="H1354" t="s">
        <v>11</v>
      </c>
      <c r="I1354" s="2" t="str">
        <f t="shared" si="168"/>
        <v>North</v>
      </c>
      <c r="J1354" t="s">
        <v>42</v>
      </c>
      <c r="K1354" t="s">
        <v>36</v>
      </c>
      <c r="L1354">
        <v>18</v>
      </c>
      <c r="M1354">
        <v>120</v>
      </c>
      <c r="N1354">
        <f t="shared" si="172"/>
        <v>2160</v>
      </c>
      <c r="O1354">
        <f t="shared" si="173"/>
        <v>216</v>
      </c>
      <c r="P1354" t="str">
        <f t="shared" si="174"/>
        <v>Large Order</v>
      </c>
      <c r="Q1354" t="str">
        <f t="shared" si="175"/>
        <v>Weekday</v>
      </c>
    </row>
    <row r="1355" spans="1:17" x14ac:dyDescent="0.35">
      <c r="A1355" t="s">
        <v>1505</v>
      </c>
      <c r="B1355" s="7">
        <v>45357</v>
      </c>
      <c r="C1355" s="13">
        <f t="shared" si="169"/>
        <v>2024</v>
      </c>
      <c r="D1355" s="7" t="str">
        <f t="shared" si="170"/>
        <v>Mar</v>
      </c>
      <c r="E1355" s="7" t="str">
        <f t="shared" si="171"/>
        <v>Wed</v>
      </c>
      <c r="F1355" t="s">
        <v>116</v>
      </c>
      <c r="G1355" t="s">
        <v>74</v>
      </c>
      <c r="H1355" t="s">
        <v>17</v>
      </c>
      <c r="I1355" s="2" t="str">
        <f t="shared" si="168"/>
        <v>West</v>
      </c>
      <c r="J1355" t="s">
        <v>12</v>
      </c>
      <c r="K1355" t="s">
        <v>32</v>
      </c>
      <c r="L1355">
        <v>7</v>
      </c>
      <c r="M1355">
        <v>120</v>
      </c>
      <c r="N1355">
        <f t="shared" si="172"/>
        <v>840</v>
      </c>
      <c r="O1355">
        <f t="shared" si="173"/>
        <v>84</v>
      </c>
      <c r="P1355" t="str">
        <f t="shared" si="174"/>
        <v>Large Order</v>
      </c>
      <c r="Q1355" t="str">
        <f t="shared" si="175"/>
        <v>Weekday</v>
      </c>
    </row>
    <row r="1356" spans="1:17" x14ac:dyDescent="0.35">
      <c r="A1356" t="s">
        <v>1506</v>
      </c>
      <c r="B1356" s="7">
        <v>45633</v>
      </c>
      <c r="C1356" s="13">
        <f t="shared" si="169"/>
        <v>2024</v>
      </c>
      <c r="D1356" s="7" t="str">
        <f t="shared" si="170"/>
        <v>Dec</v>
      </c>
      <c r="E1356" s="7" t="str">
        <f t="shared" si="171"/>
        <v>Sat</v>
      </c>
      <c r="F1356" t="s">
        <v>15</v>
      </c>
      <c r="G1356" t="s">
        <v>48</v>
      </c>
      <c r="H1356" t="s">
        <v>22</v>
      </c>
      <c r="I1356" s="2" t="str">
        <f t="shared" si="168"/>
        <v>North</v>
      </c>
      <c r="J1356" t="s">
        <v>27</v>
      </c>
      <c r="K1356" t="s">
        <v>36</v>
      </c>
      <c r="L1356">
        <v>5</v>
      </c>
      <c r="M1356">
        <v>120</v>
      </c>
      <c r="N1356">
        <f t="shared" si="172"/>
        <v>600</v>
      </c>
      <c r="O1356">
        <f t="shared" si="173"/>
        <v>60</v>
      </c>
      <c r="P1356" t="str">
        <f t="shared" si="174"/>
        <v>Large Order</v>
      </c>
      <c r="Q1356" t="str">
        <f t="shared" si="175"/>
        <v>Weekend</v>
      </c>
    </row>
    <row r="1357" spans="1:17" x14ac:dyDescent="0.35">
      <c r="A1357" t="s">
        <v>1507</v>
      </c>
      <c r="B1357" s="7">
        <v>45413</v>
      </c>
      <c r="C1357" s="13">
        <f t="shared" si="169"/>
        <v>2024</v>
      </c>
      <c r="D1357" s="7" t="str">
        <f t="shared" si="170"/>
        <v>May</v>
      </c>
      <c r="E1357" s="7" t="str">
        <f t="shared" si="171"/>
        <v>Wed</v>
      </c>
      <c r="F1357" t="s">
        <v>111</v>
      </c>
      <c r="G1357" t="s">
        <v>45</v>
      </c>
      <c r="H1357" t="s">
        <v>17</v>
      </c>
      <c r="I1357" s="2" t="str">
        <f t="shared" si="168"/>
        <v>East</v>
      </c>
      <c r="J1357" t="s">
        <v>12</v>
      </c>
      <c r="K1357" t="s">
        <v>28</v>
      </c>
      <c r="L1357">
        <v>11</v>
      </c>
      <c r="M1357">
        <v>120</v>
      </c>
      <c r="N1357">
        <f t="shared" si="172"/>
        <v>1320</v>
      </c>
      <c r="O1357">
        <f t="shared" si="173"/>
        <v>132</v>
      </c>
      <c r="P1357" t="str">
        <f t="shared" si="174"/>
        <v>Large Order</v>
      </c>
      <c r="Q1357" t="str">
        <f t="shared" si="175"/>
        <v>Weekday</v>
      </c>
    </row>
    <row r="1358" spans="1:17" x14ac:dyDescent="0.35">
      <c r="A1358" t="s">
        <v>1508</v>
      </c>
      <c r="B1358" s="7">
        <v>45502</v>
      </c>
      <c r="C1358" s="13">
        <f t="shared" si="169"/>
        <v>2024</v>
      </c>
      <c r="D1358" s="7" t="str">
        <f t="shared" si="170"/>
        <v>Jul</v>
      </c>
      <c r="E1358" s="7" t="str">
        <f t="shared" si="171"/>
        <v>Mon</v>
      </c>
      <c r="F1358" t="s">
        <v>317</v>
      </c>
      <c r="G1358" t="s">
        <v>84</v>
      </c>
      <c r="H1358" t="s">
        <v>11</v>
      </c>
      <c r="I1358" s="2" t="str">
        <f t="shared" si="168"/>
        <v>West</v>
      </c>
      <c r="J1358" t="s">
        <v>42</v>
      </c>
      <c r="K1358" t="s">
        <v>28</v>
      </c>
      <c r="L1358">
        <v>4</v>
      </c>
      <c r="M1358">
        <v>120</v>
      </c>
      <c r="N1358">
        <f t="shared" si="172"/>
        <v>480</v>
      </c>
      <c r="O1358">
        <f t="shared" si="173"/>
        <v>48</v>
      </c>
      <c r="P1358" t="str">
        <f t="shared" si="174"/>
        <v>Standard Order</v>
      </c>
      <c r="Q1358" t="str">
        <f t="shared" si="175"/>
        <v>Weekday</v>
      </c>
    </row>
    <row r="1359" spans="1:17" x14ac:dyDescent="0.35">
      <c r="A1359" t="s">
        <v>1509</v>
      </c>
      <c r="B1359" s="7">
        <v>45311</v>
      </c>
      <c r="C1359" s="13">
        <f t="shared" si="169"/>
        <v>2024</v>
      </c>
      <c r="D1359" s="7" t="str">
        <f t="shared" si="170"/>
        <v>Jan</v>
      </c>
      <c r="E1359" s="7" t="str">
        <f t="shared" si="171"/>
        <v>Sat</v>
      </c>
      <c r="F1359" t="s">
        <v>553</v>
      </c>
      <c r="G1359" t="s">
        <v>197</v>
      </c>
      <c r="H1359" t="s">
        <v>11</v>
      </c>
      <c r="I1359" s="2" t="str">
        <f t="shared" si="168"/>
        <v>South</v>
      </c>
      <c r="J1359" t="s">
        <v>27</v>
      </c>
      <c r="K1359" t="s">
        <v>32</v>
      </c>
      <c r="L1359">
        <v>10</v>
      </c>
      <c r="M1359">
        <v>120</v>
      </c>
      <c r="N1359">
        <f t="shared" si="172"/>
        <v>1200</v>
      </c>
      <c r="O1359">
        <f t="shared" si="173"/>
        <v>120</v>
      </c>
      <c r="P1359" t="str">
        <f t="shared" si="174"/>
        <v>Large Order</v>
      </c>
      <c r="Q1359" t="str">
        <f t="shared" si="175"/>
        <v>Weekend</v>
      </c>
    </row>
    <row r="1360" spans="1:17" x14ac:dyDescent="0.35">
      <c r="A1360" t="s">
        <v>1510</v>
      </c>
      <c r="B1360" s="7">
        <v>45408</v>
      </c>
      <c r="C1360" s="13">
        <f t="shared" si="169"/>
        <v>2024</v>
      </c>
      <c r="D1360" s="7" t="str">
        <f t="shared" si="170"/>
        <v>Apr</v>
      </c>
      <c r="E1360" s="7" t="str">
        <f t="shared" si="171"/>
        <v>Fri</v>
      </c>
      <c r="F1360" t="s">
        <v>240</v>
      </c>
      <c r="G1360" t="s">
        <v>96</v>
      </c>
      <c r="H1360" t="s">
        <v>22</v>
      </c>
      <c r="I1360" s="2" t="str">
        <f t="shared" si="168"/>
        <v>Central</v>
      </c>
      <c r="J1360" t="s">
        <v>56</v>
      </c>
      <c r="K1360" t="s">
        <v>23</v>
      </c>
      <c r="L1360">
        <v>11</v>
      </c>
      <c r="M1360">
        <v>120</v>
      </c>
      <c r="N1360">
        <f t="shared" si="172"/>
        <v>1320</v>
      </c>
      <c r="O1360">
        <f t="shared" si="173"/>
        <v>132</v>
      </c>
      <c r="P1360" t="str">
        <f t="shared" si="174"/>
        <v>Large Order</v>
      </c>
      <c r="Q1360" t="str">
        <f t="shared" si="175"/>
        <v>Weekday</v>
      </c>
    </row>
    <row r="1361" spans="1:17" x14ac:dyDescent="0.35">
      <c r="A1361" t="s">
        <v>1511</v>
      </c>
      <c r="B1361" s="7">
        <v>45327</v>
      </c>
      <c r="C1361" s="13">
        <f t="shared" si="169"/>
        <v>2024</v>
      </c>
      <c r="D1361" s="7" t="str">
        <f t="shared" si="170"/>
        <v>Feb</v>
      </c>
      <c r="E1361" s="7" t="str">
        <f t="shared" si="171"/>
        <v>Mon</v>
      </c>
      <c r="F1361" t="s">
        <v>337</v>
      </c>
      <c r="G1361" t="s">
        <v>26</v>
      </c>
      <c r="H1361" t="s">
        <v>17</v>
      </c>
      <c r="I1361" s="2" t="str">
        <f t="shared" si="168"/>
        <v>Central</v>
      </c>
      <c r="J1361" t="s">
        <v>306</v>
      </c>
      <c r="K1361" t="s">
        <v>23</v>
      </c>
      <c r="L1361">
        <v>18</v>
      </c>
      <c r="M1361">
        <v>120</v>
      </c>
      <c r="N1361">
        <f t="shared" si="172"/>
        <v>2160</v>
      </c>
      <c r="O1361">
        <f t="shared" si="173"/>
        <v>216</v>
      </c>
      <c r="P1361" t="str">
        <f t="shared" si="174"/>
        <v>Large Order</v>
      </c>
      <c r="Q1361" t="str">
        <f t="shared" si="175"/>
        <v>Weekday</v>
      </c>
    </row>
    <row r="1362" spans="1:17" x14ac:dyDescent="0.35">
      <c r="A1362" t="s">
        <v>1512</v>
      </c>
      <c r="B1362" s="7">
        <v>45306</v>
      </c>
      <c r="C1362" s="13">
        <f t="shared" si="169"/>
        <v>2024</v>
      </c>
      <c r="D1362" s="7" t="str">
        <f t="shared" si="170"/>
        <v>Jan</v>
      </c>
      <c r="E1362" s="7" t="str">
        <f t="shared" si="171"/>
        <v>Mon</v>
      </c>
      <c r="F1362" t="s">
        <v>40</v>
      </c>
      <c r="G1362" t="s">
        <v>26</v>
      </c>
      <c r="H1362" t="s">
        <v>11</v>
      </c>
      <c r="I1362" s="2" t="str">
        <f t="shared" si="168"/>
        <v>West</v>
      </c>
      <c r="J1362" t="s">
        <v>306</v>
      </c>
      <c r="K1362" t="s">
        <v>32</v>
      </c>
      <c r="L1362">
        <v>2</v>
      </c>
      <c r="M1362">
        <v>120</v>
      </c>
      <c r="N1362">
        <f t="shared" si="172"/>
        <v>240</v>
      </c>
      <c r="O1362">
        <f t="shared" si="173"/>
        <v>24</v>
      </c>
      <c r="P1362" t="str">
        <f t="shared" si="174"/>
        <v>Standard Order</v>
      </c>
      <c r="Q1362" t="str">
        <f t="shared" si="175"/>
        <v>Weekday</v>
      </c>
    </row>
    <row r="1363" spans="1:17" x14ac:dyDescent="0.35">
      <c r="A1363" t="s">
        <v>1513</v>
      </c>
      <c r="B1363" s="7">
        <v>45514</v>
      </c>
      <c r="C1363" s="13">
        <f t="shared" si="169"/>
        <v>2024</v>
      </c>
      <c r="D1363" s="7" t="str">
        <f t="shared" si="170"/>
        <v>Aug</v>
      </c>
      <c r="E1363" s="7" t="str">
        <f t="shared" si="171"/>
        <v>Sat</v>
      </c>
      <c r="F1363" t="s">
        <v>20</v>
      </c>
      <c r="G1363" t="s">
        <v>84</v>
      </c>
      <c r="H1363" t="s">
        <v>17</v>
      </c>
      <c r="I1363" s="2" t="str">
        <f t="shared" si="168"/>
        <v>West</v>
      </c>
      <c r="J1363" t="s">
        <v>27</v>
      </c>
      <c r="K1363" t="s">
        <v>36</v>
      </c>
      <c r="L1363">
        <v>17</v>
      </c>
      <c r="M1363">
        <v>120</v>
      </c>
      <c r="N1363">
        <f t="shared" si="172"/>
        <v>2040</v>
      </c>
      <c r="O1363">
        <f t="shared" si="173"/>
        <v>204</v>
      </c>
      <c r="P1363" t="str">
        <f t="shared" si="174"/>
        <v>Large Order</v>
      </c>
      <c r="Q1363" t="str">
        <f t="shared" si="175"/>
        <v>Weekend</v>
      </c>
    </row>
    <row r="1364" spans="1:17" x14ac:dyDescent="0.35">
      <c r="A1364" t="s">
        <v>1514</v>
      </c>
      <c r="B1364" s="7">
        <v>45587</v>
      </c>
      <c r="C1364" s="13">
        <f t="shared" si="169"/>
        <v>2024</v>
      </c>
      <c r="D1364" s="7" t="str">
        <f t="shared" si="170"/>
        <v>Oct</v>
      </c>
      <c r="E1364" s="7" t="str">
        <f t="shared" si="171"/>
        <v>Tue</v>
      </c>
      <c r="F1364" t="s">
        <v>150</v>
      </c>
      <c r="G1364" t="s">
        <v>26</v>
      </c>
      <c r="H1364" t="s">
        <v>11</v>
      </c>
      <c r="I1364" s="2" t="str">
        <f t="shared" si="168"/>
        <v>South</v>
      </c>
      <c r="J1364" t="s">
        <v>27</v>
      </c>
      <c r="K1364" t="s">
        <v>13</v>
      </c>
      <c r="L1364">
        <v>17</v>
      </c>
      <c r="M1364">
        <v>120</v>
      </c>
      <c r="N1364">
        <f t="shared" si="172"/>
        <v>2040</v>
      </c>
      <c r="O1364">
        <f t="shared" si="173"/>
        <v>204</v>
      </c>
      <c r="P1364" t="str">
        <f t="shared" si="174"/>
        <v>Large Order</v>
      </c>
      <c r="Q1364" t="str">
        <f t="shared" si="175"/>
        <v>Weekday</v>
      </c>
    </row>
    <row r="1365" spans="1:17" x14ac:dyDescent="0.35">
      <c r="A1365" t="s">
        <v>1515</v>
      </c>
      <c r="B1365" s="7">
        <v>45567</v>
      </c>
      <c r="C1365" s="13">
        <f t="shared" si="169"/>
        <v>2024</v>
      </c>
      <c r="D1365" s="7" t="str">
        <f t="shared" si="170"/>
        <v>Oct</v>
      </c>
      <c r="E1365" s="7" t="str">
        <f t="shared" si="171"/>
        <v>Wed</v>
      </c>
      <c r="F1365" t="s">
        <v>455</v>
      </c>
      <c r="G1365" t="s">
        <v>84</v>
      </c>
      <c r="H1365" t="s">
        <v>22</v>
      </c>
      <c r="I1365" s="2" t="str">
        <f t="shared" si="168"/>
        <v>North</v>
      </c>
      <c r="J1365" t="s">
        <v>56</v>
      </c>
      <c r="K1365" t="s">
        <v>32</v>
      </c>
      <c r="L1365">
        <v>14</v>
      </c>
      <c r="M1365">
        <v>120</v>
      </c>
      <c r="N1365">
        <f t="shared" si="172"/>
        <v>1680</v>
      </c>
      <c r="O1365">
        <f t="shared" si="173"/>
        <v>168</v>
      </c>
      <c r="P1365" t="str">
        <f t="shared" si="174"/>
        <v>Large Order</v>
      </c>
      <c r="Q1365" t="str">
        <f t="shared" si="175"/>
        <v>Weekday</v>
      </c>
    </row>
    <row r="1366" spans="1:17" x14ac:dyDescent="0.35">
      <c r="A1366" t="s">
        <v>1516</v>
      </c>
      <c r="B1366" s="7">
        <v>45632</v>
      </c>
      <c r="C1366" s="13">
        <f t="shared" si="169"/>
        <v>2024</v>
      </c>
      <c r="D1366" s="7" t="str">
        <f t="shared" si="170"/>
        <v>Dec</v>
      </c>
      <c r="E1366" s="7" t="str">
        <f t="shared" si="171"/>
        <v>Fri</v>
      </c>
      <c r="F1366" t="s">
        <v>118</v>
      </c>
      <c r="G1366" t="s">
        <v>109</v>
      </c>
      <c r="H1366" t="s">
        <v>17</v>
      </c>
      <c r="I1366" s="2" t="str">
        <f t="shared" si="168"/>
        <v>East</v>
      </c>
      <c r="J1366" t="s">
        <v>12</v>
      </c>
      <c r="K1366" t="s">
        <v>32</v>
      </c>
      <c r="L1366">
        <v>17</v>
      </c>
      <c r="M1366">
        <v>120</v>
      </c>
      <c r="N1366">
        <f t="shared" si="172"/>
        <v>2040</v>
      </c>
      <c r="O1366">
        <f t="shared" si="173"/>
        <v>204</v>
      </c>
      <c r="P1366" t="str">
        <f t="shared" si="174"/>
        <v>Large Order</v>
      </c>
      <c r="Q1366" t="str">
        <f t="shared" si="175"/>
        <v>Weekday</v>
      </c>
    </row>
    <row r="1367" spans="1:17" x14ac:dyDescent="0.35">
      <c r="A1367" t="s">
        <v>1517</v>
      </c>
      <c r="B1367" s="7">
        <v>45501</v>
      </c>
      <c r="C1367" s="13">
        <f t="shared" si="169"/>
        <v>2024</v>
      </c>
      <c r="D1367" s="7" t="str">
        <f t="shared" si="170"/>
        <v>Jul</v>
      </c>
      <c r="E1367" s="7" t="str">
        <f t="shared" si="171"/>
        <v>Sun</v>
      </c>
      <c r="F1367" t="s">
        <v>187</v>
      </c>
      <c r="G1367" t="s">
        <v>31</v>
      </c>
      <c r="H1367" t="s">
        <v>22</v>
      </c>
      <c r="I1367" s="2" t="str">
        <f t="shared" si="168"/>
        <v>South</v>
      </c>
      <c r="J1367" t="s">
        <v>42</v>
      </c>
      <c r="K1367" t="s">
        <v>36</v>
      </c>
      <c r="L1367">
        <v>5</v>
      </c>
      <c r="M1367">
        <v>120</v>
      </c>
      <c r="N1367">
        <f t="shared" si="172"/>
        <v>600</v>
      </c>
      <c r="O1367">
        <f t="shared" si="173"/>
        <v>60</v>
      </c>
      <c r="P1367" t="str">
        <f t="shared" si="174"/>
        <v>Large Order</v>
      </c>
      <c r="Q1367" t="str">
        <f t="shared" si="175"/>
        <v>Weekend</v>
      </c>
    </row>
    <row r="1368" spans="1:17" x14ac:dyDescent="0.35">
      <c r="A1368" t="s">
        <v>1518</v>
      </c>
      <c r="B1368" s="7">
        <v>45632</v>
      </c>
      <c r="C1368" s="13">
        <f t="shared" si="169"/>
        <v>2024</v>
      </c>
      <c r="D1368" s="7" t="str">
        <f t="shared" si="170"/>
        <v>Dec</v>
      </c>
      <c r="E1368" s="7" t="str">
        <f t="shared" si="171"/>
        <v>Fri</v>
      </c>
      <c r="F1368" t="s">
        <v>159</v>
      </c>
      <c r="G1368" t="s">
        <v>41</v>
      </c>
      <c r="H1368" t="s">
        <v>22</v>
      </c>
      <c r="I1368" s="2" t="str">
        <f t="shared" si="168"/>
        <v>South</v>
      </c>
      <c r="J1368" t="s">
        <v>56</v>
      </c>
      <c r="K1368" t="s">
        <v>36</v>
      </c>
      <c r="L1368">
        <v>19</v>
      </c>
      <c r="M1368">
        <v>120</v>
      </c>
      <c r="N1368">
        <f t="shared" si="172"/>
        <v>2280</v>
      </c>
      <c r="O1368">
        <f t="shared" si="173"/>
        <v>228</v>
      </c>
      <c r="P1368" t="str">
        <f t="shared" si="174"/>
        <v>Large Order</v>
      </c>
      <c r="Q1368" t="str">
        <f t="shared" si="175"/>
        <v>Weekday</v>
      </c>
    </row>
    <row r="1369" spans="1:17" x14ac:dyDescent="0.35">
      <c r="A1369" t="s">
        <v>1519</v>
      </c>
      <c r="B1369" s="7">
        <v>45572</v>
      </c>
      <c r="C1369" s="13">
        <f t="shared" si="169"/>
        <v>2024</v>
      </c>
      <c r="D1369" s="7" t="str">
        <f t="shared" si="170"/>
        <v>Oct</v>
      </c>
      <c r="E1369" s="7" t="str">
        <f t="shared" si="171"/>
        <v>Mon</v>
      </c>
      <c r="F1369" t="s">
        <v>25</v>
      </c>
      <c r="G1369" t="s">
        <v>74</v>
      </c>
      <c r="H1369" t="s">
        <v>17</v>
      </c>
      <c r="I1369" s="2" t="str">
        <f t="shared" si="168"/>
        <v>South</v>
      </c>
      <c r="J1369" t="s">
        <v>56</v>
      </c>
      <c r="K1369" t="s">
        <v>23</v>
      </c>
      <c r="L1369">
        <v>19</v>
      </c>
      <c r="M1369">
        <v>120</v>
      </c>
      <c r="N1369">
        <f t="shared" si="172"/>
        <v>2280</v>
      </c>
      <c r="O1369">
        <f t="shared" si="173"/>
        <v>228</v>
      </c>
      <c r="P1369" t="str">
        <f t="shared" si="174"/>
        <v>Large Order</v>
      </c>
      <c r="Q1369" t="str">
        <f t="shared" si="175"/>
        <v>Weekday</v>
      </c>
    </row>
    <row r="1370" spans="1:17" x14ac:dyDescent="0.35">
      <c r="A1370" t="s">
        <v>1520</v>
      </c>
      <c r="B1370" s="7">
        <v>45456</v>
      </c>
      <c r="C1370" s="13">
        <f t="shared" si="169"/>
        <v>2024</v>
      </c>
      <c r="D1370" s="7" t="str">
        <f t="shared" si="170"/>
        <v>Jun</v>
      </c>
      <c r="E1370" s="7" t="str">
        <f t="shared" si="171"/>
        <v>Thu</v>
      </c>
      <c r="F1370" t="s">
        <v>319</v>
      </c>
      <c r="G1370" t="s">
        <v>70</v>
      </c>
      <c r="H1370" t="s">
        <v>17</v>
      </c>
      <c r="I1370" s="2" t="str">
        <f t="shared" si="168"/>
        <v>Central</v>
      </c>
      <c r="J1370" t="s">
        <v>56</v>
      </c>
      <c r="K1370" t="s">
        <v>36</v>
      </c>
      <c r="L1370">
        <v>16</v>
      </c>
      <c r="M1370">
        <v>120</v>
      </c>
      <c r="N1370">
        <f t="shared" si="172"/>
        <v>1920</v>
      </c>
      <c r="O1370">
        <f t="shared" si="173"/>
        <v>192</v>
      </c>
      <c r="P1370" t="str">
        <f t="shared" si="174"/>
        <v>Large Order</v>
      </c>
      <c r="Q1370" t="str">
        <f t="shared" si="175"/>
        <v>Weekday</v>
      </c>
    </row>
    <row r="1371" spans="1:17" x14ac:dyDescent="0.35">
      <c r="A1371" t="s">
        <v>1521</v>
      </c>
      <c r="B1371" s="7">
        <v>45378</v>
      </c>
      <c r="C1371" s="13">
        <f t="shared" si="169"/>
        <v>2024</v>
      </c>
      <c r="D1371" s="7" t="str">
        <f t="shared" si="170"/>
        <v>Mar</v>
      </c>
      <c r="E1371" s="7" t="str">
        <f t="shared" si="171"/>
        <v>Wed</v>
      </c>
      <c r="F1371" t="s">
        <v>371</v>
      </c>
      <c r="G1371" t="s">
        <v>10</v>
      </c>
      <c r="H1371" t="s">
        <v>17</v>
      </c>
      <c r="I1371" s="2" t="str">
        <f t="shared" si="168"/>
        <v>South</v>
      </c>
      <c r="J1371" t="s">
        <v>306</v>
      </c>
      <c r="K1371" t="s">
        <v>36</v>
      </c>
      <c r="L1371">
        <v>11</v>
      </c>
      <c r="M1371">
        <v>120</v>
      </c>
      <c r="N1371">
        <f t="shared" si="172"/>
        <v>1320</v>
      </c>
      <c r="O1371">
        <f t="shared" si="173"/>
        <v>132</v>
      </c>
      <c r="P1371" t="str">
        <f t="shared" si="174"/>
        <v>Large Order</v>
      </c>
      <c r="Q1371" t="str">
        <f t="shared" si="175"/>
        <v>Weekday</v>
      </c>
    </row>
    <row r="1372" spans="1:17" x14ac:dyDescent="0.35">
      <c r="A1372" t="s">
        <v>1522</v>
      </c>
      <c r="B1372" s="7">
        <v>45412</v>
      </c>
      <c r="C1372" s="13">
        <f t="shared" si="169"/>
        <v>2024</v>
      </c>
      <c r="D1372" s="7" t="str">
        <f t="shared" si="170"/>
        <v>Apr</v>
      </c>
      <c r="E1372" s="7" t="str">
        <f t="shared" si="171"/>
        <v>Tue</v>
      </c>
      <c r="F1372" t="s">
        <v>422</v>
      </c>
      <c r="G1372" t="s">
        <v>74</v>
      </c>
      <c r="H1372" t="s">
        <v>11</v>
      </c>
      <c r="I1372" s="2" t="str">
        <f t="shared" si="168"/>
        <v>West</v>
      </c>
      <c r="J1372" t="s">
        <v>56</v>
      </c>
      <c r="K1372" t="s">
        <v>28</v>
      </c>
      <c r="L1372">
        <v>1</v>
      </c>
      <c r="M1372">
        <v>120</v>
      </c>
      <c r="N1372">
        <f t="shared" si="172"/>
        <v>120</v>
      </c>
      <c r="O1372">
        <f t="shared" si="173"/>
        <v>12</v>
      </c>
      <c r="P1372" t="str">
        <f t="shared" si="174"/>
        <v>Standard Order</v>
      </c>
      <c r="Q1372" t="str">
        <f t="shared" si="175"/>
        <v>Weekday</v>
      </c>
    </row>
    <row r="1373" spans="1:17" x14ac:dyDescent="0.35">
      <c r="A1373" t="s">
        <v>1523</v>
      </c>
      <c r="B1373" s="7">
        <v>45535</v>
      </c>
      <c r="C1373" s="13">
        <f t="shared" si="169"/>
        <v>2024</v>
      </c>
      <c r="D1373" s="7" t="str">
        <f t="shared" si="170"/>
        <v>Aug</v>
      </c>
      <c r="E1373" s="7" t="str">
        <f t="shared" si="171"/>
        <v>Sat</v>
      </c>
      <c r="F1373" t="s">
        <v>594</v>
      </c>
      <c r="G1373" t="s">
        <v>119</v>
      </c>
      <c r="H1373" t="s">
        <v>11</v>
      </c>
      <c r="I1373" s="2" t="str">
        <f t="shared" si="168"/>
        <v>South</v>
      </c>
      <c r="J1373" t="s">
        <v>27</v>
      </c>
      <c r="K1373" t="s">
        <v>23</v>
      </c>
      <c r="L1373">
        <v>19</v>
      </c>
      <c r="M1373">
        <v>120</v>
      </c>
      <c r="N1373">
        <f t="shared" si="172"/>
        <v>2280</v>
      </c>
      <c r="O1373">
        <f t="shared" si="173"/>
        <v>228</v>
      </c>
      <c r="P1373" t="str">
        <f t="shared" si="174"/>
        <v>Large Order</v>
      </c>
      <c r="Q1373" t="str">
        <f t="shared" si="175"/>
        <v>Weekend</v>
      </c>
    </row>
    <row r="1374" spans="1:17" x14ac:dyDescent="0.35">
      <c r="A1374" t="s">
        <v>1524</v>
      </c>
      <c r="B1374" s="7">
        <v>45648</v>
      </c>
      <c r="C1374" s="13">
        <f t="shared" si="169"/>
        <v>2024</v>
      </c>
      <c r="D1374" s="7" t="str">
        <f t="shared" si="170"/>
        <v>Dec</v>
      </c>
      <c r="E1374" s="7" t="str">
        <f t="shared" si="171"/>
        <v>Sun</v>
      </c>
      <c r="F1374" t="s">
        <v>53</v>
      </c>
      <c r="G1374" t="s">
        <v>35</v>
      </c>
      <c r="H1374" t="s">
        <v>17</v>
      </c>
      <c r="I1374" s="2" t="str">
        <f t="shared" si="168"/>
        <v>South</v>
      </c>
      <c r="J1374" t="s">
        <v>56</v>
      </c>
      <c r="K1374" t="s">
        <v>28</v>
      </c>
      <c r="L1374">
        <v>1</v>
      </c>
      <c r="M1374">
        <v>120</v>
      </c>
      <c r="N1374">
        <f t="shared" si="172"/>
        <v>120</v>
      </c>
      <c r="O1374">
        <f t="shared" si="173"/>
        <v>12</v>
      </c>
      <c r="P1374" t="str">
        <f t="shared" si="174"/>
        <v>Standard Order</v>
      </c>
      <c r="Q1374" t="str">
        <f t="shared" si="175"/>
        <v>Weekend</v>
      </c>
    </row>
    <row r="1375" spans="1:17" x14ac:dyDescent="0.35">
      <c r="A1375" t="s">
        <v>1525</v>
      </c>
      <c r="B1375" s="7">
        <v>45346</v>
      </c>
      <c r="C1375" s="13">
        <f t="shared" si="169"/>
        <v>2024</v>
      </c>
      <c r="D1375" s="7" t="str">
        <f t="shared" si="170"/>
        <v>Feb</v>
      </c>
      <c r="E1375" s="7" t="str">
        <f t="shared" si="171"/>
        <v>Sat</v>
      </c>
      <c r="F1375" t="s">
        <v>420</v>
      </c>
      <c r="G1375" t="s">
        <v>87</v>
      </c>
      <c r="H1375" t="s">
        <v>11</v>
      </c>
      <c r="I1375" s="2" t="str">
        <f t="shared" si="168"/>
        <v>West</v>
      </c>
      <c r="J1375" t="s">
        <v>56</v>
      </c>
      <c r="K1375" t="s">
        <v>36</v>
      </c>
      <c r="L1375">
        <v>15</v>
      </c>
      <c r="M1375">
        <v>120</v>
      </c>
      <c r="N1375">
        <f t="shared" si="172"/>
        <v>1800</v>
      </c>
      <c r="O1375">
        <f t="shared" si="173"/>
        <v>180</v>
      </c>
      <c r="P1375" t="str">
        <f t="shared" si="174"/>
        <v>Large Order</v>
      </c>
      <c r="Q1375" t="str">
        <f t="shared" si="175"/>
        <v>Weekend</v>
      </c>
    </row>
    <row r="1376" spans="1:17" x14ac:dyDescent="0.35">
      <c r="A1376" t="s">
        <v>1526</v>
      </c>
      <c r="B1376" s="7">
        <v>45419</v>
      </c>
      <c r="C1376" s="13">
        <f t="shared" si="169"/>
        <v>2024</v>
      </c>
      <c r="D1376" s="7" t="str">
        <f t="shared" si="170"/>
        <v>May</v>
      </c>
      <c r="E1376" s="7" t="str">
        <f t="shared" si="171"/>
        <v>Tue</v>
      </c>
      <c r="F1376" t="s">
        <v>114</v>
      </c>
      <c r="G1376" t="s">
        <v>70</v>
      </c>
      <c r="H1376" t="s">
        <v>11</v>
      </c>
      <c r="I1376" s="2" t="str">
        <f t="shared" si="168"/>
        <v>West</v>
      </c>
      <c r="J1376" t="s">
        <v>27</v>
      </c>
      <c r="K1376" t="s">
        <v>36</v>
      </c>
      <c r="L1376">
        <v>18</v>
      </c>
      <c r="M1376">
        <v>120</v>
      </c>
      <c r="N1376">
        <f t="shared" si="172"/>
        <v>2160</v>
      </c>
      <c r="O1376">
        <f t="shared" si="173"/>
        <v>216</v>
      </c>
      <c r="P1376" t="str">
        <f t="shared" si="174"/>
        <v>Large Order</v>
      </c>
      <c r="Q1376" t="str">
        <f t="shared" si="175"/>
        <v>Weekday</v>
      </c>
    </row>
    <row r="1377" spans="1:17" x14ac:dyDescent="0.35">
      <c r="A1377" t="s">
        <v>1527</v>
      </c>
      <c r="B1377" s="7">
        <v>45518</v>
      </c>
      <c r="C1377" s="13">
        <f t="shared" si="169"/>
        <v>2024</v>
      </c>
      <c r="D1377" s="7" t="str">
        <f t="shared" si="170"/>
        <v>Aug</v>
      </c>
      <c r="E1377" s="7" t="str">
        <f t="shared" si="171"/>
        <v>Wed</v>
      </c>
      <c r="F1377" t="s">
        <v>594</v>
      </c>
      <c r="G1377" t="s">
        <v>84</v>
      </c>
      <c r="H1377" t="s">
        <v>22</v>
      </c>
      <c r="I1377" s="2" t="str">
        <f t="shared" si="168"/>
        <v>East</v>
      </c>
      <c r="J1377" t="s">
        <v>27</v>
      </c>
      <c r="K1377" t="s">
        <v>36</v>
      </c>
      <c r="L1377">
        <v>15</v>
      </c>
      <c r="M1377">
        <v>120</v>
      </c>
      <c r="N1377">
        <f t="shared" si="172"/>
        <v>1800</v>
      </c>
      <c r="O1377">
        <f t="shared" si="173"/>
        <v>180</v>
      </c>
      <c r="P1377" t="str">
        <f t="shared" si="174"/>
        <v>Large Order</v>
      </c>
      <c r="Q1377" t="str">
        <f t="shared" si="175"/>
        <v>Weekday</v>
      </c>
    </row>
    <row r="1378" spans="1:17" x14ac:dyDescent="0.35">
      <c r="A1378" t="s">
        <v>1528</v>
      </c>
      <c r="B1378" s="7">
        <v>45535</v>
      </c>
      <c r="C1378" s="13">
        <f t="shared" si="169"/>
        <v>2024</v>
      </c>
      <c r="D1378" s="7" t="str">
        <f t="shared" si="170"/>
        <v>Aug</v>
      </c>
      <c r="E1378" s="7" t="str">
        <f t="shared" si="171"/>
        <v>Sat</v>
      </c>
      <c r="F1378" t="s">
        <v>430</v>
      </c>
      <c r="G1378" t="s">
        <v>26</v>
      </c>
      <c r="H1378" t="s">
        <v>11</v>
      </c>
      <c r="I1378" s="2" t="str">
        <f t="shared" si="168"/>
        <v>East</v>
      </c>
      <c r="J1378" t="s">
        <v>42</v>
      </c>
      <c r="K1378" t="s">
        <v>36</v>
      </c>
      <c r="L1378">
        <v>16</v>
      </c>
      <c r="M1378">
        <v>120</v>
      </c>
      <c r="N1378">
        <f t="shared" si="172"/>
        <v>1920</v>
      </c>
      <c r="O1378">
        <f t="shared" si="173"/>
        <v>192</v>
      </c>
      <c r="P1378" t="str">
        <f t="shared" si="174"/>
        <v>Large Order</v>
      </c>
      <c r="Q1378" t="str">
        <f t="shared" si="175"/>
        <v>Weekend</v>
      </c>
    </row>
    <row r="1379" spans="1:17" x14ac:dyDescent="0.35">
      <c r="A1379" t="s">
        <v>1529</v>
      </c>
      <c r="B1379" s="7">
        <v>45432</v>
      </c>
      <c r="C1379" s="13">
        <f t="shared" si="169"/>
        <v>2024</v>
      </c>
      <c r="D1379" s="7" t="str">
        <f t="shared" si="170"/>
        <v>May</v>
      </c>
      <c r="E1379" s="7" t="str">
        <f t="shared" si="171"/>
        <v>Mon</v>
      </c>
      <c r="F1379" t="s">
        <v>396</v>
      </c>
      <c r="G1379" t="s">
        <v>10</v>
      </c>
      <c r="H1379" t="s">
        <v>22</v>
      </c>
      <c r="I1379" s="2" t="str">
        <f t="shared" si="168"/>
        <v>South</v>
      </c>
      <c r="J1379" t="s">
        <v>42</v>
      </c>
      <c r="K1379" t="s">
        <v>28</v>
      </c>
      <c r="L1379">
        <v>9</v>
      </c>
      <c r="M1379">
        <v>120</v>
      </c>
      <c r="N1379">
        <f t="shared" si="172"/>
        <v>1080</v>
      </c>
      <c r="O1379">
        <f t="shared" si="173"/>
        <v>108</v>
      </c>
      <c r="P1379" t="str">
        <f t="shared" si="174"/>
        <v>Large Order</v>
      </c>
      <c r="Q1379" t="str">
        <f t="shared" si="175"/>
        <v>Weekday</v>
      </c>
    </row>
    <row r="1380" spans="1:17" x14ac:dyDescent="0.35">
      <c r="A1380" t="s">
        <v>1530</v>
      </c>
      <c r="B1380" s="7">
        <v>45568</v>
      </c>
      <c r="C1380" s="13">
        <f t="shared" si="169"/>
        <v>2024</v>
      </c>
      <c r="D1380" s="7" t="str">
        <f t="shared" si="170"/>
        <v>Oct</v>
      </c>
      <c r="E1380" s="7" t="str">
        <f t="shared" si="171"/>
        <v>Thu</v>
      </c>
      <c r="F1380" t="s">
        <v>81</v>
      </c>
      <c r="G1380" t="s">
        <v>16</v>
      </c>
      <c r="H1380" t="s">
        <v>11</v>
      </c>
      <c r="I1380" s="2" t="str">
        <f t="shared" si="168"/>
        <v>Central</v>
      </c>
      <c r="J1380" t="s">
        <v>56</v>
      </c>
      <c r="K1380" t="s">
        <v>23</v>
      </c>
      <c r="L1380">
        <v>5</v>
      </c>
      <c r="M1380">
        <v>120</v>
      </c>
      <c r="N1380">
        <f t="shared" si="172"/>
        <v>600</v>
      </c>
      <c r="O1380">
        <f t="shared" si="173"/>
        <v>60</v>
      </c>
      <c r="P1380" t="str">
        <f t="shared" si="174"/>
        <v>Large Order</v>
      </c>
      <c r="Q1380" t="str">
        <f t="shared" si="175"/>
        <v>Weekday</v>
      </c>
    </row>
    <row r="1381" spans="1:17" x14ac:dyDescent="0.35">
      <c r="A1381" t="s">
        <v>1531</v>
      </c>
      <c r="B1381" s="7">
        <v>45324</v>
      </c>
      <c r="C1381" s="13">
        <f t="shared" si="169"/>
        <v>2024</v>
      </c>
      <c r="D1381" s="7" t="str">
        <f t="shared" si="170"/>
        <v>Feb</v>
      </c>
      <c r="E1381" s="7" t="str">
        <f t="shared" si="171"/>
        <v>Fri</v>
      </c>
      <c r="F1381" t="s">
        <v>572</v>
      </c>
      <c r="G1381" t="s">
        <v>87</v>
      </c>
      <c r="H1381" t="s">
        <v>17</v>
      </c>
      <c r="I1381" s="2" t="str">
        <f t="shared" si="168"/>
        <v>North</v>
      </c>
      <c r="J1381" t="s">
        <v>306</v>
      </c>
      <c r="K1381" t="s">
        <v>23</v>
      </c>
      <c r="L1381">
        <v>14</v>
      </c>
      <c r="M1381">
        <v>120</v>
      </c>
      <c r="N1381">
        <f t="shared" si="172"/>
        <v>1680</v>
      </c>
      <c r="O1381">
        <f t="shared" si="173"/>
        <v>168</v>
      </c>
      <c r="P1381" t="str">
        <f t="shared" si="174"/>
        <v>Large Order</v>
      </c>
      <c r="Q1381" t="str">
        <f t="shared" si="175"/>
        <v>Weekday</v>
      </c>
    </row>
    <row r="1382" spans="1:17" x14ac:dyDescent="0.35">
      <c r="A1382" t="s">
        <v>1532</v>
      </c>
      <c r="B1382" s="7">
        <v>45507</v>
      </c>
      <c r="C1382" s="13">
        <f t="shared" si="169"/>
        <v>2024</v>
      </c>
      <c r="D1382" s="7" t="str">
        <f t="shared" si="170"/>
        <v>Aug</v>
      </c>
      <c r="E1382" s="7" t="str">
        <f t="shared" si="171"/>
        <v>Sat</v>
      </c>
      <c r="F1382" t="s">
        <v>53</v>
      </c>
      <c r="G1382" t="s">
        <v>119</v>
      </c>
      <c r="H1382" t="s">
        <v>22</v>
      </c>
      <c r="I1382" s="2" t="str">
        <f t="shared" si="168"/>
        <v>West</v>
      </c>
      <c r="J1382" t="s">
        <v>12</v>
      </c>
      <c r="K1382" t="s">
        <v>36</v>
      </c>
      <c r="L1382">
        <v>13</v>
      </c>
      <c r="M1382">
        <v>120</v>
      </c>
      <c r="N1382">
        <f t="shared" si="172"/>
        <v>1560</v>
      </c>
      <c r="O1382">
        <f t="shared" si="173"/>
        <v>156</v>
      </c>
      <c r="P1382" t="str">
        <f t="shared" si="174"/>
        <v>Large Order</v>
      </c>
      <c r="Q1382" t="str">
        <f t="shared" si="175"/>
        <v>Weekend</v>
      </c>
    </row>
    <row r="1383" spans="1:17" x14ac:dyDescent="0.35">
      <c r="A1383" t="s">
        <v>1533</v>
      </c>
      <c r="B1383" s="7">
        <v>45472</v>
      </c>
      <c r="C1383" s="13">
        <f t="shared" si="169"/>
        <v>2024</v>
      </c>
      <c r="D1383" s="7" t="str">
        <f t="shared" si="170"/>
        <v>Jun</v>
      </c>
      <c r="E1383" s="7" t="str">
        <f t="shared" si="171"/>
        <v>Sat</v>
      </c>
      <c r="F1383" t="s">
        <v>68</v>
      </c>
      <c r="G1383" t="s">
        <v>119</v>
      </c>
      <c r="H1383" t="s">
        <v>17</v>
      </c>
      <c r="I1383" s="2" t="str">
        <f t="shared" si="168"/>
        <v>West</v>
      </c>
      <c r="J1383" t="s">
        <v>27</v>
      </c>
      <c r="K1383" t="s">
        <v>36</v>
      </c>
      <c r="L1383">
        <v>18</v>
      </c>
      <c r="M1383">
        <v>120</v>
      </c>
      <c r="N1383">
        <f t="shared" si="172"/>
        <v>2160</v>
      </c>
      <c r="O1383">
        <f t="shared" si="173"/>
        <v>216</v>
      </c>
      <c r="P1383" t="str">
        <f t="shared" si="174"/>
        <v>Large Order</v>
      </c>
      <c r="Q1383" t="str">
        <f t="shared" si="175"/>
        <v>Weekend</v>
      </c>
    </row>
    <row r="1384" spans="1:17" x14ac:dyDescent="0.35">
      <c r="A1384" t="s">
        <v>1534</v>
      </c>
      <c r="B1384" s="7">
        <v>45404</v>
      </c>
      <c r="C1384" s="13">
        <f t="shared" si="169"/>
        <v>2024</v>
      </c>
      <c r="D1384" s="7" t="str">
        <f t="shared" si="170"/>
        <v>Apr</v>
      </c>
      <c r="E1384" s="7" t="str">
        <f t="shared" si="171"/>
        <v>Mon</v>
      </c>
      <c r="F1384" t="s">
        <v>374</v>
      </c>
      <c r="G1384" t="s">
        <v>197</v>
      </c>
      <c r="H1384" t="s">
        <v>17</v>
      </c>
      <c r="I1384" s="2" t="str">
        <f t="shared" si="168"/>
        <v>South</v>
      </c>
      <c r="J1384" t="s">
        <v>27</v>
      </c>
      <c r="K1384" t="s">
        <v>23</v>
      </c>
      <c r="L1384">
        <v>1</v>
      </c>
      <c r="M1384">
        <v>120</v>
      </c>
      <c r="N1384">
        <f t="shared" si="172"/>
        <v>120</v>
      </c>
      <c r="O1384">
        <f t="shared" si="173"/>
        <v>12</v>
      </c>
      <c r="P1384" t="str">
        <f t="shared" si="174"/>
        <v>Standard Order</v>
      </c>
      <c r="Q1384" t="str">
        <f t="shared" si="175"/>
        <v>Weekday</v>
      </c>
    </row>
    <row r="1385" spans="1:17" x14ac:dyDescent="0.35">
      <c r="A1385" t="s">
        <v>1535</v>
      </c>
      <c r="B1385" s="7">
        <v>45634</v>
      </c>
      <c r="C1385" s="13">
        <f t="shared" si="169"/>
        <v>2024</v>
      </c>
      <c r="D1385" s="7" t="str">
        <f t="shared" si="170"/>
        <v>Dec</v>
      </c>
      <c r="E1385" s="7" t="str">
        <f t="shared" si="171"/>
        <v>Sun</v>
      </c>
      <c r="F1385" t="s">
        <v>422</v>
      </c>
      <c r="G1385" t="s">
        <v>31</v>
      </c>
      <c r="H1385" t="s">
        <v>22</v>
      </c>
      <c r="I1385" s="2" t="str">
        <f t="shared" si="168"/>
        <v>Central</v>
      </c>
      <c r="J1385" t="s">
        <v>56</v>
      </c>
      <c r="K1385" t="s">
        <v>23</v>
      </c>
      <c r="L1385">
        <v>5</v>
      </c>
      <c r="M1385">
        <v>120</v>
      </c>
      <c r="N1385">
        <f t="shared" si="172"/>
        <v>600</v>
      </c>
      <c r="O1385">
        <f t="shared" si="173"/>
        <v>60</v>
      </c>
      <c r="P1385" t="str">
        <f t="shared" si="174"/>
        <v>Large Order</v>
      </c>
      <c r="Q1385" t="str">
        <f t="shared" si="175"/>
        <v>Weekend</v>
      </c>
    </row>
    <row r="1386" spans="1:17" x14ac:dyDescent="0.35">
      <c r="A1386" t="s">
        <v>1536</v>
      </c>
      <c r="B1386" s="7">
        <v>45565</v>
      </c>
      <c r="C1386" s="13">
        <f t="shared" si="169"/>
        <v>2024</v>
      </c>
      <c r="D1386" s="7" t="str">
        <f t="shared" si="170"/>
        <v>Sep</v>
      </c>
      <c r="E1386" s="7" t="str">
        <f t="shared" si="171"/>
        <v>Mon</v>
      </c>
      <c r="F1386" t="s">
        <v>64</v>
      </c>
      <c r="G1386" t="s">
        <v>31</v>
      </c>
      <c r="H1386" t="s">
        <v>22</v>
      </c>
      <c r="I1386" s="2" t="str">
        <f t="shared" si="168"/>
        <v>East</v>
      </c>
      <c r="J1386" t="s">
        <v>306</v>
      </c>
      <c r="K1386" t="s">
        <v>13</v>
      </c>
      <c r="L1386">
        <v>3</v>
      </c>
      <c r="M1386">
        <v>120</v>
      </c>
      <c r="N1386">
        <f t="shared" si="172"/>
        <v>360</v>
      </c>
      <c r="O1386">
        <f t="shared" si="173"/>
        <v>36</v>
      </c>
      <c r="P1386" t="str">
        <f t="shared" si="174"/>
        <v>Standard Order</v>
      </c>
      <c r="Q1386" t="str">
        <f t="shared" si="175"/>
        <v>Weekday</v>
      </c>
    </row>
    <row r="1387" spans="1:17" x14ac:dyDescent="0.35">
      <c r="A1387" t="s">
        <v>1537</v>
      </c>
      <c r="B1387" s="7">
        <v>45361</v>
      </c>
      <c r="C1387" s="13">
        <f t="shared" si="169"/>
        <v>2024</v>
      </c>
      <c r="D1387" s="7" t="str">
        <f t="shared" si="170"/>
        <v>Mar</v>
      </c>
      <c r="E1387" s="7" t="str">
        <f t="shared" si="171"/>
        <v>Sun</v>
      </c>
      <c r="F1387" t="s">
        <v>319</v>
      </c>
      <c r="G1387" t="s">
        <v>45</v>
      </c>
      <c r="H1387" t="s">
        <v>11</v>
      </c>
      <c r="I1387" s="2" t="str">
        <f t="shared" si="168"/>
        <v>East</v>
      </c>
      <c r="J1387" t="s">
        <v>42</v>
      </c>
      <c r="K1387" t="s">
        <v>23</v>
      </c>
      <c r="L1387">
        <v>11</v>
      </c>
      <c r="M1387">
        <v>120</v>
      </c>
      <c r="N1387">
        <f t="shared" si="172"/>
        <v>1320</v>
      </c>
      <c r="O1387">
        <f t="shared" si="173"/>
        <v>132</v>
      </c>
      <c r="P1387" t="str">
        <f t="shared" si="174"/>
        <v>Large Order</v>
      </c>
      <c r="Q1387" t="str">
        <f t="shared" si="175"/>
        <v>Weekend</v>
      </c>
    </row>
    <row r="1388" spans="1:17" x14ac:dyDescent="0.35">
      <c r="A1388" t="s">
        <v>1538</v>
      </c>
      <c r="B1388" s="7">
        <v>45459</v>
      </c>
      <c r="C1388" s="13">
        <f t="shared" si="169"/>
        <v>2024</v>
      </c>
      <c r="D1388" s="7" t="str">
        <f t="shared" si="170"/>
        <v>Jun</v>
      </c>
      <c r="E1388" s="7" t="str">
        <f t="shared" si="171"/>
        <v>Sun</v>
      </c>
      <c r="F1388" t="s">
        <v>47</v>
      </c>
      <c r="G1388" t="s">
        <v>119</v>
      </c>
      <c r="H1388" t="s">
        <v>17</v>
      </c>
      <c r="I1388" s="2" t="str">
        <f t="shared" si="168"/>
        <v>North</v>
      </c>
      <c r="J1388" t="s">
        <v>42</v>
      </c>
      <c r="K1388" t="s">
        <v>23</v>
      </c>
      <c r="L1388">
        <v>9</v>
      </c>
      <c r="M1388">
        <v>120</v>
      </c>
      <c r="N1388">
        <f t="shared" si="172"/>
        <v>1080</v>
      </c>
      <c r="O1388">
        <f t="shared" si="173"/>
        <v>108</v>
      </c>
      <c r="P1388" t="str">
        <f t="shared" si="174"/>
        <v>Large Order</v>
      </c>
      <c r="Q1388" t="str">
        <f t="shared" si="175"/>
        <v>Weekend</v>
      </c>
    </row>
    <row r="1389" spans="1:17" x14ac:dyDescent="0.35">
      <c r="A1389" t="s">
        <v>1539</v>
      </c>
      <c r="B1389" s="7">
        <v>45532</v>
      </c>
      <c r="C1389" s="13">
        <f t="shared" si="169"/>
        <v>2024</v>
      </c>
      <c r="D1389" s="7" t="str">
        <f t="shared" si="170"/>
        <v>Aug</v>
      </c>
      <c r="E1389" s="7" t="str">
        <f t="shared" si="171"/>
        <v>Wed</v>
      </c>
      <c r="F1389" t="s">
        <v>138</v>
      </c>
      <c r="G1389" t="s">
        <v>84</v>
      </c>
      <c r="H1389" t="s">
        <v>22</v>
      </c>
      <c r="I1389" s="2" t="str">
        <f t="shared" si="168"/>
        <v>South</v>
      </c>
      <c r="J1389" t="s">
        <v>12</v>
      </c>
      <c r="K1389" t="s">
        <v>32</v>
      </c>
      <c r="L1389">
        <v>8</v>
      </c>
      <c r="M1389">
        <v>120</v>
      </c>
      <c r="N1389">
        <f t="shared" si="172"/>
        <v>960</v>
      </c>
      <c r="O1389">
        <f t="shared" si="173"/>
        <v>96</v>
      </c>
      <c r="P1389" t="str">
        <f t="shared" si="174"/>
        <v>Large Order</v>
      </c>
      <c r="Q1389" t="str">
        <f t="shared" si="175"/>
        <v>Weekday</v>
      </c>
    </row>
    <row r="1390" spans="1:17" x14ac:dyDescent="0.35">
      <c r="A1390" t="s">
        <v>1540</v>
      </c>
      <c r="B1390" s="7">
        <v>45625</v>
      </c>
      <c r="C1390" s="13">
        <f t="shared" si="169"/>
        <v>2024</v>
      </c>
      <c r="D1390" s="7" t="str">
        <f t="shared" si="170"/>
        <v>Nov</v>
      </c>
      <c r="E1390" s="7" t="str">
        <f t="shared" si="171"/>
        <v>Fri</v>
      </c>
      <c r="F1390" t="s">
        <v>116</v>
      </c>
      <c r="G1390" t="s">
        <v>119</v>
      </c>
      <c r="H1390" t="s">
        <v>11</v>
      </c>
      <c r="I1390" s="2" t="str">
        <f t="shared" si="168"/>
        <v>North</v>
      </c>
      <c r="J1390" t="s">
        <v>56</v>
      </c>
      <c r="K1390" t="s">
        <v>28</v>
      </c>
      <c r="L1390">
        <v>1</v>
      </c>
      <c r="M1390">
        <v>120</v>
      </c>
      <c r="N1390">
        <f t="shared" si="172"/>
        <v>120</v>
      </c>
      <c r="O1390">
        <f t="shared" si="173"/>
        <v>12</v>
      </c>
      <c r="P1390" t="str">
        <f t="shared" si="174"/>
        <v>Standard Order</v>
      </c>
      <c r="Q1390" t="str">
        <f t="shared" si="175"/>
        <v>Weekday</v>
      </c>
    </row>
    <row r="1391" spans="1:17" x14ac:dyDescent="0.35">
      <c r="A1391" t="s">
        <v>1541</v>
      </c>
      <c r="B1391" s="7">
        <v>45414</v>
      </c>
      <c r="C1391" s="13">
        <f t="shared" si="169"/>
        <v>2024</v>
      </c>
      <c r="D1391" s="7" t="str">
        <f t="shared" si="170"/>
        <v>May</v>
      </c>
      <c r="E1391" s="7" t="str">
        <f t="shared" si="171"/>
        <v>Thu</v>
      </c>
      <c r="F1391" t="s">
        <v>34</v>
      </c>
      <c r="G1391" t="s">
        <v>35</v>
      </c>
      <c r="H1391" t="s">
        <v>22</v>
      </c>
      <c r="I1391" s="2" t="str">
        <f t="shared" si="168"/>
        <v>Central</v>
      </c>
      <c r="J1391" t="s">
        <v>12</v>
      </c>
      <c r="K1391" t="s">
        <v>36</v>
      </c>
      <c r="L1391">
        <v>7</v>
      </c>
      <c r="M1391">
        <v>120</v>
      </c>
      <c r="N1391">
        <f t="shared" si="172"/>
        <v>840</v>
      </c>
      <c r="O1391">
        <f t="shared" si="173"/>
        <v>84</v>
      </c>
      <c r="P1391" t="str">
        <f t="shared" si="174"/>
        <v>Large Order</v>
      </c>
      <c r="Q1391" t="str">
        <f t="shared" si="175"/>
        <v>Weekday</v>
      </c>
    </row>
    <row r="1392" spans="1:17" x14ac:dyDescent="0.35">
      <c r="A1392" t="s">
        <v>1542</v>
      </c>
      <c r="B1392" s="7">
        <v>45423</v>
      </c>
      <c r="C1392" s="13">
        <f t="shared" si="169"/>
        <v>2024</v>
      </c>
      <c r="D1392" s="7" t="str">
        <f t="shared" si="170"/>
        <v>May</v>
      </c>
      <c r="E1392" s="7" t="str">
        <f t="shared" si="171"/>
        <v>Sat</v>
      </c>
      <c r="F1392" t="s">
        <v>337</v>
      </c>
      <c r="G1392" t="s">
        <v>48</v>
      </c>
      <c r="H1392" t="s">
        <v>11</v>
      </c>
      <c r="I1392" s="2" t="str">
        <f t="shared" si="168"/>
        <v>North</v>
      </c>
      <c r="J1392" t="s">
        <v>306</v>
      </c>
      <c r="K1392" t="s">
        <v>36</v>
      </c>
      <c r="L1392">
        <v>4</v>
      </c>
      <c r="M1392">
        <v>120</v>
      </c>
      <c r="N1392">
        <f t="shared" si="172"/>
        <v>480</v>
      </c>
      <c r="O1392">
        <f t="shared" si="173"/>
        <v>48</v>
      </c>
      <c r="P1392" t="str">
        <f t="shared" si="174"/>
        <v>Standard Order</v>
      </c>
      <c r="Q1392" t="str">
        <f t="shared" si="175"/>
        <v>Weekend</v>
      </c>
    </row>
    <row r="1393" spans="1:17" x14ac:dyDescent="0.35">
      <c r="A1393" t="s">
        <v>1543</v>
      </c>
      <c r="B1393" s="7">
        <v>45375</v>
      </c>
      <c r="C1393" s="13">
        <f t="shared" si="169"/>
        <v>2024</v>
      </c>
      <c r="D1393" s="7" t="str">
        <f t="shared" si="170"/>
        <v>Mar</v>
      </c>
      <c r="E1393" s="7" t="str">
        <f t="shared" si="171"/>
        <v>Sun</v>
      </c>
      <c r="F1393" t="s">
        <v>147</v>
      </c>
      <c r="G1393" t="s">
        <v>102</v>
      </c>
      <c r="H1393" t="s">
        <v>22</v>
      </c>
      <c r="I1393" s="2" t="str">
        <f t="shared" si="168"/>
        <v>North</v>
      </c>
      <c r="J1393" t="s">
        <v>12</v>
      </c>
      <c r="K1393" t="s">
        <v>32</v>
      </c>
      <c r="L1393">
        <v>19</v>
      </c>
      <c r="M1393">
        <v>120</v>
      </c>
      <c r="N1393">
        <f t="shared" si="172"/>
        <v>2280</v>
      </c>
      <c r="O1393">
        <f t="shared" si="173"/>
        <v>228</v>
      </c>
      <c r="P1393" t="str">
        <f t="shared" si="174"/>
        <v>Large Order</v>
      </c>
      <c r="Q1393" t="str">
        <f t="shared" si="175"/>
        <v>Weekend</v>
      </c>
    </row>
    <row r="1394" spans="1:17" x14ac:dyDescent="0.35">
      <c r="A1394" t="s">
        <v>1544</v>
      </c>
      <c r="B1394" s="7">
        <v>45484</v>
      </c>
      <c r="C1394" s="13">
        <f t="shared" si="169"/>
        <v>2024</v>
      </c>
      <c r="D1394" s="7" t="str">
        <f t="shared" si="170"/>
        <v>Jul</v>
      </c>
      <c r="E1394" s="7" t="str">
        <f t="shared" si="171"/>
        <v>Thu</v>
      </c>
      <c r="F1394" t="s">
        <v>106</v>
      </c>
      <c r="G1394" t="s">
        <v>62</v>
      </c>
      <c r="H1394" t="s">
        <v>11</v>
      </c>
      <c r="I1394" s="2" t="str">
        <f t="shared" si="168"/>
        <v>Central</v>
      </c>
      <c r="J1394" t="s">
        <v>12</v>
      </c>
      <c r="K1394" t="s">
        <v>36</v>
      </c>
      <c r="L1394">
        <v>8</v>
      </c>
      <c r="M1394">
        <v>120</v>
      </c>
      <c r="N1394">
        <f t="shared" si="172"/>
        <v>960</v>
      </c>
      <c r="O1394">
        <f t="shared" si="173"/>
        <v>96</v>
      </c>
      <c r="P1394" t="str">
        <f t="shared" si="174"/>
        <v>Large Order</v>
      </c>
      <c r="Q1394" t="str">
        <f t="shared" si="175"/>
        <v>Weekday</v>
      </c>
    </row>
    <row r="1395" spans="1:17" x14ac:dyDescent="0.35">
      <c r="A1395" t="s">
        <v>1545</v>
      </c>
      <c r="B1395" s="7">
        <v>45446</v>
      </c>
      <c r="C1395" s="13">
        <f t="shared" si="169"/>
        <v>2024</v>
      </c>
      <c r="D1395" s="7" t="str">
        <f t="shared" si="170"/>
        <v>Jun</v>
      </c>
      <c r="E1395" s="7" t="str">
        <f t="shared" si="171"/>
        <v>Mon</v>
      </c>
      <c r="F1395" t="s">
        <v>455</v>
      </c>
      <c r="G1395" t="s">
        <v>109</v>
      </c>
      <c r="H1395" t="s">
        <v>11</v>
      </c>
      <c r="I1395" s="2" t="str">
        <f t="shared" si="168"/>
        <v>East</v>
      </c>
      <c r="J1395" t="s">
        <v>306</v>
      </c>
      <c r="K1395" t="s">
        <v>13</v>
      </c>
      <c r="L1395">
        <v>12</v>
      </c>
      <c r="M1395">
        <v>120</v>
      </c>
      <c r="N1395">
        <f t="shared" si="172"/>
        <v>1440</v>
      </c>
      <c r="O1395">
        <f t="shared" si="173"/>
        <v>144</v>
      </c>
      <c r="P1395" t="str">
        <f t="shared" si="174"/>
        <v>Large Order</v>
      </c>
      <c r="Q1395" t="str">
        <f t="shared" si="175"/>
        <v>Weekday</v>
      </c>
    </row>
    <row r="1396" spans="1:17" x14ac:dyDescent="0.35">
      <c r="A1396" t="s">
        <v>1546</v>
      </c>
      <c r="B1396" s="7">
        <v>45630</v>
      </c>
      <c r="C1396" s="13">
        <f t="shared" si="169"/>
        <v>2024</v>
      </c>
      <c r="D1396" s="7" t="str">
        <f t="shared" si="170"/>
        <v>Dec</v>
      </c>
      <c r="E1396" s="7" t="str">
        <f t="shared" si="171"/>
        <v>Wed</v>
      </c>
      <c r="F1396" t="s">
        <v>200</v>
      </c>
      <c r="G1396" t="s">
        <v>10</v>
      </c>
      <c r="H1396" t="s">
        <v>22</v>
      </c>
      <c r="I1396" s="2" t="str">
        <f t="shared" si="168"/>
        <v>West</v>
      </c>
      <c r="J1396" t="s">
        <v>42</v>
      </c>
      <c r="K1396" t="s">
        <v>13</v>
      </c>
      <c r="L1396">
        <v>14</v>
      </c>
      <c r="M1396">
        <v>120</v>
      </c>
      <c r="N1396">
        <f t="shared" si="172"/>
        <v>1680</v>
      </c>
      <c r="O1396">
        <f t="shared" si="173"/>
        <v>168</v>
      </c>
      <c r="P1396" t="str">
        <f t="shared" si="174"/>
        <v>Large Order</v>
      </c>
      <c r="Q1396" t="str">
        <f t="shared" si="175"/>
        <v>Weekday</v>
      </c>
    </row>
    <row r="1397" spans="1:17" x14ac:dyDescent="0.35">
      <c r="A1397" t="s">
        <v>1547</v>
      </c>
      <c r="B1397" s="7">
        <v>45346</v>
      </c>
      <c r="C1397" s="13">
        <f t="shared" si="169"/>
        <v>2024</v>
      </c>
      <c r="D1397" s="7" t="str">
        <f t="shared" si="170"/>
        <v>Feb</v>
      </c>
      <c r="E1397" s="7" t="str">
        <f t="shared" si="171"/>
        <v>Sat</v>
      </c>
      <c r="F1397" t="s">
        <v>348</v>
      </c>
      <c r="G1397" t="s">
        <v>48</v>
      </c>
      <c r="H1397" t="s">
        <v>22</v>
      </c>
      <c r="I1397" s="2" t="str">
        <f t="shared" si="168"/>
        <v>Central</v>
      </c>
      <c r="J1397" t="s">
        <v>27</v>
      </c>
      <c r="K1397" t="s">
        <v>28</v>
      </c>
      <c r="L1397">
        <v>14</v>
      </c>
      <c r="M1397">
        <v>120</v>
      </c>
      <c r="N1397">
        <f t="shared" si="172"/>
        <v>1680</v>
      </c>
      <c r="O1397">
        <f t="shared" si="173"/>
        <v>168</v>
      </c>
      <c r="P1397" t="str">
        <f t="shared" si="174"/>
        <v>Large Order</v>
      </c>
      <c r="Q1397" t="str">
        <f t="shared" si="175"/>
        <v>Weekend</v>
      </c>
    </row>
    <row r="1398" spans="1:17" x14ac:dyDescent="0.35">
      <c r="A1398" t="s">
        <v>1548</v>
      </c>
      <c r="B1398" s="7">
        <v>45559</v>
      </c>
      <c r="C1398" s="13">
        <f t="shared" si="169"/>
        <v>2024</v>
      </c>
      <c r="D1398" s="7" t="str">
        <f t="shared" si="170"/>
        <v>Sep</v>
      </c>
      <c r="E1398" s="7" t="str">
        <f t="shared" si="171"/>
        <v>Tue</v>
      </c>
      <c r="F1398" t="s">
        <v>350</v>
      </c>
      <c r="G1398" t="s">
        <v>26</v>
      </c>
      <c r="H1398" t="s">
        <v>22</v>
      </c>
      <c r="I1398" s="2" t="str">
        <f t="shared" si="168"/>
        <v>North</v>
      </c>
      <c r="J1398" t="s">
        <v>306</v>
      </c>
      <c r="K1398" t="s">
        <v>23</v>
      </c>
      <c r="L1398">
        <v>15</v>
      </c>
      <c r="M1398">
        <v>120</v>
      </c>
      <c r="N1398">
        <f t="shared" si="172"/>
        <v>1800</v>
      </c>
      <c r="O1398">
        <f t="shared" si="173"/>
        <v>180</v>
      </c>
      <c r="P1398" t="str">
        <f t="shared" si="174"/>
        <v>Large Order</v>
      </c>
      <c r="Q1398" t="str">
        <f t="shared" si="175"/>
        <v>Weekday</v>
      </c>
    </row>
    <row r="1399" spans="1:17" x14ac:dyDescent="0.35">
      <c r="A1399" t="s">
        <v>1549</v>
      </c>
      <c r="B1399" s="7">
        <v>45595</v>
      </c>
      <c r="C1399" s="13">
        <f t="shared" si="169"/>
        <v>2024</v>
      </c>
      <c r="D1399" s="7" t="str">
        <f t="shared" si="170"/>
        <v>Oct</v>
      </c>
      <c r="E1399" s="7" t="str">
        <f t="shared" si="171"/>
        <v>Wed</v>
      </c>
      <c r="F1399" t="s">
        <v>101</v>
      </c>
      <c r="G1399" t="s">
        <v>72</v>
      </c>
      <c r="H1399" t="s">
        <v>11</v>
      </c>
      <c r="I1399" s="2" t="str">
        <f t="shared" si="168"/>
        <v>West</v>
      </c>
      <c r="J1399" t="s">
        <v>12</v>
      </c>
      <c r="K1399" t="s">
        <v>32</v>
      </c>
      <c r="L1399">
        <v>15</v>
      </c>
      <c r="M1399">
        <v>120</v>
      </c>
      <c r="N1399">
        <f t="shared" si="172"/>
        <v>1800</v>
      </c>
      <c r="O1399">
        <f t="shared" si="173"/>
        <v>180</v>
      </c>
      <c r="P1399" t="str">
        <f t="shared" si="174"/>
        <v>Large Order</v>
      </c>
      <c r="Q1399" t="str">
        <f t="shared" si="175"/>
        <v>Weekday</v>
      </c>
    </row>
    <row r="1400" spans="1:17" x14ac:dyDescent="0.35">
      <c r="A1400" t="s">
        <v>1550</v>
      </c>
      <c r="B1400" s="7">
        <v>45529</v>
      </c>
      <c r="C1400" s="13">
        <f t="shared" si="169"/>
        <v>2024</v>
      </c>
      <c r="D1400" s="7" t="str">
        <f t="shared" si="170"/>
        <v>Aug</v>
      </c>
      <c r="E1400" s="7" t="str">
        <f t="shared" si="171"/>
        <v>Sun</v>
      </c>
      <c r="F1400" t="s">
        <v>614</v>
      </c>
      <c r="G1400" t="s">
        <v>109</v>
      </c>
      <c r="H1400" t="s">
        <v>22</v>
      </c>
      <c r="I1400" s="2" t="str">
        <f t="shared" si="168"/>
        <v>East</v>
      </c>
      <c r="J1400" t="s">
        <v>27</v>
      </c>
      <c r="K1400" t="s">
        <v>32</v>
      </c>
      <c r="L1400">
        <v>1</v>
      </c>
      <c r="M1400">
        <v>120</v>
      </c>
      <c r="N1400">
        <f t="shared" si="172"/>
        <v>120</v>
      </c>
      <c r="O1400">
        <f t="shared" si="173"/>
        <v>12</v>
      </c>
      <c r="P1400" t="str">
        <f t="shared" si="174"/>
        <v>Standard Order</v>
      </c>
      <c r="Q1400" t="str">
        <f t="shared" si="175"/>
        <v>Weekend</v>
      </c>
    </row>
    <row r="1401" spans="1:17" x14ac:dyDescent="0.35">
      <c r="A1401" t="s">
        <v>1551</v>
      </c>
      <c r="B1401" s="7">
        <v>45458</v>
      </c>
      <c r="C1401" s="13">
        <f t="shared" si="169"/>
        <v>2024</v>
      </c>
      <c r="D1401" s="7" t="str">
        <f t="shared" si="170"/>
        <v>Jun</v>
      </c>
      <c r="E1401" s="7" t="str">
        <f t="shared" si="171"/>
        <v>Sat</v>
      </c>
      <c r="F1401" t="s">
        <v>44</v>
      </c>
      <c r="G1401" t="s">
        <v>35</v>
      </c>
      <c r="H1401" t="s">
        <v>11</v>
      </c>
      <c r="I1401" s="2" t="str">
        <f t="shared" si="168"/>
        <v>North</v>
      </c>
      <c r="J1401" t="s">
        <v>42</v>
      </c>
      <c r="K1401" t="s">
        <v>32</v>
      </c>
      <c r="L1401">
        <v>11</v>
      </c>
      <c r="M1401">
        <v>120</v>
      </c>
      <c r="N1401">
        <f t="shared" si="172"/>
        <v>1320</v>
      </c>
      <c r="O1401">
        <f t="shared" si="173"/>
        <v>132</v>
      </c>
      <c r="P1401" t="str">
        <f t="shared" si="174"/>
        <v>Large Order</v>
      </c>
      <c r="Q1401" t="str">
        <f t="shared" si="175"/>
        <v>Weekend</v>
      </c>
    </row>
    <row r="1402" spans="1:17" x14ac:dyDescent="0.35">
      <c r="A1402" t="s">
        <v>1552</v>
      </c>
      <c r="B1402" s="7">
        <v>45597</v>
      </c>
      <c r="C1402" s="13">
        <f t="shared" si="169"/>
        <v>2024</v>
      </c>
      <c r="D1402" s="7" t="str">
        <f t="shared" si="170"/>
        <v>Nov</v>
      </c>
      <c r="E1402" s="7" t="str">
        <f t="shared" si="171"/>
        <v>Fri</v>
      </c>
      <c r="F1402" t="s">
        <v>424</v>
      </c>
      <c r="G1402" t="s">
        <v>26</v>
      </c>
      <c r="H1402" t="s">
        <v>22</v>
      </c>
      <c r="I1402" s="2" t="str">
        <f t="shared" si="168"/>
        <v>West</v>
      </c>
      <c r="J1402" t="s">
        <v>12</v>
      </c>
      <c r="K1402" t="s">
        <v>36</v>
      </c>
      <c r="L1402">
        <v>7</v>
      </c>
      <c r="M1402">
        <v>120</v>
      </c>
      <c r="N1402">
        <f t="shared" si="172"/>
        <v>840</v>
      </c>
      <c r="O1402">
        <f t="shared" si="173"/>
        <v>84</v>
      </c>
      <c r="P1402" t="str">
        <f t="shared" si="174"/>
        <v>Large Order</v>
      </c>
      <c r="Q1402" t="str">
        <f t="shared" si="175"/>
        <v>Weekday</v>
      </c>
    </row>
    <row r="1403" spans="1:17" x14ac:dyDescent="0.35">
      <c r="A1403" t="s">
        <v>1553</v>
      </c>
      <c r="B1403" s="7">
        <v>45500</v>
      </c>
      <c r="C1403" s="13">
        <f t="shared" si="169"/>
        <v>2024</v>
      </c>
      <c r="D1403" s="7" t="str">
        <f t="shared" si="170"/>
        <v>Jul</v>
      </c>
      <c r="E1403" s="7" t="str">
        <f t="shared" si="171"/>
        <v>Sat</v>
      </c>
      <c r="F1403" t="s">
        <v>374</v>
      </c>
      <c r="G1403" t="s">
        <v>174</v>
      </c>
      <c r="H1403" t="s">
        <v>11</v>
      </c>
      <c r="I1403" s="2" t="str">
        <f t="shared" si="168"/>
        <v>South</v>
      </c>
      <c r="J1403" t="s">
        <v>27</v>
      </c>
      <c r="K1403" t="s">
        <v>23</v>
      </c>
      <c r="L1403">
        <v>15</v>
      </c>
      <c r="M1403">
        <v>120</v>
      </c>
      <c r="N1403">
        <f t="shared" si="172"/>
        <v>1800</v>
      </c>
      <c r="O1403">
        <f t="shared" si="173"/>
        <v>180</v>
      </c>
      <c r="P1403" t="str">
        <f t="shared" si="174"/>
        <v>Large Order</v>
      </c>
      <c r="Q1403" t="str">
        <f t="shared" si="175"/>
        <v>Weekend</v>
      </c>
    </row>
    <row r="1404" spans="1:17" x14ac:dyDescent="0.35">
      <c r="A1404" t="s">
        <v>1554</v>
      </c>
      <c r="B1404" s="7">
        <v>45339</v>
      </c>
      <c r="C1404" s="13">
        <f t="shared" si="169"/>
        <v>2024</v>
      </c>
      <c r="D1404" s="7" t="str">
        <f t="shared" si="170"/>
        <v>Feb</v>
      </c>
      <c r="E1404" s="7" t="str">
        <f t="shared" si="171"/>
        <v>Sat</v>
      </c>
      <c r="F1404" t="s">
        <v>61</v>
      </c>
      <c r="G1404" t="s">
        <v>197</v>
      </c>
      <c r="H1404" t="s">
        <v>17</v>
      </c>
      <c r="I1404" s="2" t="str">
        <f t="shared" si="168"/>
        <v>Central</v>
      </c>
      <c r="J1404" t="s">
        <v>56</v>
      </c>
      <c r="K1404" t="s">
        <v>32</v>
      </c>
      <c r="L1404">
        <v>19</v>
      </c>
      <c r="M1404">
        <v>120</v>
      </c>
      <c r="N1404">
        <f t="shared" si="172"/>
        <v>2280</v>
      </c>
      <c r="O1404">
        <f t="shared" si="173"/>
        <v>228</v>
      </c>
      <c r="P1404" t="str">
        <f t="shared" si="174"/>
        <v>Large Order</v>
      </c>
      <c r="Q1404" t="str">
        <f t="shared" si="175"/>
        <v>Weekend</v>
      </c>
    </row>
    <row r="1405" spans="1:17" x14ac:dyDescent="0.35">
      <c r="A1405" t="s">
        <v>1555</v>
      </c>
      <c r="B1405" s="7">
        <v>45575</v>
      </c>
      <c r="C1405" s="13">
        <f t="shared" si="169"/>
        <v>2024</v>
      </c>
      <c r="D1405" s="7" t="str">
        <f t="shared" si="170"/>
        <v>Oct</v>
      </c>
      <c r="E1405" s="7" t="str">
        <f t="shared" si="171"/>
        <v>Thu</v>
      </c>
      <c r="F1405" t="s">
        <v>339</v>
      </c>
      <c r="G1405" t="s">
        <v>48</v>
      </c>
      <c r="H1405" t="s">
        <v>17</v>
      </c>
      <c r="I1405" s="2" t="str">
        <f t="shared" si="168"/>
        <v>North</v>
      </c>
      <c r="J1405" t="s">
        <v>306</v>
      </c>
      <c r="K1405" t="s">
        <v>32</v>
      </c>
      <c r="L1405">
        <v>12</v>
      </c>
      <c r="M1405">
        <v>120</v>
      </c>
      <c r="N1405">
        <f t="shared" si="172"/>
        <v>1440</v>
      </c>
      <c r="O1405">
        <f t="shared" si="173"/>
        <v>144</v>
      </c>
      <c r="P1405" t="str">
        <f t="shared" si="174"/>
        <v>Large Order</v>
      </c>
      <c r="Q1405" t="str">
        <f t="shared" si="175"/>
        <v>Weekday</v>
      </c>
    </row>
    <row r="1406" spans="1:17" x14ac:dyDescent="0.35">
      <c r="A1406" t="s">
        <v>1556</v>
      </c>
      <c r="B1406" s="7">
        <v>45430</v>
      </c>
      <c r="C1406" s="13">
        <f t="shared" si="169"/>
        <v>2024</v>
      </c>
      <c r="D1406" s="7" t="str">
        <f t="shared" si="170"/>
        <v>May</v>
      </c>
      <c r="E1406" s="7" t="str">
        <f t="shared" si="171"/>
        <v>Sat</v>
      </c>
      <c r="F1406" t="s">
        <v>147</v>
      </c>
      <c r="G1406" t="s">
        <v>26</v>
      </c>
      <c r="H1406" t="s">
        <v>11</v>
      </c>
      <c r="I1406" s="2" t="str">
        <f t="shared" si="168"/>
        <v>South</v>
      </c>
      <c r="J1406" t="s">
        <v>12</v>
      </c>
      <c r="K1406" t="s">
        <v>28</v>
      </c>
      <c r="L1406">
        <v>11</v>
      </c>
      <c r="M1406">
        <v>120</v>
      </c>
      <c r="N1406">
        <f t="shared" si="172"/>
        <v>1320</v>
      </c>
      <c r="O1406">
        <f t="shared" si="173"/>
        <v>132</v>
      </c>
      <c r="P1406" t="str">
        <f t="shared" si="174"/>
        <v>Large Order</v>
      </c>
      <c r="Q1406" t="str">
        <f t="shared" si="175"/>
        <v>Weekend</v>
      </c>
    </row>
    <row r="1407" spans="1:17" x14ac:dyDescent="0.35">
      <c r="A1407" t="s">
        <v>1557</v>
      </c>
      <c r="B1407" s="7">
        <v>45566</v>
      </c>
      <c r="C1407" s="13">
        <f t="shared" si="169"/>
        <v>2024</v>
      </c>
      <c r="D1407" s="7" t="str">
        <f t="shared" si="170"/>
        <v>Oct</v>
      </c>
      <c r="E1407" s="7" t="str">
        <f t="shared" si="171"/>
        <v>Tue</v>
      </c>
      <c r="F1407" t="s">
        <v>332</v>
      </c>
      <c r="G1407" t="s">
        <v>62</v>
      </c>
      <c r="H1407" t="s">
        <v>11</v>
      </c>
      <c r="I1407" s="2" t="str">
        <f t="shared" si="168"/>
        <v>East</v>
      </c>
      <c r="J1407" t="s">
        <v>56</v>
      </c>
      <c r="K1407" t="s">
        <v>28</v>
      </c>
      <c r="L1407">
        <v>16</v>
      </c>
      <c r="M1407">
        <v>120</v>
      </c>
      <c r="N1407">
        <f t="shared" si="172"/>
        <v>1920</v>
      </c>
      <c r="O1407">
        <f t="shared" si="173"/>
        <v>192</v>
      </c>
      <c r="P1407" t="str">
        <f t="shared" si="174"/>
        <v>Large Order</v>
      </c>
      <c r="Q1407" t="str">
        <f t="shared" si="175"/>
        <v>Weekday</v>
      </c>
    </row>
    <row r="1408" spans="1:17" x14ac:dyDescent="0.35">
      <c r="A1408" t="s">
        <v>1558</v>
      </c>
      <c r="B1408" s="7">
        <v>45593</v>
      </c>
      <c r="C1408" s="13">
        <f t="shared" si="169"/>
        <v>2024</v>
      </c>
      <c r="D1408" s="7" t="str">
        <f t="shared" si="170"/>
        <v>Oct</v>
      </c>
      <c r="E1408" s="7" t="str">
        <f t="shared" si="171"/>
        <v>Mon</v>
      </c>
      <c r="F1408" t="s">
        <v>332</v>
      </c>
      <c r="G1408" t="s">
        <v>160</v>
      </c>
      <c r="H1408" t="s">
        <v>22</v>
      </c>
      <c r="I1408" s="2" t="str">
        <f t="shared" si="168"/>
        <v>Central</v>
      </c>
      <c r="J1408" t="s">
        <v>42</v>
      </c>
      <c r="K1408" t="s">
        <v>13</v>
      </c>
      <c r="L1408">
        <v>7</v>
      </c>
      <c r="M1408">
        <v>120</v>
      </c>
      <c r="N1408">
        <f t="shared" si="172"/>
        <v>840</v>
      </c>
      <c r="O1408">
        <f t="shared" si="173"/>
        <v>84</v>
      </c>
      <c r="P1408" t="str">
        <f t="shared" si="174"/>
        <v>Large Order</v>
      </c>
      <c r="Q1408" t="str">
        <f t="shared" si="175"/>
        <v>Weekday</v>
      </c>
    </row>
    <row r="1409" spans="1:17" x14ac:dyDescent="0.35">
      <c r="A1409" t="s">
        <v>1559</v>
      </c>
      <c r="B1409" s="7">
        <v>45476</v>
      </c>
      <c r="C1409" s="13">
        <f t="shared" si="169"/>
        <v>2024</v>
      </c>
      <c r="D1409" s="7" t="str">
        <f t="shared" si="170"/>
        <v>Jul</v>
      </c>
      <c r="E1409" s="7" t="str">
        <f t="shared" si="171"/>
        <v>Wed</v>
      </c>
      <c r="F1409" t="s">
        <v>235</v>
      </c>
      <c r="G1409" t="s">
        <v>74</v>
      </c>
      <c r="H1409" t="s">
        <v>11</v>
      </c>
      <c r="I1409" s="2" t="str">
        <f t="shared" si="168"/>
        <v>South</v>
      </c>
      <c r="J1409" t="s">
        <v>306</v>
      </c>
      <c r="K1409" t="s">
        <v>28</v>
      </c>
      <c r="L1409">
        <v>9</v>
      </c>
      <c r="M1409">
        <v>120</v>
      </c>
      <c r="N1409">
        <f t="shared" si="172"/>
        <v>1080</v>
      </c>
      <c r="O1409">
        <f t="shared" si="173"/>
        <v>108</v>
      </c>
      <c r="P1409" t="str">
        <f t="shared" si="174"/>
        <v>Large Order</v>
      </c>
      <c r="Q1409" t="str">
        <f t="shared" si="175"/>
        <v>Weekday</v>
      </c>
    </row>
    <row r="1410" spans="1:17" x14ac:dyDescent="0.35">
      <c r="A1410" t="s">
        <v>1560</v>
      </c>
      <c r="B1410" s="7">
        <v>45319</v>
      </c>
      <c r="C1410" s="13">
        <f t="shared" si="169"/>
        <v>2024</v>
      </c>
      <c r="D1410" s="7" t="str">
        <f t="shared" si="170"/>
        <v>Jan</v>
      </c>
      <c r="E1410" s="7" t="str">
        <f t="shared" si="171"/>
        <v>Sun</v>
      </c>
      <c r="F1410" t="s">
        <v>378</v>
      </c>
      <c r="G1410" t="s">
        <v>74</v>
      </c>
      <c r="H1410" t="s">
        <v>22</v>
      </c>
      <c r="I1410" s="2" t="str">
        <f t="shared" si="168"/>
        <v>West</v>
      </c>
      <c r="J1410" t="s">
        <v>56</v>
      </c>
      <c r="K1410" t="s">
        <v>23</v>
      </c>
      <c r="L1410">
        <v>4</v>
      </c>
      <c r="M1410">
        <v>120</v>
      </c>
      <c r="N1410">
        <f t="shared" si="172"/>
        <v>480</v>
      </c>
      <c r="O1410">
        <f t="shared" si="173"/>
        <v>48</v>
      </c>
      <c r="P1410" t="str">
        <f t="shared" si="174"/>
        <v>Standard Order</v>
      </c>
      <c r="Q1410" t="str">
        <f t="shared" si="175"/>
        <v>Weekend</v>
      </c>
    </row>
    <row r="1411" spans="1:17" x14ac:dyDescent="0.35">
      <c r="A1411" t="s">
        <v>1561</v>
      </c>
      <c r="B1411" s="7">
        <v>45585</v>
      </c>
      <c r="C1411" s="13">
        <f t="shared" si="169"/>
        <v>2024</v>
      </c>
      <c r="D1411" s="7" t="str">
        <f t="shared" si="170"/>
        <v>Oct</v>
      </c>
      <c r="E1411" s="7" t="str">
        <f t="shared" si="171"/>
        <v>Sun</v>
      </c>
      <c r="F1411" t="s">
        <v>55</v>
      </c>
      <c r="G1411" t="s">
        <v>35</v>
      </c>
      <c r="H1411" t="s">
        <v>17</v>
      </c>
      <c r="I1411" s="2" t="str">
        <f t="shared" ref="I1411:I1474" si="176">TRIM(J1412)</f>
        <v>West</v>
      </c>
      <c r="J1411" t="s">
        <v>27</v>
      </c>
      <c r="K1411" t="s">
        <v>32</v>
      </c>
      <c r="L1411">
        <v>6</v>
      </c>
      <c r="M1411">
        <v>120</v>
      </c>
      <c r="N1411">
        <f t="shared" si="172"/>
        <v>720</v>
      </c>
      <c r="O1411">
        <f t="shared" si="173"/>
        <v>72</v>
      </c>
      <c r="P1411" t="str">
        <f t="shared" si="174"/>
        <v>Large Order</v>
      </c>
      <c r="Q1411" t="str">
        <f t="shared" si="175"/>
        <v>Weekend</v>
      </c>
    </row>
    <row r="1412" spans="1:17" x14ac:dyDescent="0.35">
      <c r="A1412" t="s">
        <v>1562</v>
      </c>
      <c r="B1412" s="7">
        <v>45421</v>
      </c>
      <c r="C1412" s="13">
        <f t="shared" ref="C1412:C1475" si="177">YEAR(B1412)</f>
        <v>2024</v>
      </c>
      <c r="D1412" s="7" t="str">
        <f t="shared" ref="D1412:D1475" si="178">TEXT(B1412,"mmm")</f>
        <v>May</v>
      </c>
      <c r="E1412" s="7" t="str">
        <f t="shared" ref="E1412:E1475" si="179">TEXT(B1412,"ddd")</f>
        <v>Thu</v>
      </c>
      <c r="F1412" t="s">
        <v>517</v>
      </c>
      <c r="G1412" t="s">
        <v>102</v>
      </c>
      <c r="H1412" t="s">
        <v>11</v>
      </c>
      <c r="I1412" s="2" t="str">
        <f t="shared" si="176"/>
        <v>Central</v>
      </c>
      <c r="J1412" t="s">
        <v>27</v>
      </c>
      <c r="K1412" t="s">
        <v>23</v>
      </c>
      <c r="L1412">
        <v>3</v>
      </c>
      <c r="M1412">
        <v>120</v>
      </c>
      <c r="N1412">
        <f t="shared" ref="N1412:N1475" si="180">M1412*L1412</f>
        <v>360</v>
      </c>
      <c r="O1412">
        <f t="shared" ref="O1412:O1475" si="181">N1412*0.1</f>
        <v>36</v>
      </c>
      <c r="P1412" t="str">
        <f t="shared" ref="P1412:P1475" si="182">IF(N1412&gt;500,"Large Order","Standard Order")</f>
        <v>Standard Order</v>
      </c>
      <c r="Q1412" t="str">
        <f t="shared" ref="Q1412:Q1475" si="183">IF(OR(TRIM(E1412)="Sat",TRIM(E1412)="Sun"),"Weekend","Weekday")</f>
        <v>Weekday</v>
      </c>
    </row>
    <row r="1413" spans="1:17" x14ac:dyDescent="0.35">
      <c r="A1413" t="s">
        <v>1563</v>
      </c>
      <c r="B1413" s="7">
        <v>45643</v>
      </c>
      <c r="C1413" s="13">
        <f t="shared" si="177"/>
        <v>2024</v>
      </c>
      <c r="D1413" s="7" t="str">
        <f t="shared" si="178"/>
        <v>Dec</v>
      </c>
      <c r="E1413" s="7" t="str">
        <f t="shared" si="179"/>
        <v>Tue</v>
      </c>
      <c r="F1413" t="s">
        <v>9</v>
      </c>
      <c r="G1413" t="s">
        <v>16</v>
      </c>
      <c r="H1413" t="s">
        <v>11</v>
      </c>
      <c r="I1413" s="2" t="str">
        <f t="shared" si="176"/>
        <v>Central</v>
      </c>
      <c r="J1413" t="s">
        <v>306</v>
      </c>
      <c r="K1413" t="s">
        <v>32</v>
      </c>
      <c r="L1413">
        <v>3</v>
      </c>
      <c r="M1413">
        <v>120</v>
      </c>
      <c r="N1413">
        <f t="shared" si="180"/>
        <v>360</v>
      </c>
      <c r="O1413">
        <f t="shared" si="181"/>
        <v>36</v>
      </c>
      <c r="P1413" t="str">
        <f t="shared" si="182"/>
        <v>Standard Order</v>
      </c>
      <c r="Q1413" t="str">
        <f t="shared" si="183"/>
        <v>Weekday</v>
      </c>
    </row>
    <row r="1414" spans="1:17" x14ac:dyDescent="0.35">
      <c r="A1414" t="s">
        <v>1564</v>
      </c>
      <c r="B1414" s="7">
        <v>45352</v>
      </c>
      <c r="C1414" s="13">
        <f t="shared" si="177"/>
        <v>2024</v>
      </c>
      <c r="D1414" s="7" t="str">
        <f t="shared" si="178"/>
        <v>Mar</v>
      </c>
      <c r="E1414" s="7" t="str">
        <f t="shared" si="179"/>
        <v>Fri</v>
      </c>
      <c r="F1414" t="s">
        <v>642</v>
      </c>
      <c r="G1414" t="s">
        <v>119</v>
      </c>
      <c r="H1414" t="s">
        <v>17</v>
      </c>
      <c r="I1414" s="2" t="str">
        <f t="shared" si="176"/>
        <v>East</v>
      </c>
      <c r="J1414" t="s">
        <v>306</v>
      </c>
      <c r="K1414" t="s">
        <v>36</v>
      </c>
      <c r="L1414">
        <v>20</v>
      </c>
      <c r="M1414">
        <v>120</v>
      </c>
      <c r="N1414">
        <f t="shared" si="180"/>
        <v>2400</v>
      </c>
      <c r="O1414">
        <f t="shared" si="181"/>
        <v>240</v>
      </c>
      <c r="P1414" t="str">
        <f t="shared" si="182"/>
        <v>Large Order</v>
      </c>
      <c r="Q1414" t="str">
        <f t="shared" si="183"/>
        <v>Weekday</v>
      </c>
    </row>
    <row r="1415" spans="1:17" x14ac:dyDescent="0.35">
      <c r="A1415" t="s">
        <v>1565</v>
      </c>
      <c r="B1415" s="7">
        <v>45559</v>
      </c>
      <c r="C1415" s="13">
        <f t="shared" si="177"/>
        <v>2024</v>
      </c>
      <c r="D1415" s="7" t="str">
        <f t="shared" si="178"/>
        <v>Sep</v>
      </c>
      <c r="E1415" s="7" t="str">
        <f t="shared" si="179"/>
        <v>Tue</v>
      </c>
      <c r="F1415" t="s">
        <v>159</v>
      </c>
      <c r="G1415" t="s">
        <v>70</v>
      </c>
      <c r="H1415" t="s">
        <v>17</v>
      </c>
      <c r="I1415" s="2" t="str">
        <f t="shared" si="176"/>
        <v>North</v>
      </c>
      <c r="J1415" t="s">
        <v>42</v>
      </c>
      <c r="K1415" t="s">
        <v>36</v>
      </c>
      <c r="L1415">
        <v>14</v>
      </c>
      <c r="M1415">
        <v>120</v>
      </c>
      <c r="N1415">
        <f t="shared" si="180"/>
        <v>1680</v>
      </c>
      <c r="O1415">
        <f t="shared" si="181"/>
        <v>168</v>
      </c>
      <c r="P1415" t="str">
        <f t="shared" si="182"/>
        <v>Large Order</v>
      </c>
      <c r="Q1415" t="str">
        <f t="shared" si="183"/>
        <v>Weekday</v>
      </c>
    </row>
    <row r="1416" spans="1:17" x14ac:dyDescent="0.35">
      <c r="A1416" t="s">
        <v>1566</v>
      </c>
      <c r="B1416" s="7">
        <v>45609</v>
      </c>
      <c r="C1416" s="13">
        <f t="shared" si="177"/>
        <v>2024</v>
      </c>
      <c r="D1416" s="7" t="str">
        <f t="shared" si="178"/>
        <v>Nov</v>
      </c>
      <c r="E1416" s="7" t="str">
        <f t="shared" si="179"/>
        <v>Wed</v>
      </c>
      <c r="F1416" t="s">
        <v>131</v>
      </c>
      <c r="G1416" t="s">
        <v>109</v>
      </c>
      <c r="H1416" t="s">
        <v>22</v>
      </c>
      <c r="I1416" s="2" t="str">
        <f t="shared" si="176"/>
        <v>Central</v>
      </c>
      <c r="J1416" t="s">
        <v>12</v>
      </c>
      <c r="K1416" t="s">
        <v>28</v>
      </c>
      <c r="L1416">
        <v>7</v>
      </c>
      <c r="M1416">
        <v>120</v>
      </c>
      <c r="N1416">
        <f t="shared" si="180"/>
        <v>840</v>
      </c>
      <c r="O1416">
        <f t="shared" si="181"/>
        <v>84</v>
      </c>
      <c r="P1416" t="str">
        <f t="shared" si="182"/>
        <v>Large Order</v>
      </c>
      <c r="Q1416" t="str">
        <f t="shared" si="183"/>
        <v>Weekday</v>
      </c>
    </row>
    <row r="1417" spans="1:17" x14ac:dyDescent="0.35">
      <c r="A1417" t="s">
        <v>1567</v>
      </c>
      <c r="B1417" s="7">
        <v>45333</v>
      </c>
      <c r="C1417" s="13">
        <f t="shared" si="177"/>
        <v>2024</v>
      </c>
      <c r="D1417" s="7" t="str">
        <f t="shared" si="178"/>
        <v>Feb</v>
      </c>
      <c r="E1417" s="7" t="str">
        <f t="shared" si="179"/>
        <v>Sun</v>
      </c>
      <c r="F1417" t="s">
        <v>111</v>
      </c>
      <c r="G1417" t="s">
        <v>197</v>
      </c>
      <c r="H1417" t="s">
        <v>11</v>
      </c>
      <c r="I1417" s="2" t="str">
        <f t="shared" si="176"/>
        <v>East</v>
      </c>
      <c r="J1417" t="s">
        <v>306</v>
      </c>
      <c r="K1417" t="s">
        <v>13</v>
      </c>
      <c r="L1417">
        <v>6</v>
      </c>
      <c r="M1417">
        <v>120</v>
      </c>
      <c r="N1417">
        <f t="shared" si="180"/>
        <v>720</v>
      </c>
      <c r="O1417">
        <f t="shared" si="181"/>
        <v>72</v>
      </c>
      <c r="P1417" t="str">
        <f t="shared" si="182"/>
        <v>Large Order</v>
      </c>
      <c r="Q1417" t="str">
        <f t="shared" si="183"/>
        <v>Weekend</v>
      </c>
    </row>
    <row r="1418" spans="1:17" x14ac:dyDescent="0.35">
      <c r="A1418" t="s">
        <v>1568</v>
      </c>
      <c r="B1418" s="7">
        <v>45522</v>
      </c>
      <c r="C1418" s="13">
        <f t="shared" si="177"/>
        <v>2024</v>
      </c>
      <c r="D1418" s="7" t="str">
        <f t="shared" si="178"/>
        <v>Aug</v>
      </c>
      <c r="E1418" s="7" t="str">
        <f t="shared" si="179"/>
        <v>Sun</v>
      </c>
      <c r="F1418" t="s">
        <v>465</v>
      </c>
      <c r="G1418" t="s">
        <v>109</v>
      </c>
      <c r="H1418" t="s">
        <v>17</v>
      </c>
      <c r="I1418" s="2" t="str">
        <f t="shared" si="176"/>
        <v>South</v>
      </c>
      <c r="J1418" t="s">
        <v>42</v>
      </c>
      <c r="K1418" t="s">
        <v>13</v>
      </c>
      <c r="L1418">
        <v>8</v>
      </c>
      <c r="M1418">
        <v>120</v>
      </c>
      <c r="N1418">
        <f t="shared" si="180"/>
        <v>960</v>
      </c>
      <c r="O1418">
        <f t="shared" si="181"/>
        <v>96</v>
      </c>
      <c r="P1418" t="str">
        <f t="shared" si="182"/>
        <v>Large Order</v>
      </c>
      <c r="Q1418" t="str">
        <f t="shared" si="183"/>
        <v>Weekend</v>
      </c>
    </row>
    <row r="1419" spans="1:17" x14ac:dyDescent="0.35">
      <c r="A1419" t="s">
        <v>1569</v>
      </c>
      <c r="B1419" s="7">
        <v>45436</v>
      </c>
      <c r="C1419" s="13">
        <f t="shared" si="177"/>
        <v>2024</v>
      </c>
      <c r="D1419" s="7" t="str">
        <f t="shared" si="178"/>
        <v>May</v>
      </c>
      <c r="E1419" s="7" t="str">
        <f t="shared" si="179"/>
        <v>Fri</v>
      </c>
      <c r="F1419" t="s">
        <v>424</v>
      </c>
      <c r="G1419" t="s">
        <v>70</v>
      </c>
      <c r="H1419" t="s">
        <v>11</v>
      </c>
      <c r="I1419" s="2" t="str">
        <f t="shared" si="176"/>
        <v>South</v>
      </c>
      <c r="J1419" t="s">
        <v>56</v>
      </c>
      <c r="K1419" t="s">
        <v>32</v>
      </c>
      <c r="L1419">
        <v>19</v>
      </c>
      <c r="M1419">
        <v>120</v>
      </c>
      <c r="N1419">
        <f t="shared" si="180"/>
        <v>2280</v>
      </c>
      <c r="O1419">
        <f t="shared" si="181"/>
        <v>228</v>
      </c>
      <c r="P1419" t="str">
        <f t="shared" si="182"/>
        <v>Large Order</v>
      </c>
      <c r="Q1419" t="str">
        <f t="shared" si="183"/>
        <v>Weekday</v>
      </c>
    </row>
    <row r="1420" spans="1:17" x14ac:dyDescent="0.35">
      <c r="A1420" t="s">
        <v>1570</v>
      </c>
      <c r="B1420" s="7">
        <v>45393</v>
      </c>
      <c r="C1420" s="13">
        <f t="shared" si="177"/>
        <v>2024</v>
      </c>
      <c r="D1420" s="7" t="str">
        <f t="shared" si="178"/>
        <v>Apr</v>
      </c>
      <c r="E1420" s="7" t="str">
        <f t="shared" si="179"/>
        <v>Thu</v>
      </c>
      <c r="F1420" t="s">
        <v>309</v>
      </c>
      <c r="G1420" t="s">
        <v>102</v>
      </c>
      <c r="H1420" t="s">
        <v>22</v>
      </c>
      <c r="I1420" s="2" t="str">
        <f t="shared" si="176"/>
        <v>Central</v>
      </c>
      <c r="J1420" t="s">
        <v>56</v>
      </c>
      <c r="K1420" t="s">
        <v>28</v>
      </c>
      <c r="L1420">
        <v>9</v>
      </c>
      <c r="M1420">
        <v>120</v>
      </c>
      <c r="N1420">
        <f t="shared" si="180"/>
        <v>1080</v>
      </c>
      <c r="O1420">
        <f t="shared" si="181"/>
        <v>108</v>
      </c>
      <c r="P1420" t="str">
        <f t="shared" si="182"/>
        <v>Large Order</v>
      </c>
      <c r="Q1420" t="str">
        <f t="shared" si="183"/>
        <v>Weekday</v>
      </c>
    </row>
    <row r="1421" spans="1:17" x14ac:dyDescent="0.35">
      <c r="A1421" t="s">
        <v>1571</v>
      </c>
      <c r="B1421" s="7">
        <v>45328</v>
      </c>
      <c r="C1421" s="13">
        <f t="shared" si="177"/>
        <v>2024</v>
      </c>
      <c r="D1421" s="7" t="str">
        <f t="shared" si="178"/>
        <v>Feb</v>
      </c>
      <c r="E1421" s="7" t="str">
        <f t="shared" si="179"/>
        <v>Tue</v>
      </c>
      <c r="F1421" t="s">
        <v>131</v>
      </c>
      <c r="G1421" t="s">
        <v>45</v>
      </c>
      <c r="H1421" t="s">
        <v>17</v>
      </c>
      <c r="I1421" s="2" t="str">
        <f t="shared" si="176"/>
        <v>West</v>
      </c>
      <c r="J1421" t="s">
        <v>306</v>
      </c>
      <c r="K1421" t="s">
        <v>36</v>
      </c>
      <c r="L1421">
        <v>10</v>
      </c>
      <c r="M1421">
        <v>120</v>
      </c>
      <c r="N1421">
        <f t="shared" si="180"/>
        <v>1200</v>
      </c>
      <c r="O1421">
        <f t="shared" si="181"/>
        <v>120</v>
      </c>
      <c r="P1421" t="str">
        <f t="shared" si="182"/>
        <v>Large Order</v>
      </c>
      <c r="Q1421" t="str">
        <f t="shared" si="183"/>
        <v>Weekday</v>
      </c>
    </row>
    <row r="1422" spans="1:17" x14ac:dyDescent="0.35">
      <c r="A1422" t="s">
        <v>1572</v>
      </c>
      <c r="B1422" s="7">
        <v>45531</v>
      </c>
      <c r="C1422" s="13">
        <f t="shared" si="177"/>
        <v>2024</v>
      </c>
      <c r="D1422" s="7" t="str">
        <f t="shared" si="178"/>
        <v>Aug</v>
      </c>
      <c r="E1422" s="7" t="str">
        <f t="shared" si="179"/>
        <v>Tue</v>
      </c>
      <c r="F1422" t="s">
        <v>465</v>
      </c>
      <c r="G1422" t="s">
        <v>74</v>
      </c>
      <c r="H1422" t="s">
        <v>22</v>
      </c>
      <c r="I1422" s="2" t="str">
        <f t="shared" si="176"/>
        <v>West</v>
      </c>
      <c r="J1422" t="s">
        <v>27</v>
      </c>
      <c r="K1422" t="s">
        <v>32</v>
      </c>
      <c r="L1422">
        <v>17</v>
      </c>
      <c r="M1422">
        <v>120</v>
      </c>
      <c r="N1422">
        <f t="shared" si="180"/>
        <v>2040</v>
      </c>
      <c r="O1422">
        <f t="shared" si="181"/>
        <v>204</v>
      </c>
      <c r="P1422" t="str">
        <f t="shared" si="182"/>
        <v>Large Order</v>
      </c>
      <c r="Q1422" t="str">
        <f t="shared" si="183"/>
        <v>Weekday</v>
      </c>
    </row>
    <row r="1423" spans="1:17" x14ac:dyDescent="0.35">
      <c r="A1423" t="s">
        <v>1573</v>
      </c>
      <c r="B1423" s="7">
        <v>45516</v>
      </c>
      <c r="C1423" s="13">
        <f t="shared" si="177"/>
        <v>2024</v>
      </c>
      <c r="D1423" s="7" t="str">
        <f t="shared" si="178"/>
        <v>Aug</v>
      </c>
      <c r="E1423" s="7" t="str">
        <f t="shared" si="179"/>
        <v>Mon</v>
      </c>
      <c r="F1423" t="s">
        <v>81</v>
      </c>
      <c r="G1423" t="s">
        <v>109</v>
      </c>
      <c r="H1423" t="s">
        <v>11</v>
      </c>
      <c r="I1423" s="2" t="str">
        <f t="shared" si="176"/>
        <v>Central</v>
      </c>
      <c r="J1423" t="s">
        <v>27</v>
      </c>
      <c r="K1423" t="s">
        <v>32</v>
      </c>
      <c r="L1423">
        <v>20</v>
      </c>
      <c r="M1423">
        <v>120</v>
      </c>
      <c r="N1423">
        <f t="shared" si="180"/>
        <v>2400</v>
      </c>
      <c r="O1423">
        <f t="shared" si="181"/>
        <v>240</v>
      </c>
      <c r="P1423" t="str">
        <f t="shared" si="182"/>
        <v>Large Order</v>
      </c>
      <c r="Q1423" t="str">
        <f t="shared" si="183"/>
        <v>Weekday</v>
      </c>
    </row>
    <row r="1424" spans="1:17" x14ac:dyDescent="0.35">
      <c r="A1424" t="s">
        <v>1574</v>
      </c>
      <c r="B1424" s="7">
        <v>45338</v>
      </c>
      <c r="C1424" s="13">
        <f t="shared" si="177"/>
        <v>2024</v>
      </c>
      <c r="D1424" s="7" t="str">
        <f t="shared" si="178"/>
        <v>Feb</v>
      </c>
      <c r="E1424" s="7" t="str">
        <f t="shared" si="179"/>
        <v>Fri</v>
      </c>
      <c r="F1424" t="s">
        <v>51</v>
      </c>
      <c r="G1424" t="s">
        <v>41</v>
      </c>
      <c r="H1424" t="s">
        <v>22</v>
      </c>
      <c r="I1424" s="2" t="str">
        <f t="shared" si="176"/>
        <v>West</v>
      </c>
      <c r="J1424" t="s">
        <v>306</v>
      </c>
      <c r="K1424" t="s">
        <v>13</v>
      </c>
      <c r="L1424">
        <v>9</v>
      </c>
      <c r="M1424">
        <v>120</v>
      </c>
      <c r="N1424">
        <f t="shared" si="180"/>
        <v>1080</v>
      </c>
      <c r="O1424">
        <f t="shared" si="181"/>
        <v>108</v>
      </c>
      <c r="P1424" t="str">
        <f t="shared" si="182"/>
        <v>Large Order</v>
      </c>
      <c r="Q1424" t="str">
        <f t="shared" si="183"/>
        <v>Weekday</v>
      </c>
    </row>
    <row r="1425" spans="1:17" x14ac:dyDescent="0.35">
      <c r="A1425" t="s">
        <v>1575</v>
      </c>
      <c r="B1425" s="7">
        <v>45381</v>
      </c>
      <c r="C1425" s="13">
        <f t="shared" si="177"/>
        <v>2024</v>
      </c>
      <c r="D1425" s="7" t="str">
        <f t="shared" si="178"/>
        <v>Mar</v>
      </c>
      <c r="E1425" s="7" t="str">
        <f t="shared" si="179"/>
        <v>Sat</v>
      </c>
      <c r="F1425" t="s">
        <v>553</v>
      </c>
      <c r="G1425" t="s">
        <v>160</v>
      </c>
      <c r="H1425" t="s">
        <v>22</v>
      </c>
      <c r="I1425" s="2" t="str">
        <f t="shared" si="176"/>
        <v>West</v>
      </c>
      <c r="J1425" t="s">
        <v>27</v>
      </c>
      <c r="K1425" t="s">
        <v>32</v>
      </c>
      <c r="L1425">
        <v>6</v>
      </c>
      <c r="M1425">
        <v>120</v>
      </c>
      <c r="N1425">
        <f t="shared" si="180"/>
        <v>720</v>
      </c>
      <c r="O1425">
        <f t="shared" si="181"/>
        <v>72</v>
      </c>
      <c r="P1425" t="str">
        <f t="shared" si="182"/>
        <v>Large Order</v>
      </c>
      <c r="Q1425" t="str">
        <f t="shared" si="183"/>
        <v>Weekend</v>
      </c>
    </row>
    <row r="1426" spans="1:17" x14ac:dyDescent="0.35">
      <c r="A1426" t="s">
        <v>1576</v>
      </c>
      <c r="B1426" s="7">
        <v>45515</v>
      </c>
      <c r="C1426" s="13">
        <f t="shared" si="177"/>
        <v>2024</v>
      </c>
      <c r="D1426" s="7" t="str">
        <f t="shared" si="178"/>
        <v>Aug</v>
      </c>
      <c r="E1426" s="7" t="str">
        <f t="shared" si="179"/>
        <v>Sun</v>
      </c>
      <c r="F1426" t="s">
        <v>541</v>
      </c>
      <c r="G1426" t="s">
        <v>35</v>
      </c>
      <c r="H1426" t="s">
        <v>11</v>
      </c>
      <c r="I1426" s="2" t="str">
        <f t="shared" si="176"/>
        <v>West</v>
      </c>
      <c r="J1426" t="s">
        <v>27</v>
      </c>
      <c r="K1426" t="s">
        <v>32</v>
      </c>
      <c r="L1426">
        <v>14</v>
      </c>
      <c r="M1426">
        <v>120</v>
      </c>
      <c r="N1426">
        <f t="shared" si="180"/>
        <v>1680</v>
      </c>
      <c r="O1426">
        <f t="shared" si="181"/>
        <v>168</v>
      </c>
      <c r="P1426" t="str">
        <f t="shared" si="182"/>
        <v>Large Order</v>
      </c>
      <c r="Q1426" t="str">
        <f t="shared" si="183"/>
        <v>Weekend</v>
      </c>
    </row>
    <row r="1427" spans="1:17" x14ac:dyDescent="0.35">
      <c r="A1427" t="s">
        <v>1577</v>
      </c>
      <c r="B1427" s="7">
        <v>45635</v>
      </c>
      <c r="C1427" s="13">
        <f t="shared" si="177"/>
        <v>2024</v>
      </c>
      <c r="D1427" s="7" t="str">
        <f t="shared" si="178"/>
        <v>Dec</v>
      </c>
      <c r="E1427" s="7" t="str">
        <f t="shared" si="179"/>
        <v>Mon</v>
      </c>
      <c r="F1427" t="s">
        <v>15</v>
      </c>
      <c r="G1427" t="s">
        <v>45</v>
      </c>
      <c r="H1427" t="s">
        <v>17</v>
      </c>
      <c r="I1427" s="2" t="str">
        <f t="shared" si="176"/>
        <v>West</v>
      </c>
      <c r="J1427" t="s">
        <v>27</v>
      </c>
      <c r="K1427" t="s">
        <v>23</v>
      </c>
      <c r="L1427">
        <v>10</v>
      </c>
      <c r="M1427">
        <v>120</v>
      </c>
      <c r="N1427">
        <f t="shared" si="180"/>
        <v>1200</v>
      </c>
      <c r="O1427">
        <f t="shared" si="181"/>
        <v>120</v>
      </c>
      <c r="P1427" t="str">
        <f t="shared" si="182"/>
        <v>Large Order</v>
      </c>
      <c r="Q1427" t="str">
        <f t="shared" si="183"/>
        <v>Weekday</v>
      </c>
    </row>
    <row r="1428" spans="1:17" x14ac:dyDescent="0.35">
      <c r="A1428" t="s">
        <v>1578</v>
      </c>
      <c r="B1428" s="7">
        <v>45497</v>
      </c>
      <c r="C1428" s="13">
        <f t="shared" si="177"/>
        <v>2024</v>
      </c>
      <c r="D1428" s="7" t="str">
        <f t="shared" si="178"/>
        <v>Jul</v>
      </c>
      <c r="E1428" s="7" t="str">
        <f t="shared" si="179"/>
        <v>Wed</v>
      </c>
      <c r="F1428" t="s">
        <v>332</v>
      </c>
      <c r="G1428" t="s">
        <v>174</v>
      </c>
      <c r="H1428" t="s">
        <v>11</v>
      </c>
      <c r="I1428" s="2" t="str">
        <f t="shared" si="176"/>
        <v>North</v>
      </c>
      <c r="J1428" t="s">
        <v>27</v>
      </c>
      <c r="K1428" t="s">
        <v>13</v>
      </c>
      <c r="L1428">
        <v>11</v>
      </c>
      <c r="M1428">
        <v>120</v>
      </c>
      <c r="N1428">
        <f t="shared" si="180"/>
        <v>1320</v>
      </c>
      <c r="O1428">
        <f t="shared" si="181"/>
        <v>132</v>
      </c>
      <c r="P1428" t="str">
        <f t="shared" si="182"/>
        <v>Large Order</v>
      </c>
      <c r="Q1428" t="str">
        <f t="shared" si="183"/>
        <v>Weekday</v>
      </c>
    </row>
    <row r="1429" spans="1:17" x14ac:dyDescent="0.35">
      <c r="A1429" t="s">
        <v>1579</v>
      </c>
      <c r="B1429" s="7">
        <v>45351</v>
      </c>
      <c r="C1429" s="13">
        <f t="shared" si="177"/>
        <v>2024</v>
      </c>
      <c r="D1429" s="7" t="str">
        <f t="shared" si="178"/>
        <v>Feb</v>
      </c>
      <c r="E1429" s="7" t="str">
        <f t="shared" si="179"/>
        <v>Thu</v>
      </c>
      <c r="F1429" t="s">
        <v>337</v>
      </c>
      <c r="G1429" t="s">
        <v>31</v>
      </c>
      <c r="H1429" t="s">
        <v>22</v>
      </c>
      <c r="I1429" s="2" t="str">
        <f t="shared" si="176"/>
        <v>West</v>
      </c>
      <c r="J1429" t="s">
        <v>12</v>
      </c>
      <c r="K1429" t="s">
        <v>36</v>
      </c>
      <c r="L1429">
        <v>15</v>
      </c>
      <c r="M1429">
        <v>120</v>
      </c>
      <c r="N1429">
        <f t="shared" si="180"/>
        <v>1800</v>
      </c>
      <c r="O1429">
        <f t="shared" si="181"/>
        <v>180</v>
      </c>
      <c r="P1429" t="str">
        <f t="shared" si="182"/>
        <v>Large Order</v>
      </c>
      <c r="Q1429" t="str">
        <f t="shared" si="183"/>
        <v>Weekday</v>
      </c>
    </row>
    <row r="1430" spans="1:17" x14ac:dyDescent="0.35">
      <c r="A1430" t="s">
        <v>1580</v>
      </c>
      <c r="B1430" s="7">
        <v>45388</v>
      </c>
      <c r="C1430" s="13">
        <f t="shared" si="177"/>
        <v>2024</v>
      </c>
      <c r="D1430" s="7" t="str">
        <f t="shared" si="178"/>
        <v>Apr</v>
      </c>
      <c r="E1430" s="7" t="str">
        <f t="shared" si="179"/>
        <v>Sat</v>
      </c>
      <c r="F1430" t="s">
        <v>363</v>
      </c>
      <c r="G1430" t="s">
        <v>48</v>
      </c>
      <c r="H1430" t="s">
        <v>22</v>
      </c>
      <c r="I1430" s="2" t="str">
        <f t="shared" si="176"/>
        <v>West</v>
      </c>
      <c r="J1430" t="s">
        <v>27</v>
      </c>
      <c r="K1430" t="s">
        <v>23</v>
      </c>
      <c r="L1430">
        <v>2</v>
      </c>
      <c r="M1430">
        <v>120</v>
      </c>
      <c r="N1430">
        <f t="shared" si="180"/>
        <v>240</v>
      </c>
      <c r="O1430">
        <f t="shared" si="181"/>
        <v>24</v>
      </c>
      <c r="P1430" t="str">
        <f t="shared" si="182"/>
        <v>Standard Order</v>
      </c>
      <c r="Q1430" t="str">
        <f t="shared" si="183"/>
        <v>Weekend</v>
      </c>
    </row>
    <row r="1431" spans="1:17" x14ac:dyDescent="0.35">
      <c r="A1431" t="s">
        <v>1581</v>
      </c>
      <c r="B1431" s="7">
        <v>45573</v>
      </c>
      <c r="C1431" s="13">
        <f t="shared" si="177"/>
        <v>2024</v>
      </c>
      <c r="D1431" s="7" t="str">
        <f t="shared" si="178"/>
        <v>Oct</v>
      </c>
      <c r="E1431" s="7" t="str">
        <f t="shared" si="179"/>
        <v>Tue</v>
      </c>
      <c r="F1431" t="s">
        <v>34</v>
      </c>
      <c r="G1431" t="s">
        <v>74</v>
      </c>
      <c r="H1431" t="s">
        <v>17</v>
      </c>
      <c r="I1431" s="2" t="str">
        <f t="shared" si="176"/>
        <v>East</v>
      </c>
      <c r="J1431" t="s">
        <v>27</v>
      </c>
      <c r="K1431" t="s">
        <v>13</v>
      </c>
      <c r="L1431">
        <v>1</v>
      </c>
      <c r="M1431">
        <v>120</v>
      </c>
      <c r="N1431">
        <f t="shared" si="180"/>
        <v>120</v>
      </c>
      <c r="O1431">
        <f t="shared" si="181"/>
        <v>12</v>
      </c>
      <c r="P1431" t="str">
        <f t="shared" si="182"/>
        <v>Standard Order</v>
      </c>
      <c r="Q1431" t="str">
        <f t="shared" si="183"/>
        <v>Weekday</v>
      </c>
    </row>
    <row r="1432" spans="1:17" x14ac:dyDescent="0.35">
      <c r="A1432" t="s">
        <v>1582</v>
      </c>
      <c r="B1432" s="7">
        <v>45603</v>
      </c>
      <c r="C1432" s="13">
        <f t="shared" si="177"/>
        <v>2024</v>
      </c>
      <c r="D1432" s="7" t="str">
        <f t="shared" si="178"/>
        <v>Nov</v>
      </c>
      <c r="E1432" s="7" t="str">
        <f t="shared" si="179"/>
        <v>Thu</v>
      </c>
      <c r="F1432" t="s">
        <v>93</v>
      </c>
      <c r="G1432" t="s">
        <v>62</v>
      </c>
      <c r="H1432" t="s">
        <v>11</v>
      </c>
      <c r="I1432" s="2" t="str">
        <f t="shared" si="176"/>
        <v>North</v>
      </c>
      <c r="J1432" t="s">
        <v>42</v>
      </c>
      <c r="K1432" t="s">
        <v>36</v>
      </c>
      <c r="L1432">
        <v>1</v>
      </c>
      <c r="M1432">
        <v>120</v>
      </c>
      <c r="N1432">
        <f t="shared" si="180"/>
        <v>120</v>
      </c>
      <c r="O1432">
        <f t="shared" si="181"/>
        <v>12</v>
      </c>
      <c r="P1432" t="str">
        <f t="shared" si="182"/>
        <v>Standard Order</v>
      </c>
      <c r="Q1432" t="str">
        <f t="shared" si="183"/>
        <v>Weekday</v>
      </c>
    </row>
    <row r="1433" spans="1:17" x14ac:dyDescent="0.35">
      <c r="A1433" t="s">
        <v>1583</v>
      </c>
      <c r="B1433" s="7">
        <v>45339</v>
      </c>
      <c r="C1433" s="13">
        <f t="shared" si="177"/>
        <v>2024</v>
      </c>
      <c r="D1433" s="7" t="str">
        <f t="shared" si="178"/>
        <v>Feb</v>
      </c>
      <c r="E1433" s="7" t="str">
        <f t="shared" si="179"/>
        <v>Sat</v>
      </c>
      <c r="F1433" t="s">
        <v>240</v>
      </c>
      <c r="G1433" t="s">
        <v>102</v>
      </c>
      <c r="H1433" t="s">
        <v>17</v>
      </c>
      <c r="I1433" s="2" t="str">
        <f t="shared" si="176"/>
        <v>West</v>
      </c>
      <c r="J1433" t="s">
        <v>12</v>
      </c>
      <c r="K1433" t="s">
        <v>28</v>
      </c>
      <c r="L1433">
        <v>16</v>
      </c>
      <c r="M1433">
        <v>120</v>
      </c>
      <c r="N1433">
        <f t="shared" si="180"/>
        <v>1920</v>
      </c>
      <c r="O1433">
        <f t="shared" si="181"/>
        <v>192</v>
      </c>
      <c r="P1433" t="str">
        <f t="shared" si="182"/>
        <v>Large Order</v>
      </c>
      <c r="Q1433" t="str">
        <f t="shared" si="183"/>
        <v>Weekend</v>
      </c>
    </row>
    <row r="1434" spans="1:17" x14ac:dyDescent="0.35">
      <c r="A1434" t="s">
        <v>1584</v>
      </c>
      <c r="B1434" s="7">
        <v>45441</v>
      </c>
      <c r="C1434" s="13">
        <f t="shared" si="177"/>
        <v>2024</v>
      </c>
      <c r="D1434" s="7" t="str">
        <f t="shared" si="178"/>
        <v>May</v>
      </c>
      <c r="E1434" s="7" t="str">
        <f t="shared" si="179"/>
        <v>Wed</v>
      </c>
      <c r="F1434" t="s">
        <v>345</v>
      </c>
      <c r="G1434" t="s">
        <v>62</v>
      </c>
      <c r="H1434" t="s">
        <v>17</v>
      </c>
      <c r="I1434" s="2" t="str">
        <f t="shared" si="176"/>
        <v>Central</v>
      </c>
      <c r="J1434" t="s">
        <v>27</v>
      </c>
      <c r="K1434" t="s">
        <v>23</v>
      </c>
      <c r="L1434">
        <v>16</v>
      </c>
      <c r="M1434">
        <v>120</v>
      </c>
      <c r="N1434">
        <f t="shared" si="180"/>
        <v>1920</v>
      </c>
      <c r="O1434">
        <f t="shared" si="181"/>
        <v>192</v>
      </c>
      <c r="P1434" t="str">
        <f t="shared" si="182"/>
        <v>Large Order</v>
      </c>
      <c r="Q1434" t="str">
        <f t="shared" si="183"/>
        <v>Weekday</v>
      </c>
    </row>
    <row r="1435" spans="1:17" x14ac:dyDescent="0.35">
      <c r="A1435" t="s">
        <v>1585</v>
      </c>
      <c r="B1435" s="7">
        <v>45574</v>
      </c>
      <c r="C1435" s="13">
        <f t="shared" si="177"/>
        <v>2024</v>
      </c>
      <c r="D1435" s="7" t="str">
        <f t="shared" si="178"/>
        <v>Oct</v>
      </c>
      <c r="E1435" s="7" t="str">
        <f t="shared" si="179"/>
        <v>Wed</v>
      </c>
      <c r="F1435" t="s">
        <v>167</v>
      </c>
      <c r="G1435" t="s">
        <v>31</v>
      </c>
      <c r="H1435" t="s">
        <v>11</v>
      </c>
      <c r="I1435" s="2" t="str">
        <f t="shared" si="176"/>
        <v>Central</v>
      </c>
      <c r="J1435" t="s">
        <v>306</v>
      </c>
      <c r="K1435" t="s">
        <v>36</v>
      </c>
      <c r="L1435">
        <v>5</v>
      </c>
      <c r="M1435">
        <v>120</v>
      </c>
      <c r="N1435">
        <f t="shared" si="180"/>
        <v>600</v>
      </c>
      <c r="O1435">
        <f t="shared" si="181"/>
        <v>60</v>
      </c>
      <c r="P1435" t="str">
        <f t="shared" si="182"/>
        <v>Large Order</v>
      </c>
      <c r="Q1435" t="str">
        <f t="shared" si="183"/>
        <v>Weekday</v>
      </c>
    </row>
    <row r="1436" spans="1:17" x14ac:dyDescent="0.35">
      <c r="A1436" t="s">
        <v>1586</v>
      </c>
      <c r="B1436" s="7">
        <v>45433</v>
      </c>
      <c r="C1436" s="13">
        <f t="shared" si="177"/>
        <v>2024</v>
      </c>
      <c r="D1436" s="7" t="str">
        <f t="shared" si="178"/>
        <v>May</v>
      </c>
      <c r="E1436" s="7" t="str">
        <f t="shared" si="179"/>
        <v>Tue</v>
      </c>
      <c r="F1436" t="s">
        <v>337</v>
      </c>
      <c r="G1436" t="s">
        <v>87</v>
      </c>
      <c r="H1436" t="s">
        <v>17</v>
      </c>
      <c r="I1436" s="2" t="str">
        <f t="shared" si="176"/>
        <v>West</v>
      </c>
      <c r="J1436" t="s">
        <v>306</v>
      </c>
      <c r="K1436" t="s">
        <v>32</v>
      </c>
      <c r="L1436">
        <v>1</v>
      </c>
      <c r="M1436">
        <v>120</v>
      </c>
      <c r="N1436">
        <f t="shared" si="180"/>
        <v>120</v>
      </c>
      <c r="O1436">
        <f t="shared" si="181"/>
        <v>12</v>
      </c>
      <c r="P1436" t="str">
        <f t="shared" si="182"/>
        <v>Standard Order</v>
      </c>
      <c r="Q1436" t="str">
        <f t="shared" si="183"/>
        <v>Weekday</v>
      </c>
    </row>
    <row r="1437" spans="1:17" x14ac:dyDescent="0.35">
      <c r="A1437" t="s">
        <v>1587</v>
      </c>
      <c r="B1437" s="7">
        <v>45444</v>
      </c>
      <c r="C1437" s="13">
        <f t="shared" si="177"/>
        <v>2024</v>
      </c>
      <c r="D1437" s="7" t="str">
        <f t="shared" si="178"/>
        <v>Jun</v>
      </c>
      <c r="E1437" s="7" t="str">
        <f t="shared" si="179"/>
        <v>Sat</v>
      </c>
      <c r="F1437" t="s">
        <v>449</v>
      </c>
      <c r="G1437" t="s">
        <v>59</v>
      </c>
      <c r="H1437" t="s">
        <v>22</v>
      </c>
      <c r="I1437" s="2" t="str">
        <f t="shared" si="176"/>
        <v>West</v>
      </c>
      <c r="J1437" t="s">
        <v>27</v>
      </c>
      <c r="K1437" t="s">
        <v>28</v>
      </c>
      <c r="L1437">
        <v>15</v>
      </c>
      <c r="M1437">
        <v>120</v>
      </c>
      <c r="N1437">
        <f t="shared" si="180"/>
        <v>1800</v>
      </c>
      <c r="O1437">
        <f t="shared" si="181"/>
        <v>180</v>
      </c>
      <c r="P1437" t="str">
        <f t="shared" si="182"/>
        <v>Large Order</v>
      </c>
      <c r="Q1437" t="str">
        <f t="shared" si="183"/>
        <v>Weekend</v>
      </c>
    </row>
    <row r="1438" spans="1:17" x14ac:dyDescent="0.35">
      <c r="A1438" t="s">
        <v>1588</v>
      </c>
      <c r="B1438" s="7">
        <v>45468</v>
      </c>
      <c r="C1438" s="13">
        <f t="shared" si="177"/>
        <v>2024</v>
      </c>
      <c r="D1438" s="7" t="str">
        <f t="shared" si="178"/>
        <v>Jun</v>
      </c>
      <c r="E1438" s="7" t="str">
        <f t="shared" si="179"/>
        <v>Tue</v>
      </c>
      <c r="F1438" t="s">
        <v>118</v>
      </c>
      <c r="G1438" t="s">
        <v>174</v>
      </c>
      <c r="H1438" t="s">
        <v>22</v>
      </c>
      <c r="I1438" s="2" t="str">
        <f t="shared" si="176"/>
        <v>South</v>
      </c>
      <c r="J1438" t="s">
        <v>27</v>
      </c>
      <c r="K1438" t="s">
        <v>23</v>
      </c>
      <c r="L1438">
        <v>11</v>
      </c>
      <c r="M1438">
        <v>120</v>
      </c>
      <c r="N1438">
        <f t="shared" si="180"/>
        <v>1320</v>
      </c>
      <c r="O1438">
        <f t="shared" si="181"/>
        <v>132</v>
      </c>
      <c r="P1438" t="str">
        <f t="shared" si="182"/>
        <v>Large Order</v>
      </c>
      <c r="Q1438" t="str">
        <f t="shared" si="183"/>
        <v>Weekday</v>
      </c>
    </row>
    <row r="1439" spans="1:17" x14ac:dyDescent="0.35">
      <c r="A1439" t="s">
        <v>1589</v>
      </c>
      <c r="B1439" s="7">
        <v>45649</v>
      </c>
      <c r="C1439" s="13">
        <f t="shared" si="177"/>
        <v>2024</v>
      </c>
      <c r="D1439" s="7" t="str">
        <f t="shared" si="178"/>
        <v>Dec</v>
      </c>
      <c r="E1439" s="7" t="str">
        <f t="shared" si="179"/>
        <v>Mon</v>
      </c>
      <c r="F1439" t="s">
        <v>93</v>
      </c>
      <c r="G1439" t="s">
        <v>59</v>
      </c>
      <c r="H1439" t="s">
        <v>17</v>
      </c>
      <c r="I1439" s="2" t="str">
        <f t="shared" si="176"/>
        <v>South</v>
      </c>
      <c r="J1439" t="s">
        <v>56</v>
      </c>
      <c r="K1439" t="s">
        <v>23</v>
      </c>
      <c r="L1439">
        <v>2</v>
      </c>
      <c r="M1439">
        <v>120</v>
      </c>
      <c r="N1439">
        <f t="shared" si="180"/>
        <v>240</v>
      </c>
      <c r="O1439">
        <f t="shared" si="181"/>
        <v>24</v>
      </c>
      <c r="P1439" t="str">
        <f t="shared" si="182"/>
        <v>Standard Order</v>
      </c>
      <c r="Q1439" t="str">
        <f t="shared" si="183"/>
        <v>Weekday</v>
      </c>
    </row>
    <row r="1440" spans="1:17" x14ac:dyDescent="0.35">
      <c r="A1440" t="s">
        <v>1590</v>
      </c>
      <c r="B1440" s="7">
        <v>45534</v>
      </c>
      <c r="C1440" s="13">
        <f t="shared" si="177"/>
        <v>2024</v>
      </c>
      <c r="D1440" s="7" t="str">
        <f t="shared" si="178"/>
        <v>Aug</v>
      </c>
      <c r="E1440" s="7" t="str">
        <f t="shared" si="179"/>
        <v>Fri</v>
      </c>
      <c r="F1440" t="s">
        <v>369</v>
      </c>
      <c r="G1440" t="s">
        <v>31</v>
      </c>
      <c r="H1440" t="s">
        <v>17</v>
      </c>
      <c r="I1440" s="2" t="str">
        <f t="shared" si="176"/>
        <v>North</v>
      </c>
      <c r="J1440" t="s">
        <v>56</v>
      </c>
      <c r="K1440" t="s">
        <v>23</v>
      </c>
      <c r="L1440">
        <v>2</v>
      </c>
      <c r="M1440">
        <v>120</v>
      </c>
      <c r="N1440">
        <f t="shared" si="180"/>
        <v>240</v>
      </c>
      <c r="O1440">
        <f t="shared" si="181"/>
        <v>24</v>
      </c>
      <c r="P1440" t="str">
        <f t="shared" si="182"/>
        <v>Standard Order</v>
      </c>
      <c r="Q1440" t="str">
        <f t="shared" si="183"/>
        <v>Weekday</v>
      </c>
    </row>
    <row r="1441" spans="1:17" x14ac:dyDescent="0.35">
      <c r="A1441" t="s">
        <v>1591</v>
      </c>
      <c r="B1441" s="7">
        <v>45594</v>
      </c>
      <c r="C1441" s="13">
        <f t="shared" si="177"/>
        <v>2024</v>
      </c>
      <c r="D1441" s="7" t="str">
        <f t="shared" si="178"/>
        <v>Oct</v>
      </c>
      <c r="E1441" s="7" t="str">
        <f t="shared" si="179"/>
        <v>Tue</v>
      </c>
      <c r="F1441" t="s">
        <v>118</v>
      </c>
      <c r="G1441" t="s">
        <v>102</v>
      </c>
      <c r="H1441" t="s">
        <v>17</v>
      </c>
      <c r="I1441" s="2" t="str">
        <f t="shared" si="176"/>
        <v>North</v>
      </c>
      <c r="J1441" t="s">
        <v>12</v>
      </c>
      <c r="K1441" t="s">
        <v>36</v>
      </c>
      <c r="L1441">
        <v>15</v>
      </c>
      <c r="M1441">
        <v>120</v>
      </c>
      <c r="N1441">
        <f t="shared" si="180"/>
        <v>1800</v>
      </c>
      <c r="O1441">
        <f t="shared" si="181"/>
        <v>180</v>
      </c>
      <c r="P1441" t="str">
        <f t="shared" si="182"/>
        <v>Large Order</v>
      </c>
      <c r="Q1441" t="str">
        <f t="shared" si="183"/>
        <v>Weekday</v>
      </c>
    </row>
    <row r="1442" spans="1:17" x14ac:dyDescent="0.35">
      <c r="A1442" t="s">
        <v>1592</v>
      </c>
      <c r="B1442" s="7">
        <v>45365</v>
      </c>
      <c r="C1442" s="13">
        <f t="shared" si="177"/>
        <v>2024</v>
      </c>
      <c r="D1442" s="7" t="str">
        <f t="shared" si="178"/>
        <v>Mar</v>
      </c>
      <c r="E1442" s="7" t="str">
        <f t="shared" si="179"/>
        <v>Thu</v>
      </c>
      <c r="F1442" t="s">
        <v>408</v>
      </c>
      <c r="G1442" t="s">
        <v>21</v>
      </c>
      <c r="H1442" t="s">
        <v>11</v>
      </c>
      <c r="I1442" s="2" t="str">
        <f t="shared" si="176"/>
        <v>East</v>
      </c>
      <c r="J1442" t="s">
        <v>12</v>
      </c>
      <c r="K1442" t="s">
        <v>23</v>
      </c>
      <c r="L1442">
        <v>9</v>
      </c>
      <c r="M1442">
        <v>120</v>
      </c>
      <c r="N1442">
        <f t="shared" si="180"/>
        <v>1080</v>
      </c>
      <c r="O1442">
        <f t="shared" si="181"/>
        <v>108</v>
      </c>
      <c r="P1442" t="str">
        <f t="shared" si="182"/>
        <v>Large Order</v>
      </c>
      <c r="Q1442" t="str">
        <f t="shared" si="183"/>
        <v>Weekday</v>
      </c>
    </row>
    <row r="1443" spans="1:17" x14ac:dyDescent="0.35">
      <c r="A1443" t="s">
        <v>1593</v>
      </c>
      <c r="B1443" s="7">
        <v>45646</v>
      </c>
      <c r="C1443" s="13">
        <f t="shared" si="177"/>
        <v>2024</v>
      </c>
      <c r="D1443" s="7" t="str">
        <f t="shared" si="178"/>
        <v>Dec</v>
      </c>
      <c r="E1443" s="7" t="str">
        <f t="shared" si="179"/>
        <v>Fri</v>
      </c>
      <c r="F1443" t="s">
        <v>106</v>
      </c>
      <c r="G1443" t="s">
        <v>21</v>
      </c>
      <c r="H1443" t="s">
        <v>11</v>
      </c>
      <c r="I1443" s="2" t="str">
        <f t="shared" si="176"/>
        <v>Central</v>
      </c>
      <c r="J1443" t="s">
        <v>42</v>
      </c>
      <c r="K1443" t="s">
        <v>36</v>
      </c>
      <c r="L1443">
        <v>13</v>
      </c>
      <c r="M1443">
        <v>120</v>
      </c>
      <c r="N1443">
        <f t="shared" si="180"/>
        <v>1560</v>
      </c>
      <c r="O1443">
        <f t="shared" si="181"/>
        <v>156</v>
      </c>
      <c r="P1443" t="str">
        <f t="shared" si="182"/>
        <v>Large Order</v>
      </c>
      <c r="Q1443" t="str">
        <f t="shared" si="183"/>
        <v>Weekday</v>
      </c>
    </row>
    <row r="1444" spans="1:17" x14ac:dyDescent="0.35">
      <c r="A1444" t="s">
        <v>1594</v>
      </c>
      <c r="B1444" s="7">
        <v>45612</v>
      </c>
      <c r="C1444" s="13">
        <f t="shared" si="177"/>
        <v>2024</v>
      </c>
      <c r="D1444" s="7" t="str">
        <f t="shared" si="178"/>
        <v>Nov</v>
      </c>
      <c r="E1444" s="7" t="str">
        <f t="shared" si="179"/>
        <v>Sat</v>
      </c>
      <c r="F1444" t="s">
        <v>436</v>
      </c>
      <c r="G1444" t="s">
        <v>119</v>
      </c>
      <c r="H1444" t="s">
        <v>17</v>
      </c>
      <c r="I1444" s="2" t="str">
        <f t="shared" si="176"/>
        <v>North</v>
      </c>
      <c r="J1444" t="s">
        <v>306</v>
      </c>
      <c r="K1444" t="s">
        <v>13</v>
      </c>
      <c r="L1444">
        <v>20</v>
      </c>
      <c r="M1444">
        <v>120</v>
      </c>
      <c r="N1444">
        <f t="shared" si="180"/>
        <v>2400</v>
      </c>
      <c r="O1444">
        <f t="shared" si="181"/>
        <v>240</v>
      </c>
      <c r="P1444" t="str">
        <f t="shared" si="182"/>
        <v>Large Order</v>
      </c>
      <c r="Q1444" t="str">
        <f t="shared" si="183"/>
        <v>Weekend</v>
      </c>
    </row>
    <row r="1445" spans="1:17" x14ac:dyDescent="0.35">
      <c r="A1445" t="s">
        <v>1595</v>
      </c>
      <c r="B1445" s="7">
        <v>45615</v>
      </c>
      <c r="C1445" s="13">
        <f t="shared" si="177"/>
        <v>2024</v>
      </c>
      <c r="D1445" s="7" t="str">
        <f t="shared" si="178"/>
        <v>Nov</v>
      </c>
      <c r="E1445" s="7" t="str">
        <f t="shared" si="179"/>
        <v>Tue</v>
      </c>
      <c r="F1445" t="s">
        <v>455</v>
      </c>
      <c r="G1445" t="s">
        <v>74</v>
      </c>
      <c r="H1445" t="s">
        <v>11</v>
      </c>
      <c r="I1445" s="2" t="str">
        <f t="shared" si="176"/>
        <v>East</v>
      </c>
      <c r="J1445" t="s">
        <v>12</v>
      </c>
      <c r="K1445" t="s">
        <v>23</v>
      </c>
      <c r="L1445">
        <v>4</v>
      </c>
      <c r="M1445">
        <v>120</v>
      </c>
      <c r="N1445">
        <f t="shared" si="180"/>
        <v>480</v>
      </c>
      <c r="O1445">
        <f t="shared" si="181"/>
        <v>48</v>
      </c>
      <c r="P1445" t="str">
        <f t="shared" si="182"/>
        <v>Standard Order</v>
      </c>
      <c r="Q1445" t="str">
        <f t="shared" si="183"/>
        <v>Weekday</v>
      </c>
    </row>
    <row r="1446" spans="1:17" x14ac:dyDescent="0.35">
      <c r="A1446" t="s">
        <v>1596</v>
      </c>
      <c r="B1446" s="7">
        <v>45652</v>
      </c>
      <c r="C1446" s="13">
        <f t="shared" si="177"/>
        <v>2024</v>
      </c>
      <c r="D1446" s="7" t="str">
        <f t="shared" si="178"/>
        <v>Dec</v>
      </c>
      <c r="E1446" s="7" t="str">
        <f t="shared" si="179"/>
        <v>Thu</v>
      </c>
      <c r="F1446" t="s">
        <v>108</v>
      </c>
      <c r="G1446" t="s">
        <v>70</v>
      </c>
      <c r="H1446" t="s">
        <v>11</v>
      </c>
      <c r="I1446" s="2" t="str">
        <f t="shared" si="176"/>
        <v>West</v>
      </c>
      <c r="J1446" t="s">
        <v>42</v>
      </c>
      <c r="K1446" t="s">
        <v>13</v>
      </c>
      <c r="L1446">
        <v>2</v>
      </c>
      <c r="M1446">
        <v>120</v>
      </c>
      <c r="N1446">
        <f t="shared" si="180"/>
        <v>240</v>
      </c>
      <c r="O1446">
        <f t="shared" si="181"/>
        <v>24</v>
      </c>
      <c r="P1446" t="str">
        <f t="shared" si="182"/>
        <v>Standard Order</v>
      </c>
      <c r="Q1446" t="str">
        <f t="shared" si="183"/>
        <v>Weekday</v>
      </c>
    </row>
    <row r="1447" spans="1:17" x14ac:dyDescent="0.35">
      <c r="A1447" t="s">
        <v>1597</v>
      </c>
      <c r="B1447" s="7">
        <v>45320</v>
      </c>
      <c r="C1447" s="13">
        <f t="shared" si="177"/>
        <v>2024</v>
      </c>
      <c r="D1447" s="7" t="str">
        <f t="shared" si="178"/>
        <v>Jan</v>
      </c>
      <c r="E1447" s="7" t="str">
        <f t="shared" si="179"/>
        <v>Mon</v>
      </c>
      <c r="F1447" t="s">
        <v>61</v>
      </c>
      <c r="G1447" t="s">
        <v>48</v>
      </c>
      <c r="H1447" t="s">
        <v>17</v>
      </c>
      <c r="I1447" s="2" t="str">
        <f t="shared" si="176"/>
        <v>South</v>
      </c>
      <c r="J1447" t="s">
        <v>27</v>
      </c>
      <c r="K1447" t="s">
        <v>28</v>
      </c>
      <c r="L1447">
        <v>8</v>
      </c>
      <c r="M1447">
        <v>120</v>
      </c>
      <c r="N1447">
        <f t="shared" si="180"/>
        <v>960</v>
      </c>
      <c r="O1447">
        <f t="shared" si="181"/>
        <v>96</v>
      </c>
      <c r="P1447" t="str">
        <f t="shared" si="182"/>
        <v>Large Order</v>
      </c>
      <c r="Q1447" t="str">
        <f t="shared" si="183"/>
        <v>Weekday</v>
      </c>
    </row>
    <row r="1448" spans="1:17" x14ac:dyDescent="0.35">
      <c r="A1448" t="s">
        <v>1598</v>
      </c>
      <c r="B1448" s="7">
        <v>45581</v>
      </c>
      <c r="C1448" s="13">
        <f t="shared" si="177"/>
        <v>2024</v>
      </c>
      <c r="D1448" s="7" t="str">
        <f t="shared" si="178"/>
        <v>Oct</v>
      </c>
      <c r="E1448" s="7" t="str">
        <f t="shared" si="179"/>
        <v>Wed</v>
      </c>
      <c r="F1448" t="s">
        <v>455</v>
      </c>
      <c r="G1448" t="s">
        <v>45</v>
      </c>
      <c r="H1448" t="s">
        <v>11</v>
      </c>
      <c r="I1448" s="2" t="str">
        <f t="shared" si="176"/>
        <v>Central</v>
      </c>
      <c r="J1448" t="s">
        <v>56</v>
      </c>
      <c r="K1448" t="s">
        <v>13</v>
      </c>
      <c r="L1448">
        <v>20</v>
      </c>
      <c r="M1448">
        <v>120</v>
      </c>
      <c r="N1448">
        <f t="shared" si="180"/>
        <v>2400</v>
      </c>
      <c r="O1448">
        <f t="shared" si="181"/>
        <v>240</v>
      </c>
      <c r="P1448" t="str">
        <f t="shared" si="182"/>
        <v>Large Order</v>
      </c>
      <c r="Q1448" t="str">
        <f t="shared" si="183"/>
        <v>Weekday</v>
      </c>
    </row>
    <row r="1449" spans="1:17" x14ac:dyDescent="0.35">
      <c r="A1449" t="s">
        <v>1599</v>
      </c>
      <c r="B1449" s="7">
        <v>45609</v>
      </c>
      <c r="C1449" s="13">
        <f t="shared" si="177"/>
        <v>2024</v>
      </c>
      <c r="D1449" s="7" t="str">
        <f t="shared" si="178"/>
        <v>Nov</v>
      </c>
      <c r="E1449" s="7" t="str">
        <f t="shared" si="179"/>
        <v>Wed</v>
      </c>
      <c r="F1449" t="s">
        <v>455</v>
      </c>
      <c r="G1449" t="s">
        <v>197</v>
      </c>
      <c r="H1449" t="s">
        <v>17</v>
      </c>
      <c r="I1449" s="2" t="str">
        <f t="shared" si="176"/>
        <v>North</v>
      </c>
      <c r="J1449" t="s">
        <v>306</v>
      </c>
      <c r="K1449" t="s">
        <v>28</v>
      </c>
      <c r="L1449">
        <v>8</v>
      </c>
      <c r="M1449">
        <v>120</v>
      </c>
      <c r="N1449">
        <f t="shared" si="180"/>
        <v>960</v>
      </c>
      <c r="O1449">
        <f t="shared" si="181"/>
        <v>96</v>
      </c>
      <c r="P1449" t="str">
        <f t="shared" si="182"/>
        <v>Large Order</v>
      </c>
      <c r="Q1449" t="str">
        <f t="shared" si="183"/>
        <v>Weekday</v>
      </c>
    </row>
    <row r="1450" spans="1:17" x14ac:dyDescent="0.35">
      <c r="A1450" t="s">
        <v>1600</v>
      </c>
      <c r="B1450" s="7">
        <v>45422</v>
      </c>
      <c r="C1450" s="13">
        <f t="shared" si="177"/>
        <v>2024</v>
      </c>
      <c r="D1450" s="7" t="str">
        <f t="shared" si="178"/>
        <v>May</v>
      </c>
      <c r="E1450" s="7" t="str">
        <f t="shared" si="179"/>
        <v>Fri</v>
      </c>
      <c r="F1450" t="s">
        <v>366</v>
      </c>
      <c r="G1450" t="s">
        <v>26</v>
      </c>
      <c r="H1450" t="s">
        <v>22</v>
      </c>
      <c r="I1450" s="2" t="str">
        <f t="shared" si="176"/>
        <v>Central</v>
      </c>
      <c r="J1450" t="s">
        <v>12</v>
      </c>
      <c r="K1450" t="s">
        <v>23</v>
      </c>
      <c r="L1450">
        <v>10</v>
      </c>
      <c r="M1450">
        <v>120</v>
      </c>
      <c r="N1450">
        <f t="shared" si="180"/>
        <v>1200</v>
      </c>
      <c r="O1450">
        <f t="shared" si="181"/>
        <v>120</v>
      </c>
      <c r="P1450" t="str">
        <f t="shared" si="182"/>
        <v>Large Order</v>
      </c>
      <c r="Q1450" t="str">
        <f t="shared" si="183"/>
        <v>Weekday</v>
      </c>
    </row>
    <row r="1451" spans="1:17" x14ac:dyDescent="0.35">
      <c r="A1451" t="s">
        <v>1601</v>
      </c>
      <c r="B1451" s="7">
        <v>45372</v>
      </c>
      <c r="C1451" s="13">
        <f t="shared" si="177"/>
        <v>2024</v>
      </c>
      <c r="D1451" s="7" t="str">
        <f t="shared" si="178"/>
        <v>Mar</v>
      </c>
      <c r="E1451" s="7" t="str">
        <f t="shared" si="179"/>
        <v>Thu</v>
      </c>
      <c r="F1451" t="s">
        <v>208</v>
      </c>
      <c r="G1451" t="s">
        <v>70</v>
      </c>
      <c r="H1451" t="s">
        <v>17</v>
      </c>
      <c r="I1451" s="2" t="str">
        <f t="shared" si="176"/>
        <v>West</v>
      </c>
      <c r="J1451" t="s">
        <v>306</v>
      </c>
      <c r="K1451" t="s">
        <v>32</v>
      </c>
      <c r="L1451">
        <v>14</v>
      </c>
      <c r="M1451">
        <v>120</v>
      </c>
      <c r="N1451">
        <f t="shared" si="180"/>
        <v>1680</v>
      </c>
      <c r="O1451">
        <f t="shared" si="181"/>
        <v>168</v>
      </c>
      <c r="P1451" t="str">
        <f t="shared" si="182"/>
        <v>Large Order</v>
      </c>
      <c r="Q1451" t="str">
        <f t="shared" si="183"/>
        <v>Weekday</v>
      </c>
    </row>
    <row r="1452" spans="1:17" x14ac:dyDescent="0.35">
      <c r="A1452" t="s">
        <v>1602</v>
      </c>
      <c r="B1452" s="7">
        <v>45525</v>
      </c>
      <c r="C1452" s="13">
        <f t="shared" si="177"/>
        <v>2024</v>
      </c>
      <c r="D1452" s="7" t="str">
        <f t="shared" si="178"/>
        <v>Aug</v>
      </c>
      <c r="E1452" s="7" t="str">
        <f t="shared" si="179"/>
        <v>Wed</v>
      </c>
      <c r="F1452" t="s">
        <v>68</v>
      </c>
      <c r="G1452" t="s">
        <v>65</v>
      </c>
      <c r="H1452" t="s">
        <v>17</v>
      </c>
      <c r="I1452" s="2" t="str">
        <f t="shared" si="176"/>
        <v>East</v>
      </c>
      <c r="J1452" t="s">
        <v>27</v>
      </c>
      <c r="K1452" t="s">
        <v>13</v>
      </c>
      <c r="L1452">
        <v>8</v>
      </c>
      <c r="M1452">
        <v>120</v>
      </c>
      <c r="N1452">
        <f t="shared" si="180"/>
        <v>960</v>
      </c>
      <c r="O1452">
        <f t="shared" si="181"/>
        <v>96</v>
      </c>
      <c r="P1452" t="str">
        <f t="shared" si="182"/>
        <v>Large Order</v>
      </c>
      <c r="Q1452" t="str">
        <f t="shared" si="183"/>
        <v>Weekday</v>
      </c>
    </row>
    <row r="1453" spans="1:17" x14ac:dyDescent="0.35">
      <c r="A1453" t="s">
        <v>1603</v>
      </c>
      <c r="B1453" s="7">
        <v>45475</v>
      </c>
      <c r="C1453" s="13">
        <f t="shared" si="177"/>
        <v>2024</v>
      </c>
      <c r="D1453" s="7" t="str">
        <f t="shared" si="178"/>
        <v>Jul</v>
      </c>
      <c r="E1453" s="7" t="str">
        <f t="shared" si="179"/>
        <v>Tue</v>
      </c>
      <c r="F1453" t="s">
        <v>314</v>
      </c>
      <c r="G1453" t="s">
        <v>74</v>
      </c>
      <c r="H1453" t="s">
        <v>22</v>
      </c>
      <c r="I1453" s="2" t="str">
        <f t="shared" si="176"/>
        <v>North</v>
      </c>
      <c r="J1453" t="s">
        <v>42</v>
      </c>
      <c r="K1453" t="s">
        <v>13</v>
      </c>
      <c r="L1453">
        <v>13</v>
      </c>
      <c r="M1453">
        <v>120</v>
      </c>
      <c r="N1453">
        <f t="shared" si="180"/>
        <v>1560</v>
      </c>
      <c r="O1453">
        <f t="shared" si="181"/>
        <v>156</v>
      </c>
      <c r="P1453" t="str">
        <f t="shared" si="182"/>
        <v>Large Order</v>
      </c>
      <c r="Q1453" t="str">
        <f t="shared" si="183"/>
        <v>Weekday</v>
      </c>
    </row>
    <row r="1454" spans="1:17" x14ac:dyDescent="0.35">
      <c r="A1454" t="s">
        <v>1604</v>
      </c>
      <c r="B1454" s="7">
        <v>45581</v>
      </c>
      <c r="C1454" s="13">
        <f t="shared" si="177"/>
        <v>2024</v>
      </c>
      <c r="D1454" s="7" t="str">
        <f t="shared" si="178"/>
        <v>Oct</v>
      </c>
      <c r="E1454" s="7" t="str">
        <f t="shared" si="179"/>
        <v>Wed</v>
      </c>
      <c r="F1454" t="s">
        <v>455</v>
      </c>
      <c r="G1454" t="s">
        <v>119</v>
      </c>
      <c r="H1454" t="s">
        <v>22</v>
      </c>
      <c r="I1454" s="2" t="str">
        <f t="shared" si="176"/>
        <v>East</v>
      </c>
      <c r="J1454" t="s">
        <v>12</v>
      </c>
      <c r="K1454" t="s">
        <v>36</v>
      </c>
      <c r="L1454">
        <v>16</v>
      </c>
      <c r="M1454">
        <v>120</v>
      </c>
      <c r="N1454">
        <f t="shared" si="180"/>
        <v>1920</v>
      </c>
      <c r="O1454">
        <f t="shared" si="181"/>
        <v>192</v>
      </c>
      <c r="P1454" t="str">
        <f t="shared" si="182"/>
        <v>Large Order</v>
      </c>
      <c r="Q1454" t="str">
        <f t="shared" si="183"/>
        <v>Weekday</v>
      </c>
    </row>
    <row r="1455" spans="1:17" x14ac:dyDescent="0.35">
      <c r="A1455" t="s">
        <v>1605</v>
      </c>
      <c r="B1455" s="7">
        <v>45438</v>
      </c>
      <c r="C1455" s="13">
        <f t="shared" si="177"/>
        <v>2024</v>
      </c>
      <c r="D1455" s="7" t="str">
        <f t="shared" si="178"/>
        <v>May</v>
      </c>
      <c r="E1455" s="7" t="str">
        <f t="shared" si="179"/>
        <v>Sun</v>
      </c>
      <c r="F1455" t="s">
        <v>420</v>
      </c>
      <c r="G1455" t="s">
        <v>197</v>
      </c>
      <c r="H1455" t="s">
        <v>22</v>
      </c>
      <c r="I1455" s="2" t="str">
        <f t="shared" si="176"/>
        <v>South</v>
      </c>
      <c r="J1455" t="s">
        <v>42</v>
      </c>
      <c r="K1455" t="s">
        <v>28</v>
      </c>
      <c r="L1455">
        <v>7</v>
      </c>
      <c r="M1455">
        <v>120</v>
      </c>
      <c r="N1455">
        <f t="shared" si="180"/>
        <v>840</v>
      </c>
      <c r="O1455">
        <f t="shared" si="181"/>
        <v>84</v>
      </c>
      <c r="P1455" t="str">
        <f t="shared" si="182"/>
        <v>Large Order</v>
      </c>
      <c r="Q1455" t="str">
        <f t="shared" si="183"/>
        <v>Weekend</v>
      </c>
    </row>
    <row r="1456" spans="1:17" x14ac:dyDescent="0.35">
      <c r="A1456" t="s">
        <v>1606</v>
      </c>
      <c r="B1456" s="7">
        <v>45639</v>
      </c>
      <c r="C1456" s="13">
        <f t="shared" si="177"/>
        <v>2024</v>
      </c>
      <c r="D1456" s="7" t="str">
        <f t="shared" si="178"/>
        <v>Dec</v>
      </c>
      <c r="E1456" s="7" t="str">
        <f t="shared" si="179"/>
        <v>Fri</v>
      </c>
      <c r="F1456" t="s">
        <v>664</v>
      </c>
      <c r="G1456" t="s">
        <v>84</v>
      </c>
      <c r="H1456" t="s">
        <v>22</v>
      </c>
      <c r="I1456" s="2" t="str">
        <f t="shared" si="176"/>
        <v>South</v>
      </c>
      <c r="J1456" t="s">
        <v>56</v>
      </c>
      <c r="K1456" t="s">
        <v>13</v>
      </c>
      <c r="L1456">
        <v>2</v>
      </c>
      <c r="M1456">
        <v>120</v>
      </c>
      <c r="N1456">
        <f t="shared" si="180"/>
        <v>240</v>
      </c>
      <c r="O1456">
        <f t="shared" si="181"/>
        <v>24</v>
      </c>
      <c r="P1456" t="str">
        <f t="shared" si="182"/>
        <v>Standard Order</v>
      </c>
      <c r="Q1456" t="str">
        <f t="shared" si="183"/>
        <v>Weekday</v>
      </c>
    </row>
    <row r="1457" spans="1:17" x14ac:dyDescent="0.35">
      <c r="A1457" t="s">
        <v>1607</v>
      </c>
      <c r="B1457" s="7">
        <v>45517</v>
      </c>
      <c r="C1457" s="13">
        <f t="shared" si="177"/>
        <v>2024</v>
      </c>
      <c r="D1457" s="7" t="str">
        <f t="shared" si="178"/>
        <v>Aug</v>
      </c>
      <c r="E1457" s="7" t="str">
        <f t="shared" si="179"/>
        <v>Tue</v>
      </c>
      <c r="F1457" t="s">
        <v>122</v>
      </c>
      <c r="G1457" t="s">
        <v>59</v>
      </c>
      <c r="H1457" t="s">
        <v>17</v>
      </c>
      <c r="I1457" s="2" t="str">
        <f t="shared" si="176"/>
        <v>Central</v>
      </c>
      <c r="J1457" t="s">
        <v>56</v>
      </c>
      <c r="K1457" t="s">
        <v>13</v>
      </c>
      <c r="L1457">
        <v>10</v>
      </c>
      <c r="M1457">
        <v>120</v>
      </c>
      <c r="N1457">
        <f t="shared" si="180"/>
        <v>1200</v>
      </c>
      <c r="O1457">
        <f t="shared" si="181"/>
        <v>120</v>
      </c>
      <c r="P1457" t="str">
        <f t="shared" si="182"/>
        <v>Large Order</v>
      </c>
      <c r="Q1457" t="str">
        <f t="shared" si="183"/>
        <v>Weekday</v>
      </c>
    </row>
    <row r="1458" spans="1:17" x14ac:dyDescent="0.35">
      <c r="A1458" t="s">
        <v>1608</v>
      </c>
      <c r="B1458" s="7">
        <v>45504</v>
      </c>
      <c r="C1458" s="13">
        <f t="shared" si="177"/>
        <v>2024</v>
      </c>
      <c r="D1458" s="7" t="str">
        <f t="shared" si="178"/>
        <v>Jul</v>
      </c>
      <c r="E1458" s="7" t="str">
        <f t="shared" si="179"/>
        <v>Wed</v>
      </c>
      <c r="F1458" t="s">
        <v>235</v>
      </c>
      <c r="G1458" t="s">
        <v>65</v>
      </c>
      <c r="H1458" t="s">
        <v>11</v>
      </c>
      <c r="I1458" s="2" t="str">
        <f t="shared" si="176"/>
        <v>East</v>
      </c>
      <c r="J1458" t="s">
        <v>306</v>
      </c>
      <c r="K1458" t="s">
        <v>32</v>
      </c>
      <c r="L1458">
        <v>17</v>
      </c>
      <c r="M1458">
        <v>120</v>
      </c>
      <c r="N1458">
        <f t="shared" si="180"/>
        <v>2040</v>
      </c>
      <c r="O1458">
        <f t="shared" si="181"/>
        <v>204</v>
      </c>
      <c r="P1458" t="str">
        <f t="shared" si="182"/>
        <v>Large Order</v>
      </c>
      <c r="Q1458" t="str">
        <f t="shared" si="183"/>
        <v>Weekday</v>
      </c>
    </row>
    <row r="1459" spans="1:17" x14ac:dyDescent="0.35">
      <c r="A1459" t="s">
        <v>1609</v>
      </c>
      <c r="B1459" s="7">
        <v>45431</v>
      </c>
      <c r="C1459" s="13">
        <f t="shared" si="177"/>
        <v>2024</v>
      </c>
      <c r="D1459" s="7" t="str">
        <f t="shared" si="178"/>
        <v>May</v>
      </c>
      <c r="E1459" s="7" t="str">
        <f t="shared" si="179"/>
        <v>Sun</v>
      </c>
      <c r="F1459" t="s">
        <v>30</v>
      </c>
      <c r="G1459" t="s">
        <v>26</v>
      </c>
      <c r="H1459" t="s">
        <v>17</v>
      </c>
      <c r="I1459" s="2" t="str">
        <f t="shared" si="176"/>
        <v>West</v>
      </c>
      <c r="J1459" t="s">
        <v>42</v>
      </c>
      <c r="K1459" t="s">
        <v>32</v>
      </c>
      <c r="L1459">
        <v>4</v>
      </c>
      <c r="M1459">
        <v>120</v>
      </c>
      <c r="N1459">
        <f t="shared" si="180"/>
        <v>480</v>
      </c>
      <c r="O1459">
        <f t="shared" si="181"/>
        <v>48</v>
      </c>
      <c r="P1459" t="str">
        <f t="shared" si="182"/>
        <v>Standard Order</v>
      </c>
      <c r="Q1459" t="str">
        <f t="shared" si="183"/>
        <v>Weekend</v>
      </c>
    </row>
    <row r="1460" spans="1:17" x14ac:dyDescent="0.35">
      <c r="A1460" t="s">
        <v>1610</v>
      </c>
      <c r="B1460" s="7">
        <v>45330</v>
      </c>
      <c r="C1460" s="13">
        <f t="shared" si="177"/>
        <v>2024</v>
      </c>
      <c r="D1460" s="7" t="str">
        <f t="shared" si="178"/>
        <v>Feb</v>
      </c>
      <c r="E1460" s="7" t="str">
        <f t="shared" si="179"/>
        <v>Thu</v>
      </c>
      <c r="F1460" t="s">
        <v>167</v>
      </c>
      <c r="G1460" t="s">
        <v>119</v>
      </c>
      <c r="H1460" t="s">
        <v>11</v>
      </c>
      <c r="I1460" s="2" t="str">
        <f t="shared" si="176"/>
        <v>North</v>
      </c>
      <c r="J1460" t="s">
        <v>27</v>
      </c>
      <c r="K1460" t="s">
        <v>36</v>
      </c>
      <c r="L1460">
        <v>12</v>
      </c>
      <c r="M1460">
        <v>120</v>
      </c>
      <c r="N1460">
        <f t="shared" si="180"/>
        <v>1440</v>
      </c>
      <c r="O1460">
        <f t="shared" si="181"/>
        <v>144</v>
      </c>
      <c r="P1460" t="str">
        <f t="shared" si="182"/>
        <v>Large Order</v>
      </c>
      <c r="Q1460" t="str">
        <f t="shared" si="183"/>
        <v>Weekday</v>
      </c>
    </row>
    <row r="1461" spans="1:17" x14ac:dyDescent="0.35">
      <c r="A1461" t="s">
        <v>1611</v>
      </c>
      <c r="B1461" s="7">
        <v>45494</v>
      </c>
      <c r="C1461" s="13">
        <f t="shared" si="177"/>
        <v>2024</v>
      </c>
      <c r="D1461" s="7" t="str">
        <f t="shared" si="178"/>
        <v>Jul</v>
      </c>
      <c r="E1461" s="7" t="str">
        <f t="shared" si="179"/>
        <v>Sun</v>
      </c>
      <c r="F1461" t="s">
        <v>142</v>
      </c>
      <c r="G1461" t="s">
        <v>26</v>
      </c>
      <c r="H1461" t="s">
        <v>22</v>
      </c>
      <c r="I1461" s="2" t="str">
        <f t="shared" si="176"/>
        <v>East</v>
      </c>
      <c r="J1461" t="s">
        <v>12</v>
      </c>
      <c r="K1461" t="s">
        <v>23</v>
      </c>
      <c r="L1461">
        <v>12</v>
      </c>
      <c r="M1461">
        <v>120</v>
      </c>
      <c r="N1461">
        <f t="shared" si="180"/>
        <v>1440</v>
      </c>
      <c r="O1461">
        <f t="shared" si="181"/>
        <v>144</v>
      </c>
      <c r="P1461" t="str">
        <f t="shared" si="182"/>
        <v>Large Order</v>
      </c>
      <c r="Q1461" t="str">
        <f t="shared" si="183"/>
        <v>Weekend</v>
      </c>
    </row>
    <row r="1462" spans="1:17" x14ac:dyDescent="0.35">
      <c r="A1462" t="s">
        <v>1612</v>
      </c>
      <c r="B1462" s="7">
        <v>45636</v>
      </c>
      <c r="C1462" s="13">
        <f t="shared" si="177"/>
        <v>2024</v>
      </c>
      <c r="D1462" s="7" t="str">
        <f t="shared" si="178"/>
        <v>Dec</v>
      </c>
      <c r="E1462" s="7" t="str">
        <f t="shared" si="179"/>
        <v>Tue</v>
      </c>
      <c r="F1462" t="s">
        <v>86</v>
      </c>
      <c r="G1462" t="s">
        <v>59</v>
      </c>
      <c r="H1462" t="s">
        <v>17</v>
      </c>
      <c r="I1462" s="2" t="str">
        <f t="shared" si="176"/>
        <v>South</v>
      </c>
      <c r="J1462" t="s">
        <v>42</v>
      </c>
      <c r="K1462" t="s">
        <v>13</v>
      </c>
      <c r="L1462">
        <v>8</v>
      </c>
      <c r="M1462">
        <v>120</v>
      </c>
      <c r="N1462">
        <f t="shared" si="180"/>
        <v>960</v>
      </c>
      <c r="O1462">
        <f t="shared" si="181"/>
        <v>96</v>
      </c>
      <c r="P1462" t="str">
        <f t="shared" si="182"/>
        <v>Large Order</v>
      </c>
      <c r="Q1462" t="str">
        <f t="shared" si="183"/>
        <v>Weekday</v>
      </c>
    </row>
    <row r="1463" spans="1:17" x14ac:dyDescent="0.35">
      <c r="A1463" t="s">
        <v>1613</v>
      </c>
      <c r="B1463" s="7">
        <v>45609</v>
      </c>
      <c r="C1463" s="13">
        <f t="shared" si="177"/>
        <v>2024</v>
      </c>
      <c r="D1463" s="7" t="str">
        <f t="shared" si="178"/>
        <v>Nov</v>
      </c>
      <c r="E1463" s="7" t="str">
        <f t="shared" si="179"/>
        <v>Wed</v>
      </c>
      <c r="F1463" t="s">
        <v>642</v>
      </c>
      <c r="G1463" t="s">
        <v>72</v>
      </c>
      <c r="H1463" t="s">
        <v>22</v>
      </c>
      <c r="I1463" s="2" t="str">
        <f t="shared" si="176"/>
        <v>South</v>
      </c>
      <c r="J1463" t="s">
        <v>56</v>
      </c>
      <c r="K1463" t="s">
        <v>13</v>
      </c>
      <c r="L1463">
        <v>15</v>
      </c>
      <c r="M1463">
        <v>120</v>
      </c>
      <c r="N1463">
        <f t="shared" si="180"/>
        <v>1800</v>
      </c>
      <c r="O1463">
        <f t="shared" si="181"/>
        <v>180</v>
      </c>
      <c r="P1463" t="str">
        <f t="shared" si="182"/>
        <v>Large Order</v>
      </c>
      <c r="Q1463" t="str">
        <f t="shared" si="183"/>
        <v>Weekday</v>
      </c>
    </row>
    <row r="1464" spans="1:17" x14ac:dyDescent="0.35">
      <c r="A1464" t="s">
        <v>1614</v>
      </c>
      <c r="B1464" s="7">
        <v>45446</v>
      </c>
      <c r="C1464" s="13">
        <f t="shared" si="177"/>
        <v>2024</v>
      </c>
      <c r="D1464" s="7" t="str">
        <f t="shared" si="178"/>
        <v>Jun</v>
      </c>
      <c r="E1464" s="7" t="str">
        <f t="shared" si="179"/>
        <v>Mon</v>
      </c>
      <c r="F1464" t="s">
        <v>350</v>
      </c>
      <c r="G1464" t="s">
        <v>87</v>
      </c>
      <c r="H1464" t="s">
        <v>11</v>
      </c>
      <c r="I1464" s="2" t="str">
        <f t="shared" si="176"/>
        <v>Central</v>
      </c>
      <c r="J1464" t="s">
        <v>56</v>
      </c>
      <c r="K1464" t="s">
        <v>13</v>
      </c>
      <c r="L1464">
        <v>2</v>
      </c>
      <c r="M1464">
        <v>120</v>
      </c>
      <c r="N1464">
        <f t="shared" si="180"/>
        <v>240</v>
      </c>
      <c r="O1464">
        <f t="shared" si="181"/>
        <v>24</v>
      </c>
      <c r="P1464" t="str">
        <f t="shared" si="182"/>
        <v>Standard Order</v>
      </c>
      <c r="Q1464" t="str">
        <f t="shared" si="183"/>
        <v>Weekday</v>
      </c>
    </row>
    <row r="1465" spans="1:17" x14ac:dyDescent="0.35">
      <c r="A1465" t="s">
        <v>1615</v>
      </c>
      <c r="B1465" s="7">
        <v>45544</v>
      </c>
      <c r="C1465" s="13">
        <f t="shared" si="177"/>
        <v>2024</v>
      </c>
      <c r="D1465" s="7" t="str">
        <f t="shared" si="178"/>
        <v>Sep</v>
      </c>
      <c r="E1465" s="7" t="str">
        <f t="shared" si="179"/>
        <v>Mon</v>
      </c>
      <c r="F1465" t="s">
        <v>40</v>
      </c>
      <c r="G1465" t="s">
        <v>102</v>
      </c>
      <c r="H1465" t="s">
        <v>11</v>
      </c>
      <c r="I1465" s="2" t="str">
        <f t="shared" si="176"/>
        <v>West</v>
      </c>
      <c r="J1465" t="s">
        <v>306</v>
      </c>
      <c r="K1465" t="s">
        <v>28</v>
      </c>
      <c r="L1465">
        <v>13</v>
      </c>
      <c r="M1465">
        <v>120</v>
      </c>
      <c r="N1465">
        <f t="shared" si="180"/>
        <v>1560</v>
      </c>
      <c r="O1465">
        <f t="shared" si="181"/>
        <v>156</v>
      </c>
      <c r="P1465" t="str">
        <f t="shared" si="182"/>
        <v>Large Order</v>
      </c>
      <c r="Q1465" t="str">
        <f t="shared" si="183"/>
        <v>Weekday</v>
      </c>
    </row>
    <row r="1466" spans="1:17" x14ac:dyDescent="0.35">
      <c r="A1466" t="s">
        <v>1616</v>
      </c>
      <c r="B1466" s="7">
        <v>45635</v>
      </c>
      <c r="C1466" s="13">
        <f t="shared" si="177"/>
        <v>2024</v>
      </c>
      <c r="D1466" s="7" t="str">
        <f t="shared" si="178"/>
        <v>Dec</v>
      </c>
      <c r="E1466" s="7" t="str">
        <f t="shared" si="179"/>
        <v>Mon</v>
      </c>
      <c r="F1466" t="s">
        <v>323</v>
      </c>
      <c r="G1466" t="s">
        <v>62</v>
      </c>
      <c r="H1466" t="s">
        <v>22</v>
      </c>
      <c r="I1466" s="2" t="str">
        <f t="shared" si="176"/>
        <v>West</v>
      </c>
      <c r="J1466" t="s">
        <v>27</v>
      </c>
      <c r="K1466" t="s">
        <v>36</v>
      </c>
      <c r="L1466">
        <v>5</v>
      </c>
      <c r="M1466">
        <v>120</v>
      </c>
      <c r="N1466">
        <f t="shared" si="180"/>
        <v>600</v>
      </c>
      <c r="O1466">
        <f t="shared" si="181"/>
        <v>60</v>
      </c>
      <c r="P1466" t="str">
        <f t="shared" si="182"/>
        <v>Large Order</v>
      </c>
      <c r="Q1466" t="str">
        <f t="shared" si="183"/>
        <v>Weekday</v>
      </c>
    </row>
    <row r="1467" spans="1:17" x14ac:dyDescent="0.35">
      <c r="A1467" t="s">
        <v>1617</v>
      </c>
      <c r="B1467" s="7">
        <v>45627</v>
      </c>
      <c r="C1467" s="13">
        <f t="shared" si="177"/>
        <v>2024</v>
      </c>
      <c r="D1467" s="7" t="str">
        <f t="shared" si="178"/>
        <v>Dec</v>
      </c>
      <c r="E1467" s="7" t="str">
        <f t="shared" si="179"/>
        <v>Sun</v>
      </c>
      <c r="F1467" t="s">
        <v>108</v>
      </c>
      <c r="G1467" t="s">
        <v>35</v>
      </c>
      <c r="H1467" t="s">
        <v>22</v>
      </c>
      <c r="I1467" s="2" t="str">
        <f t="shared" si="176"/>
        <v>East</v>
      </c>
      <c r="J1467" t="s">
        <v>27</v>
      </c>
      <c r="K1467" t="s">
        <v>32</v>
      </c>
      <c r="L1467">
        <v>2</v>
      </c>
      <c r="M1467">
        <v>120</v>
      </c>
      <c r="N1467">
        <f t="shared" si="180"/>
        <v>240</v>
      </c>
      <c r="O1467">
        <f t="shared" si="181"/>
        <v>24</v>
      </c>
      <c r="P1467" t="str">
        <f t="shared" si="182"/>
        <v>Standard Order</v>
      </c>
      <c r="Q1467" t="str">
        <f t="shared" si="183"/>
        <v>Weekend</v>
      </c>
    </row>
    <row r="1468" spans="1:17" x14ac:dyDescent="0.35">
      <c r="A1468" t="s">
        <v>1618</v>
      </c>
      <c r="B1468" s="7">
        <v>45403</v>
      </c>
      <c r="C1468" s="13">
        <f t="shared" si="177"/>
        <v>2024</v>
      </c>
      <c r="D1468" s="7" t="str">
        <f t="shared" si="178"/>
        <v>Apr</v>
      </c>
      <c r="E1468" s="7" t="str">
        <f t="shared" si="179"/>
        <v>Sun</v>
      </c>
      <c r="F1468" t="s">
        <v>396</v>
      </c>
      <c r="G1468" t="s">
        <v>70</v>
      </c>
      <c r="H1468" t="s">
        <v>11</v>
      </c>
      <c r="I1468" s="2" t="str">
        <f t="shared" si="176"/>
        <v>East</v>
      </c>
      <c r="J1468" t="s">
        <v>42</v>
      </c>
      <c r="K1468" t="s">
        <v>13</v>
      </c>
      <c r="L1468">
        <v>12</v>
      </c>
      <c r="M1468">
        <v>120</v>
      </c>
      <c r="N1468">
        <f t="shared" si="180"/>
        <v>1440</v>
      </c>
      <c r="O1468">
        <f t="shared" si="181"/>
        <v>144</v>
      </c>
      <c r="P1468" t="str">
        <f t="shared" si="182"/>
        <v>Large Order</v>
      </c>
      <c r="Q1468" t="str">
        <f t="shared" si="183"/>
        <v>Weekend</v>
      </c>
    </row>
    <row r="1469" spans="1:17" x14ac:dyDescent="0.35">
      <c r="A1469" t="s">
        <v>1619</v>
      </c>
      <c r="B1469" s="7">
        <v>45622</v>
      </c>
      <c r="C1469" s="13">
        <f t="shared" si="177"/>
        <v>2024</v>
      </c>
      <c r="D1469" s="7" t="str">
        <f t="shared" si="178"/>
        <v>Nov</v>
      </c>
      <c r="E1469" s="7" t="str">
        <f t="shared" si="179"/>
        <v>Tue</v>
      </c>
      <c r="F1469" t="s">
        <v>182</v>
      </c>
      <c r="G1469" t="s">
        <v>79</v>
      </c>
      <c r="H1469" t="s">
        <v>17</v>
      </c>
      <c r="I1469" s="2" t="str">
        <f t="shared" si="176"/>
        <v>Central</v>
      </c>
      <c r="J1469" t="s">
        <v>42</v>
      </c>
      <c r="K1469" t="s">
        <v>28</v>
      </c>
      <c r="L1469">
        <v>4</v>
      </c>
      <c r="M1469">
        <v>120</v>
      </c>
      <c r="N1469">
        <f t="shared" si="180"/>
        <v>480</v>
      </c>
      <c r="O1469">
        <f t="shared" si="181"/>
        <v>48</v>
      </c>
      <c r="P1469" t="str">
        <f t="shared" si="182"/>
        <v>Standard Order</v>
      </c>
      <c r="Q1469" t="str">
        <f t="shared" si="183"/>
        <v>Weekday</v>
      </c>
    </row>
    <row r="1470" spans="1:17" x14ac:dyDescent="0.35">
      <c r="A1470" t="s">
        <v>1620</v>
      </c>
      <c r="B1470" s="7">
        <v>45524</v>
      </c>
      <c r="C1470" s="13">
        <f t="shared" si="177"/>
        <v>2024</v>
      </c>
      <c r="D1470" s="7" t="str">
        <f t="shared" si="178"/>
        <v>Aug</v>
      </c>
      <c r="E1470" s="7" t="str">
        <f t="shared" si="179"/>
        <v>Tue</v>
      </c>
      <c r="F1470" t="s">
        <v>203</v>
      </c>
      <c r="G1470" t="s">
        <v>41</v>
      </c>
      <c r="H1470" t="s">
        <v>11</v>
      </c>
      <c r="I1470" s="2" t="str">
        <f t="shared" si="176"/>
        <v>North</v>
      </c>
      <c r="J1470" t="s">
        <v>306</v>
      </c>
      <c r="K1470" t="s">
        <v>13</v>
      </c>
      <c r="L1470">
        <v>2</v>
      </c>
      <c r="M1470">
        <v>120</v>
      </c>
      <c r="N1470">
        <f t="shared" si="180"/>
        <v>240</v>
      </c>
      <c r="O1470">
        <f t="shared" si="181"/>
        <v>24</v>
      </c>
      <c r="P1470" t="str">
        <f t="shared" si="182"/>
        <v>Standard Order</v>
      </c>
      <c r="Q1470" t="str">
        <f t="shared" si="183"/>
        <v>Weekday</v>
      </c>
    </row>
    <row r="1471" spans="1:17" x14ac:dyDescent="0.35">
      <c r="A1471" t="s">
        <v>1621</v>
      </c>
      <c r="B1471" s="7">
        <v>45416</v>
      </c>
      <c r="C1471" s="13">
        <f t="shared" si="177"/>
        <v>2024</v>
      </c>
      <c r="D1471" s="7" t="str">
        <f t="shared" si="178"/>
        <v>May</v>
      </c>
      <c r="E1471" s="7" t="str">
        <f t="shared" si="179"/>
        <v>Sat</v>
      </c>
      <c r="F1471" t="s">
        <v>34</v>
      </c>
      <c r="G1471" t="s">
        <v>59</v>
      </c>
      <c r="H1471" t="s">
        <v>11</v>
      </c>
      <c r="I1471" s="2" t="str">
        <f t="shared" si="176"/>
        <v>Central</v>
      </c>
      <c r="J1471" t="s">
        <v>12</v>
      </c>
      <c r="K1471" t="s">
        <v>36</v>
      </c>
      <c r="L1471">
        <v>7</v>
      </c>
      <c r="M1471">
        <v>120</v>
      </c>
      <c r="N1471">
        <f t="shared" si="180"/>
        <v>840</v>
      </c>
      <c r="O1471">
        <f t="shared" si="181"/>
        <v>84</v>
      </c>
      <c r="P1471" t="str">
        <f t="shared" si="182"/>
        <v>Large Order</v>
      </c>
      <c r="Q1471" t="str">
        <f t="shared" si="183"/>
        <v>Weekend</v>
      </c>
    </row>
    <row r="1472" spans="1:17" x14ac:dyDescent="0.35">
      <c r="A1472" t="s">
        <v>1622</v>
      </c>
      <c r="B1472" s="7">
        <v>45411</v>
      </c>
      <c r="C1472" s="13">
        <f t="shared" si="177"/>
        <v>2024</v>
      </c>
      <c r="D1472" s="7" t="str">
        <f t="shared" si="178"/>
        <v>Apr</v>
      </c>
      <c r="E1472" s="7" t="str">
        <f t="shared" si="179"/>
        <v>Mon</v>
      </c>
      <c r="F1472" t="s">
        <v>118</v>
      </c>
      <c r="G1472" t="s">
        <v>119</v>
      </c>
      <c r="H1472" t="s">
        <v>11</v>
      </c>
      <c r="I1472" s="2" t="str">
        <f t="shared" si="176"/>
        <v>South</v>
      </c>
      <c r="J1472" t="s">
        <v>306</v>
      </c>
      <c r="K1472" t="s">
        <v>13</v>
      </c>
      <c r="L1472">
        <v>9</v>
      </c>
      <c r="M1472">
        <v>120</v>
      </c>
      <c r="N1472">
        <f t="shared" si="180"/>
        <v>1080</v>
      </c>
      <c r="O1472">
        <f t="shared" si="181"/>
        <v>108</v>
      </c>
      <c r="P1472" t="str">
        <f t="shared" si="182"/>
        <v>Large Order</v>
      </c>
      <c r="Q1472" t="str">
        <f t="shared" si="183"/>
        <v>Weekday</v>
      </c>
    </row>
    <row r="1473" spans="1:17" x14ac:dyDescent="0.35">
      <c r="A1473" t="s">
        <v>1623</v>
      </c>
      <c r="B1473" s="7">
        <v>45366</v>
      </c>
      <c r="C1473" s="13">
        <f t="shared" si="177"/>
        <v>2024</v>
      </c>
      <c r="D1473" s="7" t="str">
        <f t="shared" si="178"/>
        <v>Mar</v>
      </c>
      <c r="E1473" s="7" t="str">
        <f t="shared" si="179"/>
        <v>Fri</v>
      </c>
      <c r="F1473" t="s">
        <v>34</v>
      </c>
      <c r="G1473" t="s">
        <v>174</v>
      </c>
      <c r="H1473" t="s">
        <v>17</v>
      </c>
      <c r="I1473" s="2" t="str">
        <f t="shared" si="176"/>
        <v>East</v>
      </c>
      <c r="J1473" t="s">
        <v>56</v>
      </c>
      <c r="K1473" t="s">
        <v>13</v>
      </c>
      <c r="L1473">
        <v>1</v>
      </c>
      <c r="M1473">
        <v>120</v>
      </c>
      <c r="N1473">
        <f t="shared" si="180"/>
        <v>120</v>
      </c>
      <c r="O1473">
        <f t="shared" si="181"/>
        <v>12</v>
      </c>
      <c r="P1473" t="str">
        <f t="shared" si="182"/>
        <v>Standard Order</v>
      </c>
      <c r="Q1473" t="str">
        <f t="shared" si="183"/>
        <v>Weekday</v>
      </c>
    </row>
    <row r="1474" spans="1:17" x14ac:dyDescent="0.35">
      <c r="A1474" t="s">
        <v>1624</v>
      </c>
      <c r="B1474" s="7">
        <v>45475</v>
      </c>
      <c r="C1474" s="13">
        <f t="shared" si="177"/>
        <v>2024</v>
      </c>
      <c r="D1474" s="7" t="str">
        <f t="shared" si="178"/>
        <v>Jul</v>
      </c>
      <c r="E1474" s="7" t="str">
        <f t="shared" si="179"/>
        <v>Tue</v>
      </c>
      <c r="F1474" t="s">
        <v>728</v>
      </c>
      <c r="G1474" t="s">
        <v>197</v>
      </c>
      <c r="H1474" t="s">
        <v>22</v>
      </c>
      <c r="I1474" s="2" t="str">
        <f t="shared" si="176"/>
        <v>North</v>
      </c>
      <c r="J1474" t="s">
        <v>42</v>
      </c>
      <c r="K1474" t="s">
        <v>13</v>
      </c>
      <c r="L1474">
        <v>6</v>
      </c>
      <c r="M1474">
        <v>120</v>
      </c>
      <c r="N1474">
        <f t="shared" si="180"/>
        <v>720</v>
      </c>
      <c r="O1474">
        <f t="shared" si="181"/>
        <v>72</v>
      </c>
      <c r="P1474" t="str">
        <f t="shared" si="182"/>
        <v>Large Order</v>
      </c>
      <c r="Q1474" t="str">
        <f t="shared" si="183"/>
        <v>Weekday</v>
      </c>
    </row>
    <row r="1475" spans="1:17" x14ac:dyDescent="0.35">
      <c r="A1475" t="s">
        <v>1625</v>
      </c>
      <c r="B1475" s="7">
        <v>45356</v>
      </c>
      <c r="C1475" s="13">
        <f t="shared" si="177"/>
        <v>2024</v>
      </c>
      <c r="D1475" s="7" t="str">
        <f t="shared" si="178"/>
        <v>Mar</v>
      </c>
      <c r="E1475" s="7" t="str">
        <f t="shared" si="179"/>
        <v>Tue</v>
      </c>
      <c r="F1475" t="s">
        <v>304</v>
      </c>
      <c r="G1475" t="s">
        <v>87</v>
      </c>
      <c r="H1475" t="s">
        <v>22</v>
      </c>
      <c r="I1475" s="2" t="str">
        <f t="shared" ref="I1475:I1538" si="184">TRIM(J1476)</f>
        <v>West</v>
      </c>
      <c r="J1475" t="s">
        <v>12</v>
      </c>
      <c r="K1475" t="s">
        <v>13</v>
      </c>
      <c r="L1475">
        <v>16</v>
      </c>
      <c r="M1475">
        <v>120</v>
      </c>
      <c r="N1475">
        <f t="shared" si="180"/>
        <v>1920</v>
      </c>
      <c r="O1475">
        <f t="shared" si="181"/>
        <v>192</v>
      </c>
      <c r="P1475" t="str">
        <f t="shared" si="182"/>
        <v>Large Order</v>
      </c>
      <c r="Q1475" t="str">
        <f t="shared" si="183"/>
        <v>Weekday</v>
      </c>
    </row>
    <row r="1476" spans="1:17" x14ac:dyDescent="0.35">
      <c r="A1476" t="s">
        <v>1626</v>
      </c>
      <c r="B1476" s="7">
        <v>45477</v>
      </c>
      <c r="C1476" s="13">
        <f t="shared" ref="C1476:C1539" si="185">YEAR(B1476)</f>
        <v>2024</v>
      </c>
      <c r="D1476" s="7" t="str">
        <f t="shared" ref="D1476:D1539" si="186">TEXT(B1476,"mmm")</f>
        <v>Jul</v>
      </c>
      <c r="E1476" s="7" t="str">
        <f t="shared" ref="E1476:E1539" si="187">TEXT(B1476,"ddd")</f>
        <v>Thu</v>
      </c>
      <c r="F1476" t="s">
        <v>345</v>
      </c>
      <c r="G1476" t="s">
        <v>59</v>
      </c>
      <c r="H1476" t="s">
        <v>11</v>
      </c>
      <c r="I1476" s="2" t="str">
        <f t="shared" si="184"/>
        <v>East</v>
      </c>
      <c r="J1476" t="s">
        <v>27</v>
      </c>
      <c r="K1476" t="s">
        <v>36</v>
      </c>
      <c r="L1476">
        <v>8</v>
      </c>
      <c r="M1476">
        <v>120</v>
      </c>
      <c r="N1476">
        <f t="shared" ref="N1476:N1539" si="188">M1476*L1476</f>
        <v>960</v>
      </c>
      <c r="O1476">
        <f t="shared" ref="O1476:O1539" si="189">N1476*0.1</f>
        <v>96</v>
      </c>
      <c r="P1476" t="str">
        <f t="shared" ref="P1476:P1539" si="190">IF(N1476&gt;500,"Large Order","Standard Order")</f>
        <v>Large Order</v>
      </c>
      <c r="Q1476" t="str">
        <f t="shared" ref="Q1476:Q1539" si="191">IF(OR(TRIM(E1476)="Sat",TRIM(E1476)="Sun"),"Weekend","Weekday")</f>
        <v>Weekday</v>
      </c>
    </row>
    <row r="1477" spans="1:17" x14ac:dyDescent="0.35">
      <c r="A1477" t="s">
        <v>1627</v>
      </c>
      <c r="B1477" s="7">
        <v>45314</v>
      </c>
      <c r="C1477" s="13">
        <f t="shared" si="185"/>
        <v>2024</v>
      </c>
      <c r="D1477" s="7" t="str">
        <f t="shared" si="186"/>
        <v>Jan</v>
      </c>
      <c r="E1477" s="7" t="str">
        <f t="shared" si="187"/>
        <v>Tue</v>
      </c>
      <c r="F1477" t="s">
        <v>388</v>
      </c>
      <c r="G1477" t="s">
        <v>41</v>
      </c>
      <c r="H1477" t="s">
        <v>22</v>
      </c>
      <c r="I1477" s="2" t="str">
        <f t="shared" si="184"/>
        <v>North</v>
      </c>
      <c r="J1477" t="s">
        <v>42</v>
      </c>
      <c r="K1477" t="s">
        <v>23</v>
      </c>
      <c r="L1477">
        <v>1</v>
      </c>
      <c r="M1477">
        <v>120</v>
      </c>
      <c r="N1477">
        <f t="shared" si="188"/>
        <v>120</v>
      </c>
      <c r="O1477">
        <f t="shared" si="189"/>
        <v>12</v>
      </c>
      <c r="P1477" t="str">
        <f t="shared" si="190"/>
        <v>Standard Order</v>
      </c>
      <c r="Q1477" t="str">
        <f t="shared" si="191"/>
        <v>Weekday</v>
      </c>
    </row>
    <row r="1478" spans="1:17" x14ac:dyDescent="0.35">
      <c r="A1478" t="s">
        <v>1628</v>
      </c>
      <c r="B1478" s="7">
        <v>45537</v>
      </c>
      <c r="C1478" s="13">
        <f t="shared" si="185"/>
        <v>2024</v>
      </c>
      <c r="D1478" s="7" t="str">
        <f t="shared" si="186"/>
        <v>Sep</v>
      </c>
      <c r="E1478" s="7" t="str">
        <f t="shared" si="187"/>
        <v>Mon</v>
      </c>
      <c r="F1478" t="s">
        <v>341</v>
      </c>
      <c r="G1478" t="s">
        <v>87</v>
      </c>
      <c r="H1478" t="s">
        <v>22</v>
      </c>
      <c r="I1478" s="2" t="str">
        <f t="shared" si="184"/>
        <v>North</v>
      </c>
      <c r="J1478" t="s">
        <v>12</v>
      </c>
      <c r="K1478" t="s">
        <v>23</v>
      </c>
      <c r="L1478">
        <v>15</v>
      </c>
      <c r="M1478">
        <v>120</v>
      </c>
      <c r="N1478">
        <f t="shared" si="188"/>
        <v>1800</v>
      </c>
      <c r="O1478">
        <f t="shared" si="189"/>
        <v>180</v>
      </c>
      <c r="P1478" t="str">
        <f t="shared" si="190"/>
        <v>Large Order</v>
      </c>
      <c r="Q1478" t="str">
        <f t="shared" si="191"/>
        <v>Weekday</v>
      </c>
    </row>
    <row r="1479" spans="1:17" x14ac:dyDescent="0.35">
      <c r="A1479" t="s">
        <v>1629</v>
      </c>
      <c r="B1479" s="7">
        <v>45333</v>
      </c>
      <c r="C1479" s="13">
        <f t="shared" si="185"/>
        <v>2024</v>
      </c>
      <c r="D1479" s="7" t="str">
        <f t="shared" si="186"/>
        <v>Feb</v>
      </c>
      <c r="E1479" s="7" t="str">
        <f t="shared" si="187"/>
        <v>Sun</v>
      </c>
      <c r="F1479" t="s">
        <v>187</v>
      </c>
      <c r="G1479" t="s">
        <v>109</v>
      </c>
      <c r="H1479" t="s">
        <v>11</v>
      </c>
      <c r="I1479" s="2" t="str">
        <f t="shared" si="184"/>
        <v>West</v>
      </c>
      <c r="J1479" t="s">
        <v>12</v>
      </c>
      <c r="K1479" t="s">
        <v>28</v>
      </c>
      <c r="L1479">
        <v>9</v>
      </c>
      <c r="M1479">
        <v>120</v>
      </c>
      <c r="N1479">
        <f t="shared" si="188"/>
        <v>1080</v>
      </c>
      <c r="O1479">
        <f t="shared" si="189"/>
        <v>108</v>
      </c>
      <c r="P1479" t="str">
        <f t="shared" si="190"/>
        <v>Large Order</v>
      </c>
      <c r="Q1479" t="str">
        <f t="shared" si="191"/>
        <v>Weekend</v>
      </c>
    </row>
    <row r="1480" spans="1:17" x14ac:dyDescent="0.35">
      <c r="A1480" t="s">
        <v>1630</v>
      </c>
      <c r="B1480" s="7">
        <v>45591</v>
      </c>
      <c r="C1480" s="13">
        <f t="shared" si="185"/>
        <v>2024</v>
      </c>
      <c r="D1480" s="7" t="str">
        <f t="shared" si="186"/>
        <v>Oct</v>
      </c>
      <c r="E1480" s="7" t="str">
        <f t="shared" si="187"/>
        <v>Sat</v>
      </c>
      <c r="F1480" t="s">
        <v>378</v>
      </c>
      <c r="G1480" t="s">
        <v>62</v>
      </c>
      <c r="H1480" t="s">
        <v>17</v>
      </c>
      <c r="I1480" s="2" t="str">
        <f t="shared" si="184"/>
        <v>North</v>
      </c>
      <c r="J1480" t="s">
        <v>27</v>
      </c>
      <c r="K1480" t="s">
        <v>36</v>
      </c>
      <c r="L1480">
        <v>17</v>
      </c>
      <c r="M1480">
        <v>120</v>
      </c>
      <c r="N1480">
        <f t="shared" si="188"/>
        <v>2040</v>
      </c>
      <c r="O1480">
        <f t="shared" si="189"/>
        <v>204</v>
      </c>
      <c r="P1480" t="str">
        <f t="shared" si="190"/>
        <v>Large Order</v>
      </c>
      <c r="Q1480" t="str">
        <f t="shared" si="191"/>
        <v>Weekend</v>
      </c>
    </row>
    <row r="1481" spans="1:17" x14ac:dyDescent="0.35">
      <c r="A1481" t="s">
        <v>1631</v>
      </c>
      <c r="B1481" s="7">
        <v>45550</v>
      </c>
      <c r="C1481" s="13">
        <f t="shared" si="185"/>
        <v>2024</v>
      </c>
      <c r="D1481" s="7" t="str">
        <f t="shared" si="186"/>
        <v>Sep</v>
      </c>
      <c r="E1481" s="7" t="str">
        <f t="shared" si="187"/>
        <v>Sun</v>
      </c>
      <c r="F1481" t="s">
        <v>493</v>
      </c>
      <c r="G1481" t="s">
        <v>87</v>
      </c>
      <c r="H1481" t="s">
        <v>11</v>
      </c>
      <c r="I1481" s="2" t="str">
        <f t="shared" si="184"/>
        <v>West</v>
      </c>
      <c r="J1481" t="s">
        <v>12</v>
      </c>
      <c r="K1481" t="s">
        <v>36</v>
      </c>
      <c r="L1481">
        <v>7</v>
      </c>
      <c r="M1481">
        <v>120</v>
      </c>
      <c r="N1481">
        <f t="shared" si="188"/>
        <v>840</v>
      </c>
      <c r="O1481">
        <f t="shared" si="189"/>
        <v>84</v>
      </c>
      <c r="P1481" t="str">
        <f t="shared" si="190"/>
        <v>Large Order</v>
      </c>
      <c r="Q1481" t="str">
        <f t="shared" si="191"/>
        <v>Weekend</v>
      </c>
    </row>
    <row r="1482" spans="1:17" x14ac:dyDescent="0.35">
      <c r="A1482" t="s">
        <v>1632</v>
      </c>
      <c r="B1482" s="7">
        <v>45408</v>
      </c>
      <c r="C1482" s="13">
        <f t="shared" si="185"/>
        <v>2024</v>
      </c>
      <c r="D1482" s="7" t="str">
        <f t="shared" si="186"/>
        <v>Apr</v>
      </c>
      <c r="E1482" s="7" t="str">
        <f t="shared" si="187"/>
        <v>Fri</v>
      </c>
      <c r="F1482" t="s">
        <v>408</v>
      </c>
      <c r="G1482" t="s">
        <v>72</v>
      </c>
      <c r="H1482" t="s">
        <v>17</v>
      </c>
      <c r="I1482" s="2" t="str">
        <f t="shared" si="184"/>
        <v>South</v>
      </c>
      <c r="J1482" t="s">
        <v>27</v>
      </c>
      <c r="K1482" t="s">
        <v>23</v>
      </c>
      <c r="L1482">
        <v>4</v>
      </c>
      <c r="M1482">
        <v>120</v>
      </c>
      <c r="N1482">
        <f t="shared" si="188"/>
        <v>480</v>
      </c>
      <c r="O1482">
        <f t="shared" si="189"/>
        <v>48</v>
      </c>
      <c r="P1482" t="str">
        <f t="shared" si="190"/>
        <v>Standard Order</v>
      </c>
      <c r="Q1482" t="str">
        <f t="shared" si="191"/>
        <v>Weekday</v>
      </c>
    </row>
    <row r="1483" spans="1:17" x14ac:dyDescent="0.35">
      <c r="A1483" t="s">
        <v>1633</v>
      </c>
      <c r="B1483" s="7">
        <v>45452</v>
      </c>
      <c r="C1483" s="13">
        <f t="shared" si="185"/>
        <v>2024</v>
      </c>
      <c r="D1483" s="7" t="str">
        <f t="shared" si="186"/>
        <v>Jun</v>
      </c>
      <c r="E1483" s="7" t="str">
        <f t="shared" si="187"/>
        <v>Sun</v>
      </c>
      <c r="F1483" t="s">
        <v>317</v>
      </c>
      <c r="G1483" t="s">
        <v>26</v>
      </c>
      <c r="H1483" t="s">
        <v>17</v>
      </c>
      <c r="I1483" s="2" t="str">
        <f t="shared" si="184"/>
        <v>East</v>
      </c>
      <c r="J1483" t="s">
        <v>56</v>
      </c>
      <c r="K1483" t="s">
        <v>23</v>
      </c>
      <c r="L1483">
        <v>3</v>
      </c>
      <c r="M1483">
        <v>120</v>
      </c>
      <c r="N1483">
        <f t="shared" si="188"/>
        <v>360</v>
      </c>
      <c r="O1483">
        <f t="shared" si="189"/>
        <v>36</v>
      </c>
      <c r="P1483" t="str">
        <f t="shared" si="190"/>
        <v>Standard Order</v>
      </c>
      <c r="Q1483" t="str">
        <f t="shared" si="191"/>
        <v>Weekend</v>
      </c>
    </row>
    <row r="1484" spans="1:17" x14ac:dyDescent="0.35">
      <c r="A1484" t="s">
        <v>1634</v>
      </c>
      <c r="B1484" s="7">
        <v>45335</v>
      </c>
      <c r="C1484" s="13">
        <f t="shared" si="185"/>
        <v>2024</v>
      </c>
      <c r="D1484" s="7" t="str">
        <f t="shared" si="186"/>
        <v>Feb</v>
      </c>
      <c r="E1484" s="7" t="str">
        <f t="shared" si="187"/>
        <v>Tue</v>
      </c>
      <c r="F1484" t="s">
        <v>203</v>
      </c>
      <c r="G1484" t="s">
        <v>87</v>
      </c>
      <c r="H1484" t="s">
        <v>11</v>
      </c>
      <c r="I1484" s="2" t="str">
        <f t="shared" si="184"/>
        <v>North</v>
      </c>
      <c r="J1484" t="s">
        <v>42</v>
      </c>
      <c r="K1484" t="s">
        <v>28</v>
      </c>
      <c r="L1484">
        <v>18</v>
      </c>
      <c r="M1484">
        <v>120</v>
      </c>
      <c r="N1484">
        <f t="shared" si="188"/>
        <v>2160</v>
      </c>
      <c r="O1484">
        <f t="shared" si="189"/>
        <v>216</v>
      </c>
      <c r="P1484" t="str">
        <f t="shared" si="190"/>
        <v>Large Order</v>
      </c>
      <c r="Q1484" t="str">
        <f t="shared" si="191"/>
        <v>Weekday</v>
      </c>
    </row>
    <row r="1485" spans="1:17" x14ac:dyDescent="0.35">
      <c r="A1485" t="s">
        <v>1635</v>
      </c>
      <c r="B1485" s="7">
        <v>45579</v>
      </c>
      <c r="C1485" s="13">
        <f t="shared" si="185"/>
        <v>2024</v>
      </c>
      <c r="D1485" s="7" t="str">
        <f t="shared" si="186"/>
        <v>Oct</v>
      </c>
      <c r="E1485" s="7" t="str">
        <f t="shared" si="187"/>
        <v>Mon</v>
      </c>
      <c r="F1485" t="s">
        <v>642</v>
      </c>
      <c r="G1485" t="s">
        <v>72</v>
      </c>
      <c r="H1485" t="s">
        <v>22</v>
      </c>
      <c r="I1485" s="2" t="str">
        <f t="shared" si="184"/>
        <v>Central</v>
      </c>
      <c r="J1485" t="s">
        <v>12</v>
      </c>
      <c r="K1485" t="s">
        <v>23</v>
      </c>
      <c r="L1485">
        <v>12</v>
      </c>
      <c r="M1485">
        <v>120</v>
      </c>
      <c r="N1485">
        <f t="shared" si="188"/>
        <v>1440</v>
      </c>
      <c r="O1485">
        <f t="shared" si="189"/>
        <v>144</v>
      </c>
      <c r="P1485" t="str">
        <f t="shared" si="190"/>
        <v>Large Order</v>
      </c>
      <c r="Q1485" t="str">
        <f t="shared" si="191"/>
        <v>Weekday</v>
      </c>
    </row>
    <row r="1486" spans="1:17" x14ac:dyDescent="0.35">
      <c r="A1486" t="s">
        <v>1636</v>
      </c>
      <c r="B1486" s="7">
        <v>45508</v>
      </c>
      <c r="C1486" s="13">
        <f t="shared" si="185"/>
        <v>2024</v>
      </c>
      <c r="D1486" s="7" t="str">
        <f t="shared" si="186"/>
        <v>Aug</v>
      </c>
      <c r="E1486" s="7" t="str">
        <f t="shared" si="187"/>
        <v>Sun</v>
      </c>
      <c r="F1486" t="s">
        <v>329</v>
      </c>
      <c r="G1486" t="s">
        <v>79</v>
      </c>
      <c r="H1486" t="s">
        <v>17</v>
      </c>
      <c r="I1486" s="2" t="str">
        <f t="shared" si="184"/>
        <v>West</v>
      </c>
      <c r="J1486" t="s">
        <v>306</v>
      </c>
      <c r="K1486" t="s">
        <v>32</v>
      </c>
      <c r="L1486">
        <v>12</v>
      </c>
      <c r="M1486">
        <v>120</v>
      </c>
      <c r="N1486">
        <f t="shared" si="188"/>
        <v>1440</v>
      </c>
      <c r="O1486">
        <f t="shared" si="189"/>
        <v>144</v>
      </c>
      <c r="P1486" t="str">
        <f t="shared" si="190"/>
        <v>Large Order</v>
      </c>
      <c r="Q1486" t="str">
        <f t="shared" si="191"/>
        <v>Weekend</v>
      </c>
    </row>
    <row r="1487" spans="1:17" x14ac:dyDescent="0.35">
      <c r="A1487" t="s">
        <v>1637</v>
      </c>
      <c r="B1487" s="7">
        <v>45551</v>
      </c>
      <c r="C1487" s="13">
        <f t="shared" si="185"/>
        <v>2024</v>
      </c>
      <c r="D1487" s="7" t="str">
        <f t="shared" si="186"/>
        <v>Sep</v>
      </c>
      <c r="E1487" s="7" t="str">
        <f t="shared" si="187"/>
        <v>Mon</v>
      </c>
      <c r="F1487" t="s">
        <v>133</v>
      </c>
      <c r="G1487" t="s">
        <v>16</v>
      </c>
      <c r="H1487" t="s">
        <v>22</v>
      </c>
      <c r="I1487" s="2" t="str">
        <f t="shared" si="184"/>
        <v>Central</v>
      </c>
      <c r="J1487" t="s">
        <v>27</v>
      </c>
      <c r="K1487" t="s">
        <v>28</v>
      </c>
      <c r="L1487">
        <v>4</v>
      </c>
      <c r="M1487">
        <v>120</v>
      </c>
      <c r="N1487">
        <f t="shared" si="188"/>
        <v>480</v>
      </c>
      <c r="O1487">
        <f t="shared" si="189"/>
        <v>48</v>
      </c>
      <c r="P1487" t="str">
        <f t="shared" si="190"/>
        <v>Standard Order</v>
      </c>
      <c r="Q1487" t="str">
        <f t="shared" si="191"/>
        <v>Weekday</v>
      </c>
    </row>
    <row r="1488" spans="1:17" x14ac:dyDescent="0.35">
      <c r="A1488" t="s">
        <v>1638</v>
      </c>
      <c r="B1488" s="7">
        <v>45576</v>
      </c>
      <c r="C1488" s="13">
        <f t="shared" si="185"/>
        <v>2024</v>
      </c>
      <c r="D1488" s="7" t="str">
        <f t="shared" si="186"/>
        <v>Oct</v>
      </c>
      <c r="E1488" s="7" t="str">
        <f t="shared" si="187"/>
        <v>Fri</v>
      </c>
      <c r="F1488" t="s">
        <v>200</v>
      </c>
      <c r="G1488" t="s">
        <v>102</v>
      </c>
      <c r="H1488" t="s">
        <v>17</v>
      </c>
      <c r="I1488" s="2" t="str">
        <f t="shared" si="184"/>
        <v>Central</v>
      </c>
      <c r="J1488" t="s">
        <v>306</v>
      </c>
      <c r="K1488" t="s">
        <v>28</v>
      </c>
      <c r="L1488">
        <v>14</v>
      </c>
      <c r="M1488">
        <v>120</v>
      </c>
      <c r="N1488">
        <f t="shared" si="188"/>
        <v>1680</v>
      </c>
      <c r="O1488">
        <f t="shared" si="189"/>
        <v>168</v>
      </c>
      <c r="P1488" t="str">
        <f t="shared" si="190"/>
        <v>Large Order</v>
      </c>
      <c r="Q1488" t="str">
        <f t="shared" si="191"/>
        <v>Weekday</v>
      </c>
    </row>
    <row r="1489" spans="1:17" x14ac:dyDescent="0.35">
      <c r="A1489" t="s">
        <v>1639</v>
      </c>
      <c r="B1489" s="7">
        <v>45610</v>
      </c>
      <c r="C1489" s="13">
        <f t="shared" si="185"/>
        <v>2024</v>
      </c>
      <c r="D1489" s="7" t="str">
        <f t="shared" si="186"/>
        <v>Nov</v>
      </c>
      <c r="E1489" s="7" t="str">
        <f t="shared" si="187"/>
        <v>Thu</v>
      </c>
      <c r="F1489" t="s">
        <v>594</v>
      </c>
      <c r="G1489" t="s">
        <v>41</v>
      </c>
      <c r="H1489" t="s">
        <v>22</v>
      </c>
      <c r="I1489" s="2" t="str">
        <f t="shared" si="184"/>
        <v>East</v>
      </c>
      <c r="J1489" t="s">
        <v>306</v>
      </c>
      <c r="K1489" t="s">
        <v>13</v>
      </c>
      <c r="L1489">
        <v>20</v>
      </c>
      <c r="M1489">
        <v>120</v>
      </c>
      <c r="N1489">
        <f t="shared" si="188"/>
        <v>2400</v>
      </c>
      <c r="O1489">
        <f t="shared" si="189"/>
        <v>240</v>
      </c>
      <c r="P1489" t="str">
        <f t="shared" si="190"/>
        <v>Large Order</v>
      </c>
      <c r="Q1489" t="str">
        <f t="shared" si="191"/>
        <v>Weekday</v>
      </c>
    </row>
    <row r="1490" spans="1:17" x14ac:dyDescent="0.35">
      <c r="A1490" t="s">
        <v>1640</v>
      </c>
      <c r="B1490" s="7">
        <v>45647</v>
      </c>
      <c r="C1490" s="13">
        <f t="shared" si="185"/>
        <v>2024</v>
      </c>
      <c r="D1490" s="7" t="str">
        <f t="shared" si="186"/>
        <v>Dec</v>
      </c>
      <c r="E1490" s="7" t="str">
        <f t="shared" si="187"/>
        <v>Sat</v>
      </c>
      <c r="F1490" t="s">
        <v>101</v>
      </c>
      <c r="G1490" t="s">
        <v>96</v>
      </c>
      <c r="H1490" t="s">
        <v>11</v>
      </c>
      <c r="I1490" s="2" t="str">
        <f t="shared" si="184"/>
        <v>West</v>
      </c>
      <c r="J1490" t="s">
        <v>42</v>
      </c>
      <c r="K1490" t="s">
        <v>32</v>
      </c>
      <c r="L1490">
        <v>11</v>
      </c>
      <c r="M1490">
        <v>120</v>
      </c>
      <c r="N1490">
        <f t="shared" si="188"/>
        <v>1320</v>
      </c>
      <c r="O1490">
        <f t="shared" si="189"/>
        <v>132</v>
      </c>
      <c r="P1490" t="str">
        <f t="shared" si="190"/>
        <v>Large Order</v>
      </c>
      <c r="Q1490" t="str">
        <f t="shared" si="191"/>
        <v>Weekend</v>
      </c>
    </row>
    <row r="1491" spans="1:17" x14ac:dyDescent="0.35">
      <c r="A1491" t="s">
        <v>1641</v>
      </c>
      <c r="B1491" s="7">
        <v>45384</v>
      </c>
      <c r="C1491" s="13">
        <f t="shared" si="185"/>
        <v>2024</v>
      </c>
      <c r="D1491" s="7" t="str">
        <f t="shared" si="186"/>
        <v>Apr</v>
      </c>
      <c r="E1491" s="7" t="str">
        <f t="shared" si="187"/>
        <v>Tue</v>
      </c>
      <c r="F1491" t="s">
        <v>167</v>
      </c>
      <c r="G1491" t="s">
        <v>59</v>
      </c>
      <c r="H1491" t="s">
        <v>22</v>
      </c>
      <c r="I1491" s="2" t="str">
        <f t="shared" si="184"/>
        <v>South</v>
      </c>
      <c r="J1491" t="s">
        <v>27</v>
      </c>
      <c r="K1491" t="s">
        <v>13</v>
      </c>
      <c r="L1491">
        <v>5</v>
      </c>
      <c r="M1491">
        <v>120</v>
      </c>
      <c r="N1491">
        <f t="shared" si="188"/>
        <v>600</v>
      </c>
      <c r="O1491">
        <f t="shared" si="189"/>
        <v>60</v>
      </c>
      <c r="P1491" t="str">
        <f t="shared" si="190"/>
        <v>Large Order</v>
      </c>
      <c r="Q1491" t="str">
        <f t="shared" si="191"/>
        <v>Weekday</v>
      </c>
    </row>
    <row r="1492" spans="1:17" x14ac:dyDescent="0.35">
      <c r="A1492" t="s">
        <v>1642</v>
      </c>
      <c r="B1492" s="7">
        <v>45307</v>
      </c>
      <c r="C1492" s="13">
        <f t="shared" si="185"/>
        <v>2024</v>
      </c>
      <c r="D1492" s="7" t="str">
        <f t="shared" si="186"/>
        <v>Jan</v>
      </c>
      <c r="E1492" s="7" t="str">
        <f t="shared" si="187"/>
        <v>Tue</v>
      </c>
      <c r="F1492" t="s">
        <v>203</v>
      </c>
      <c r="G1492" t="s">
        <v>84</v>
      </c>
      <c r="H1492" t="s">
        <v>22</v>
      </c>
      <c r="I1492" s="2" t="str">
        <f t="shared" si="184"/>
        <v>East</v>
      </c>
      <c r="J1492" t="s">
        <v>56</v>
      </c>
      <c r="K1492" t="s">
        <v>23</v>
      </c>
      <c r="L1492">
        <v>14</v>
      </c>
      <c r="M1492">
        <v>120</v>
      </c>
      <c r="N1492">
        <f t="shared" si="188"/>
        <v>1680</v>
      </c>
      <c r="O1492">
        <f t="shared" si="189"/>
        <v>168</v>
      </c>
      <c r="P1492" t="str">
        <f t="shared" si="190"/>
        <v>Large Order</v>
      </c>
      <c r="Q1492" t="str">
        <f t="shared" si="191"/>
        <v>Weekday</v>
      </c>
    </row>
    <row r="1493" spans="1:17" x14ac:dyDescent="0.35">
      <c r="A1493" t="s">
        <v>1643</v>
      </c>
      <c r="B1493" s="7">
        <v>45372</v>
      </c>
      <c r="C1493" s="13">
        <f t="shared" si="185"/>
        <v>2024</v>
      </c>
      <c r="D1493" s="7" t="str">
        <f t="shared" si="186"/>
        <v>Mar</v>
      </c>
      <c r="E1493" s="7" t="str">
        <f t="shared" si="187"/>
        <v>Thu</v>
      </c>
      <c r="F1493" t="s">
        <v>200</v>
      </c>
      <c r="G1493" t="s">
        <v>74</v>
      </c>
      <c r="H1493" t="s">
        <v>22</v>
      </c>
      <c r="I1493" s="2" t="str">
        <f t="shared" si="184"/>
        <v>North</v>
      </c>
      <c r="J1493" t="s">
        <v>42</v>
      </c>
      <c r="K1493" t="s">
        <v>36</v>
      </c>
      <c r="L1493">
        <v>20</v>
      </c>
      <c r="M1493">
        <v>120</v>
      </c>
      <c r="N1493">
        <f t="shared" si="188"/>
        <v>2400</v>
      </c>
      <c r="O1493">
        <f t="shared" si="189"/>
        <v>240</v>
      </c>
      <c r="P1493" t="str">
        <f t="shared" si="190"/>
        <v>Large Order</v>
      </c>
      <c r="Q1493" t="str">
        <f t="shared" si="191"/>
        <v>Weekday</v>
      </c>
    </row>
    <row r="1494" spans="1:17" x14ac:dyDescent="0.35">
      <c r="A1494" t="s">
        <v>1644</v>
      </c>
      <c r="B1494" s="7">
        <v>45318</v>
      </c>
      <c r="C1494" s="13">
        <f t="shared" si="185"/>
        <v>2024</v>
      </c>
      <c r="D1494" s="7" t="str">
        <f t="shared" si="186"/>
        <v>Jan</v>
      </c>
      <c r="E1494" s="7" t="str">
        <f t="shared" si="187"/>
        <v>Sat</v>
      </c>
      <c r="F1494" t="s">
        <v>125</v>
      </c>
      <c r="G1494" t="s">
        <v>45</v>
      </c>
      <c r="H1494" t="s">
        <v>22</v>
      </c>
      <c r="I1494" s="2" t="str">
        <f t="shared" si="184"/>
        <v>West</v>
      </c>
      <c r="J1494" t="s">
        <v>12</v>
      </c>
      <c r="K1494" t="s">
        <v>13</v>
      </c>
      <c r="L1494">
        <v>9</v>
      </c>
      <c r="M1494">
        <v>120</v>
      </c>
      <c r="N1494">
        <f t="shared" si="188"/>
        <v>1080</v>
      </c>
      <c r="O1494">
        <f t="shared" si="189"/>
        <v>108</v>
      </c>
      <c r="P1494" t="str">
        <f t="shared" si="190"/>
        <v>Large Order</v>
      </c>
      <c r="Q1494" t="str">
        <f t="shared" si="191"/>
        <v>Weekend</v>
      </c>
    </row>
    <row r="1495" spans="1:17" x14ac:dyDescent="0.35">
      <c r="A1495" t="s">
        <v>1645</v>
      </c>
      <c r="B1495" s="7">
        <v>45509</v>
      </c>
      <c r="C1495" s="13">
        <f t="shared" si="185"/>
        <v>2024</v>
      </c>
      <c r="D1495" s="7" t="str">
        <f t="shared" si="186"/>
        <v>Aug</v>
      </c>
      <c r="E1495" s="7" t="str">
        <f t="shared" si="187"/>
        <v>Mon</v>
      </c>
      <c r="F1495" t="s">
        <v>374</v>
      </c>
      <c r="G1495" t="s">
        <v>109</v>
      </c>
      <c r="H1495" t="s">
        <v>17</v>
      </c>
      <c r="I1495" s="2" t="str">
        <f t="shared" si="184"/>
        <v>East</v>
      </c>
      <c r="J1495" t="s">
        <v>27</v>
      </c>
      <c r="K1495" t="s">
        <v>32</v>
      </c>
      <c r="L1495">
        <v>7</v>
      </c>
      <c r="M1495">
        <v>120</v>
      </c>
      <c r="N1495">
        <f t="shared" si="188"/>
        <v>840</v>
      </c>
      <c r="O1495">
        <f t="shared" si="189"/>
        <v>84</v>
      </c>
      <c r="P1495" t="str">
        <f t="shared" si="190"/>
        <v>Large Order</v>
      </c>
      <c r="Q1495" t="str">
        <f t="shared" si="191"/>
        <v>Weekday</v>
      </c>
    </row>
    <row r="1496" spans="1:17" x14ac:dyDescent="0.35">
      <c r="A1496" t="s">
        <v>1646</v>
      </c>
      <c r="B1496" s="7">
        <v>45350</v>
      </c>
      <c r="C1496" s="13">
        <f t="shared" si="185"/>
        <v>2024</v>
      </c>
      <c r="D1496" s="7" t="str">
        <f t="shared" si="186"/>
        <v>Feb</v>
      </c>
      <c r="E1496" s="7" t="str">
        <f t="shared" si="187"/>
        <v>Wed</v>
      </c>
      <c r="F1496" t="s">
        <v>20</v>
      </c>
      <c r="G1496" t="s">
        <v>87</v>
      </c>
      <c r="H1496" t="s">
        <v>11</v>
      </c>
      <c r="I1496" s="2" t="str">
        <f t="shared" si="184"/>
        <v>Central</v>
      </c>
      <c r="J1496" t="s">
        <v>42</v>
      </c>
      <c r="K1496" t="s">
        <v>36</v>
      </c>
      <c r="L1496">
        <v>16</v>
      </c>
      <c r="M1496">
        <v>120</v>
      </c>
      <c r="N1496">
        <f t="shared" si="188"/>
        <v>1920</v>
      </c>
      <c r="O1496">
        <f t="shared" si="189"/>
        <v>192</v>
      </c>
      <c r="P1496" t="str">
        <f t="shared" si="190"/>
        <v>Large Order</v>
      </c>
      <c r="Q1496" t="str">
        <f t="shared" si="191"/>
        <v>Weekday</v>
      </c>
    </row>
    <row r="1497" spans="1:17" x14ac:dyDescent="0.35">
      <c r="A1497" t="s">
        <v>1647</v>
      </c>
      <c r="B1497" s="7">
        <v>45449</v>
      </c>
      <c r="C1497" s="13">
        <f t="shared" si="185"/>
        <v>2024</v>
      </c>
      <c r="D1497" s="7" t="str">
        <f t="shared" si="186"/>
        <v>Jun</v>
      </c>
      <c r="E1497" s="7" t="str">
        <f t="shared" si="187"/>
        <v>Thu</v>
      </c>
      <c r="F1497" t="s">
        <v>116</v>
      </c>
      <c r="G1497" t="s">
        <v>197</v>
      </c>
      <c r="H1497" t="s">
        <v>17</v>
      </c>
      <c r="I1497" s="2" t="str">
        <f t="shared" si="184"/>
        <v>East</v>
      </c>
      <c r="J1497" t="s">
        <v>306</v>
      </c>
      <c r="K1497" t="s">
        <v>13</v>
      </c>
      <c r="L1497">
        <v>1</v>
      </c>
      <c r="M1497">
        <v>120</v>
      </c>
      <c r="N1497">
        <f t="shared" si="188"/>
        <v>120</v>
      </c>
      <c r="O1497">
        <f t="shared" si="189"/>
        <v>12</v>
      </c>
      <c r="P1497" t="str">
        <f t="shared" si="190"/>
        <v>Standard Order</v>
      </c>
      <c r="Q1497" t="str">
        <f t="shared" si="191"/>
        <v>Weekday</v>
      </c>
    </row>
    <row r="1498" spans="1:17" x14ac:dyDescent="0.35">
      <c r="A1498" t="s">
        <v>1648</v>
      </c>
      <c r="B1498" s="7">
        <v>45400</v>
      </c>
      <c r="C1498" s="13">
        <f t="shared" si="185"/>
        <v>2024</v>
      </c>
      <c r="D1498" s="7" t="str">
        <f t="shared" si="186"/>
        <v>Apr</v>
      </c>
      <c r="E1498" s="7" t="str">
        <f t="shared" si="187"/>
        <v>Thu</v>
      </c>
      <c r="F1498" t="s">
        <v>337</v>
      </c>
      <c r="G1498" t="s">
        <v>16</v>
      </c>
      <c r="H1498" t="s">
        <v>17</v>
      </c>
      <c r="I1498" s="2" t="str">
        <f t="shared" si="184"/>
        <v>Central</v>
      </c>
      <c r="J1498" t="s">
        <v>42</v>
      </c>
      <c r="K1498" t="s">
        <v>32</v>
      </c>
      <c r="L1498">
        <v>4</v>
      </c>
      <c r="M1498">
        <v>120</v>
      </c>
      <c r="N1498">
        <f t="shared" si="188"/>
        <v>480</v>
      </c>
      <c r="O1498">
        <f t="shared" si="189"/>
        <v>48</v>
      </c>
      <c r="P1498" t="str">
        <f t="shared" si="190"/>
        <v>Standard Order</v>
      </c>
      <c r="Q1498" t="str">
        <f t="shared" si="191"/>
        <v>Weekday</v>
      </c>
    </row>
    <row r="1499" spans="1:17" x14ac:dyDescent="0.35">
      <c r="A1499" t="s">
        <v>1649</v>
      </c>
      <c r="B1499" s="7">
        <v>45512</v>
      </c>
      <c r="C1499" s="13">
        <f t="shared" si="185"/>
        <v>2024</v>
      </c>
      <c r="D1499" s="7" t="str">
        <f t="shared" si="186"/>
        <v>Aug</v>
      </c>
      <c r="E1499" s="7" t="str">
        <f t="shared" si="187"/>
        <v>Thu</v>
      </c>
      <c r="F1499" t="s">
        <v>235</v>
      </c>
      <c r="G1499" t="s">
        <v>16</v>
      </c>
      <c r="H1499" t="s">
        <v>17</v>
      </c>
      <c r="I1499" s="2" t="str">
        <f t="shared" si="184"/>
        <v>North</v>
      </c>
      <c r="J1499" t="s">
        <v>306</v>
      </c>
      <c r="K1499" t="s">
        <v>28</v>
      </c>
      <c r="L1499">
        <v>17</v>
      </c>
      <c r="M1499">
        <v>120</v>
      </c>
      <c r="N1499">
        <f t="shared" si="188"/>
        <v>2040</v>
      </c>
      <c r="O1499">
        <f t="shared" si="189"/>
        <v>204</v>
      </c>
      <c r="P1499" t="str">
        <f t="shared" si="190"/>
        <v>Large Order</v>
      </c>
      <c r="Q1499" t="str">
        <f t="shared" si="191"/>
        <v>Weekday</v>
      </c>
    </row>
    <row r="1500" spans="1:17" x14ac:dyDescent="0.35">
      <c r="A1500" t="s">
        <v>1650</v>
      </c>
      <c r="B1500" s="7">
        <v>45634</v>
      </c>
      <c r="C1500" s="13">
        <f t="shared" si="185"/>
        <v>2024</v>
      </c>
      <c r="D1500" s="7" t="str">
        <f t="shared" si="186"/>
        <v>Dec</v>
      </c>
      <c r="E1500" s="7" t="str">
        <f t="shared" si="187"/>
        <v>Sun</v>
      </c>
      <c r="F1500" t="s">
        <v>182</v>
      </c>
      <c r="G1500" t="s">
        <v>10</v>
      </c>
      <c r="H1500" t="s">
        <v>17</v>
      </c>
      <c r="I1500" s="2" t="str">
        <f t="shared" si="184"/>
        <v>Central</v>
      </c>
      <c r="J1500" t="s">
        <v>12</v>
      </c>
      <c r="K1500" t="s">
        <v>23</v>
      </c>
      <c r="L1500">
        <v>1</v>
      </c>
      <c r="M1500">
        <v>120</v>
      </c>
      <c r="N1500">
        <f t="shared" si="188"/>
        <v>120</v>
      </c>
      <c r="O1500">
        <f t="shared" si="189"/>
        <v>12</v>
      </c>
      <c r="P1500" t="str">
        <f t="shared" si="190"/>
        <v>Standard Order</v>
      </c>
      <c r="Q1500" t="str">
        <f t="shared" si="191"/>
        <v>Weekend</v>
      </c>
    </row>
    <row r="1501" spans="1:17" x14ac:dyDescent="0.35">
      <c r="A1501" t="s">
        <v>1651</v>
      </c>
      <c r="B1501" s="7">
        <v>45331</v>
      </c>
      <c r="C1501" s="13">
        <f t="shared" si="185"/>
        <v>2024</v>
      </c>
      <c r="D1501" s="7" t="str">
        <f t="shared" si="186"/>
        <v>Feb</v>
      </c>
      <c r="E1501" s="7" t="str">
        <f t="shared" si="187"/>
        <v>Fri</v>
      </c>
      <c r="F1501" t="s">
        <v>38</v>
      </c>
      <c r="G1501" t="s">
        <v>59</v>
      </c>
      <c r="H1501" t="s">
        <v>17</v>
      </c>
      <c r="I1501" s="2" t="str">
        <f t="shared" si="184"/>
        <v>Central</v>
      </c>
      <c r="J1501" t="s">
        <v>306</v>
      </c>
      <c r="K1501" t="s">
        <v>23</v>
      </c>
      <c r="L1501">
        <v>14</v>
      </c>
      <c r="M1501">
        <v>120</v>
      </c>
      <c r="N1501">
        <f t="shared" si="188"/>
        <v>1680</v>
      </c>
      <c r="O1501">
        <f t="shared" si="189"/>
        <v>168</v>
      </c>
      <c r="P1501" t="str">
        <f t="shared" si="190"/>
        <v>Large Order</v>
      </c>
      <c r="Q1501" t="str">
        <f t="shared" si="191"/>
        <v>Weekday</v>
      </c>
    </row>
    <row r="1502" spans="1:17" x14ac:dyDescent="0.35">
      <c r="A1502" t="s">
        <v>1652</v>
      </c>
      <c r="B1502" s="7">
        <v>45499</v>
      </c>
      <c r="C1502" s="13">
        <f t="shared" si="185"/>
        <v>2024</v>
      </c>
      <c r="D1502" s="7" t="str">
        <f t="shared" si="186"/>
        <v>Jul</v>
      </c>
      <c r="E1502" s="7" t="str">
        <f t="shared" si="187"/>
        <v>Fri</v>
      </c>
      <c r="F1502" t="s">
        <v>138</v>
      </c>
      <c r="G1502" t="s">
        <v>72</v>
      </c>
      <c r="H1502" t="s">
        <v>11</v>
      </c>
      <c r="I1502" s="2" t="str">
        <f t="shared" si="184"/>
        <v>West</v>
      </c>
      <c r="J1502" t="s">
        <v>306</v>
      </c>
      <c r="K1502" t="s">
        <v>23</v>
      </c>
      <c r="L1502">
        <v>12</v>
      </c>
      <c r="M1502">
        <v>120</v>
      </c>
      <c r="N1502">
        <f t="shared" si="188"/>
        <v>1440</v>
      </c>
      <c r="O1502">
        <f t="shared" si="189"/>
        <v>144</v>
      </c>
      <c r="P1502" t="str">
        <f t="shared" si="190"/>
        <v>Large Order</v>
      </c>
      <c r="Q1502" t="str">
        <f t="shared" si="191"/>
        <v>Weekday</v>
      </c>
    </row>
    <row r="1503" spans="1:17" x14ac:dyDescent="0.35">
      <c r="A1503" t="s">
        <v>1653</v>
      </c>
      <c r="B1503" s="7">
        <v>45346</v>
      </c>
      <c r="C1503" s="13">
        <f t="shared" si="185"/>
        <v>2024</v>
      </c>
      <c r="D1503" s="7" t="str">
        <f t="shared" si="186"/>
        <v>Feb</v>
      </c>
      <c r="E1503" s="7" t="str">
        <f t="shared" si="187"/>
        <v>Sat</v>
      </c>
      <c r="F1503" t="s">
        <v>78</v>
      </c>
      <c r="G1503" t="s">
        <v>87</v>
      </c>
      <c r="H1503" t="s">
        <v>22</v>
      </c>
      <c r="I1503" s="2" t="str">
        <f t="shared" si="184"/>
        <v>East</v>
      </c>
      <c r="J1503" t="s">
        <v>27</v>
      </c>
      <c r="K1503" t="s">
        <v>36</v>
      </c>
      <c r="L1503">
        <v>3</v>
      </c>
      <c r="M1503">
        <v>120</v>
      </c>
      <c r="N1503">
        <f t="shared" si="188"/>
        <v>360</v>
      </c>
      <c r="O1503">
        <f t="shared" si="189"/>
        <v>36</v>
      </c>
      <c r="P1503" t="str">
        <f t="shared" si="190"/>
        <v>Standard Order</v>
      </c>
      <c r="Q1503" t="str">
        <f t="shared" si="191"/>
        <v>Weekend</v>
      </c>
    </row>
    <row r="1504" spans="1:17" x14ac:dyDescent="0.35">
      <c r="A1504" t="s">
        <v>1654</v>
      </c>
      <c r="B1504" s="7">
        <v>45450</v>
      </c>
      <c r="C1504" s="13">
        <f t="shared" si="185"/>
        <v>2024</v>
      </c>
      <c r="D1504" s="7" t="str">
        <f t="shared" si="186"/>
        <v>Jun</v>
      </c>
      <c r="E1504" s="7" t="str">
        <f t="shared" si="187"/>
        <v>Fri</v>
      </c>
      <c r="F1504" t="s">
        <v>323</v>
      </c>
      <c r="G1504" t="s">
        <v>72</v>
      </c>
      <c r="H1504" t="s">
        <v>11</v>
      </c>
      <c r="I1504" s="2" t="str">
        <f t="shared" si="184"/>
        <v>East</v>
      </c>
      <c r="J1504" t="s">
        <v>42</v>
      </c>
      <c r="K1504" t="s">
        <v>28</v>
      </c>
      <c r="L1504">
        <v>3</v>
      </c>
      <c r="M1504">
        <v>120</v>
      </c>
      <c r="N1504">
        <f t="shared" si="188"/>
        <v>360</v>
      </c>
      <c r="O1504">
        <f t="shared" si="189"/>
        <v>36</v>
      </c>
      <c r="P1504" t="str">
        <f t="shared" si="190"/>
        <v>Standard Order</v>
      </c>
      <c r="Q1504" t="str">
        <f t="shared" si="191"/>
        <v>Weekday</v>
      </c>
    </row>
    <row r="1505" spans="1:17" x14ac:dyDescent="0.35">
      <c r="A1505" t="s">
        <v>1655</v>
      </c>
      <c r="B1505" s="7">
        <v>45350</v>
      </c>
      <c r="C1505" s="13">
        <f t="shared" si="185"/>
        <v>2024</v>
      </c>
      <c r="D1505" s="7" t="str">
        <f t="shared" si="186"/>
        <v>Feb</v>
      </c>
      <c r="E1505" s="7" t="str">
        <f t="shared" si="187"/>
        <v>Wed</v>
      </c>
      <c r="F1505" t="s">
        <v>339</v>
      </c>
      <c r="G1505" t="s">
        <v>160</v>
      </c>
      <c r="H1505" t="s">
        <v>11</v>
      </c>
      <c r="I1505" s="2" t="str">
        <f t="shared" si="184"/>
        <v>Central</v>
      </c>
      <c r="J1505" t="s">
        <v>42</v>
      </c>
      <c r="K1505" t="s">
        <v>32</v>
      </c>
      <c r="L1505">
        <v>5</v>
      </c>
      <c r="M1505">
        <v>120</v>
      </c>
      <c r="N1505">
        <f t="shared" si="188"/>
        <v>600</v>
      </c>
      <c r="O1505">
        <f t="shared" si="189"/>
        <v>60</v>
      </c>
      <c r="P1505" t="str">
        <f t="shared" si="190"/>
        <v>Large Order</v>
      </c>
      <c r="Q1505" t="str">
        <f t="shared" si="191"/>
        <v>Weekday</v>
      </c>
    </row>
    <row r="1506" spans="1:17" x14ac:dyDescent="0.35">
      <c r="A1506" t="s">
        <v>1656</v>
      </c>
      <c r="B1506" s="7">
        <v>45366</v>
      </c>
      <c r="C1506" s="13">
        <f t="shared" si="185"/>
        <v>2024</v>
      </c>
      <c r="D1506" s="7" t="str">
        <f t="shared" si="186"/>
        <v>Mar</v>
      </c>
      <c r="E1506" s="7" t="str">
        <f t="shared" si="187"/>
        <v>Fri</v>
      </c>
      <c r="F1506" t="s">
        <v>230</v>
      </c>
      <c r="G1506" t="s">
        <v>65</v>
      </c>
      <c r="H1506" t="s">
        <v>11</v>
      </c>
      <c r="I1506" s="2" t="str">
        <f t="shared" si="184"/>
        <v>Central</v>
      </c>
      <c r="J1506" t="s">
        <v>306</v>
      </c>
      <c r="K1506" t="s">
        <v>28</v>
      </c>
      <c r="L1506">
        <v>3</v>
      </c>
      <c r="M1506">
        <v>120</v>
      </c>
      <c r="N1506">
        <f t="shared" si="188"/>
        <v>360</v>
      </c>
      <c r="O1506">
        <f t="shared" si="189"/>
        <v>36</v>
      </c>
      <c r="P1506" t="str">
        <f t="shared" si="190"/>
        <v>Standard Order</v>
      </c>
      <c r="Q1506" t="str">
        <f t="shared" si="191"/>
        <v>Weekday</v>
      </c>
    </row>
    <row r="1507" spans="1:17" x14ac:dyDescent="0.35">
      <c r="A1507" t="s">
        <v>1657</v>
      </c>
      <c r="B1507" s="7">
        <v>45613</v>
      </c>
      <c r="C1507" s="13">
        <f t="shared" si="185"/>
        <v>2024</v>
      </c>
      <c r="D1507" s="7" t="str">
        <f t="shared" si="186"/>
        <v>Nov</v>
      </c>
      <c r="E1507" s="7" t="str">
        <f t="shared" si="187"/>
        <v>Sun</v>
      </c>
      <c r="F1507" t="s">
        <v>432</v>
      </c>
      <c r="G1507" t="s">
        <v>70</v>
      </c>
      <c r="H1507" t="s">
        <v>22</v>
      </c>
      <c r="I1507" s="2" t="str">
        <f t="shared" si="184"/>
        <v>South</v>
      </c>
      <c r="J1507" t="s">
        <v>306</v>
      </c>
      <c r="K1507" t="s">
        <v>23</v>
      </c>
      <c r="L1507">
        <v>19</v>
      </c>
      <c r="M1507">
        <v>120</v>
      </c>
      <c r="N1507">
        <f t="shared" si="188"/>
        <v>2280</v>
      </c>
      <c r="O1507">
        <f t="shared" si="189"/>
        <v>228</v>
      </c>
      <c r="P1507" t="str">
        <f t="shared" si="190"/>
        <v>Large Order</v>
      </c>
      <c r="Q1507" t="str">
        <f t="shared" si="191"/>
        <v>Weekend</v>
      </c>
    </row>
    <row r="1508" spans="1:17" x14ac:dyDescent="0.35">
      <c r="A1508" t="s">
        <v>1658</v>
      </c>
      <c r="B1508" s="7">
        <v>45611</v>
      </c>
      <c r="C1508" s="13">
        <f t="shared" si="185"/>
        <v>2024</v>
      </c>
      <c r="D1508" s="7" t="str">
        <f t="shared" si="186"/>
        <v>Nov</v>
      </c>
      <c r="E1508" s="7" t="str">
        <f t="shared" si="187"/>
        <v>Fri</v>
      </c>
      <c r="F1508" t="s">
        <v>187</v>
      </c>
      <c r="G1508" t="s">
        <v>21</v>
      </c>
      <c r="H1508" t="s">
        <v>17</v>
      </c>
      <c r="I1508" s="2" t="str">
        <f t="shared" si="184"/>
        <v>North</v>
      </c>
      <c r="J1508" t="s">
        <v>56</v>
      </c>
      <c r="K1508" t="s">
        <v>23</v>
      </c>
      <c r="L1508">
        <v>3</v>
      </c>
      <c r="M1508">
        <v>120</v>
      </c>
      <c r="N1508">
        <f t="shared" si="188"/>
        <v>360</v>
      </c>
      <c r="O1508">
        <f t="shared" si="189"/>
        <v>36</v>
      </c>
      <c r="P1508" t="str">
        <f t="shared" si="190"/>
        <v>Standard Order</v>
      </c>
      <c r="Q1508" t="str">
        <f t="shared" si="191"/>
        <v>Weekday</v>
      </c>
    </row>
    <row r="1509" spans="1:17" x14ac:dyDescent="0.35">
      <c r="A1509" t="s">
        <v>1659</v>
      </c>
      <c r="B1509" s="7">
        <v>45615</v>
      </c>
      <c r="C1509" s="13">
        <f t="shared" si="185"/>
        <v>2024</v>
      </c>
      <c r="D1509" s="7" t="str">
        <f t="shared" si="186"/>
        <v>Nov</v>
      </c>
      <c r="E1509" s="7" t="str">
        <f t="shared" si="187"/>
        <v>Tue</v>
      </c>
      <c r="F1509" t="s">
        <v>68</v>
      </c>
      <c r="G1509" t="s">
        <v>26</v>
      </c>
      <c r="H1509" t="s">
        <v>22</v>
      </c>
      <c r="I1509" s="2" t="str">
        <f t="shared" si="184"/>
        <v>East</v>
      </c>
      <c r="J1509" t="s">
        <v>12</v>
      </c>
      <c r="K1509" t="s">
        <v>32</v>
      </c>
      <c r="L1509">
        <v>17</v>
      </c>
      <c r="M1509">
        <v>120</v>
      </c>
      <c r="N1509">
        <f t="shared" si="188"/>
        <v>2040</v>
      </c>
      <c r="O1509">
        <f t="shared" si="189"/>
        <v>204</v>
      </c>
      <c r="P1509" t="str">
        <f t="shared" si="190"/>
        <v>Large Order</v>
      </c>
      <c r="Q1509" t="str">
        <f t="shared" si="191"/>
        <v>Weekday</v>
      </c>
    </row>
    <row r="1510" spans="1:17" x14ac:dyDescent="0.35">
      <c r="A1510" t="s">
        <v>1660</v>
      </c>
      <c r="B1510" s="7">
        <v>45528</v>
      </c>
      <c r="C1510" s="13">
        <f t="shared" si="185"/>
        <v>2024</v>
      </c>
      <c r="D1510" s="7" t="str">
        <f t="shared" si="186"/>
        <v>Aug</v>
      </c>
      <c r="E1510" s="7" t="str">
        <f t="shared" si="187"/>
        <v>Sat</v>
      </c>
      <c r="F1510" t="s">
        <v>430</v>
      </c>
      <c r="G1510" t="s">
        <v>79</v>
      </c>
      <c r="H1510" t="s">
        <v>11</v>
      </c>
      <c r="I1510" s="2" t="str">
        <f t="shared" si="184"/>
        <v>West</v>
      </c>
      <c r="J1510" t="s">
        <v>42</v>
      </c>
      <c r="K1510" t="s">
        <v>32</v>
      </c>
      <c r="L1510">
        <v>3</v>
      </c>
      <c r="M1510">
        <v>120</v>
      </c>
      <c r="N1510">
        <f t="shared" si="188"/>
        <v>360</v>
      </c>
      <c r="O1510">
        <f t="shared" si="189"/>
        <v>36</v>
      </c>
      <c r="P1510" t="str">
        <f t="shared" si="190"/>
        <v>Standard Order</v>
      </c>
      <c r="Q1510" t="str">
        <f t="shared" si="191"/>
        <v>Weekend</v>
      </c>
    </row>
    <row r="1511" spans="1:17" x14ac:dyDescent="0.35">
      <c r="A1511" t="s">
        <v>1661</v>
      </c>
      <c r="B1511" s="7">
        <v>45338</v>
      </c>
      <c r="C1511" s="13">
        <f t="shared" si="185"/>
        <v>2024</v>
      </c>
      <c r="D1511" s="7" t="str">
        <f t="shared" si="186"/>
        <v>Feb</v>
      </c>
      <c r="E1511" s="7" t="str">
        <f t="shared" si="187"/>
        <v>Fri</v>
      </c>
      <c r="F1511" t="s">
        <v>594</v>
      </c>
      <c r="G1511" t="s">
        <v>109</v>
      </c>
      <c r="H1511" t="s">
        <v>22</v>
      </c>
      <c r="I1511" s="2" t="str">
        <f t="shared" si="184"/>
        <v>South</v>
      </c>
      <c r="J1511" t="s">
        <v>27</v>
      </c>
      <c r="K1511" t="s">
        <v>23</v>
      </c>
      <c r="L1511">
        <v>19</v>
      </c>
      <c r="M1511">
        <v>120</v>
      </c>
      <c r="N1511">
        <f t="shared" si="188"/>
        <v>2280</v>
      </c>
      <c r="O1511">
        <f t="shared" si="189"/>
        <v>228</v>
      </c>
      <c r="P1511" t="str">
        <f t="shared" si="190"/>
        <v>Large Order</v>
      </c>
      <c r="Q1511" t="str">
        <f t="shared" si="191"/>
        <v>Weekday</v>
      </c>
    </row>
    <row r="1512" spans="1:17" x14ac:dyDescent="0.35">
      <c r="A1512" t="s">
        <v>1662</v>
      </c>
      <c r="B1512" s="7">
        <v>45313</v>
      </c>
      <c r="C1512" s="13">
        <f t="shared" si="185"/>
        <v>2024</v>
      </c>
      <c r="D1512" s="7" t="str">
        <f t="shared" si="186"/>
        <v>Jan</v>
      </c>
      <c r="E1512" s="7" t="str">
        <f t="shared" si="187"/>
        <v>Mon</v>
      </c>
      <c r="F1512" t="s">
        <v>430</v>
      </c>
      <c r="G1512" t="s">
        <v>59</v>
      </c>
      <c r="H1512" t="s">
        <v>22</v>
      </c>
      <c r="I1512" s="2" t="str">
        <f t="shared" si="184"/>
        <v>East</v>
      </c>
      <c r="J1512" t="s">
        <v>56</v>
      </c>
      <c r="K1512" t="s">
        <v>32</v>
      </c>
      <c r="L1512">
        <v>20</v>
      </c>
      <c r="M1512">
        <v>120</v>
      </c>
      <c r="N1512">
        <f t="shared" si="188"/>
        <v>2400</v>
      </c>
      <c r="O1512">
        <f t="shared" si="189"/>
        <v>240</v>
      </c>
      <c r="P1512" t="str">
        <f t="shared" si="190"/>
        <v>Large Order</v>
      </c>
      <c r="Q1512" t="str">
        <f t="shared" si="191"/>
        <v>Weekday</v>
      </c>
    </row>
    <row r="1513" spans="1:17" x14ac:dyDescent="0.35">
      <c r="A1513" t="s">
        <v>1663</v>
      </c>
      <c r="B1513" s="7">
        <v>45369</v>
      </c>
      <c r="C1513" s="13">
        <f t="shared" si="185"/>
        <v>2024</v>
      </c>
      <c r="D1513" s="7" t="str">
        <f t="shared" si="186"/>
        <v>Mar</v>
      </c>
      <c r="E1513" s="7" t="str">
        <f t="shared" si="187"/>
        <v>Mon</v>
      </c>
      <c r="F1513" t="s">
        <v>131</v>
      </c>
      <c r="G1513" t="s">
        <v>70</v>
      </c>
      <c r="H1513" t="s">
        <v>11</v>
      </c>
      <c r="I1513" s="2" t="str">
        <f t="shared" si="184"/>
        <v>West</v>
      </c>
      <c r="J1513" t="s">
        <v>42</v>
      </c>
      <c r="K1513" t="s">
        <v>13</v>
      </c>
      <c r="L1513">
        <v>17</v>
      </c>
      <c r="M1513">
        <v>120</v>
      </c>
      <c r="N1513">
        <f t="shared" si="188"/>
        <v>2040</v>
      </c>
      <c r="O1513">
        <f t="shared" si="189"/>
        <v>204</v>
      </c>
      <c r="P1513" t="str">
        <f t="shared" si="190"/>
        <v>Large Order</v>
      </c>
      <c r="Q1513" t="str">
        <f t="shared" si="191"/>
        <v>Weekday</v>
      </c>
    </row>
    <row r="1514" spans="1:17" x14ac:dyDescent="0.35">
      <c r="A1514" t="s">
        <v>1664</v>
      </c>
      <c r="B1514" s="7">
        <v>45312</v>
      </c>
      <c r="C1514" s="13">
        <f t="shared" si="185"/>
        <v>2024</v>
      </c>
      <c r="D1514" s="7" t="str">
        <f t="shared" si="186"/>
        <v>Jan</v>
      </c>
      <c r="E1514" s="7" t="str">
        <f t="shared" si="187"/>
        <v>Sun</v>
      </c>
      <c r="F1514" t="s">
        <v>78</v>
      </c>
      <c r="G1514" t="s">
        <v>62</v>
      </c>
      <c r="H1514" t="s">
        <v>17</v>
      </c>
      <c r="I1514" s="2" t="str">
        <f t="shared" si="184"/>
        <v>West</v>
      </c>
      <c r="J1514" t="s">
        <v>27</v>
      </c>
      <c r="K1514" t="s">
        <v>36</v>
      </c>
      <c r="L1514">
        <v>17</v>
      </c>
      <c r="M1514">
        <v>120</v>
      </c>
      <c r="N1514">
        <f t="shared" si="188"/>
        <v>2040</v>
      </c>
      <c r="O1514">
        <f t="shared" si="189"/>
        <v>204</v>
      </c>
      <c r="P1514" t="str">
        <f t="shared" si="190"/>
        <v>Large Order</v>
      </c>
      <c r="Q1514" t="str">
        <f t="shared" si="191"/>
        <v>Weekend</v>
      </c>
    </row>
    <row r="1515" spans="1:17" x14ac:dyDescent="0.35">
      <c r="A1515" t="s">
        <v>1665</v>
      </c>
      <c r="B1515" s="7">
        <v>45478</v>
      </c>
      <c r="C1515" s="13">
        <f t="shared" si="185"/>
        <v>2024</v>
      </c>
      <c r="D1515" s="7" t="str">
        <f t="shared" si="186"/>
        <v>Jul</v>
      </c>
      <c r="E1515" s="7" t="str">
        <f t="shared" si="187"/>
        <v>Fri</v>
      </c>
      <c r="F1515" t="s">
        <v>200</v>
      </c>
      <c r="G1515" t="s">
        <v>74</v>
      </c>
      <c r="H1515" t="s">
        <v>17</v>
      </c>
      <c r="I1515" s="2" t="str">
        <f t="shared" si="184"/>
        <v>East</v>
      </c>
      <c r="J1515" t="s">
        <v>27</v>
      </c>
      <c r="K1515" t="s">
        <v>32</v>
      </c>
      <c r="L1515">
        <v>20</v>
      </c>
      <c r="M1515">
        <v>120</v>
      </c>
      <c r="N1515">
        <f t="shared" si="188"/>
        <v>2400</v>
      </c>
      <c r="O1515">
        <f t="shared" si="189"/>
        <v>240</v>
      </c>
      <c r="P1515" t="str">
        <f t="shared" si="190"/>
        <v>Large Order</v>
      </c>
      <c r="Q1515" t="str">
        <f t="shared" si="191"/>
        <v>Weekday</v>
      </c>
    </row>
    <row r="1516" spans="1:17" x14ac:dyDescent="0.35">
      <c r="A1516" t="s">
        <v>1666</v>
      </c>
      <c r="B1516" s="7">
        <v>45615</v>
      </c>
      <c r="C1516" s="13">
        <f t="shared" si="185"/>
        <v>2024</v>
      </c>
      <c r="D1516" s="7" t="str">
        <f t="shared" si="186"/>
        <v>Nov</v>
      </c>
      <c r="E1516" s="7" t="str">
        <f t="shared" si="187"/>
        <v>Tue</v>
      </c>
      <c r="F1516" t="s">
        <v>736</v>
      </c>
      <c r="G1516" t="s">
        <v>72</v>
      </c>
      <c r="H1516" t="s">
        <v>11</v>
      </c>
      <c r="I1516" s="2" t="str">
        <f t="shared" si="184"/>
        <v>Central</v>
      </c>
      <c r="J1516" t="s">
        <v>42</v>
      </c>
      <c r="K1516" t="s">
        <v>13</v>
      </c>
      <c r="L1516">
        <v>18</v>
      </c>
      <c r="M1516">
        <v>120</v>
      </c>
      <c r="N1516">
        <f t="shared" si="188"/>
        <v>2160</v>
      </c>
      <c r="O1516">
        <f t="shared" si="189"/>
        <v>216</v>
      </c>
      <c r="P1516" t="str">
        <f t="shared" si="190"/>
        <v>Large Order</v>
      </c>
      <c r="Q1516" t="str">
        <f t="shared" si="191"/>
        <v>Weekday</v>
      </c>
    </row>
    <row r="1517" spans="1:17" x14ac:dyDescent="0.35">
      <c r="A1517" t="s">
        <v>1667</v>
      </c>
      <c r="B1517" s="7">
        <v>45437</v>
      </c>
      <c r="C1517" s="13">
        <f t="shared" si="185"/>
        <v>2024</v>
      </c>
      <c r="D1517" s="7" t="str">
        <f t="shared" si="186"/>
        <v>May</v>
      </c>
      <c r="E1517" s="7" t="str">
        <f t="shared" si="187"/>
        <v>Sat</v>
      </c>
      <c r="F1517" t="s">
        <v>230</v>
      </c>
      <c r="G1517" t="s">
        <v>84</v>
      </c>
      <c r="H1517" t="s">
        <v>22</v>
      </c>
      <c r="I1517" s="2" t="str">
        <f t="shared" si="184"/>
        <v>West</v>
      </c>
      <c r="J1517" t="s">
        <v>306</v>
      </c>
      <c r="K1517" t="s">
        <v>28</v>
      </c>
      <c r="L1517">
        <v>11</v>
      </c>
      <c r="M1517">
        <v>120</v>
      </c>
      <c r="N1517">
        <f t="shared" si="188"/>
        <v>1320</v>
      </c>
      <c r="O1517">
        <f t="shared" si="189"/>
        <v>132</v>
      </c>
      <c r="P1517" t="str">
        <f t="shared" si="190"/>
        <v>Large Order</v>
      </c>
      <c r="Q1517" t="str">
        <f t="shared" si="191"/>
        <v>Weekend</v>
      </c>
    </row>
    <row r="1518" spans="1:17" x14ac:dyDescent="0.35">
      <c r="A1518" t="s">
        <v>1668</v>
      </c>
      <c r="B1518" s="7">
        <v>45631</v>
      </c>
      <c r="C1518" s="13">
        <f t="shared" si="185"/>
        <v>2024</v>
      </c>
      <c r="D1518" s="7" t="str">
        <f t="shared" si="186"/>
        <v>Dec</v>
      </c>
      <c r="E1518" s="7" t="str">
        <f t="shared" si="187"/>
        <v>Thu</v>
      </c>
      <c r="F1518" t="s">
        <v>167</v>
      </c>
      <c r="G1518" t="s">
        <v>48</v>
      </c>
      <c r="H1518" t="s">
        <v>17</v>
      </c>
      <c r="I1518" s="2" t="str">
        <f t="shared" si="184"/>
        <v>East</v>
      </c>
      <c r="J1518" t="s">
        <v>27</v>
      </c>
      <c r="K1518" t="s">
        <v>28</v>
      </c>
      <c r="L1518">
        <v>20</v>
      </c>
      <c r="M1518">
        <v>120</v>
      </c>
      <c r="N1518">
        <f t="shared" si="188"/>
        <v>2400</v>
      </c>
      <c r="O1518">
        <f t="shared" si="189"/>
        <v>240</v>
      </c>
      <c r="P1518" t="str">
        <f t="shared" si="190"/>
        <v>Large Order</v>
      </c>
      <c r="Q1518" t="str">
        <f t="shared" si="191"/>
        <v>Weekday</v>
      </c>
    </row>
    <row r="1519" spans="1:17" x14ac:dyDescent="0.35">
      <c r="A1519" t="s">
        <v>1669</v>
      </c>
      <c r="B1519" s="7">
        <v>45335</v>
      </c>
      <c r="C1519" s="13">
        <f t="shared" si="185"/>
        <v>2024</v>
      </c>
      <c r="D1519" s="7" t="str">
        <f t="shared" si="186"/>
        <v>Feb</v>
      </c>
      <c r="E1519" s="7" t="str">
        <f t="shared" si="187"/>
        <v>Tue</v>
      </c>
      <c r="F1519" t="s">
        <v>147</v>
      </c>
      <c r="G1519" t="s">
        <v>174</v>
      </c>
      <c r="H1519" t="s">
        <v>17</v>
      </c>
      <c r="I1519" s="2" t="str">
        <f t="shared" si="184"/>
        <v>North</v>
      </c>
      <c r="J1519" t="s">
        <v>42</v>
      </c>
      <c r="K1519" t="s">
        <v>28</v>
      </c>
      <c r="L1519">
        <v>17</v>
      </c>
      <c r="M1519">
        <v>120</v>
      </c>
      <c r="N1519">
        <f t="shared" si="188"/>
        <v>2040</v>
      </c>
      <c r="O1519">
        <f t="shared" si="189"/>
        <v>204</v>
      </c>
      <c r="P1519" t="str">
        <f t="shared" si="190"/>
        <v>Large Order</v>
      </c>
      <c r="Q1519" t="str">
        <f t="shared" si="191"/>
        <v>Weekday</v>
      </c>
    </row>
    <row r="1520" spans="1:17" x14ac:dyDescent="0.35">
      <c r="A1520" t="s">
        <v>1670</v>
      </c>
      <c r="B1520" s="7">
        <v>45635</v>
      </c>
      <c r="C1520" s="13">
        <f t="shared" si="185"/>
        <v>2024</v>
      </c>
      <c r="D1520" s="7" t="str">
        <f t="shared" si="186"/>
        <v>Dec</v>
      </c>
      <c r="E1520" s="7" t="str">
        <f t="shared" si="187"/>
        <v>Mon</v>
      </c>
      <c r="F1520" t="s">
        <v>309</v>
      </c>
      <c r="G1520" t="s">
        <v>160</v>
      </c>
      <c r="H1520" t="s">
        <v>17</v>
      </c>
      <c r="I1520" s="2" t="str">
        <f t="shared" si="184"/>
        <v>South</v>
      </c>
      <c r="J1520" t="s">
        <v>12</v>
      </c>
      <c r="K1520" t="s">
        <v>32</v>
      </c>
      <c r="L1520">
        <v>10</v>
      </c>
      <c r="M1520">
        <v>120</v>
      </c>
      <c r="N1520">
        <f t="shared" si="188"/>
        <v>1200</v>
      </c>
      <c r="O1520">
        <f t="shared" si="189"/>
        <v>120</v>
      </c>
      <c r="P1520" t="str">
        <f t="shared" si="190"/>
        <v>Large Order</v>
      </c>
      <c r="Q1520" t="str">
        <f t="shared" si="191"/>
        <v>Weekday</v>
      </c>
    </row>
    <row r="1521" spans="1:17" x14ac:dyDescent="0.35">
      <c r="A1521" t="s">
        <v>1671</v>
      </c>
      <c r="B1521" s="7">
        <v>45401</v>
      </c>
      <c r="C1521" s="13">
        <f t="shared" si="185"/>
        <v>2024</v>
      </c>
      <c r="D1521" s="7" t="str">
        <f t="shared" si="186"/>
        <v>Apr</v>
      </c>
      <c r="E1521" s="7" t="str">
        <f t="shared" si="187"/>
        <v>Fri</v>
      </c>
      <c r="F1521" t="s">
        <v>47</v>
      </c>
      <c r="G1521" t="s">
        <v>119</v>
      </c>
      <c r="H1521" t="s">
        <v>17</v>
      </c>
      <c r="I1521" s="2" t="str">
        <f t="shared" si="184"/>
        <v>Central</v>
      </c>
      <c r="J1521" t="s">
        <v>56</v>
      </c>
      <c r="K1521" t="s">
        <v>28</v>
      </c>
      <c r="L1521">
        <v>5</v>
      </c>
      <c r="M1521">
        <v>120</v>
      </c>
      <c r="N1521">
        <f t="shared" si="188"/>
        <v>600</v>
      </c>
      <c r="O1521">
        <f t="shared" si="189"/>
        <v>60</v>
      </c>
      <c r="P1521" t="str">
        <f t="shared" si="190"/>
        <v>Large Order</v>
      </c>
      <c r="Q1521" t="str">
        <f t="shared" si="191"/>
        <v>Weekday</v>
      </c>
    </row>
    <row r="1522" spans="1:17" x14ac:dyDescent="0.35">
      <c r="A1522" t="s">
        <v>1672</v>
      </c>
      <c r="B1522" s="7">
        <v>45443</v>
      </c>
      <c r="C1522" s="13">
        <f t="shared" si="185"/>
        <v>2024</v>
      </c>
      <c r="D1522" s="7" t="str">
        <f t="shared" si="186"/>
        <v>May</v>
      </c>
      <c r="E1522" s="7" t="str">
        <f t="shared" si="187"/>
        <v>Fri</v>
      </c>
      <c r="F1522" t="s">
        <v>728</v>
      </c>
      <c r="G1522" t="s">
        <v>102</v>
      </c>
      <c r="H1522" t="s">
        <v>22</v>
      </c>
      <c r="I1522" s="2" t="str">
        <f t="shared" si="184"/>
        <v>South</v>
      </c>
      <c r="J1522" t="s">
        <v>306</v>
      </c>
      <c r="K1522" t="s">
        <v>36</v>
      </c>
      <c r="L1522">
        <v>2</v>
      </c>
      <c r="M1522">
        <v>120</v>
      </c>
      <c r="N1522">
        <f t="shared" si="188"/>
        <v>240</v>
      </c>
      <c r="O1522">
        <f t="shared" si="189"/>
        <v>24</v>
      </c>
      <c r="P1522" t="str">
        <f t="shared" si="190"/>
        <v>Standard Order</v>
      </c>
      <c r="Q1522" t="str">
        <f t="shared" si="191"/>
        <v>Weekday</v>
      </c>
    </row>
    <row r="1523" spans="1:17" x14ac:dyDescent="0.35">
      <c r="A1523" t="s">
        <v>1673</v>
      </c>
      <c r="B1523" s="7">
        <v>45608</v>
      </c>
      <c r="C1523" s="13">
        <f t="shared" si="185"/>
        <v>2024</v>
      </c>
      <c r="D1523" s="7" t="str">
        <f t="shared" si="186"/>
        <v>Nov</v>
      </c>
      <c r="E1523" s="7" t="str">
        <f t="shared" si="187"/>
        <v>Tue</v>
      </c>
      <c r="F1523" t="s">
        <v>34</v>
      </c>
      <c r="G1523" t="s">
        <v>109</v>
      </c>
      <c r="H1523" t="s">
        <v>17</v>
      </c>
      <c r="I1523" s="2" t="str">
        <f t="shared" si="184"/>
        <v>North</v>
      </c>
      <c r="J1523" t="s">
        <v>56</v>
      </c>
      <c r="K1523" t="s">
        <v>28</v>
      </c>
      <c r="L1523">
        <v>6</v>
      </c>
      <c r="M1523">
        <v>120</v>
      </c>
      <c r="N1523">
        <f t="shared" si="188"/>
        <v>720</v>
      </c>
      <c r="O1523">
        <f t="shared" si="189"/>
        <v>72</v>
      </c>
      <c r="P1523" t="str">
        <f t="shared" si="190"/>
        <v>Large Order</v>
      </c>
      <c r="Q1523" t="str">
        <f t="shared" si="191"/>
        <v>Weekday</v>
      </c>
    </row>
    <row r="1524" spans="1:17" x14ac:dyDescent="0.35">
      <c r="A1524" t="s">
        <v>1674</v>
      </c>
      <c r="B1524" s="7">
        <v>45611</v>
      </c>
      <c r="C1524" s="13">
        <f t="shared" si="185"/>
        <v>2024</v>
      </c>
      <c r="D1524" s="7" t="str">
        <f t="shared" si="186"/>
        <v>Nov</v>
      </c>
      <c r="E1524" s="7" t="str">
        <f t="shared" si="187"/>
        <v>Fri</v>
      </c>
      <c r="F1524" t="s">
        <v>30</v>
      </c>
      <c r="G1524" t="s">
        <v>84</v>
      </c>
      <c r="H1524" t="s">
        <v>17</v>
      </c>
      <c r="I1524" s="2" t="str">
        <f t="shared" si="184"/>
        <v>West</v>
      </c>
      <c r="J1524" t="s">
        <v>12</v>
      </c>
      <c r="K1524" t="s">
        <v>23</v>
      </c>
      <c r="L1524">
        <v>12</v>
      </c>
      <c r="M1524">
        <v>120</v>
      </c>
      <c r="N1524">
        <f t="shared" si="188"/>
        <v>1440</v>
      </c>
      <c r="O1524">
        <f t="shared" si="189"/>
        <v>144</v>
      </c>
      <c r="P1524" t="str">
        <f t="shared" si="190"/>
        <v>Large Order</v>
      </c>
      <c r="Q1524" t="str">
        <f t="shared" si="191"/>
        <v>Weekday</v>
      </c>
    </row>
    <row r="1525" spans="1:17" x14ac:dyDescent="0.35">
      <c r="A1525" t="s">
        <v>1675</v>
      </c>
      <c r="B1525" s="7">
        <v>45413</v>
      </c>
      <c r="C1525" s="13">
        <f t="shared" si="185"/>
        <v>2024</v>
      </c>
      <c r="D1525" s="7" t="str">
        <f t="shared" si="186"/>
        <v>May</v>
      </c>
      <c r="E1525" s="7" t="str">
        <f t="shared" si="187"/>
        <v>Wed</v>
      </c>
      <c r="F1525" t="s">
        <v>396</v>
      </c>
      <c r="G1525" t="s">
        <v>109</v>
      </c>
      <c r="H1525" t="s">
        <v>17</v>
      </c>
      <c r="I1525" s="2" t="str">
        <f t="shared" si="184"/>
        <v>Central</v>
      </c>
      <c r="J1525" t="s">
        <v>27</v>
      </c>
      <c r="K1525" t="s">
        <v>28</v>
      </c>
      <c r="L1525">
        <v>18</v>
      </c>
      <c r="M1525">
        <v>120</v>
      </c>
      <c r="N1525">
        <f t="shared" si="188"/>
        <v>2160</v>
      </c>
      <c r="O1525">
        <f t="shared" si="189"/>
        <v>216</v>
      </c>
      <c r="P1525" t="str">
        <f t="shared" si="190"/>
        <v>Large Order</v>
      </c>
      <c r="Q1525" t="str">
        <f t="shared" si="191"/>
        <v>Weekday</v>
      </c>
    </row>
    <row r="1526" spans="1:17" x14ac:dyDescent="0.35">
      <c r="A1526" t="s">
        <v>1676</v>
      </c>
      <c r="B1526" s="7">
        <v>45532</v>
      </c>
      <c r="C1526" s="13">
        <f t="shared" si="185"/>
        <v>2024</v>
      </c>
      <c r="D1526" s="7" t="str">
        <f t="shared" si="186"/>
        <v>Aug</v>
      </c>
      <c r="E1526" s="7" t="str">
        <f t="shared" si="187"/>
        <v>Wed</v>
      </c>
      <c r="F1526" t="s">
        <v>150</v>
      </c>
      <c r="G1526" t="s">
        <v>48</v>
      </c>
      <c r="H1526" t="s">
        <v>22</v>
      </c>
      <c r="I1526" s="2" t="str">
        <f t="shared" si="184"/>
        <v>South</v>
      </c>
      <c r="J1526" t="s">
        <v>306</v>
      </c>
      <c r="K1526" t="s">
        <v>23</v>
      </c>
      <c r="L1526">
        <v>15</v>
      </c>
      <c r="M1526">
        <v>120</v>
      </c>
      <c r="N1526">
        <f t="shared" si="188"/>
        <v>1800</v>
      </c>
      <c r="O1526">
        <f t="shared" si="189"/>
        <v>180</v>
      </c>
      <c r="P1526" t="str">
        <f t="shared" si="190"/>
        <v>Large Order</v>
      </c>
      <c r="Q1526" t="str">
        <f t="shared" si="191"/>
        <v>Weekday</v>
      </c>
    </row>
    <row r="1527" spans="1:17" x14ac:dyDescent="0.35">
      <c r="A1527" t="s">
        <v>1677</v>
      </c>
      <c r="B1527" s="7">
        <v>45487</v>
      </c>
      <c r="C1527" s="13">
        <f t="shared" si="185"/>
        <v>2024</v>
      </c>
      <c r="D1527" s="7" t="str">
        <f t="shared" si="186"/>
        <v>Jul</v>
      </c>
      <c r="E1527" s="7" t="str">
        <f t="shared" si="187"/>
        <v>Sun</v>
      </c>
      <c r="F1527" t="s">
        <v>358</v>
      </c>
      <c r="G1527" t="s">
        <v>160</v>
      </c>
      <c r="H1527" t="s">
        <v>17</v>
      </c>
      <c r="I1527" s="2" t="str">
        <f t="shared" si="184"/>
        <v>East</v>
      </c>
      <c r="J1527" t="s">
        <v>56</v>
      </c>
      <c r="K1527" t="s">
        <v>28</v>
      </c>
      <c r="L1527">
        <v>20</v>
      </c>
      <c r="M1527">
        <v>120</v>
      </c>
      <c r="N1527">
        <f t="shared" si="188"/>
        <v>2400</v>
      </c>
      <c r="O1527">
        <f t="shared" si="189"/>
        <v>240</v>
      </c>
      <c r="P1527" t="str">
        <f t="shared" si="190"/>
        <v>Large Order</v>
      </c>
      <c r="Q1527" t="str">
        <f t="shared" si="191"/>
        <v>Weekend</v>
      </c>
    </row>
    <row r="1528" spans="1:17" x14ac:dyDescent="0.35">
      <c r="A1528" t="s">
        <v>1678</v>
      </c>
      <c r="B1528" s="7">
        <v>45420</v>
      </c>
      <c r="C1528" s="13">
        <f t="shared" si="185"/>
        <v>2024</v>
      </c>
      <c r="D1528" s="7" t="str">
        <f t="shared" si="186"/>
        <v>May</v>
      </c>
      <c r="E1528" s="7" t="str">
        <f t="shared" si="187"/>
        <v>Wed</v>
      </c>
      <c r="F1528" t="s">
        <v>9</v>
      </c>
      <c r="G1528" t="s">
        <v>21</v>
      </c>
      <c r="H1528" t="s">
        <v>17</v>
      </c>
      <c r="I1528" s="2" t="str">
        <f t="shared" si="184"/>
        <v>South</v>
      </c>
      <c r="J1528" t="s">
        <v>42</v>
      </c>
      <c r="K1528" t="s">
        <v>36</v>
      </c>
      <c r="L1528">
        <v>4</v>
      </c>
      <c r="M1528">
        <v>120</v>
      </c>
      <c r="N1528">
        <f t="shared" si="188"/>
        <v>480</v>
      </c>
      <c r="O1528">
        <f t="shared" si="189"/>
        <v>48</v>
      </c>
      <c r="P1528" t="str">
        <f t="shared" si="190"/>
        <v>Standard Order</v>
      </c>
      <c r="Q1528" t="str">
        <f t="shared" si="191"/>
        <v>Weekday</v>
      </c>
    </row>
    <row r="1529" spans="1:17" x14ac:dyDescent="0.35">
      <c r="A1529" t="s">
        <v>1679</v>
      </c>
      <c r="B1529" s="7">
        <v>45556</v>
      </c>
      <c r="C1529" s="13">
        <f t="shared" si="185"/>
        <v>2024</v>
      </c>
      <c r="D1529" s="7" t="str">
        <f t="shared" si="186"/>
        <v>Sep</v>
      </c>
      <c r="E1529" s="7" t="str">
        <f t="shared" si="187"/>
        <v>Sat</v>
      </c>
      <c r="F1529" t="s">
        <v>114</v>
      </c>
      <c r="G1529" t="s">
        <v>74</v>
      </c>
      <c r="H1529" t="s">
        <v>11</v>
      </c>
      <c r="I1529" s="2" t="str">
        <f t="shared" si="184"/>
        <v>West</v>
      </c>
      <c r="J1529" t="s">
        <v>56</v>
      </c>
      <c r="K1529" t="s">
        <v>32</v>
      </c>
      <c r="L1529">
        <v>15</v>
      </c>
      <c r="M1529">
        <v>120</v>
      </c>
      <c r="N1529">
        <f t="shared" si="188"/>
        <v>1800</v>
      </c>
      <c r="O1529">
        <f t="shared" si="189"/>
        <v>180</v>
      </c>
      <c r="P1529" t="str">
        <f t="shared" si="190"/>
        <v>Large Order</v>
      </c>
      <c r="Q1529" t="str">
        <f t="shared" si="191"/>
        <v>Weekend</v>
      </c>
    </row>
    <row r="1530" spans="1:17" x14ac:dyDescent="0.35">
      <c r="A1530" t="s">
        <v>1680</v>
      </c>
      <c r="B1530" s="7">
        <v>45367</v>
      </c>
      <c r="C1530" s="13">
        <f t="shared" si="185"/>
        <v>2024</v>
      </c>
      <c r="D1530" s="7" t="str">
        <f t="shared" si="186"/>
        <v>Mar</v>
      </c>
      <c r="E1530" s="7" t="str">
        <f t="shared" si="187"/>
        <v>Sat</v>
      </c>
      <c r="F1530" t="s">
        <v>348</v>
      </c>
      <c r="G1530" t="s">
        <v>10</v>
      </c>
      <c r="H1530" t="s">
        <v>11</v>
      </c>
      <c r="I1530" s="2" t="str">
        <f t="shared" si="184"/>
        <v>West</v>
      </c>
      <c r="J1530" t="s">
        <v>27</v>
      </c>
      <c r="K1530" t="s">
        <v>32</v>
      </c>
      <c r="L1530">
        <v>1</v>
      </c>
      <c r="M1530">
        <v>120</v>
      </c>
      <c r="N1530">
        <f t="shared" si="188"/>
        <v>120</v>
      </c>
      <c r="O1530">
        <f t="shared" si="189"/>
        <v>12</v>
      </c>
      <c r="P1530" t="str">
        <f t="shared" si="190"/>
        <v>Standard Order</v>
      </c>
      <c r="Q1530" t="str">
        <f t="shared" si="191"/>
        <v>Weekend</v>
      </c>
    </row>
    <row r="1531" spans="1:17" x14ac:dyDescent="0.35">
      <c r="A1531" t="s">
        <v>1681</v>
      </c>
      <c r="B1531" s="7">
        <v>45494</v>
      </c>
      <c r="C1531" s="13">
        <f t="shared" si="185"/>
        <v>2024</v>
      </c>
      <c r="D1531" s="7" t="str">
        <f t="shared" si="186"/>
        <v>Jul</v>
      </c>
      <c r="E1531" s="7" t="str">
        <f t="shared" si="187"/>
        <v>Sun</v>
      </c>
      <c r="F1531" t="s">
        <v>358</v>
      </c>
      <c r="G1531" t="s">
        <v>48</v>
      </c>
      <c r="H1531" t="s">
        <v>11</v>
      </c>
      <c r="I1531" s="2" t="str">
        <f t="shared" si="184"/>
        <v>East</v>
      </c>
      <c r="J1531" t="s">
        <v>27</v>
      </c>
      <c r="K1531" t="s">
        <v>13</v>
      </c>
      <c r="L1531">
        <v>12</v>
      </c>
      <c r="M1531">
        <v>120</v>
      </c>
      <c r="N1531">
        <f t="shared" si="188"/>
        <v>1440</v>
      </c>
      <c r="O1531">
        <f t="shared" si="189"/>
        <v>144</v>
      </c>
      <c r="P1531" t="str">
        <f t="shared" si="190"/>
        <v>Large Order</v>
      </c>
      <c r="Q1531" t="str">
        <f t="shared" si="191"/>
        <v>Weekend</v>
      </c>
    </row>
    <row r="1532" spans="1:17" x14ac:dyDescent="0.35">
      <c r="A1532" t="s">
        <v>1682</v>
      </c>
      <c r="B1532" s="7">
        <v>45455</v>
      </c>
      <c r="C1532" s="13">
        <f t="shared" si="185"/>
        <v>2024</v>
      </c>
      <c r="D1532" s="7" t="str">
        <f t="shared" si="186"/>
        <v>Jun</v>
      </c>
      <c r="E1532" s="7" t="str">
        <f t="shared" si="187"/>
        <v>Wed</v>
      </c>
      <c r="F1532" t="s">
        <v>108</v>
      </c>
      <c r="G1532" t="s">
        <v>62</v>
      </c>
      <c r="H1532" t="s">
        <v>22</v>
      </c>
      <c r="I1532" s="2" t="str">
        <f t="shared" si="184"/>
        <v>West</v>
      </c>
      <c r="J1532" t="s">
        <v>42</v>
      </c>
      <c r="K1532" t="s">
        <v>28</v>
      </c>
      <c r="L1532">
        <v>5</v>
      </c>
      <c r="M1532">
        <v>120</v>
      </c>
      <c r="N1532">
        <f t="shared" si="188"/>
        <v>600</v>
      </c>
      <c r="O1532">
        <f t="shared" si="189"/>
        <v>60</v>
      </c>
      <c r="P1532" t="str">
        <f t="shared" si="190"/>
        <v>Large Order</v>
      </c>
      <c r="Q1532" t="str">
        <f t="shared" si="191"/>
        <v>Weekday</v>
      </c>
    </row>
    <row r="1533" spans="1:17" x14ac:dyDescent="0.35">
      <c r="A1533" t="s">
        <v>1683</v>
      </c>
      <c r="B1533" s="7">
        <v>45533</v>
      </c>
      <c r="C1533" s="13">
        <f t="shared" si="185"/>
        <v>2024</v>
      </c>
      <c r="D1533" s="7" t="str">
        <f t="shared" si="186"/>
        <v>Aug</v>
      </c>
      <c r="E1533" s="7" t="str">
        <f t="shared" si="187"/>
        <v>Thu</v>
      </c>
      <c r="F1533" t="s">
        <v>424</v>
      </c>
      <c r="G1533" t="s">
        <v>16</v>
      </c>
      <c r="H1533" t="s">
        <v>22</v>
      </c>
      <c r="I1533" s="2" t="str">
        <f t="shared" si="184"/>
        <v>South</v>
      </c>
      <c r="J1533" t="s">
        <v>27</v>
      </c>
      <c r="K1533" t="s">
        <v>23</v>
      </c>
      <c r="L1533">
        <v>20</v>
      </c>
      <c r="M1533">
        <v>120</v>
      </c>
      <c r="N1533">
        <f t="shared" si="188"/>
        <v>2400</v>
      </c>
      <c r="O1533">
        <f t="shared" si="189"/>
        <v>240</v>
      </c>
      <c r="P1533" t="str">
        <f t="shared" si="190"/>
        <v>Large Order</v>
      </c>
      <c r="Q1533" t="str">
        <f t="shared" si="191"/>
        <v>Weekday</v>
      </c>
    </row>
    <row r="1534" spans="1:17" x14ac:dyDescent="0.35">
      <c r="A1534" t="s">
        <v>1684</v>
      </c>
      <c r="B1534" s="7">
        <v>45332</v>
      </c>
      <c r="C1534" s="13">
        <f t="shared" si="185"/>
        <v>2024</v>
      </c>
      <c r="D1534" s="7" t="str">
        <f t="shared" si="186"/>
        <v>Feb</v>
      </c>
      <c r="E1534" s="7" t="str">
        <f t="shared" si="187"/>
        <v>Sat</v>
      </c>
      <c r="F1534" t="s">
        <v>138</v>
      </c>
      <c r="G1534" t="s">
        <v>26</v>
      </c>
      <c r="H1534" t="s">
        <v>11</v>
      </c>
      <c r="I1534" s="2" t="str">
        <f t="shared" si="184"/>
        <v>East</v>
      </c>
      <c r="J1534" t="s">
        <v>56</v>
      </c>
      <c r="K1534" t="s">
        <v>36</v>
      </c>
      <c r="L1534">
        <v>20</v>
      </c>
      <c r="M1534">
        <v>120</v>
      </c>
      <c r="N1534">
        <f t="shared" si="188"/>
        <v>2400</v>
      </c>
      <c r="O1534">
        <f t="shared" si="189"/>
        <v>240</v>
      </c>
      <c r="P1534" t="str">
        <f t="shared" si="190"/>
        <v>Large Order</v>
      </c>
      <c r="Q1534" t="str">
        <f t="shared" si="191"/>
        <v>Weekend</v>
      </c>
    </row>
    <row r="1535" spans="1:17" x14ac:dyDescent="0.35">
      <c r="A1535" t="s">
        <v>1685</v>
      </c>
      <c r="B1535" s="7">
        <v>45348</v>
      </c>
      <c r="C1535" s="13">
        <f t="shared" si="185"/>
        <v>2024</v>
      </c>
      <c r="D1535" s="7" t="str">
        <f t="shared" si="186"/>
        <v>Feb</v>
      </c>
      <c r="E1535" s="7" t="str">
        <f t="shared" si="187"/>
        <v>Mon</v>
      </c>
      <c r="F1535" t="s">
        <v>420</v>
      </c>
      <c r="G1535" t="s">
        <v>74</v>
      </c>
      <c r="H1535" t="s">
        <v>11</v>
      </c>
      <c r="I1535" s="2" t="str">
        <f t="shared" si="184"/>
        <v>North</v>
      </c>
      <c r="J1535" t="s">
        <v>42</v>
      </c>
      <c r="K1535" t="s">
        <v>13</v>
      </c>
      <c r="L1535">
        <v>2</v>
      </c>
      <c r="M1535">
        <v>120</v>
      </c>
      <c r="N1535">
        <f t="shared" si="188"/>
        <v>240</v>
      </c>
      <c r="O1535">
        <f t="shared" si="189"/>
        <v>24</v>
      </c>
      <c r="P1535" t="str">
        <f t="shared" si="190"/>
        <v>Standard Order</v>
      </c>
      <c r="Q1535" t="str">
        <f t="shared" si="191"/>
        <v>Weekday</v>
      </c>
    </row>
    <row r="1536" spans="1:17" x14ac:dyDescent="0.35">
      <c r="A1536" t="s">
        <v>1686</v>
      </c>
      <c r="B1536" s="7">
        <v>45619</v>
      </c>
      <c r="C1536" s="13">
        <f t="shared" si="185"/>
        <v>2024</v>
      </c>
      <c r="D1536" s="7" t="str">
        <f t="shared" si="186"/>
        <v>Nov</v>
      </c>
      <c r="E1536" s="7" t="str">
        <f t="shared" si="187"/>
        <v>Sat</v>
      </c>
      <c r="F1536" t="s">
        <v>381</v>
      </c>
      <c r="G1536" t="s">
        <v>70</v>
      </c>
      <c r="H1536" t="s">
        <v>11</v>
      </c>
      <c r="I1536" s="2" t="str">
        <f t="shared" si="184"/>
        <v>South</v>
      </c>
      <c r="J1536" t="s">
        <v>12</v>
      </c>
      <c r="K1536" t="s">
        <v>23</v>
      </c>
      <c r="L1536">
        <v>20</v>
      </c>
      <c r="M1536">
        <v>120</v>
      </c>
      <c r="N1536">
        <f t="shared" si="188"/>
        <v>2400</v>
      </c>
      <c r="O1536">
        <f t="shared" si="189"/>
        <v>240</v>
      </c>
      <c r="P1536" t="str">
        <f t="shared" si="190"/>
        <v>Large Order</v>
      </c>
      <c r="Q1536" t="str">
        <f t="shared" si="191"/>
        <v>Weekend</v>
      </c>
    </row>
    <row r="1537" spans="1:17" x14ac:dyDescent="0.35">
      <c r="A1537" t="s">
        <v>1687</v>
      </c>
      <c r="B1537" s="7">
        <v>45615</v>
      </c>
      <c r="C1537" s="13">
        <f t="shared" si="185"/>
        <v>2024</v>
      </c>
      <c r="D1537" s="7" t="str">
        <f t="shared" si="186"/>
        <v>Nov</v>
      </c>
      <c r="E1537" s="7" t="str">
        <f t="shared" si="187"/>
        <v>Tue</v>
      </c>
      <c r="F1537" t="s">
        <v>345</v>
      </c>
      <c r="G1537" t="s">
        <v>59</v>
      </c>
      <c r="H1537" t="s">
        <v>11</v>
      </c>
      <c r="I1537" s="2" t="str">
        <f t="shared" si="184"/>
        <v>South</v>
      </c>
      <c r="J1537" t="s">
        <v>56</v>
      </c>
      <c r="K1537" t="s">
        <v>32</v>
      </c>
      <c r="L1537">
        <v>14</v>
      </c>
      <c r="M1537">
        <v>120</v>
      </c>
      <c r="N1537">
        <f t="shared" si="188"/>
        <v>1680</v>
      </c>
      <c r="O1537">
        <f t="shared" si="189"/>
        <v>168</v>
      </c>
      <c r="P1537" t="str">
        <f t="shared" si="190"/>
        <v>Large Order</v>
      </c>
      <c r="Q1537" t="str">
        <f t="shared" si="191"/>
        <v>Weekday</v>
      </c>
    </row>
    <row r="1538" spans="1:17" x14ac:dyDescent="0.35">
      <c r="A1538" t="s">
        <v>1688</v>
      </c>
      <c r="B1538" s="7">
        <v>45472</v>
      </c>
      <c r="C1538" s="13">
        <f t="shared" si="185"/>
        <v>2024</v>
      </c>
      <c r="D1538" s="7" t="str">
        <f t="shared" si="186"/>
        <v>Jun</v>
      </c>
      <c r="E1538" s="7" t="str">
        <f t="shared" si="187"/>
        <v>Sat</v>
      </c>
      <c r="F1538" t="s">
        <v>93</v>
      </c>
      <c r="G1538" t="s">
        <v>59</v>
      </c>
      <c r="H1538" t="s">
        <v>17</v>
      </c>
      <c r="I1538" s="2" t="str">
        <f t="shared" si="184"/>
        <v>Central</v>
      </c>
      <c r="J1538" t="s">
        <v>56</v>
      </c>
      <c r="K1538" t="s">
        <v>13</v>
      </c>
      <c r="L1538">
        <v>17</v>
      </c>
      <c r="M1538">
        <v>120</v>
      </c>
      <c r="N1538">
        <f t="shared" si="188"/>
        <v>2040</v>
      </c>
      <c r="O1538">
        <f t="shared" si="189"/>
        <v>204</v>
      </c>
      <c r="P1538" t="str">
        <f t="shared" si="190"/>
        <v>Large Order</v>
      </c>
      <c r="Q1538" t="str">
        <f t="shared" si="191"/>
        <v>Weekend</v>
      </c>
    </row>
    <row r="1539" spans="1:17" x14ac:dyDescent="0.35">
      <c r="A1539" t="s">
        <v>1689</v>
      </c>
      <c r="B1539" s="7">
        <v>45326</v>
      </c>
      <c r="C1539" s="13">
        <f t="shared" si="185"/>
        <v>2024</v>
      </c>
      <c r="D1539" s="7" t="str">
        <f t="shared" si="186"/>
        <v>Feb</v>
      </c>
      <c r="E1539" s="7" t="str">
        <f t="shared" si="187"/>
        <v>Sun</v>
      </c>
      <c r="F1539" t="s">
        <v>339</v>
      </c>
      <c r="G1539" t="s">
        <v>174</v>
      </c>
      <c r="H1539" t="s">
        <v>22</v>
      </c>
      <c r="I1539" s="2" t="str">
        <f t="shared" ref="I1539:I1602" si="192">TRIM(J1540)</f>
        <v>East</v>
      </c>
      <c r="J1539" t="s">
        <v>306</v>
      </c>
      <c r="K1539" t="s">
        <v>36</v>
      </c>
      <c r="L1539">
        <v>1</v>
      </c>
      <c r="M1539">
        <v>120</v>
      </c>
      <c r="N1539">
        <f t="shared" si="188"/>
        <v>120</v>
      </c>
      <c r="O1539">
        <f t="shared" si="189"/>
        <v>12</v>
      </c>
      <c r="P1539" t="str">
        <f t="shared" si="190"/>
        <v>Standard Order</v>
      </c>
      <c r="Q1539" t="str">
        <f t="shared" si="191"/>
        <v>Weekend</v>
      </c>
    </row>
    <row r="1540" spans="1:17" x14ac:dyDescent="0.35">
      <c r="A1540" t="s">
        <v>1690</v>
      </c>
      <c r="B1540" s="7">
        <v>45532</v>
      </c>
      <c r="C1540" s="13">
        <f t="shared" ref="C1540:C1603" si="193">YEAR(B1540)</f>
        <v>2024</v>
      </c>
      <c r="D1540" s="7" t="str">
        <f t="shared" ref="D1540:D1603" si="194">TEXT(B1540,"mmm")</f>
        <v>Aug</v>
      </c>
      <c r="E1540" s="7" t="str">
        <f t="shared" ref="E1540:E1603" si="195">TEXT(B1540,"ddd")</f>
        <v>Wed</v>
      </c>
      <c r="F1540" t="s">
        <v>116</v>
      </c>
      <c r="G1540" t="s">
        <v>21</v>
      </c>
      <c r="H1540" t="s">
        <v>17</v>
      </c>
      <c r="I1540" s="2" t="str">
        <f t="shared" si="192"/>
        <v>North</v>
      </c>
      <c r="J1540" t="s">
        <v>42</v>
      </c>
      <c r="K1540" t="s">
        <v>32</v>
      </c>
      <c r="L1540">
        <v>1</v>
      </c>
      <c r="M1540">
        <v>120</v>
      </c>
      <c r="N1540">
        <f t="shared" ref="N1540:N1603" si="196">M1540*L1540</f>
        <v>120</v>
      </c>
      <c r="O1540">
        <f t="shared" ref="O1540:O1603" si="197">N1540*0.1</f>
        <v>12</v>
      </c>
      <c r="P1540" t="str">
        <f t="shared" ref="P1540:P1603" si="198">IF(N1540&gt;500,"Large Order","Standard Order")</f>
        <v>Standard Order</v>
      </c>
      <c r="Q1540" t="str">
        <f t="shared" ref="Q1540:Q1603" si="199">IF(OR(TRIM(E1540)="Sat",TRIM(E1540)="Sun"),"Weekend","Weekday")</f>
        <v>Weekday</v>
      </c>
    </row>
    <row r="1541" spans="1:17" x14ac:dyDescent="0.35">
      <c r="A1541" t="s">
        <v>1691</v>
      </c>
      <c r="B1541" s="7">
        <v>45326</v>
      </c>
      <c r="C1541" s="13">
        <f t="shared" si="193"/>
        <v>2024</v>
      </c>
      <c r="D1541" s="7" t="str">
        <f t="shared" si="194"/>
        <v>Feb</v>
      </c>
      <c r="E1541" s="7" t="str">
        <f t="shared" si="195"/>
        <v>Sun</v>
      </c>
      <c r="F1541" t="s">
        <v>20</v>
      </c>
      <c r="G1541" t="s">
        <v>197</v>
      </c>
      <c r="H1541" t="s">
        <v>22</v>
      </c>
      <c r="I1541" s="2" t="str">
        <f t="shared" si="192"/>
        <v>South</v>
      </c>
      <c r="J1541" t="s">
        <v>12</v>
      </c>
      <c r="K1541" t="s">
        <v>36</v>
      </c>
      <c r="L1541">
        <v>11</v>
      </c>
      <c r="M1541">
        <v>120</v>
      </c>
      <c r="N1541">
        <f t="shared" si="196"/>
        <v>1320</v>
      </c>
      <c r="O1541">
        <f t="shared" si="197"/>
        <v>132</v>
      </c>
      <c r="P1541" t="str">
        <f t="shared" si="198"/>
        <v>Large Order</v>
      </c>
      <c r="Q1541" t="str">
        <f t="shared" si="199"/>
        <v>Weekend</v>
      </c>
    </row>
    <row r="1542" spans="1:17" x14ac:dyDescent="0.35">
      <c r="A1542" t="s">
        <v>1692</v>
      </c>
      <c r="B1542" s="7">
        <v>45472</v>
      </c>
      <c r="C1542" s="13">
        <f t="shared" si="193"/>
        <v>2024</v>
      </c>
      <c r="D1542" s="7" t="str">
        <f t="shared" si="194"/>
        <v>Jun</v>
      </c>
      <c r="E1542" s="7" t="str">
        <f t="shared" si="195"/>
        <v>Sat</v>
      </c>
      <c r="F1542" t="s">
        <v>591</v>
      </c>
      <c r="G1542" t="s">
        <v>72</v>
      </c>
      <c r="H1542" t="s">
        <v>22</v>
      </c>
      <c r="I1542" s="2" t="str">
        <f t="shared" si="192"/>
        <v>North</v>
      </c>
      <c r="J1542" t="s">
        <v>56</v>
      </c>
      <c r="K1542" t="s">
        <v>23</v>
      </c>
      <c r="L1542">
        <v>16</v>
      </c>
      <c r="M1542">
        <v>120</v>
      </c>
      <c r="N1542">
        <f t="shared" si="196"/>
        <v>1920</v>
      </c>
      <c r="O1542">
        <f t="shared" si="197"/>
        <v>192</v>
      </c>
      <c r="P1542" t="str">
        <f t="shared" si="198"/>
        <v>Large Order</v>
      </c>
      <c r="Q1542" t="str">
        <f t="shared" si="199"/>
        <v>Weekend</v>
      </c>
    </row>
    <row r="1543" spans="1:17" x14ac:dyDescent="0.35">
      <c r="A1543" t="s">
        <v>1693</v>
      </c>
      <c r="B1543" s="7">
        <v>45361</v>
      </c>
      <c r="C1543" s="13">
        <f t="shared" si="193"/>
        <v>2024</v>
      </c>
      <c r="D1543" s="7" t="str">
        <f t="shared" si="194"/>
        <v>Mar</v>
      </c>
      <c r="E1543" s="7" t="str">
        <f t="shared" si="195"/>
        <v>Sun</v>
      </c>
      <c r="F1543" t="s">
        <v>58</v>
      </c>
      <c r="G1543" t="s">
        <v>62</v>
      </c>
      <c r="H1543" t="s">
        <v>17</v>
      </c>
      <c r="I1543" s="2" t="str">
        <f t="shared" si="192"/>
        <v>Central</v>
      </c>
      <c r="J1543" t="s">
        <v>12</v>
      </c>
      <c r="K1543" t="s">
        <v>32</v>
      </c>
      <c r="L1543">
        <v>7</v>
      </c>
      <c r="M1543">
        <v>120</v>
      </c>
      <c r="N1543">
        <f t="shared" si="196"/>
        <v>840</v>
      </c>
      <c r="O1543">
        <f t="shared" si="197"/>
        <v>84</v>
      </c>
      <c r="P1543" t="str">
        <f t="shared" si="198"/>
        <v>Large Order</v>
      </c>
      <c r="Q1543" t="str">
        <f t="shared" si="199"/>
        <v>Weekend</v>
      </c>
    </row>
    <row r="1544" spans="1:17" x14ac:dyDescent="0.35">
      <c r="A1544" t="s">
        <v>1694</v>
      </c>
      <c r="B1544" s="7">
        <v>45394</v>
      </c>
      <c r="C1544" s="13">
        <f t="shared" si="193"/>
        <v>2024</v>
      </c>
      <c r="D1544" s="7" t="str">
        <f t="shared" si="194"/>
        <v>Apr</v>
      </c>
      <c r="E1544" s="7" t="str">
        <f t="shared" si="195"/>
        <v>Fri</v>
      </c>
      <c r="F1544" t="s">
        <v>116</v>
      </c>
      <c r="G1544" t="s">
        <v>72</v>
      </c>
      <c r="H1544" t="s">
        <v>17</v>
      </c>
      <c r="I1544" s="2" t="str">
        <f t="shared" si="192"/>
        <v>East</v>
      </c>
      <c r="J1544" t="s">
        <v>306</v>
      </c>
      <c r="K1544" t="s">
        <v>23</v>
      </c>
      <c r="L1544">
        <v>18</v>
      </c>
      <c r="M1544">
        <v>120</v>
      </c>
      <c r="N1544">
        <f t="shared" si="196"/>
        <v>2160</v>
      </c>
      <c r="O1544">
        <f t="shared" si="197"/>
        <v>216</v>
      </c>
      <c r="P1544" t="str">
        <f t="shared" si="198"/>
        <v>Large Order</v>
      </c>
      <c r="Q1544" t="str">
        <f t="shared" si="199"/>
        <v>Weekday</v>
      </c>
    </row>
    <row r="1545" spans="1:17" x14ac:dyDescent="0.35">
      <c r="A1545" t="s">
        <v>1695</v>
      </c>
      <c r="B1545" s="7">
        <v>45310</v>
      </c>
      <c r="C1545" s="13">
        <f t="shared" si="193"/>
        <v>2024</v>
      </c>
      <c r="D1545" s="7" t="str">
        <f t="shared" si="194"/>
        <v>Jan</v>
      </c>
      <c r="E1545" s="7" t="str">
        <f t="shared" si="195"/>
        <v>Fri</v>
      </c>
      <c r="F1545" t="s">
        <v>664</v>
      </c>
      <c r="G1545" t="s">
        <v>21</v>
      </c>
      <c r="H1545" t="s">
        <v>11</v>
      </c>
      <c r="I1545" s="2" t="str">
        <f t="shared" si="192"/>
        <v>West</v>
      </c>
      <c r="J1545" t="s">
        <v>42</v>
      </c>
      <c r="K1545" t="s">
        <v>32</v>
      </c>
      <c r="L1545">
        <v>2</v>
      </c>
      <c r="M1545">
        <v>120</v>
      </c>
      <c r="N1545">
        <f t="shared" si="196"/>
        <v>240</v>
      </c>
      <c r="O1545">
        <f t="shared" si="197"/>
        <v>24</v>
      </c>
      <c r="P1545" t="str">
        <f t="shared" si="198"/>
        <v>Standard Order</v>
      </c>
      <c r="Q1545" t="str">
        <f t="shared" si="199"/>
        <v>Weekday</v>
      </c>
    </row>
    <row r="1546" spans="1:17" x14ac:dyDescent="0.35">
      <c r="A1546" t="s">
        <v>1696</v>
      </c>
      <c r="B1546" s="7">
        <v>45461</v>
      </c>
      <c r="C1546" s="13">
        <f t="shared" si="193"/>
        <v>2024</v>
      </c>
      <c r="D1546" s="7" t="str">
        <f t="shared" si="194"/>
        <v>Jun</v>
      </c>
      <c r="E1546" s="7" t="str">
        <f t="shared" si="195"/>
        <v>Tue</v>
      </c>
      <c r="F1546" t="s">
        <v>101</v>
      </c>
      <c r="G1546" t="s">
        <v>102</v>
      </c>
      <c r="H1546" t="s">
        <v>17</v>
      </c>
      <c r="I1546" s="2" t="str">
        <f t="shared" si="192"/>
        <v>West</v>
      </c>
      <c r="J1546" t="s">
        <v>27</v>
      </c>
      <c r="K1546" t="s">
        <v>23</v>
      </c>
      <c r="L1546">
        <v>15</v>
      </c>
      <c r="M1546">
        <v>120</v>
      </c>
      <c r="N1546">
        <f t="shared" si="196"/>
        <v>1800</v>
      </c>
      <c r="O1546">
        <f t="shared" si="197"/>
        <v>180</v>
      </c>
      <c r="P1546" t="str">
        <f t="shared" si="198"/>
        <v>Large Order</v>
      </c>
      <c r="Q1546" t="str">
        <f t="shared" si="199"/>
        <v>Weekday</v>
      </c>
    </row>
    <row r="1547" spans="1:17" x14ac:dyDescent="0.35">
      <c r="A1547" t="s">
        <v>1697</v>
      </c>
      <c r="B1547" s="7">
        <v>45489</v>
      </c>
      <c r="C1547" s="13">
        <f t="shared" si="193"/>
        <v>2024</v>
      </c>
      <c r="D1547" s="7" t="str">
        <f t="shared" si="194"/>
        <v>Jul</v>
      </c>
      <c r="E1547" s="7" t="str">
        <f t="shared" si="195"/>
        <v>Tue</v>
      </c>
      <c r="F1547" t="s">
        <v>47</v>
      </c>
      <c r="G1547" t="s">
        <v>45</v>
      </c>
      <c r="H1547" t="s">
        <v>17</v>
      </c>
      <c r="I1547" s="2" t="str">
        <f t="shared" si="192"/>
        <v>West</v>
      </c>
      <c r="J1547" t="s">
        <v>27</v>
      </c>
      <c r="K1547" t="s">
        <v>32</v>
      </c>
      <c r="L1547">
        <v>17</v>
      </c>
      <c r="M1547">
        <v>120</v>
      </c>
      <c r="N1547">
        <f t="shared" si="196"/>
        <v>2040</v>
      </c>
      <c r="O1547">
        <f t="shared" si="197"/>
        <v>204</v>
      </c>
      <c r="P1547" t="str">
        <f t="shared" si="198"/>
        <v>Large Order</v>
      </c>
      <c r="Q1547" t="str">
        <f t="shared" si="199"/>
        <v>Weekday</v>
      </c>
    </row>
    <row r="1548" spans="1:17" x14ac:dyDescent="0.35">
      <c r="A1548" t="s">
        <v>1698</v>
      </c>
      <c r="B1548" s="7">
        <v>45334</v>
      </c>
      <c r="C1548" s="13">
        <f t="shared" si="193"/>
        <v>2024</v>
      </c>
      <c r="D1548" s="7" t="str">
        <f t="shared" si="194"/>
        <v>Feb</v>
      </c>
      <c r="E1548" s="7" t="str">
        <f t="shared" si="195"/>
        <v>Mon</v>
      </c>
      <c r="F1548" t="s">
        <v>388</v>
      </c>
      <c r="G1548" t="s">
        <v>87</v>
      </c>
      <c r="H1548" t="s">
        <v>11</v>
      </c>
      <c r="I1548" s="2" t="str">
        <f t="shared" si="192"/>
        <v>East</v>
      </c>
      <c r="J1548" t="s">
        <v>27</v>
      </c>
      <c r="K1548" t="s">
        <v>36</v>
      </c>
      <c r="L1548">
        <v>6</v>
      </c>
      <c r="M1548">
        <v>120</v>
      </c>
      <c r="N1548">
        <f t="shared" si="196"/>
        <v>720</v>
      </c>
      <c r="O1548">
        <f t="shared" si="197"/>
        <v>72</v>
      </c>
      <c r="P1548" t="str">
        <f t="shared" si="198"/>
        <v>Large Order</v>
      </c>
      <c r="Q1548" t="str">
        <f t="shared" si="199"/>
        <v>Weekday</v>
      </c>
    </row>
    <row r="1549" spans="1:17" x14ac:dyDescent="0.35">
      <c r="A1549" t="s">
        <v>1699</v>
      </c>
      <c r="B1549" s="7">
        <v>45456</v>
      </c>
      <c r="C1549" s="13">
        <f t="shared" si="193"/>
        <v>2024</v>
      </c>
      <c r="D1549" s="7" t="str">
        <f t="shared" si="194"/>
        <v>Jun</v>
      </c>
      <c r="E1549" s="7" t="str">
        <f t="shared" si="195"/>
        <v>Thu</v>
      </c>
      <c r="F1549" t="s">
        <v>15</v>
      </c>
      <c r="G1549" t="s">
        <v>10</v>
      </c>
      <c r="H1549" t="s">
        <v>17</v>
      </c>
      <c r="I1549" s="2" t="str">
        <f t="shared" si="192"/>
        <v>East</v>
      </c>
      <c r="J1549" t="s">
        <v>42</v>
      </c>
      <c r="K1549" t="s">
        <v>32</v>
      </c>
      <c r="L1549">
        <v>15</v>
      </c>
      <c r="M1549">
        <v>120</v>
      </c>
      <c r="N1549">
        <f t="shared" si="196"/>
        <v>1800</v>
      </c>
      <c r="O1549">
        <f t="shared" si="197"/>
        <v>180</v>
      </c>
      <c r="P1549" t="str">
        <f t="shared" si="198"/>
        <v>Large Order</v>
      </c>
      <c r="Q1549" t="str">
        <f t="shared" si="199"/>
        <v>Weekday</v>
      </c>
    </row>
    <row r="1550" spans="1:17" x14ac:dyDescent="0.35">
      <c r="A1550" t="s">
        <v>1700</v>
      </c>
      <c r="B1550" s="7">
        <v>45510</v>
      </c>
      <c r="C1550" s="13">
        <f t="shared" si="193"/>
        <v>2024</v>
      </c>
      <c r="D1550" s="7" t="str">
        <f t="shared" si="194"/>
        <v>Aug</v>
      </c>
      <c r="E1550" s="7" t="str">
        <f t="shared" si="195"/>
        <v>Tue</v>
      </c>
      <c r="F1550" t="s">
        <v>30</v>
      </c>
      <c r="G1550" t="s">
        <v>62</v>
      </c>
      <c r="H1550" t="s">
        <v>17</v>
      </c>
      <c r="I1550" s="2" t="str">
        <f t="shared" si="192"/>
        <v>North</v>
      </c>
      <c r="J1550" t="s">
        <v>42</v>
      </c>
      <c r="K1550" t="s">
        <v>23</v>
      </c>
      <c r="L1550">
        <v>2</v>
      </c>
      <c r="M1550">
        <v>120</v>
      </c>
      <c r="N1550">
        <f t="shared" si="196"/>
        <v>240</v>
      </c>
      <c r="O1550">
        <f t="shared" si="197"/>
        <v>24</v>
      </c>
      <c r="P1550" t="str">
        <f t="shared" si="198"/>
        <v>Standard Order</v>
      </c>
      <c r="Q1550" t="str">
        <f t="shared" si="199"/>
        <v>Weekday</v>
      </c>
    </row>
    <row r="1551" spans="1:17" x14ac:dyDescent="0.35">
      <c r="A1551" t="s">
        <v>1701</v>
      </c>
      <c r="B1551" s="7">
        <v>45472</v>
      </c>
      <c r="C1551" s="13">
        <f t="shared" si="193"/>
        <v>2024</v>
      </c>
      <c r="D1551" s="7" t="str">
        <f t="shared" si="194"/>
        <v>Jun</v>
      </c>
      <c r="E1551" s="7" t="str">
        <f t="shared" si="195"/>
        <v>Sat</v>
      </c>
      <c r="F1551" t="s">
        <v>594</v>
      </c>
      <c r="G1551" t="s">
        <v>87</v>
      </c>
      <c r="H1551" t="s">
        <v>17</v>
      </c>
      <c r="I1551" s="2" t="str">
        <f t="shared" si="192"/>
        <v>Central</v>
      </c>
      <c r="J1551" t="s">
        <v>12</v>
      </c>
      <c r="K1551" t="s">
        <v>13</v>
      </c>
      <c r="L1551">
        <v>13</v>
      </c>
      <c r="M1551">
        <v>120</v>
      </c>
      <c r="N1551">
        <f t="shared" si="196"/>
        <v>1560</v>
      </c>
      <c r="O1551">
        <f t="shared" si="197"/>
        <v>156</v>
      </c>
      <c r="P1551" t="str">
        <f t="shared" si="198"/>
        <v>Large Order</v>
      </c>
      <c r="Q1551" t="str">
        <f t="shared" si="199"/>
        <v>Weekend</v>
      </c>
    </row>
    <row r="1552" spans="1:17" x14ac:dyDescent="0.35">
      <c r="A1552" t="s">
        <v>1702</v>
      </c>
      <c r="B1552" s="7">
        <v>45639</v>
      </c>
      <c r="C1552" s="13">
        <f t="shared" si="193"/>
        <v>2024</v>
      </c>
      <c r="D1552" s="7" t="str">
        <f t="shared" si="194"/>
        <v>Dec</v>
      </c>
      <c r="E1552" s="7" t="str">
        <f t="shared" si="195"/>
        <v>Fri</v>
      </c>
      <c r="F1552" t="s">
        <v>111</v>
      </c>
      <c r="G1552" t="s">
        <v>96</v>
      </c>
      <c r="H1552" t="s">
        <v>11</v>
      </c>
      <c r="I1552" s="2" t="str">
        <f t="shared" si="192"/>
        <v>East</v>
      </c>
      <c r="J1552" t="s">
        <v>306</v>
      </c>
      <c r="K1552" t="s">
        <v>23</v>
      </c>
      <c r="L1552">
        <v>2</v>
      </c>
      <c r="M1552">
        <v>120</v>
      </c>
      <c r="N1552">
        <f t="shared" si="196"/>
        <v>240</v>
      </c>
      <c r="O1552">
        <f t="shared" si="197"/>
        <v>24</v>
      </c>
      <c r="P1552" t="str">
        <f t="shared" si="198"/>
        <v>Standard Order</v>
      </c>
      <c r="Q1552" t="str">
        <f t="shared" si="199"/>
        <v>Weekday</v>
      </c>
    </row>
    <row r="1553" spans="1:17" x14ac:dyDescent="0.35">
      <c r="A1553" t="s">
        <v>1703</v>
      </c>
      <c r="B1553" s="7">
        <v>45412</v>
      </c>
      <c r="C1553" s="13">
        <f t="shared" si="193"/>
        <v>2024</v>
      </c>
      <c r="D1553" s="7" t="str">
        <f t="shared" si="194"/>
        <v>Apr</v>
      </c>
      <c r="E1553" s="7" t="str">
        <f t="shared" si="195"/>
        <v>Tue</v>
      </c>
      <c r="F1553" t="s">
        <v>420</v>
      </c>
      <c r="G1553" t="s">
        <v>21</v>
      </c>
      <c r="H1553" t="s">
        <v>17</v>
      </c>
      <c r="I1553" s="2" t="str">
        <f t="shared" si="192"/>
        <v>East</v>
      </c>
      <c r="J1553" t="s">
        <v>42</v>
      </c>
      <c r="K1553" t="s">
        <v>23</v>
      </c>
      <c r="L1553">
        <v>19</v>
      </c>
      <c r="M1553">
        <v>120</v>
      </c>
      <c r="N1553">
        <f t="shared" si="196"/>
        <v>2280</v>
      </c>
      <c r="O1553">
        <f t="shared" si="197"/>
        <v>228</v>
      </c>
      <c r="P1553" t="str">
        <f t="shared" si="198"/>
        <v>Large Order</v>
      </c>
      <c r="Q1553" t="str">
        <f t="shared" si="199"/>
        <v>Weekday</v>
      </c>
    </row>
    <row r="1554" spans="1:17" x14ac:dyDescent="0.35">
      <c r="A1554" t="s">
        <v>1704</v>
      </c>
      <c r="B1554" s="7">
        <v>45370</v>
      </c>
      <c r="C1554" s="13">
        <f t="shared" si="193"/>
        <v>2024</v>
      </c>
      <c r="D1554" s="7" t="str">
        <f t="shared" si="194"/>
        <v>Mar</v>
      </c>
      <c r="E1554" s="7" t="str">
        <f t="shared" si="195"/>
        <v>Tue</v>
      </c>
      <c r="F1554" t="s">
        <v>422</v>
      </c>
      <c r="G1554" t="s">
        <v>70</v>
      </c>
      <c r="H1554" t="s">
        <v>17</v>
      </c>
      <c r="I1554" s="2" t="str">
        <f t="shared" si="192"/>
        <v>East</v>
      </c>
      <c r="J1554" t="s">
        <v>42</v>
      </c>
      <c r="K1554" t="s">
        <v>23</v>
      </c>
      <c r="L1554">
        <v>3</v>
      </c>
      <c r="M1554">
        <v>120</v>
      </c>
      <c r="N1554">
        <f t="shared" si="196"/>
        <v>360</v>
      </c>
      <c r="O1554">
        <f t="shared" si="197"/>
        <v>36</v>
      </c>
      <c r="P1554" t="str">
        <f t="shared" si="198"/>
        <v>Standard Order</v>
      </c>
      <c r="Q1554" t="str">
        <f t="shared" si="199"/>
        <v>Weekday</v>
      </c>
    </row>
    <row r="1555" spans="1:17" x14ac:dyDescent="0.35">
      <c r="A1555" t="s">
        <v>1705</v>
      </c>
      <c r="B1555" s="7">
        <v>45563</v>
      </c>
      <c r="C1555" s="13">
        <f t="shared" si="193"/>
        <v>2024</v>
      </c>
      <c r="D1555" s="7" t="str">
        <f t="shared" si="194"/>
        <v>Sep</v>
      </c>
      <c r="E1555" s="7" t="str">
        <f t="shared" si="195"/>
        <v>Sat</v>
      </c>
      <c r="F1555" t="s">
        <v>83</v>
      </c>
      <c r="G1555" t="s">
        <v>31</v>
      </c>
      <c r="H1555" t="s">
        <v>17</v>
      </c>
      <c r="I1555" s="2" t="str">
        <f t="shared" si="192"/>
        <v>Central</v>
      </c>
      <c r="J1555" t="s">
        <v>42</v>
      </c>
      <c r="K1555" t="s">
        <v>28</v>
      </c>
      <c r="L1555">
        <v>4</v>
      </c>
      <c r="M1555">
        <v>120</v>
      </c>
      <c r="N1555">
        <f t="shared" si="196"/>
        <v>480</v>
      </c>
      <c r="O1555">
        <f t="shared" si="197"/>
        <v>48</v>
      </c>
      <c r="P1555" t="str">
        <f t="shared" si="198"/>
        <v>Standard Order</v>
      </c>
      <c r="Q1555" t="str">
        <f t="shared" si="199"/>
        <v>Weekend</v>
      </c>
    </row>
    <row r="1556" spans="1:17" x14ac:dyDescent="0.35">
      <c r="A1556" t="s">
        <v>1706</v>
      </c>
      <c r="B1556" s="7">
        <v>45387</v>
      </c>
      <c r="C1556" s="13">
        <f t="shared" si="193"/>
        <v>2024</v>
      </c>
      <c r="D1556" s="7" t="str">
        <f t="shared" si="194"/>
        <v>Apr</v>
      </c>
      <c r="E1556" s="7" t="str">
        <f t="shared" si="195"/>
        <v>Fri</v>
      </c>
      <c r="F1556" t="s">
        <v>432</v>
      </c>
      <c r="G1556" t="s">
        <v>160</v>
      </c>
      <c r="H1556" t="s">
        <v>17</v>
      </c>
      <c r="I1556" s="2" t="str">
        <f t="shared" si="192"/>
        <v>East</v>
      </c>
      <c r="J1556" t="s">
        <v>306</v>
      </c>
      <c r="K1556" t="s">
        <v>13</v>
      </c>
      <c r="L1556">
        <v>9</v>
      </c>
      <c r="M1556">
        <v>120</v>
      </c>
      <c r="N1556">
        <f t="shared" si="196"/>
        <v>1080</v>
      </c>
      <c r="O1556">
        <f t="shared" si="197"/>
        <v>108</v>
      </c>
      <c r="P1556" t="str">
        <f t="shared" si="198"/>
        <v>Large Order</v>
      </c>
      <c r="Q1556" t="str">
        <f t="shared" si="199"/>
        <v>Weekday</v>
      </c>
    </row>
    <row r="1557" spans="1:17" x14ac:dyDescent="0.35">
      <c r="A1557" t="s">
        <v>1707</v>
      </c>
      <c r="B1557" s="7">
        <v>45652</v>
      </c>
      <c r="C1557" s="13">
        <f t="shared" si="193"/>
        <v>2024</v>
      </c>
      <c r="D1557" s="7" t="str">
        <f t="shared" si="194"/>
        <v>Dec</v>
      </c>
      <c r="E1557" s="7" t="str">
        <f t="shared" si="195"/>
        <v>Thu</v>
      </c>
      <c r="F1557" t="s">
        <v>430</v>
      </c>
      <c r="G1557" t="s">
        <v>65</v>
      </c>
      <c r="H1557" t="s">
        <v>22</v>
      </c>
      <c r="I1557" s="2" t="str">
        <f t="shared" si="192"/>
        <v>West</v>
      </c>
      <c r="J1557" t="s">
        <v>42</v>
      </c>
      <c r="K1557" t="s">
        <v>23</v>
      </c>
      <c r="L1557">
        <v>7</v>
      </c>
      <c r="M1557">
        <v>120</v>
      </c>
      <c r="N1557">
        <f t="shared" si="196"/>
        <v>840</v>
      </c>
      <c r="O1557">
        <f t="shared" si="197"/>
        <v>84</v>
      </c>
      <c r="P1557" t="str">
        <f t="shared" si="198"/>
        <v>Large Order</v>
      </c>
      <c r="Q1557" t="str">
        <f t="shared" si="199"/>
        <v>Weekday</v>
      </c>
    </row>
    <row r="1558" spans="1:17" x14ac:dyDescent="0.35">
      <c r="A1558" t="s">
        <v>1708</v>
      </c>
      <c r="B1558" s="7">
        <v>45329</v>
      </c>
      <c r="C1558" s="13">
        <f t="shared" si="193"/>
        <v>2024</v>
      </c>
      <c r="D1558" s="7" t="str">
        <f t="shared" si="194"/>
        <v>Feb</v>
      </c>
      <c r="E1558" s="7" t="str">
        <f t="shared" si="195"/>
        <v>Wed</v>
      </c>
      <c r="F1558" t="s">
        <v>430</v>
      </c>
      <c r="G1558" t="s">
        <v>45</v>
      </c>
      <c r="H1558" t="s">
        <v>22</v>
      </c>
      <c r="I1558" s="2" t="str">
        <f t="shared" si="192"/>
        <v>East</v>
      </c>
      <c r="J1558" t="s">
        <v>27</v>
      </c>
      <c r="K1558" t="s">
        <v>13</v>
      </c>
      <c r="L1558">
        <v>11</v>
      </c>
      <c r="M1558">
        <v>120</v>
      </c>
      <c r="N1558">
        <f t="shared" si="196"/>
        <v>1320</v>
      </c>
      <c r="O1558">
        <f t="shared" si="197"/>
        <v>132</v>
      </c>
      <c r="P1558" t="str">
        <f t="shared" si="198"/>
        <v>Large Order</v>
      </c>
      <c r="Q1558" t="str">
        <f t="shared" si="199"/>
        <v>Weekday</v>
      </c>
    </row>
    <row r="1559" spans="1:17" x14ac:dyDescent="0.35">
      <c r="A1559" t="s">
        <v>1709</v>
      </c>
      <c r="B1559" s="7">
        <v>45655</v>
      </c>
      <c r="C1559" s="13">
        <f t="shared" si="193"/>
        <v>2024</v>
      </c>
      <c r="D1559" s="7" t="str">
        <f t="shared" si="194"/>
        <v>Dec</v>
      </c>
      <c r="E1559" s="7" t="str">
        <f t="shared" si="195"/>
        <v>Sun</v>
      </c>
      <c r="F1559" t="s">
        <v>58</v>
      </c>
      <c r="G1559" t="s">
        <v>174</v>
      </c>
      <c r="H1559" t="s">
        <v>22</v>
      </c>
      <c r="I1559" s="2" t="str">
        <f t="shared" si="192"/>
        <v>Central</v>
      </c>
      <c r="J1559" t="s">
        <v>42</v>
      </c>
      <c r="K1559" t="s">
        <v>32</v>
      </c>
      <c r="L1559">
        <v>6</v>
      </c>
      <c r="M1559">
        <v>120</v>
      </c>
      <c r="N1559">
        <f t="shared" si="196"/>
        <v>720</v>
      </c>
      <c r="O1559">
        <f t="shared" si="197"/>
        <v>72</v>
      </c>
      <c r="P1559" t="str">
        <f t="shared" si="198"/>
        <v>Large Order</v>
      </c>
      <c r="Q1559" t="str">
        <f t="shared" si="199"/>
        <v>Weekend</v>
      </c>
    </row>
    <row r="1560" spans="1:17" x14ac:dyDescent="0.35">
      <c r="A1560" t="s">
        <v>1710</v>
      </c>
      <c r="B1560" s="7">
        <v>45650</v>
      </c>
      <c r="C1560" s="13">
        <f t="shared" si="193"/>
        <v>2024</v>
      </c>
      <c r="D1560" s="7" t="str">
        <f t="shared" si="194"/>
        <v>Dec</v>
      </c>
      <c r="E1560" s="7" t="str">
        <f t="shared" si="195"/>
        <v>Tue</v>
      </c>
      <c r="F1560" t="s">
        <v>541</v>
      </c>
      <c r="G1560" t="s">
        <v>45</v>
      </c>
      <c r="H1560" t="s">
        <v>17</v>
      </c>
      <c r="I1560" s="2" t="str">
        <f t="shared" si="192"/>
        <v>East</v>
      </c>
      <c r="J1560" t="s">
        <v>306</v>
      </c>
      <c r="K1560" t="s">
        <v>28</v>
      </c>
      <c r="L1560">
        <v>4</v>
      </c>
      <c r="M1560">
        <v>120</v>
      </c>
      <c r="N1560">
        <f t="shared" si="196"/>
        <v>480</v>
      </c>
      <c r="O1560">
        <f t="shared" si="197"/>
        <v>48</v>
      </c>
      <c r="P1560" t="str">
        <f t="shared" si="198"/>
        <v>Standard Order</v>
      </c>
      <c r="Q1560" t="str">
        <f t="shared" si="199"/>
        <v>Weekday</v>
      </c>
    </row>
    <row r="1561" spans="1:17" x14ac:dyDescent="0.35">
      <c r="A1561" t="s">
        <v>1711</v>
      </c>
      <c r="B1561" s="7">
        <v>45363</v>
      </c>
      <c r="C1561" s="13">
        <f t="shared" si="193"/>
        <v>2024</v>
      </c>
      <c r="D1561" s="7" t="str">
        <f t="shared" si="194"/>
        <v>Mar</v>
      </c>
      <c r="E1561" s="7" t="str">
        <f t="shared" si="195"/>
        <v>Tue</v>
      </c>
      <c r="F1561" t="s">
        <v>93</v>
      </c>
      <c r="G1561" t="s">
        <v>35</v>
      </c>
      <c r="H1561" t="s">
        <v>11</v>
      </c>
      <c r="I1561" s="2" t="str">
        <f t="shared" si="192"/>
        <v>North</v>
      </c>
      <c r="J1561" t="s">
        <v>42</v>
      </c>
      <c r="K1561" t="s">
        <v>36</v>
      </c>
      <c r="L1561">
        <v>19</v>
      </c>
      <c r="M1561">
        <v>120</v>
      </c>
      <c r="N1561">
        <f t="shared" si="196"/>
        <v>2280</v>
      </c>
      <c r="O1561">
        <f t="shared" si="197"/>
        <v>228</v>
      </c>
      <c r="P1561" t="str">
        <f t="shared" si="198"/>
        <v>Large Order</v>
      </c>
      <c r="Q1561" t="str">
        <f t="shared" si="199"/>
        <v>Weekday</v>
      </c>
    </row>
    <row r="1562" spans="1:17" x14ac:dyDescent="0.35">
      <c r="A1562" t="s">
        <v>1712</v>
      </c>
      <c r="B1562" s="7">
        <v>45574</v>
      </c>
      <c r="C1562" s="13">
        <f t="shared" si="193"/>
        <v>2024</v>
      </c>
      <c r="D1562" s="7" t="str">
        <f t="shared" si="194"/>
        <v>Oct</v>
      </c>
      <c r="E1562" s="7" t="str">
        <f t="shared" si="195"/>
        <v>Wed</v>
      </c>
      <c r="F1562" t="s">
        <v>34</v>
      </c>
      <c r="G1562" t="s">
        <v>109</v>
      </c>
      <c r="H1562" t="s">
        <v>11</v>
      </c>
      <c r="I1562" s="2" t="str">
        <f t="shared" si="192"/>
        <v>Central</v>
      </c>
      <c r="J1562" t="s">
        <v>12</v>
      </c>
      <c r="K1562" t="s">
        <v>32</v>
      </c>
      <c r="L1562">
        <v>13</v>
      </c>
      <c r="M1562">
        <v>120</v>
      </c>
      <c r="N1562">
        <f t="shared" si="196"/>
        <v>1560</v>
      </c>
      <c r="O1562">
        <f t="shared" si="197"/>
        <v>156</v>
      </c>
      <c r="P1562" t="str">
        <f t="shared" si="198"/>
        <v>Large Order</v>
      </c>
      <c r="Q1562" t="str">
        <f t="shared" si="199"/>
        <v>Weekday</v>
      </c>
    </row>
    <row r="1563" spans="1:17" x14ac:dyDescent="0.35">
      <c r="A1563" t="s">
        <v>1713</v>
      </c>
      <c r="B1563" s="7">
        <v>45537</v>
      </c>
      <c r="C1563" s="13">
        <f t="shared" si="193"/>
        <v>2024</v>
      </c>
      <c r="D1563" s="7" t="str">
        <f t="shared" si="194"/>
        <v>Sep</v>
      </c>
      <c r="E1563" s="7" t="str">
        <f t="shared" si="195"/>
        <v>Mon</v>
      </c>
      <c r="F1563" t="s">
        <v>339</v>
      </c>
      <c r="G1563" t="s">
        <v>87</v>
      </c>
      <c r="H1563" t="s">
        <v>17</v>
      </c>
      <c r="I1563" s="2" t="str">
        <f t="shared" si="192"/>
        <v>Central</v>
      </c>
      <c r="J1563" t="s">
        <v>306</v>
      </c>
      <c r="K1563" t="s">
        <v>13</v>
      </c>
      <c r="L1563">
        <v>5</v>
      </c>
      <c r="M1563">
        <v>120</v>
      </c>
      <c r="N1563">
        <f t="shared" si="196"/>
        <v>600</v>
      </c>
      <c r="O1563">
        <f t="shared" si="197"/>
        <v>60</v>
      </c>
      <c r="P1563" t="str">
        <f t="shared" si="198"/>
        <v>Large Order</v>
      </c>
      <c r="Q1563" t="str">
        <f t="shared" si="199"/>
        <v>Weekday</v>
      </c>
    </row>
    <row r="1564" spans="1:17" x14ac:dyDescent="0.35">
      <c r="A1564" t="s">
        <v>1714</v>
      </c>
      <c r="B1564" s="7">
        <v>45620</v>
      </c>
      <c r="C1564" s="13">
        <f t="shared" si="193"/>
        <v>2024</v>
      </c>
      <c r="D1564" s="7" t="str">
        <f t="shared" si="194"/>
        <v>Nov</v>
      </c>
      <c r="E1564" s="7" t="str">
        <f t="shared" si="195"/>
        <v>Sun</v>
      </c>
      <c r="F1564" t="s">
        <v>208</v>
      </c>
      <c r="G1564" t="s">
        <v>70</v>
      </c>
      <c r="H1564" t="s">
        <v>17</v>
      </c>
      <c r="I1564" s="2" t="str">
        <f t="shared" si="192"/>
        <v>South</v>
      </c>
      <c r="J1564" t="s">
        <v>306</v>
      </c>
      <c r="K1564" t="s">
        <v>32</v>
      </c>
      <c r="L1564">
        <v>5</v>
      </c>
      <c r="M1564">
        <v>120</v>
      </c>
      <c r="N1564">
        <f t="shared" si="196"/>
        <v>600</v>
      </c>
      <c r="O1564">
        <f t="shared" si="197"/>
        <v>60</v>
      </c>
      <c r="P1564" t="str">
        <f t="shared" si="198"/>
        <v>Large Order</v>
      </c>
      <c r="Q1564" t="str">
        <f t="shared" si="199"/>
        <v>Weekend</v>
      </c>
    </row>
    <row r="1565" spans="1:17" x14ac:dyDescent="0.35">
      <c r="A1565" t="s">
        <v>1715</v>
      </c>
      <c r="B1565" s="7">
        <v>45574</v>
      </c>
      <c r="C1565" s="13">
        <f t="shared" si="193"/>
        <v>2024</v>
      </c>
      <c r="D1565" s="7" t="str">
        <f t="shared" si="194"/>
        <v>Oct</v>
      </c>
      <c r="E1565" s="7" t="str">
        <f t="shared" si="195"/>
        <v>Wed</v>
      </c>
      <c r="F1565" t="s">
        <v>541</v>
      </c>
      <c r="G1565" t="s">
        <v>59</v>
      </c>
      <c r="H1565" t="s">
        <v>11</v>
      </c>
      <c r="I1565" s="2" t="str">
        <f t="shared" si="192"/>
        <v>East</v>
      </c>
      <c r="J1565" t="s">
        <v>56</v>
      </c>
      <c r="K1565" t="s">
        <v>23</v>
      </c>
      <c r="L1565">
        <v>17</v>
      </c>
      <c r="M1565">
        <v>120</v>
      </c>
      <c r="N1565">
        <f t="shared" si="196"/>
        <v>2040</v>
      </c>
      <c r="O1565">
        <f t="shared" si="197"/>
        <v>204</v>
      </c>
      <c r="P1565" t="str">
        <f t="shared" si="198"/>
        <v>Large Order</v>
      </c>
      <c r="Q1565" t="str">
        <f t="shared" si="199"/>
        <v>Weekday</v>
      </c>
    </row>
    <row r="1566" spans="1:17" x14ac:dyDescent="0.35">
      <c r="A1566" t="s">
        <v>1716</v>
      </c>
      <c r="B1566" s="7">
        <v>45320</v>
      </c>
      <c r="C1566" s="13">
        <f t="shared" si="193"/>
        <v>2024</v>
      </c>
      <c r="D1566" s="7" t="str">
        <f t="shared" si="194"/>
        <v>Jan</v>
      </c>
      <c r="E1566" s="7" t="str">
        <f t="shared" si="195"/>
        <v>Mon</v>
      </c>
      <c r="F1566" t="s">
        <v>114</v>
      </c>
      <c r="G1566" t="s">
        <v>160</v>
      </c>
      <c r="H1566" t="s">
        <v>11</v>
      </c>
      <c r="I1566" s="2" t="str">
        <f t="shared" si="192"/>
        <v>East</v>
      </c>
      <c r="J1566" t="s">
        <v>42</v>
      </c>
      <c r="K1566" t="s">
        <v>28</v>
      </c>
      <c r="L1566">
        <v>6</v>
      </c>
      <c r="M1566">
        <v>120</v>
      </c>
      <c r="N1566">
        <f t="shared" si="196"/>
        <v>720</v>
      </c>
      <c r="O1566">
        <f t="shared" si="197"/>
        <v>72</v>
      </c>
      <c r="P1566" t="str">
        <f t="shared" si="198"/>
        <v>Large Order</v>
      </c>
      <c r="Q1566" t="str">
        <f t="shared" si="199"/>
        <v>Weekday</v>
      </c>
    </row>
    <row r="1567" spans="1:17" x14ac:dyDescent="0.35">
      <c r="A1567" t="s">
        <v>1717</v>
      </c>
      <c r="B1567" s="7">
        <v>45655</v>
      </c>
      <c r="C1567" s="13">
        <f t="shared" si="193"/>
        <v>2024</v>
      </c>
      <c r="D1567" s="7" t="str">
        <f t="shared" si="194"/>
        <v>Dec</v>
      </c>
      <c r="E1567" s="7" t="str">
        <f t="shared" si="195"/>
        <v>Sun</v>
      </c>
      <c r="F1567" t="s">
        <v>240</v>
      </c>
      <c r="G1567" t="s">
        <v>48</v>
      </c>
      <c r="H1567" t="s">
        <v>22</v>
      </c>
      <c r="I1567" s="2" t="str">
        <f t="shared" si="192"/>
        <v>East</v>
      </c>
      <c r="J1567" t="s">
        <v>42</v>
      </c>
      <c r="K1567" t="s">
        <v>13</v>
      </c>
      <c r="L1567">
        <v>9</v>
      </c>
      <c r="M1567">
        <v>120</v>
      </c>
      <c r="N1567">
        <f t="shared" si="196"/>
        <v>1080</v>
      </c>
      <c r="O1567">
        <f t="shared" si="197"/>
        <v>108</v>
      </c>
      <c r="P1567" t="str">
        <f t="shared" si="198"/>
        <v>Large Order</v>
      </c>
      <c r="Q1567" t="str">
        <f t="shared" si="199"/>
        <v>Weekend</v>
      </c>
    </row>
    <row r="1568" spans="1:17" x14ac:dyDescent="0.35">
      <c r="A1568" t="s">
        <v>1718</v>
      </c>
      <c r="B1568" s="7">
        <v>45574</v>
      </c>
      <c r="C1568" s="13">
        <f t="shared" si="193"/>
        <v>2024</v>
      </c>
      <c r="D1568" s="7" t="str">
        <f t="shared" si="194"/>
        <v>Oct</v>
      </c>
      <c r="E1568" s="7" t="str">
        <f t="shared" si="195"/>
        <v>Wed</v>
      </c>
      <c r="F1568" t="s">
        <v>89</v>
      </c>
      <c r="G1568" t="s">
        <v>16</v>
      </c>
      <c r="H1568" t="s">
        <v>22</v>
      </c>
      <c r="I1568" s="2" t="str">
        <f t="shared" si="192"/>
        <v>South</v>
      </c>
      <c r="J1568" t="s">
        <v>42</v>
      </c>
      <c r="K1568" t="s">
        <v>36</v>
      </c>
      <c r="L1568">
        <v>18</v>
      </c>
      <c r="M1568">
        <v>120</v>
      </c>
      <c r="N1568">
        <f t="shared" si="196"/>
        <v>2160</v>
      </c>
      <c r="O1568">
        <f t="shared" si="197"/>
        <v>216</v>
      </c>
      <c r="P1568" t="str">
        <f t="shared" si="198"/>
        <v>Large Order</v>
      </c>
      <c r="Q1568" t="str">
        <f t="shared" si="199"/>
        <v>Weekday</v>
      </c>
    </row>
    <row r="1569" spans="1:17" x14ac:dyDescent="0.35">
      <c r="A1569" t="s">
        <v>1719</v>
      </c>
      <c r="B1569" s="7">
        <v>45620</v>
      </c>
      <c r="C1569" s="13">
        <f t="shared" si="193"/>
        <v>2024</v>
      </c>
      <c r="D1569" s="7" t="str">
        <f t="shared" si="194"/>
        <v>Nov</v>
      </c>
      <c r="E1569" s="7" t="str">
        <f t="shared" si="195"/>
        <v>Sun</v>
      </c>
      <c r="F1569" t="s">
        <v>30</v>
      </c>
      <c r="G1569" t="s">
        <v>59</v>
      </c>
      <c r="H1569" t="s">
        <v>22</v>
      </c>
      <c r="I1569" s="2" t="str">
        <f t="shared" si="192"/>
        <v>North</v>
      </c>
      <c r="J1569" t="s">
        <v>56</v>
      </c>
      <c r="K1569" t="s">
        <v>28</v>
      </c>
      <c r="L1569">
        <v>20</v>
      </c>
      <c r="M1569">
        <v>120</v>
      </c>
      <c r="N1569">
        <f t="shared" si="196"/>
        <v>2400</v>
      </c>
      <c r="O1569">
        <f t="shared" si="197"/>
        <v>240</v>
      </c>
      <c r="P1569" t="str">
        <f t="shared" si="198"/>
        <v>Large Order</v>
      </c>
      <c r="Q1569" t="str">
        <f t="shared" si="199"/>
        <v>Weekend</v>
      </c>
    </row>
    <row r="1570" spans="1:17" x14ac:dyDescent="0.35">
      <c r="A1570" t="s">
        <v>1720</v>
      </c>
      <c r="B1570" s="7">
        <v>45601</v>
      </c>
      <c r="C1570" s="13">
        <f t="shared" si="193"/>
        <v>2024</v>
      </c>
      <c r="D1570" s="7" t="str">
        <f t="shared" si="194"/>
        <v>Nov</v>
      </c>
      <c r="E1570" s="7" t="str">
        <f t="shared" si="195"/>
        <v>Tue</v>
      </c>
      <c r="F1570" t="s">
        <v>47</v>
      </c>
      <c r="G1570" t="s">
        <v>59</v>
      </c>
      <c r="H1570" t="s">
        <v>11</v>
      </c>
      <c r="I1570" s="2" t="str">
        <f t="shared" si="192"/>
        <v>Central</v>
      </c>
      <c r="J1570" t="s">
        <v>12</v>
      </c>
      <c r="K1570" t="s">
        <v>13</v>
      </c>
      <c r="L1570">
        <v>2</v>
      </c>
      <c r="M1570">
        <v>120</v>
      </c>
      <c r="N1570">
        <f t="shared" si="196"/>
        <v>240</v>
      </c>
      <c r="O1570">
        <f t="shared" si="197"/>
        <v>24</v>
      </c>
      <c r="P1570" t="str">
        <f t="shared" si="198"/>
        <v>Standard Order</v>
      </c>
      <c r="Q1570" t="str">
        <f t="shared" si="199"/>
        <v>Weekday</v>
      </c>
    </row>
    <row r="1571" spans="1:17" x14ac:dyDescent="0.35">
      <c r="A1571" t="s">
        <v>1721</v>
      </c>
      <c r="B1571" s="7">
        <v>45587</v>
      </c>
      <c r="C1571" s="13">
        <f t="shared" si="193"/>
        <v>2024</v>
      </c>
      <c r="D1571" s="7" t="str">
        <f t="shared" si="194"/>
        <v>Oct</v>
      </c>
      <c r="E1571" s="7" t="str">
        <f t="shared" si="195"/>
        <v>Tue</v>
      </c>
      <c r="F1571" t="s">
        <v>86</v>
      </c>
      <c r="G1571" t="s">
        <v>21</v>
      </c>
      <c r="H1571" t="s">
        <v>11</v>
      </c>
      <c r="I1571" s="2" t="str">
        <f t="shared" si="192"/>
        <v>East</v>
      </c>
      <c r="J1571" t="s">
        <v>306</v>
      </c>
      <c r="K1571" t="s">
        <v>23</v>
      </c>
      <c r="L1571">
        <v>20</v>
      </c>
      <c r="M1571">
        <v>120</v>
      </c>
      <c r="N1571">
        <f t="shared" si="196"/>
        <v>2400</v>
      </c>
      <c r="O1571">
        <f t="shared" si="197"/>
        <v>240</v>
      </c>
      <c r="P1571" t="str">
        <f t="shared" si="198"/>
        <v>Large Order</v>
      </c>
      <c r="Q1571" t="str">
        <f t="shared" si="199"/>
        <v>Weekday</v>
      </c>
    </row>
    <row r="1572" spans="1:17" x14ac:dyDescent="0.35">
      <c r="A1572" t="s">
        <v>1722</v>
      </c>
      <c r="B1572" s="7">
        <v>45546</v>
      </c>
      <c r="C1572" s="13">
        <f t="shared" si="193"/>
        <v>2024</v>
      </c>
      <c r="D1572" s="7" t="str">
        <f t="shared" si="194"/>
        <v>Sep</v>
      </c>
      <c r="E1572" s="7" t="str">
        <f t="shared" si="195"/>
        <v>Wed</v>
      </c>
      <c r="F1572" t="s">
        <v>451</v>
      </c>
      <c r="G1572" t="s">
        <v>174</v>
      </c>
      <c r="H1572" t="s">
        <v>17</v>
      </c>
      <c r="I1572" s="2" t="str">
        <f t="shared" si="192"/>
        <v>North</v>
      </c>
      <c r="J1572" t="s">
        <v>42</v>
      </c>
      <c r="K1572" t="s">
        <v>23</v>
      </c>
      <c r="L1572">
        <v>8</v>
      </c>
      <c r="M1572">
        <v>120</v>
      </c>
      <c r="N1572">
        <f t="shared" si="196"/>
        <v>960</v>
      </c>
      <c r="O1572">
        <f t="shared" si="197"/>
        <v>96</v>
      </c>
      <c r="P1572" t="str">
        <f t="shared" si="198"/>
        <v>Large Order</v>
      </c>
      <c r="Q1572" t="str">
        <f t="shared" si="199"/>
        <v>Weekday</v>
      </c>
    </row>
    <row r="1573" spans="1:17" x14ac:dyDescent="0.35">
      <c r="A1573" t="s">
        <v>1723</v>
      </c>
      <c r="B1573" s="7">
        <v>45642</v>
      </c>
      <c r="C1573" s="13">
        <f t="shared" si="193"/>
        <v>2024</v>
      </c>
      <c r="D1573" s="7" t="str">
        <f t="shared" si="194"/>
        <v>Dec</v>
      </c>
      <c r="E1573" s="7" t="str">
        <f t="shared" si="195"/>
        <v>Mon</v>
      </c>
      <c r="F1573" t="s">
        <v>341</v>
      </c>
      <c r="G1573" t="s">
        <v>74</v>
      </c>
      <c r="H1573" t="s">
        <v>17</v>
      </c>
      <c r="I1573" s="2" t="str">
        <f t="shared" si="192"/>
        <v>Central</v>
      </c>
      <c r="J1573" t="s">
        <v>12</v>
      </c>
      <c r="K1573" t="s">
        <v>13</v>
      </c>
      <c r="L1573">
        <v>6</v>
      </c>
      <c r="M1573">
        <v>120</v>
      </c>
      <c r="N1573">
        <f t="shared" si="196"/>
        <v>720</v>
      </c>
      <c r="O1573">
        <f t="shared" si="197"/>
        <v>72</v>
      </c>
      <c r="P1573" t="str">
        <f t="shared" si="198"/>
        <v>Large Order</v>
      </c>
      <c r="Q1573" t="str">
        <f t="shared" si="199"/>
        <v>Weekday</v>
      </c>
    </row>
    <row r="1574" spans="1:17" x14ac:dyDescent="0.35">
      <c r="A1574" t="s">
        <v>1724</v>
      </c>
      <c r="B1574" s="7">
        <v>45539</v>
      </c>
      <c r="C1574" s="13">
        <f t="shared" si="193"/>
        <v>2024</v>
      </c>
      <c r="D1574" s="7" t="str">
        <f t="shared" si="194"/>
        <v>Sep</v>
      </c>
      <c r="E1574" s="7" t="str">
        <f t="shared" si="195"/>
        <v>Wed</v>
      </c>
      <c r="F1574" t="s">
        <v>319</v>
      </c>
      <c r="G1574" t="s">
        <v>65</v>
      </c>
      <c r="H1574" t="s">
        <v>17</v>
      </c>
      <c r="I1574" s="2" t="str">
        <f t="shared" si="192"/>
        <v>South</v>
      </c>
      <c r="J1574" t="s">
        <v>306</v>
      </c>
      <c r="K1574" t="s">
        <v>28</v>
      </c>
      <c r="L1574">
        <v>11</v>
      </c>
      <c r="M1574">
        <v>120</v>
      </c>
      <c r="N1574">
        <f t="shared" si="196"/>
        <v>1320</v>
      </c>
      <c r="O1574">
        <f t="shared" si="197"/>
        <v>132</v>
      </c>
      <c r="P1574" t="str">
        <f t="shared" si="198"/>
        <v>Large Order</v>
      </c>
      <c r="Q1574" t="str">
        <f t="shared" si="199"/>
        <v>Weekday</v>
      </c>
    </row>
    <row r="1575" spans="1:17" x14ac:dyDescent="0.35">
      <c r="A1575" t="s">
        <v>1725</v>
      </c>
      <c r="B1575" s="7">
        <v>45455</v>
      </c>
      <c r="C1575" s="13">
        <f t="shared" si="193"/>
        <v>2024</v>
      </c>
      <c r="D1575" s="7" t="str">
        <f t="shared" si="194"/>
        <v>Jun</v>
      </c>
      <c r="E1575" s="7" t="str">
        <f t="shared" si="195"/>
        <v>Wed</v>
      </c>
      <c r="F1575" t="s">
        <v>388</v>
      </c>
      <c r="G1575" t="s">
        <v>48</v>
      </c>
      <c r="H1575" t="s">
        <v>17</v>
      </c>
      <c r="I1575" s="2" t="str">
        <f t="shared" si="192"/>
        <v>East</v>
      </c>
      <c r="J1575" t="s">
        <v>56</v>
      </c>
      <c r="K1575" t="s">
        <v>32</v>
      </c>
      <c r="L1575">
        <v>17</v>
      </c>
      <c r="M1575">
        <v>120</v>
      </c>
      <c r="N1575">
        <f t="shared" si="196"/>
        <v>2040</v>
      </c>
      <c r="O1575">
        <f t="shared" si="197"/>
        <v>204</v>
      </c>
      <c r="P1575" t="str">
        <f t="shared" si="198"/>
        <v>Large Order</v>
      </c>
      <c r="Q1575" t="str">
        <f t="shared" si="199"/>
        <v>Weekday</v>
      </c>
    </row>
    <row r="1576" spans="1:17" x14ac:dyDescent="0.35">
      <c r="A1576" t="s">
        <v>1726</v>
      </c>
      <c r="B1576" s="7">
        <v>45455</v>
      </c>
      <c r="C1576" s="13">
        <f t="shared" si="193"/>
        <v>2024</v>
      </c>
      <c r="D1576" s="7" t="str">
        <f t="shared" si="194"/>
        <v>Jun</v>
      </c>
      <c r="E1576" s="7" t="str">
        <f t="shared" si="195"/>
        <v>Wed</v>
      </c>
      <c r="F1576" t="s">
        <v>93</v>
      </c>
      <c r="G1576" t="s">
        <v>70</v>
      </c>
      <c r="H1576" t="s">
        <v>11</v>
      </c>
      <c r="I1576" s="2" t="str">
        <f t="shared" si="192"/>
        <v>West</v>
      </c>
      <c r="J1576" t="s">
        <v>42</v>
      </c>
      <c r="K1576" t="s">
        <v>23</v>
      </c>
      <c r="L1576">
        <v>8</v>
      </c>
      <c r="M1576">
        <v>120</v>
      </c>
      <c r="N1576">
        <f t="shared" si="196"/>
        <v>960</v>
      </c>
      <c r="O1576">
        <f t="shared" si="197"/>
        <v>96</v>
      </c>
      <c r="P1576" t="str">
        <f t="shared" si="198"/>
        <v>Large Order</v>
      </c>
      <c r="Q1576" t="str">
        <f t="shared" si="199"/>
        <v>Weekday</v>
      </c>
    </row>
    <row r="1577" spans="1:17" x14ac:dyDescent="0.35">
      <c r="A1577" t="s">
        <v>1727</v>
      </c>
      <c r="B1577" s="7">
        <v>45317</v>
      </c>
      <c r="C1577" s="13">
        <f t="shared" si="193"/>
        <v>2024</v>
      </c>
      <c r="D1577" s="7" t="str">
        <f t="shared" si="194"/>
        <v>Jan</v>
      </c>
      <c r="E1577" s="7" t="str">
        <f t="shared" si="195"/>
        <v>Fri</v>
      </c>
      <c r="F1577" t="s">
        <v>61</v>
      </c>
      <c r="G1577" t="s">
        <v>31</v>
      </c>
      <c r="H1577" t="s">
        <v>22</v>
      </c>
      <c r="I1577" s="2" t="str">
        <f t="shared" si="192"/>
        <v>South</v>
      </c>
      <c r="J1577" t="s">
        <v>27</v>
      </c>
      <c r="K1577" t="s">
        <v>28</v>
      </c>
      <c r="L1577">
        <v>6</v>
      </c>
      <c r="M1577">
        <v>120</v>
      </c>
      <c r="N1577">
        <f t="shared" si="196"/>
        <v>720</v>
      </c>
      <c r="O1577">
        <f t="shared" si="197"/>
        <v>72</v>
      </c>
      <c r="P1577" t="str">
        <f t="shared" si="198"/>
        <v>Large Order</v>
      </c>
      <c r="Q1577" t="str">
        <f t="shared" si="199"/>
        <v>Weekday</v>
      </c>
    </row>
    <row r="1578" spans="1:17" x14ac:dyDescent="0.35">
      <c r="A1578" t="s">
        <v>1728</v>
      </c>
      <c r="B1578" s="7">
        <v>45587</v>
      </c>
      <c r="C1578" s="13">
        <f t="shared" si="193"/>
        <v>2024</v>
      </c>
      <c r="D1578" s="7" t="str">
        <f t="shared" si="194"/>
        <v>Oct</v>
      </c>
      <c r="E1578" s="7" t="str">
        <f t="shared" si="195"/>
        <v>Tue</v>
      </c>
      <c r="F1578" t="s">
        <v>329</v>
      </c>
      <c r="G1578" t="s">
        <v>72</v>
      </c>
      <c r="H1578" t="s">
        <v>11</v>
      </c>
      <c r="I1578" s="2" t="str">
        <f t="shared" si="192"/>
        <v>West</v>
      </c>
      <c r="J1578" t="s">
        <v>56</v>
      </c>
      <c r="K1578" t="s">
        <v>23</v>
      </c>
      <c r="L1578">
        <v>17</v>
      </c>
      <c r="M1578">
        <v>120</v>
      </c>
      <c r="N1578">
        <f t="shared" si="196"/>
        <v>2040</v>
      </c>
      <c r="O1578">
        <f t="shared" si="197"/>
        <v>204</v>
      </c>
      <c r="P1578" t="str">
        <f t="shared" si="198"/>
        <v>Large Order</v>
      </c>
      <c r="Q1578" t="str">
        <f t="shared" si="199"/>
        <v>Weekday</v>
      </c>
    </row>
    <row r="1579" spans="1:17" x14ac:dyDescent="0.35">
      <c r="A1579" t="s">
        <v>1729</v>
      </c>
      <c r="B1579" s="7">
        <v>45449</v>
      </c>
      <c r="C1579" s="13">
        <f t="shared" si="193"/>
        <v>2024</v>
      </c>
      <c r="D1579" s="7" t="str">
        <f t="shared" si="194"/>
        <v>Jun</v>
      </c>
      <c r="E1579" s="7" t="str">
        <f t="shared" si="195"/>
        <v>Thu</v>
      </c>
      <c r="F1579" t="s">
        <v>432</v>
      </c>
      <c r="G1579" t="s">
        <v>96</v>
      </c>
      <c r="H1579" t="s">
        <v>11</v>
      </c>
      <c r="I1579" s="2" t="str">
        <f t="shared" si="192"/>
        <v>North</v>
      </c>
      <c r="J1579" t="s">
        <v>27</v>
      </c>
      <c r="K1579" t="s">
        <v>36</v>
      </c>
      <c r="L1579">
        <v>15</v>
      </c>
      <c r="M1579">
        <v>120</v>
      </c>
      <c r="N1579">
        <f t="shared" si="196"/>
        <v>1800</v>
      </c>
      <c r="O1579">
        <f t="shared" si="197"/>
        <v>180</v>
      </c>
      <c r="P1579" t="str">
        <f t="shared" si="198"/>
        <v>Large Order</v>
      </c>
      <c r="Q1579" t="str">
        <f t="shared" si="199"/>
        <v>Weekday</v>
      </c>
    </row>
    <row r="1580" spans="1:17" x14ac:dyDescent="0.35">
      <c r="A1580" t="s">
        <v>1730</v>
      </c>
      <c r="B1580" s="7">
        <v>45402</v>
      </c>
      <c r="C1580" s="13">
        <f t="shared" si="193"/>
        <v>2024</v>
      </c>
      <c r="D1580" s="7" t="str">
        <f t="shared" si="194"/>
        <v>Apr</v>
      </c>
      <c r="E1580" s="7" t="str">
        <f t="shared" si="195"/>
        <v>Sat</v>
      </c>
      <c r="F1580" t="s">
        <v>361</v>
      </c>
      <c r="G1580" t="s">
        <v>48</v>
      </c>
      <c r="H1580" t="s">
        <v>11</v>
      </c>
      <c r="I1580" s="2" t="str">
        <f t="shared" si="192"/>
        <v>Central</v>
      </c>
      <c r="J1580" t="s">
        <v>12</v>
      </c>
      <c r="K1580" t="s">
        <v>32</v>
      </c>
      <c r="L1580">
        <v>16</v>
      </c>
      <c r="M1580">
        <v>120</v>
      </c>
      <c r="N1580">
        <f t="shared" si="196"/>
        <v>1920</v>
      </c>
      <c r="O1580">
        <f t="shared" si="197"/>
        <v>192</v>
      </c>
      <c r="P1580" t="str">
        <f t="shared" si="198"/>
        <v>Large Order</v>
      </c>
      <c r="Q1580" t="str">
        <f t="shared" si="199"/>
        <v>Weekend</v>
      </c>
    </row>
    <row r="1581" spans="1:17" x14ac:dyDescent="0.35">
      <c r="A1581" t="s">
        <v>1731</v>
      </c>
      <c r="B1581" s="7">
        <v>45626</v>
      </c>
      <c r="C1581" s="13">
        <f t="shared" si="193"/>
        <v>2024</v>
      </c>
      <c r="D1581" s="7" t="str">
        <f t="shared" si="194"/>
        <v>Nov</v>
      </c>
      <c r="E1581" s="7" t="str">
        <f t="shared" si="195"/>
        <v>Sat</v>
      </c>
      <c r="F1581" t="s">
        <v>422</v>
      </c>
      <c r="G1581" t="s">
        <v>35</v>
      </c>
      <c r="H1581" t="s">
        <v>17</v>
      </c>
      <c r="I1581" s="2" t="str">
        <f t="shared" si="192"/>
        <v>East</v>
      </c>
      <c r="J1581" t="s">
        <v>306</v>
      </c>
      <c r="K1581" t="s">
        <v>13</v>
      </c>
      <c r="L1581">
        <v>4</v>
      </c>
      <c r="M1581">
        <v>120</v>
      </c>
      <c r="N1581">
        <f t="shared" si="196"/>
        <v>480</v>
      </c>
      <c r="O1581">
        <f t="shared" si="197"/>
        <v>48</v>
      </c>
      <c r="P1581" t="str">
        <f t="shared" si="198"/>
        <v>Standard Order</v>
      </c>
      <c r="Q1581" t="str">
        <f t="shared" si="199"/>
        <v>Weekend</v>
      </c>
    </row>
    <row r="1582" spans="1:17" x14ac:dyDescent="0.35">
      <c r="A1582" t="s">
        <v>1732</v>
      </c>
      <c r="B1582" s="7">
        <v>45427</v>
      </c>
      <c r="C1582" s="13">
        <f t="shared" si="193"/>
        <v>2024</v>
      </c>
      <c r="D1582" s="7" t="str">
        <f t="shared" si="194"/>
        <v>May</v>
      </c>
      <c r="E1582" s="7" t="str">
        <f t="shared" si="195"/>
        <v>Wed</v>
      </c>
      <c r="F1582" t="s">
        <v>388</v>
      </c>
      <c r="G1582" t="s">
        <v>48</v>
      </c>
      <c r="H1582" t="s">
        <v>17</v>
      </c>
      <c r="I1582" s="2" t="str">
        <f t="shared" si="192"/>
        <v>East</v>
      </c>
      <c r="J1582" t="s">
        <v>42</v>
      </c>
      <c r="K1582" t="s">
        <v>13</v>
      </c>
      <c r="L1582">
        <v>13</v>
      </c>
      <c r="M1582">
        <v>120</v>
      </c>
      <c r="N1582">
        <f t="shared" si="196"/>
        <v>1560</v>
      </c>
      <c r="O1582">
        <f t="shared" si="197"/>
        <v>156</v>
      </c>
      <c r="P1582" t="str">
        <f t="shared" si="198"/>
        <v>Large Order</v>
      </c>
      <c r="Q1582" t="str">
        <f t="shared" si="199"/>
        <v>Weekday</v>
      </c>
    </row>
    <row r="1583" spans="1:17" x14ac:dyDescent="0.35">
      <c r="A1583" t="s">
        <v>1733</v>
      </c>
      <c r="B1583" s="7">
        <v>45579</v>
      </c>
      <c r="C1583" s="13">
        <f t="shared" si="193"/>
        <v>2024</v>
      </c>
      <c r="D1583" s="7" t="str">
        <f t="shared" si="194"/>
        <v>Oct</v>
      </c>
      <c r="E1583" s="7" t="str">
        <f t="shared" si="195"/>
        <v>Mon</v>
      </c>
      <c r="F1583" t="s">
        <v>150</v>
      </c>
      <c r="G1583" t="s">
        <v>48</v>
      </c>
      <c r="H1583" t="s">
        <v>22</v>
      </c>
      <c r="I1583" s="2" t="str">
        <f t="shared" si="192"/>
        <v>Central</v>
      </c>
      <c r="J1583" t="s">
        <v>42</v>
      </c>
      <c r="K1583" t="s">
        <v>13</v>
      </c>
      <c r="L1583">
        <v>13</v>
      </c>
      <c r="M1583">
        <v>120</v>
      </c>
      <c r="N1583">
        <f t="shared" si="196"/>
        <v>1560</v>
      </c>
      <c r="O1583">
        <f t="shared" si="197"/>
        <v>156</v>
      </c>
      <c r="P1583" t="str">
        <f t="shared" si="198"/>
        <v>Large Order</v>
      </c>
      <c r="Q1583" t="str">
        <f t="shared" si="199"/>
        <v>Weekday</v>
      </c>
    </row>
    <row r="1584" spans="1:17" x14ac:dyDescent="0.35">
      <c r="A1584" t="s">
        <v>1734</v>
      </c>
      <c r="B1584" s="7">
        <v>45573</v>
      </c>
      <c r="C1584" s="13">
        <f t="shared" si="193"/>
        <v>2024</v>
      </c>
      <c r="D1584" s="7" t="str">
        <f t="shared" si="194"/>
        <v>Oct</v>
      </c>
      <c r="E1584" s="7" t="str">
        <f t="shared" si="195"/>
        <v>Tue</v>
      </c>
      <c r="F1584" t="s">
        <v>89</v>
      </c>
      <c r="G1584" t="s">
        <v>109</v>
      </c>
      <c r="H1584" t="s">
        <v>22</v>
      </c>
      <c r="I1584" s="2" t="str">
        <f t="shared" si="192"/>
        <v>East</v>
      </c>
      <c r="J1584" t="s">
        <v>306</v>
      </c>
      <c r="K1584" t="s">
        <v>13</v>
      </c>
      <c r="L1584">
        <v>5</v>
      </c>
      <c r="M1584">
        <v>120</v>
      </c>
      <c r="N1584">
        <f t="shared" si="196"/>
        <v>600</v>
      </c>
      <c r="O1584">
        <f t="shared" si="197"/>
        <v>60</v>
      </c>
      <c r="P1584" t="str">
        <f t="shared" si="198"/>
        <v>Large Order</v>
      </c>
      <c r="Q1584" t="str">
        <f t="shared" si="199"/>
        <v>Weekday</v>
      </c>
    </row>
    <row r="1585" spans="1:17" x14ac:dyDescent="0.35">
      <c r="A1585" t="s">
        <v>1735</v>
      </c>
      <c r="B1585" s="7">
        <v>45493</v>
      </c>
      <c r="C1585" s="13">
        <f t="shared" si="193"/>
        <v>2024</v>
      </c>
      <c r="D1585" s="7" t="str">
        <f t="shared" si="194"/>
        <v>Jul</v>
      </c>
      <c r="E1585" s="7" t="str">
        <f t="shared" si="195"/>
        <v>Sat</v>
      </c>
      <c r="F1585" t="s">
        <v>200</v>
      </c>
      <c r="G1585" t="s">
        <v>72</v>
      </c>
      <c r="H1585" t="s">
        <v>22</v>
      </c>
      <c r="I1585" s="2" t="str">
        <f t="shared" si="192"/>
        <v>North</v>
      </c>
      <c r="J1585" t="s">
        <v>42</v>
      </c>
      <c r="K1585" t="s">
        <v>28</v>
      </c>
      <c r="L1585">
        <v>7</v>
      </c>
      <c r="M1585">
        <v>120</v>
      </c>
      <c r="N1585">
        <f t="shared" si="196"/>
        <v>840</v>
      </c>
      <c r="O1585">
        <f t="shared" si="197"/>
        <v>84</v>
      </c>
      <c r="P1585" t="str">
        <f t="shared" si="198"/>
        <v>Large Order</v>
      </c>
      <c r="Q1585" t="str">
        <f t="shared" si="199"/>
        <v>Weekend</v>
      </c>
    </row>
    <row r="1586" spans="1:17" x14ac:dyDescent="0.35">
      <c r="A1586" t="s">
        <v>1736</v>
      </c>
      <c r="B1586" s="7">
        <v>45497</v>
      </c>
      <c r="C1586" s="13">
        <f t="shared" si="193"/>
        <v>2024</v>
      </c>
      <c r="D1586" s="7" t="str">
        <f t="shared" si="194"/>
        <v>Jul</v>
      </c>
      <c r="E1586" s="7" t="str">
        <f t="shared" si="195"/>
        <v>Wed</v>
      </c>
      <c r="F1586" t="s">
        <v>358</v>
      </c>
      <c r="G1586" t="s">
        <v>79</v>
      </c>
      <c r="H1586" t="s">
        <v>11</v>
      </c>
      <c r="I1586" s="2" t="str">
        <f t="shared" si="192"/>
        <v>Central</v>
      </c>
      <c r="J1586" t="s">
        <v>12</v>
      </c>
      <c r="K1586" t="s">
        <v>28</v>
      </c>
      <c r="L1586">
        <v>11</v>
      </c>
      <c r="M1586">
        <v>120</v>
      </c>
      <c r="N1586">
        <f t="shared" si="196"/>
        <v>1320</v>
      </c>
      <c r="O1586">
        <f t="shared" si="197"/>
        <v>132</v>
      </c>
      <c r="P1586" t="str">
        <f t="shared" si="198"/>
        <v>Large Order</v>
      </c>
      <c r="Q1586" t="str">
        <f t="shared" si="199"/>
        <v>Weekday</v>
      </c>
    </row>
    <row r="1587" spans="1:17" x14ac:dyDescent="0.35">
      <c r="A1587" t="s">
        <v>1737</v>
      </c>
      <c r="B1587" s="7">
        <v>45557</v>
      </c>
      <c r="C1587" s="13">
        <f t="shared" si="193"/>
        <v>2024</v>
      </c>
      <c r="D1587" s="7" t="str">
        <f t="shared" si="194"/>
        <v>Sep</v>
      </c>
      <c r="E1587" s="7" t="str">
        <f t="shared" si="195"/>
        <v>Sun</v>
      </c>
      <c r="F1587" t="s">
        <v>366</v>
      </c>
      <c r="G1587" t="s">
        <v>16</v>
      </c>
      <c r="H1587" t="s">
        <v>22</v>
      </c>
      <c r="I1587" s="2" t="str">
        <f t="shared" si="192"/>
        <v>East</v>
      </c>
      <c r="J1587" t="s">
        <v>306</v>
      </c>
      <c r="K1587" t="s">
        <v>28</v>
      </c>
      <c r="L1587">
        <v>11</v>
      </c>
      <c r="M1587">
        <v>120</v>
      </c>
      <c r="N1587">
        <f t="shared" si="196"/>
        <v>1320</v>
      </c>
      <c r="O1587">
        <f t="shared" si="197"/>
        <v>132</v>
      </c>
      <c r="P1587" t="str">
        <f t="shared" si="198"/>
        <v>Large Order</v>
      </c>
      <c r="Q1587" t="str">
        <f t="shared" si="199"/>
        <v>Weekend</v>
      </c>
    </row>
    <row r="1588" spans="1:17" x14ac:dyDescent="0.35">
      <c r="A1588" t="s">
        <v>1738</v>
      </c>
      <c r="B1588" s="7">
        <v>45455</v>
      </c>
      <c r="C1588" s="13">
        <f t="shared" si="193"/>
        <v>2024</v>
      </c>
      <c r="D1588" s="7" t="str">
        <f t="shared" si="194"/>
        <v>Jun</v>
      </c>
      <c r="E1588" s="7" t="str">
        <f t="shared" si="195"/>
        <v>Wed</v>
      </c>
      <c r="F1588" t="s">
        <v>111</v>
      </c>
      <c r="G1588" t="s">
        <v>31</v>
      </c>
      <c r="H1588" t="s">
        <v>22</v>
      </c>
      <c r="I1588" s="2" t="str">
        <f t="shared" si="192"/>
        <v>Central</v>
      </c>
      <c r="J1588" t="s">
        <v>42</v>
      </c>
      <c r="K1588" t="s">
        <v>36</v>
      </c>
      <c r="L1588">
        <v>11</v>
      </c>
      <c r="M1588">
        <v>120</v>
      </c>
      <c r="N1588">
        <f t="shared" si="196"/>
        <v>1320</v>
      </c>
      <c r="O1588">
        <f t="shared" si="197"/>
        <v>132</v>
      </c>
      <c r="P1588" t="str">
        <f t="shared" si="198"/>
        <v>Large Order</v>
      </c>
      <c r="Q1588" t="str">
        <f t="shared" si="199"/>
        <v>Weekday</v>
      </c>
    </row>
    <row r="1589" spans="1:17" x14ac:dyDescent="0.35">
      <c r="A1589" t="s">
        <v>1739</v>
      </c>
      <c r="B1589" s="7">
        <v>45552</v>
      </c>
      <c r="C1589" s="13">
        <f t="shared" si="193"/>
        <v>2024</v>
      </c>
      <c r="D1589" s="7" t="str">
        <f t="shared" si="194"/>
        <v>Sep</v>
      </c>
      <c r="E1589" s="7" t="str">
        <f t="shared" si="195"/>
        <v>Tue</v>
      </c>
      <c r="F1589" t="s">
        <v>312</v>
      </c>
      <c r="G1589" t="s">
        <v>35</v>
      </c>
      <c r="H1589" t="s">
        <v>22</v>
      </c>
      <c r="I1589" s="2" t="str">
        <f t="shared" si="192"/>
        <v>West</v>
      </c>
      <c r="J1589" t="s">
        <v>306</v>
      </c>
      <c r="K1589" t="s">
        <v>32</v>
      </c>
      <c r="L1589">
        <v>16</v>
      </c>
      <c r="M1589">
        <v>120</v>
      </c>
      <c r="N1589">
        <f t="shared" si="196"/>
        <v>1920</v>
      </c>
      <c r="O1589">
        <f t="shared" si="197"/>
        <v>192</v>
      </c>
      <c r="P1589" t="str">
        <f t="shared" si="198"/>
        <v>Large Order</v>
      </c>
      <c r="Q1589" t="str">
        <f t="shared" si="199"/>
        <v>Weekday</v>
      </c>
    </row>
    <row r="1590" spans="1:17" x14ac:dyDescent="0.35">
      <c r="A1590" t="s">
        <v>1740</v>
      </c>
      <c r="B1590" s="7">
        <v>45480</v>
      </c>
      <c r="C1590" s="13">
        <f t="shared" si="193"/>
        <v>2024</v>
      </c>
      <c r="D1590" s="7" t="str">
        <f t="shared" si="194"/>
        <v>Jul</v>
      </c>
      <c r="E1590" s="7" t="str">
        <f t="shared" si="195"/>
        <v>Sun</v>
      </c>
      <c r="F1590" t="s">
        <v>118</v>
      </c>
      <c r="G1590" t="s">
        <v>41</v>
      </c>
      <c r="H1590" t="s">
        <v>11</v>
      </c>
      <c r="I1590" s="2" t="str">
        <f t="shared" si="192"/>
        <v>West</v>
      </c>
      <c r="J1590" t="s">
        <v>27</v>
      </c>
      <c r="K1590" t="s">
        <v>36</v>
      </c>
      <c r="L1590">
        <v>10</v>
      </c>
      <c r="M1590">
        <v>120</v>
      </c>
      <c r="N1590">
        <f t="shared" si="196"/>
        <v>1200</v>
      </c>
      <c r="O1590">
        <f t="shared" si="197"/>
        <v>120</v>
      </c>
      <c r="P1590" t="str">
        <f t="shared" si="198"/>
        <v>Large Order</v>
      </c>
      <c r="Q1590" t="str">
        <f t="shared" si="199"/>
        <v>Weekend</v>
      </c>
    </row>
    <row r="1591" spans="1:17" x14ac:dyDescent="0.35">
      <c r="A1591" t="s">
        <v>1741</v>
      </c>
      <c r="B1591" s="7">
        <v>45644</v>
      </c>
      <c r="C1591" s="13">
        <f t="shared" si="193"/>
        <v>2024</v>
      </c>
      <c r="D1591" s="7" t="str">
        <f t="shared" si="194"/>
        <v>Dec</v>
      </c>
      <c r="E1591" s="7" t="str">
        <f t="shared" si="195"/>
        <v>Wed</v>
      </c>
      <c r="F1591" t="s">
        <v>451</v>
      </c>
      <c r="G1591" t="s">
        <v>96</v>
      </c>
      <c r="H1591" t="s">
        <v>22</v>
      </c>
      <c r="I1591" s="2" t="str">
        <f t="shared" si="192"/>
        <v>Central</v>
      </c>
      <c r="J1591" t="s">
        <v>27</v>
      </c>
      <c r="K1591" t="s">
        <v>32</v>
      </c>
      <c r="L1591">
        <v>19</v>
      </c>
      <c r="M1591">
        <v>120</v>
      </c>
      <c r="N1591">
        <f t="shared" si="196"/>
        <v>2280</v>
      </c>
      <c r="O1591">
        <f t="shared" si="197"/>
        <v>228</v>
      </c>
      <c r="P1591" t="str">
        <f t="shared" si="198"/>
        <v>Large Order</v>
      </c>
      <c r="Q1591" t="str">
        <f t="shared" si="199"/>
        <v>Weekday</v>
      </c>
    </row>
    <row r="1592" spans="1:17" x14ac:dyDescent="0.35">
      <c r="A1592" t="s">
        <v>1742</v>
      </c>
      <c r="B1592" s="7">
        <v>45318</v>
      </c>
      <c r="C1592" s="13">
        <f t="shared" si="193"/>
        <v>2024</v>
      </c>
      <c r="D1592" s="7" t="str">
        <f t="shared" si="194"/>
        <v>Jan</v>
      </c>
      <c r="E1592" s="7" t="str">
        <f t="shared" si="195"/>
        <v>Sat</v>
      </c>
      <c r="F1592" t="s">
        <v>361</v>
      </c>
      <c r="G1592" t="s">
        <v>35</v>
      </c>
      <c r="H1592" t="s">
        <v>11</v>
      </c>
      <c r="I1592" s="2" t="str">
        <f t="shared" si="192"/>
        <v>North</v>
      </c>
      <c r="J1592" t="s">
        <v>306</v>
      </c>
      <c r="K1592" t="s">
        <v>36</v>
      </c>
      <c r="L1592">
        <v>13</v>
      </c>
      <c r="M1592">
        <v>120</v>
      </c>
      <c r="N1592">
        <f t="shared" si="196"/>
        <v>1560</v>
      </c>
      <c r="O1592">
        <f t="shared" si="197"/>
        <v>156</v>
      </c>
      <c r="P1592" t="str">
        <f t="shared" si="198"/>
        <v>Large Order</v>
      </c>
      <c r="Q1592" t="str">
        <f t="shared" si="199"/>
        <v>Weekend</v>
      </c>
    </row>
    <row r="1593" spans="1:17" x14ac:dyDescent="0.35">
      <c r="A1593" t="s">
        <v>1743</v>
      </c>
      <c r="B1593" s="7">
        <v>45640</v>
      </c>
      <c r="C1593" s="13">
        <f t="shared" si="193"/>
        <v>2024</v>
      </c>
      <c r="D1593" s="7" t="str">
        <f t="shared" si="194"/>
        <v>Dec</v>
      </c>
      <c r="E1593" s="7" t="str">
        <f t="shared" si="195"/>
        <v>Sat</v>
      </c>
      <c r="F1593" t="s">
        <v>78</v>
      </c>
      <c r="G1593" t="s">
        <v>79</v>
      </c>
      <c r="H1593" t="s">
        <v>22</v>
      </c>
      <c r="I1593" s="2" t="str">
        <f t="shared" si="192"/>
        <v>South</v>
      </c>
      <c r="J1593" t="s">
        <v>12</v>
      </c>
      <c r="K1593" t="s">
        <v>28</v>
      </c>
      <c r="L1593">
        <v>1</v>
      </c>
      <c r="M1593">
        <v>120</v>
      </c>
      <c r="N1593">
        <f t="shared" si="196"/>
        <v>120</v>
      </c>
      <c r="O1593">
        <f t="shared" si="197"/>
        <v>12</v>
      </c>
      <c r="P1593" t="str">
        <f t="shared" si="198"/>
        <v>Standard Order</v>
      </c>
      <c r="Q1593" t="str">
        <f t="shared" si="199"/>
        <v>Weekend</v>
      </c>
    </row>
    <row r="1594" spans="1:17" x14ac:dyDescent="0.35">
      <c r="A1594" t="s">
        <v>1744</v>
      </c>
      <c r="B1594" s="7">
        <v>45506</v>
      </c>
      <c r="C1594" s="13">
        <f t="shared" si="193"/>
        <v>2024</v>
      </c>
      <c r="D1594" s="7" t="str">
        <f t="shared" si="194"/>
        <v>Aug</v>
      </c>
      <c r="E1594" s="7" t="str">
        <f t="shared" si="195"/>
        <v>Fri</v>
      </c>
      <c r="F1594" t="s">
        <v>125</v>
      </c>
      <c r="G1594" t="s">
        <v>87</v>
      </c>
      <c r="H1594" t="s">
        <v>22</v>
      </c>
      <c r="I1594" s="2" t="str">
        <f t="shared" si="192"/>
        <v>South</v>
      </c>
      <c r="J1594" t="s">
        <v>56</v>
      </c>
      <c r="K1594" t="s">
        <v>23</v>
      </c>
      <c r="L1594">
        <v>17</v>
      </c>
      <c r="M1594">
        <v>120</v>
      </c>
      <c r="N1594">
        <f t="shared" si="196"/>
        <v>2040</v>
      </c>
      <c r="O1594">
        <f t="shared" si="197"/>
        <v>204</v>
      </c>
      <c r="P1594" t="str">
        <f t="shared" si="198"/>
        <v>Large Order</v>
      </c>
      <c r="Q1594" t="str">
        <f t="shared" si="199"/>
        <v>Weekday</v>
      </c>
    </row>
    <row r="1595" spans="1:17" x14ac:dyDescent="0.35">
      <c r="A1595" t="s">
        <v>1745</v>
      </c>
      <c r="B1595" s="7">
        <v>45533</v>
      </c>
      <c r="C1595" s="13">
        <f t="shared" si="193"/>
        <v>2024</v>
      </c>
      <c r="D1595" s="7" t="str">
        <f t="shared" si="194"/>
        <v>Aug</v>
      </c>
      <c r="E1595" s="7" t="str">
        <f t="shared" si="195"/>
        <v>Thu</v>
      </c>
      <c r="F1595" t="s">
        <v>304</v>
      </c>
      <c r="G1595" t="s">
        <v>84</v>
      </c>
      <c r="H1595" t="s">
        <v>11</v>
      </c>
      <c r="I1595" s="2" t="str">
        <f t="shared" si="192"/>
        <v>East</v>
      </c>
      <c r="J1595" t="s">
        <v>56</v>
      </c>
      <c r="K1595" t="s">
        <v>36</v>
      </c>
      <c r="L1595">
        <v>7</v>
      </c>
      <c r="M1595">
        <v>120</v>
      </c>
      <c r="N1595">
        <f t="shared" si="196"/>
        <v>840</v>
      </c>
      <c r="O1595">
        <f t="shared" si="197"/>
        <v>84</v>
      </c>
      <c r="P1595" t="str">
        <f t="shared" si="198"/>
        <v>Large Order</v>
      </c>
      <c r="Q1595" t="str">
        <f t="shared" si="199"/>
        <v>Weekday</v>
      </c>
    </row>
    <row r="1596" spans="1:17" x14ac:dyDescent="0.35">
      <c r="A1596" t="s">
        <v>1746</v>
      </c>
      <c r="B1596" s="7">
        <v>45631</v>
      </c>
      <c r="C1596" s="13">
        <f t="shared" si="193"/>
        <v>2024</v>
      </c>
      <c r="D1596" s="7" t="str">
        <f t="shared" si="194"/>
        <v>Dec</v>
      </c>
      <c r="E1596" s="7" t="str">
        <f t="shared" si="195"/>
        <v>Thu</v>
      </c>
      <c r="F1596" t="s">
        <v>517</v>
      </c>
      <c r="G1596" t="s">
        <v>160</v>
      </c>
      <c r="H1596" t="s">
        <v>17</v>
      </c>
      <c r="I1596" s="2" t="str">
        <f t="shared" si="192"/>
        <v>East</v>
      </c>
      <c r="J1596" t="s">
        <v>42</v>
      </c>
      <c r="K1596" t="s">
        <v>28</v>
      </c>
      <c r="L1596">
        <v>15</v>
      </c>
      <c r="M1596">
        <v>120</v>
      </c>
      <c r="N1596">
        <f t="shared" si="196"/>
        <v>1800</v>
      </c>
      <c r="O1596">
        <f t="shared" si="197"/>
        <v>180</v>
      </c>
      <c r="P1596" t="str">
        <f t="shared" si="198"/>
        <v>Large Order</v>
      </c>
      <c r="Q1596" t="str">
        <f t="shared" si="199"/>
        <v>Weekday</v>
      </c>
    </row>
    <row r="1597" spans="1:17" x14ac:dyDescent="0.35">
      <c r="A1597" t="s">
        <v>1747</v>
      </c>
      <c r="B1597" s="7">
        <v>45467</v>
      </c>
      <c r="C1597" s="13">
        <f t="shared" si="193"/>
        <v>2024</v>
      </c>
      <c r="D1597" s="7" t="str">
        <f t="shared" si="194"/>
        <v>Jun</v>
      </c>
      <c r="E1597" s="7" t="str">
        <f t="shared" si="195"/>
        <v>Mon</v>
      </c>
      <c r="F1597" t="s">
        <v>591</v>
      </c>
      <c r="G1597" t="s">
        <v>48</v>
      </c>
      <c r="H1597" t="s">
        <v>22</v>
      </c>
      <c r="I1597" s="2" t="str">
        <f t="shared" si="192"/>
        <v>South</v>
      </c>
      <c r="J1597" t="s">
        <v>42</v>
      </c>
      <c r="K1597" t="s">
        <v>36</v>
      </c>
      <c r="L1597">
        <v>16</v>
      </c>
      <c r="M1597">
        <v>120</v>
      </c>
      <c r="N1597">
        <f t="shared" si="196"/>
        <v>1920</v>
      </c>
      <c r="O1597">
        <f t="shared" si="197"/>
        <v>192</v>
      </c>
      <c r="P1597" t="str">
        <f t="shared" si="198"/>
        <v>Large Order</v>
      </c>
      <c r="Q1597" t="str">
        <f t="shared" si="199"/>
        <v>Weekday</v>
      </c>
    </row>
    <row r="1598" spans="1:17" x14ac:dyDescent="0.35">
      <c r="A1598" t="s">
        <v>1748</v>
      </c>
      <c r="B1598" s="7">
        <v>45418</v>
      </c>
      <c r="C1598" s="13">
        <f t="shared" si="193"/>
        <v>2024</v>
      </c>
      <c r="D1598" s="7" t="str">
        <f t="shared" si="194"/>
        <v>May</v>
      </c>
      <c r="E1598" s="7" t="str">
        <f t="shared" si="195"/>
        <v>Mon</v>
      </c>
      <c r="F1598" t="s">
        <v>89</v>
      </c>
      <c r="G1598" t="s">
        <v>174</v>
      </c>
      <c r="H1598" t="s">
        <v>17</v>
      </c>
      <c r="I1598" s="2" t="str">
        <f t="shared" si="192"/>
        <v>West</v>
      </c>
      <c r="J1598" t="s">
        <v>56</v>
      </c>
      <c r="K1598" t="s">
        <v>32</v>
      </c>
      <c r="L1598">
        <v>10</v>
      </c>
      <c r="M1598">
        <v>120</v>
      </c>
      <c r="N1598">
        <f t="shared" si="196"/>
        <v>1200</v>
      </c>
      <c r="O1598">
        <f t="shared" si="197"/>
        <v>120</v>
      </c>
      <c r="P1598" t="str">
        <f t="shared" si="198"/>
        <v>Large Order</v>
      </c>
      <c r="Q1598" t="str">
        <f t="shared" si="199"/>
        <v>Weekday</v>
      </c>
    </row>
    <row r="1599" spans="1:17" x14ac:dyDescent="0.35">
      <c r="A1599" t="s">
        <v>1749</v>
      </c>
      <c r="B1599" s="7">
        <v>45645</v>
      </c>
      <c r="C1599" s="13">
        <f t="shared" si="193"/>
        <v>2024</v>
      </c>
      <c r="D1599" s="7" t="str">
        <f t="shared" si="194"/>
        <v>Dec</v>
      </c>
      <c r="E1599" s="7" t="str">
        <f t="shared" si="195"/>
        <v>Thu</v>
      </c>
      <c r="F1599" t="s">
        <v>369</v>
      </c>
      <c r="G1599" t="s">
        <v>35</v>
      </c>
      <c r="H1599" t="s">
        <v>17</v>
      </c>
      <c r="I1599" s="2" t="str">
        <f t="shared" si="192"/>
        <v>Central</v>
      </c>
      <c r="J1599" t="s">
        <v>27</v>
      </c>
      <c r="K1599" t="s">
        <v>32</v>
      </c>
      <c r="L1599">
        <v>18</v>
      </c>
      <c r="M1599">
        <v>120</v>
      </c>
      <c r="N1599">
        <f t="shared" si="196"/>
        <v>2160</v>
      </c>
      <c r="O1599">
        <f t="shared" si="197"/>
        <v>216</v>
      </c>
      <c r="P1599" t="str">
        <f t="shared" si="198"/>
        <v>Large Order</v>
      </c>
      <c r="Q1599" t="str">
        <f t="shared" si="199"/>
        <v>Weekday</v>
      </c>
    </row>
    <row r="1600" spans="1:17" x14ac:dyDescent="0.35">
      <c r="A1600" t="s">
        <v>1750</v>
      </c>
      <c r="B1600" s="7">
        <v>45432</v>
      </c>
      <c r="C1600" s="13">
        <f t="shared" si="193"/>
        <v>2024</v>
      </c>
      <c r="D1600" s="7" t="str">
        <f t="shared" si="194"/>
        <v>May</v>
      </c>
      <c r="E1600" s="7" t="str">
        <f t="shared" si="195"/>
        <v>Mon</v>
      </c>
      <c r="F1600" t="s">
        <v>55</v>
      </c>
      <c r="G1600" t="s">
        <v>102</v>
      </c>
      <c r="H1600" t="s">
        <v>22</v>
      </c>
      <c r="I1600" s="2" t="str">
        <f t="shared" si="192"/>
        <v>North</v>
      </c>
      <c r="J1600" t="s">
        <v>306</v>
      </c>
      <c r="K1600" t="s">
        <v>23</v>
      </c>
      <c r="L1600">
        <v>13</v>
      </c>
      <c r="M1600">
        <v>120</v>
      </c>
      <c r="N1600">
        <f t="shared" si="196"/>
        <v>1560</v>
      </c>
      <c r="O1600">
        <f t="shared" si="197"/>
        <v>156</v>
      </c>
      <c r="P1600" t="str">
        <f t="shared" si="198"/>
        <v>Large Order</v>
      </c>
      <c r="Q1600" t="str">
        <f t="shared" si="199"/>
        <v>Weekday</v>
      </c>
    </row>
    <row r="1601" spans="1:17" x14ac:dyDescent="0.35">
      <c r="A1601" t="s">
        <v>1751</v>
      </c>
      <c r="B1601" s="7">
        <v>45366</v>
      </c>
      <c r="C1601" s="13">
        <f t="shared" si="193"/>
        <v>2024</v>
      </c>
      <c r="D1601" s="7" t="str">
        <f t="shared" si="194"/>
        <v>Mar</v>
      </c>
      <c r="E1601" s="7" t="str">
        <f t="shared" si="195"/>
        <v>Fri</v>
      </c>
      <c r="F1601" t="s">
        <v>61</v>
      </c>
      <c r="G1601" t="s">
        <v>79</v>
      </c>
      <c r="H1601" t="s">
        <v>17</v>
      </c>
      <c r="I1601" s="2" t="str">
        <f t="shared" si="192"/>
        <v>East</v>
      </c>
      <c r="J1601" t="s">
        <v>12</v>
      </c>
      <c r="K1601" t="s">
        <v>32</v>
      </c>
      <c r="L1601">
        <v>15</v>
      </c>
      <c r="M1601">
        <v>120</v>
      </c>
      <c r="N1601">
        <f t="shared" si="196"/>
        <v>1800</v>
      </c>
      <c r="O1601">
        <f t="shared" si="197"/>
        <v>180</v>
      </c>
      <c r="P1601" t="str">
        <f t="shared" si="198"/>
        <v>Large Order</v>
      </c>
      <c r="Q1601" t="str">
        <f t="shared" si="199"/>
        <v>Weekday</v>
      </c>
    </row>
    <row r="1602" spans="1:17" x14ac:dyDescent="0.35">
      <c r="A1602" t="s">
        <v>1752</v>
      </c>
      <c r="B1602" s="7">
        <v>45537</v>
      </c>
      <c r="C1602" s="13">
        <f t="shared" si="193"/>
        <v>2024</v>
      </c>
      <c r="D1602" s="7" t="str">
        <f t="shared" si="194"/>
        <v>Sep</v>
      </c>
      <c r="E1602" s="7" t="str">
        <f t="shared" si="195"/>
        <v>Mon</v>
      </c>
      <c r="F1602" t="s">
        <v>133</v>
      </c>
      <c r="G1602" t="s">
        <v>65</v>
      </c>
      <c r="H1602" t="s">
        <v>22</v>
      </c>
      <c r="I1602" s="2" t="str">
        <f t="shared" si="192"/>
        <v>South</v>
      </c>
      <c r="J1602" t="s">
        <v>42</v>
      </c>
      <c r="K1602" t="s">
        <v>36</v>
      </c>
      <c r="L1602">
        <v>9</v>
      </c>
      <c r="M1602">
        <v>120</v>
      </c>
      <c r="N1602">
        <f t="shared" si="196"/>
        <v>1080</v>
      </c>
      <c r="O1602">
        <f t="shared" si="197"/>
        <v>108</v>
      </c>
      <c r="P1602" t="str">
        <f t="shared" si="198"/>
        <v>Large Order</v>
      </c>
      <c r="Q1602" t="str">
        <f t="shared" si="199"/>
        <v>Weekday</v>
      </c>
    </row>
    <row r="1603" spans="1:17" x14ac:dyDescent="0.35">
      <c r="A1603" t="s">
        <v>1753</v>
      </c>
      <c r="B1603" s="7">
        <v>45607</v>
      </c>
      <c r="C1603" s="13">
        <f t="shared" si="193"/>
        <v>2024</v>
      </c>
      <c r="D1603" s="7" t="str">
        <f t="shared" si="194"/>
        <v>Nov</v>
      </c>
      <c r="E1603" s="7" t="str">
        <f t="shared" si="195"/>
        <v>Mon</v>
      </c>
      <c r="F1603" t="s">
        <v>304</v>
      </c>
      <c r="G1603" t="s">
        <v>59</v>
      </c>
      <c r="H1603" t="s">
        <v>11</v>
      </c>
      <c r="I1603" s="2" t="str">
        <f t="shared" ref="I1603:I1666" si="200">TRIM(J1604)</f>
        <v>East</v>
      </c>
      <c r="J1603" t="s">
        <v>56</v>
      </c>
      <c r="K1603" t="s">
        <v>13</v>
      </c>
      <c r="L1603">
        <v>17</v>
      </c>
      <c r="M1603">
        <v>120</v>
      </c>
      <c r="N1603">
        <f t="shared" si="196"/>
        <v>2040</v>
      </c>
      <c r="O1603">
        <f t="shared" si="197"/>
        <v>204</v>
      </c>
      <c r="P1603" t="str">
        <f t="shared" si="198"/>
        <v>Large Order</v>
      </c>
      <c r="Q1603" t="str">
        <f t="shared" si="199"/>
        <v>Weekday</v>
      </c>
    </row>
    <row r="1604" spans="1:17" x14ac:dyDescent="0.35">
      <c r="A1604" t="s">
        <v>1754</v>
      </c>
      <c r="B1604" s="7">
        <v>45411</v>
      </c>
      <c r="C1604" s="13">
        <f t="shared" ref="C1604:C1667" si="201">YEAR(B1604)</f>
        <v>2024</v>
      </c>
      <c r="D1604" s="7" t="str">
        <f t="shared" ref="D1604:D1667" si="202">TEXT(B1604,"mmm")</f>
        <v>Apr</v>
      </c>
      <c r="E1604" s="7" t="str">
        <f t="shared" ref="E1604:E1667" si="203">TEXT(B1604,"ddd")</f>
        <v>Mon</v>
      </c>
      <c r="F1604" t="s">
        <v>9</v>
      </c>
      <c r="G1604" t="s">
        <v>102</v>
      </c>
      <c r="H1604" t="s">
        <v>17</v>
      </c>
      <c r="I1604" s="2" t="str">
        <f t="shared" si="200"/>
        <v>West</v>
      </c>
      <c r="J1604" t="s">
        <v>42</v>
      </c>
      <c r="K1604" t="s">
        <v>23</v>
      </c>
      <c r="L1604">
        <v>4</v>
      </c>
      <c r="M1604">
        <v>120</v>
      </c>
      <c r="N1604">
        <f t="shared" ref="N1604:N1667" si="204">M1604*L1604</f>
        <v>480</v>
      </c>
      <c r="O1604">
        <f t="shared" ref="O1604:O1667" si="205">N1604*0.1</f>
        <v>48</v>
      </c>
      <c r="P1604" t="str">
        <f t="shared" ref="P1604:P1667" si="206">IF(N1604&gt;500,"Large Order","Standard Order")</f>
        <v>Standard Order</v>
      </c>
      <c r="Q1604" t="str">
        <f t="shared" ref="Q1604:Q1667" si="207">IF(OR(TRIM(E1604)="Sat",TRIM(E1604)="Sun"),"Weekend","Weekday")</f>
        <v>Weekday</v>
      </c>
    </row>
    <row r="1605" spans="1:17" x14ac:dyDescent="0.35">
      <c r="A1605" t="s">
        <v>1755</v>
      </c>
      <c r="B1605" s="7">
        <v>45362</v>
      </c>
      <c r="C1605" s="13">
        <f t="shared" si="201"/>
        <v>2024</v>
      </c>
      <c r="D1605" s="7" t="str">
        <f t="shared" si="202"/>
        <v>Mar</v>
      </c>
      <c r="E1605" s="7" t="str">
        <f t="shared" si="203"/>
        <v>Mon</v>
      </c>
      <c r="F1605" t="s">
        <v>25</v>
      </c>
      <c r="G1605" t="s">
        <v>174</v>
      </c>
      <c r="H1605" t="s">
        <v>11</v>
      </c>
      <c r="I1605" s="2" t="str">
        <f t="shared" si="200"/>
        <v>North</v>
      </c>
      <c r="J1605" t="s">
        <v>27</v>
      </c>
      <c r="K1605" t="s">
        <v>23</v>
      </c>
      <c r="L1605">
        <v>16</v>
      </c>
      <c r="M1605">
        <v>120</v>
      </c>
      <c r="N1605">
        <f t="shared" si="204"/>
        <v>1920</v>
      </c>
      <c r="O1605">
        <f t="shared" si="205"/>
        <v>192</v>
      </c>
      <c r="P1605" t="str">
        <f t="shared" si="206"/>
        <v>Large Order</v>
      </c>
      <c r="Q1605" t="str">
        <f t="shared" si="207"/>
        <v>Weekday</v>
      </c>
    </row>
    <row r="1606" spans="1:17" x14ac:dyDescent="0.35">
      <c r="A1606" t="s">
        <v>1756</v>
      </c>
      <c r="B1606" s="7">
        <v>45439</v>
      </c>
      <c r="C1606" s="13">
        <f t="shared" si="201"/>
        <v>2024</v>
      </c>
      <c r="D1606" s="7" t="str">
        <f t="shared" si="202"/>
        <v>May</v>
      </c>
      <c r="E1606" s="7" t="str">
        <f t="shared" si="203"/>
        <v>Mon</v>
      </c>
      <c r="F1606" t="s">
        <v>187</v>
      </c>
      <c r="G1606" t="s">
        <v>74</v>
      </c>
      <c r="H1606" t="s">
        <v>22</v>
      </c>
      <c r="I1606" s="2" t="str">
        <f t="shared" si="200"/>
        <v>North</v>
      </c>
      <c r="J1606" t="s">
        <v>12</v>
      </c>
      <c r="K1606" t="s">
        <v>13</v>
      </c>
      <c r="L1606">
        <v>19</v>
      </c>
      <c r="M1606">
        <v>120</v>
      </c>
      <c r="N1606">
        <f t="shared" si="204"/>
        <v>2280</v>
      </c>
      <c r="O1606">
        <f t="shared" si="205"/>
        <v>228</v>
      </c>
      <c r="P1606" t="str">
        <f t="shared" si="206"/>
        <v>Large Order</v>
      </c>
      <c r="Q1606" t="str">
        <f t="shared" si="207"/>
        <v>Weekday</v>
      </c>
    </row>
    <row r="1607" spans="1:17" x14ac:dyDescent="0.35">
      <c r="A1607" t="s">
        <v>1757</v>
      </c>
      <c r="B1607" s="7">
        <v>45311</v>
      </c>
      <c r="C1607" s="13">
        <f t="shared" si="201"/>
        <v>2024</v>
      </c>
      <c r="D1607" s="7" t="str">
        <f t="shared" si="202"/>
        <v>Jan</v>
      </c>
      <c r="E1607" s="7" t="str">
        <f t="shared" si="203"/>
        <v>Sat</v>
      </c>
      <c r="F1607" t="s">
        <v>235</v>
      </c>
      <c r="G1607" t="s">
        <v>87</v>
      </c>
      <c r="H1607" t="s">
        <v>11</v>
      </c>
      <c r="I1607" s="2" t="str">
        <f t="shared" si="200"/>
        <v>Central</v>
      </c>
      <c r="J1607" t="s">
        <v>12</v>
      </c>
      <c r="K1607" t="s">
        <v>23</v>
      </c>
      <c r="L1607">
        <v>16</v>
      </c>
      <c r="M1607">
        <v>120</v>
      </c>
      <c r="N1607">
        <f t="shared" si="204"/>
        <v>1920</v>
      </c>
      <c r="O1607">
        <f t="shared" si="205"/>
        <v>192</v>
      </c>
      <c r="P1607" t="str">
        <f t="shared" si="206"/>
        <v>Large Order</v>
      </c>
      <c r="Q1607" t="str">
        <f t="shared" si="207"/>
        <v>Weekend</v>
      </c>
    </row>
    <row r="1608" spans="1:17" x14ac:dyDescent="0.35">
      <c r="A1608" t="s">
        <v>1758</v>
      </c>
      <c r="B1608" s="7">
        <v>45440</v>
      </c>
      <c r="C1608" s="13">
        <f t="shared" si="201"/>
        <v>2024</v>
      </c>
      <c r="D1608" s="7" t="str">
        <f t="shared" si="202"/>
        <v>May</v>
      </c>
      <c r="E1608" s="7" t="str">
        <f t="shared" si="203"/>
        <v>Tue</v>
      </c>
      <c r="F1608" t="s">
        <v>122</v>
      </c>
      <c r="G1608" t="s">
        <v>96</v>
      </c>
      <c r="H1608" t="s">
        <v>17</v>
      </c>
      <c r="I1608" s="2" t="str">
        <f t="shared" si="200"/>
        <v>Central</v>
      </c>
      <c r="J1608" t="s">
        <v>306</v>
      </c>
      <c r="K1608" t="s">
        <v>36</v>
      </c>
      <c r="L1608">
        <v>4</v>
      </c>
      <c r="M1608">
        <v>120</v>
      </c>
      <c r="N1608">
        <f t="shared" si="204"/>
        <v>480</v>
      </c>
      <c r="O1608">
        <f t="shared" si="205"/>
        <v>48</v>
      </c>
      <c r="P1608" t="str">
        <f t="shared" si="206"/>
        <v>Standard Order</v>
      </c>
      <c r="Q1608" t="str">
        <f t="shared" si="207"/>
        <v>Weekday</v>
      </c>
    </row>
    <row r="1609" spans="1:17" x14ac:dyDescent="0.35">
      <c r="A1609" t="s">
        <v>1759</v>
      </c>
      <c r="B1609" s="7">
        <v>45463</v>
      </c>
      <c r="C1609" s="13">
        <f t="shared" si="201"/>
        <v>2024</v>
      </c>
      <c r="D1609" s="7" t="str">
        <f t="shared" si="202"/>
        <v>Jun</v>
      </c>
      <c r="E1609" s="7" t="str">
        <f t="shared" si="203"/>
        <v>Thu</v>
      </c>
      <c r="F1609" t="s">
        <v>55</v>
      </c>
      <c r="G1609" t="s">
        <v>70</v>
      </c>
      <c r="H1609" t="s">
        <v>22</v>
      </c>
      <c r="I1609" s="2" t="str">
        <f t="shared" si="200"/>
        <v>South</v>
      </c>
      <c r="J1609" t="s">
        <v>306</v>
      </c>
      <c r="K1609" t="s">
        <v>36</v>
      </c>
      <c r="L1609">
        <v>16</v>
      </c>
      <c r="M1609">
        <v>120</v>
      </c>
      <c r="N1609">
        <f t="shared" si="204"/>
        <v>1920</v>
      </c>
      <c r="O1609">
        <f t="shared" si="205"/>
        <v>192</v>
      </c>
      <c r="P1609" t="str">
        <f t="shared" si="206"/>
        <v>Large Order</v>
      </c>
      <c r="Q1609" t="str">
        <f t="shared" si="207"/>
        <v>Weekday</v>
      </c>
    </row>
    <row r="1610" spans="1:17" x14ac:dyDescent="0.35">
      <c r="A1610" t="s">
        <v>1760</v>
      </c>
      <c r="B1610" s="7">
        <v>45360</v>
      </c>
      <c r="C1610" s="13">
        <f t="shared" si="201"/>
        <v>2024</v>
      </c>
      <c r="D1610" s="7" t="str">
        <f t="shared" si="202"/>
        <v>Mar</v>
      </c>
      <c r="E1610" s="7" t="str">
        <f t="shared" si="203"/>
        <v>Sat</v>
      </c>
      <c r="F1610" t="s">
        <v>358</v>
      </c>
      <c r="G1610" t="s">
        <v>70</v>
      </c>
      <c r="H1610" t="s">
        <v>17</v>
      </c>
      <c r="I1610" s="2" t="str">
        <f t="shared" si="200"/>
        <v>South</v>
      </c>
      <c r="J1610" t="s">
        <v>56</v>
      </c>
      <c r="K1610" t="s">
        <v>13</v>
      </c>
      <c r="L1610">
        <v>11</v>
      </c>
      <c r="M1610">
        <v>120</v>
      </c>
      <c r="N1610">
        <f t="shared" si="204"/>
        <v>1320</v>
      </c>
      <c r="O1610">
        <f t="shared" si="205"/>
        <v>132</v>
      </c>
      <c r="P1610" t="str">
        <f t="shared" si="206"/>
        <v>Large Order</v>
      </c>
      <c r="Q1610" t="str">
        <f t="shared" si="207"/>
        <v>Weekend</v>
      </c>
    </row>
    <row r="1611" spans="1:17" x14ac:dyDescent="0.35">
      <c r="A1611" t="s">
        <v>1761</v>
      </c>
      <c r="B1611" s="7">
        <v>45526</v>
      </c>
      <c r="C1611" s="13">
        <f t="shared" si="201"/>
        <v>2024</v>
      </c>
      <c r="D1611" s="7" t="str">
        <f t="shared" si="202"/>
        <v>Aug</v>
      </c>
      <c r="E1611" s="7" t="str">
        <f t="shared" si="203"/>
        <v>Thu</v>
      </c>
      <c r="F1611" t="s">
        <v>736</v>
      </c>
      <c r="G1611" t="s">
        <v>26</v>
      </c>
      <c r="H1611" t="s">
        <v>22</v>
      </c>
      <c r="I1611" s="2" t="str">
        <f t="shared" si="200"/>
        <v>South</v>
      </c>
      <c r="J1611" t="s">
        <v>56</v>
      </c>
      <c r="K1611" t="s">
        <v>13</v>
      </c>
      <c r="L1611">
        <v>11</v>
      </c>
      <c r="M1611">
        <v>120</v>
      </c>
      <c r="N1611">
        <f t="shared" si="204"/>
        <v>1320</v>
      </c>
      <c r="O1611">
        <f t="shared" si="205"/>
        <v>132</v>
      </c>
      <c r="P1611" t="str">
        <f t="shared" si="206"/>
        <v>Large Order</v>
      </c>
      <c r="Q1611" t="str">
        <f t="shared" si="207"/>
        <v>Weekday</v>
      </c>
    </row>
    <row r="1612" spans="1:17" x14ac:dyDescent="0.35">
      <c r="A1612" t="s">
        <v>1762</v>
      </c>
      <c r="B1612" s="7">
        <v>45582</v>
      </c>
      <c r="C1612" s="13">
        <f t="shared" si="201"/>
        <v>2024</v>
      </c>
      <c r="D1612" s="7" t="str">
        <f t="shared" si="202"/>
        <v>Oct</v>
      </c>
      <c r="E1612" s="7" t="str">
        <f t="shared" si="203"/>
        <v>Thu</v>
      </c>
      <c r="F1612" t="s">
        <v>422</v>
      </c>
      <c r="G1612" t="s">
        <v>119</v>
      </c>
      <c r="H1612" t="s">
        <v>11</v>
      </c>
      <c r="I1612" s="2" t="str">
        <f t="shared" si="200"/>
        <v>North</v>
      </c>
      <c r="J1612" t="s">
        <v>56</v>
      </c>
      <c r="K1612" t="s">
        <v>36</v>
      </c>
      <c r="L1612">
        <v>13</v>
      </c>
      <c r="M1612">
        <v>120</v>
      </c>
      <c r="N1612">
        <f t="shared" si="204"/>
        <v>1560</v>
      </c>
      <c r="O1612">
        <f t="shared" si="205"/>
        <v>156</v>
      </c>
      <c r="P1612" t="str">
        <f t="shared" si="206"/>
        <v>Large Order</v>
      </c>
      <c r="Q1612" t="str">
        <f t="shared" si="207"/>
        <v>Weekday</v>
      </c>
    </row>
    <row r="1613" spans="1:17" x14ac:dyDescent="0.35">
      <c r="A1613" t="s">
        <v>1763</v>
      </c>
      <c r="B1613" s="7">
        <v>45555</v>
      </c>
      <c r="C1613" s="13">
        <f t="shared" si="201"/>
        <v>2024</v>
      </c>
      <c r="D1613" s="7" t="str">
        <f t="shared" si="202"/>
        <v>Sep</v>
      </c>
      <c r="E1613" s="7" t="str">
        <f t="shared" si="203"/>
        <v>Fri</v>
      </c>
      <c r="F1613" t="s">
        <v>187</v>
      </c>
      <c r="G1613" t="s">
        <v>10</v>
      </c>
      <c r="H1613" t="s">
        <v>17</v>
      </c>
      <c r="I1613" s="2" t="str">
        <f t="shared" si="200"/>
        <v>South</v>
      </c>
      <c r="J1613" t="s">
        <v>12</v>
      </c>
      <c r="K1613" t="s">
        <v>28</v>
      </c>
      <c r="L1613">
        <v>5</v>
      </c>
      <c r="M1613">
        <v>120</v>
      </c>
      <c r="N1613">
        <f t="shared" si="204"/>
        <v>600</v>
      </c>
      <c r="O1613">
        <f t="shared" si="205"/>
        <v>60</v>
      </c>
      <c r="P1613" t="str">
        <f t="shared" si="206"/>
        <v>Large Order</v>
      </c>
      <c r="Q1613" t="str">
        <f t="shared" si="207"/>
        <v>Weekday</v>
      </c>
    </row>
    <row r="1614" spans="1:17" x14ac:dyDescent="0.35">
      <c r="A1614" t="s">
        <v>1764</v>
      </c>
      <c r="B1614" s="7">
        <v>45419</v>
      </c>
      <c r="C1614" s="13">
        <f t="shared" si="201"/>
        <v>2024</v>
      </c>
      <c r="D1614" s="7" t="str">
        <f t="shared" si="202"/>
        <v>May</v>
      </c>
      <c r="E1614" s="7" t="str">
        <f t="shared" si="203"/>
        <v>Tue</v>
      </c>
      <c r="F1614" t="s">
        <v>25</v>
      </c>
      <c r="G1614" t="s">
        <v>26</v>
      </c>
      <c r="H1614" t="s">
        <v>17</v>
      </c>
      <c r="I1614" s="2" t="str">
        <f t="shared" si="200"/>
        <v>North</v>
      </c>
      <c r="J1614" t="s">
        <v>56</v>
      </c>
      <c r="K1614" t="s">
        <v>23</v>
      </c>
      <c r="L1614">
        <v>9</v>
      </c>
      <c r="M1614">
        <v>120</v>
      </c>
      <c r="N1614">
        <f t="shared" si="204"/>
        <v>1080</v>
      </c>
      <c r="O1614">
        <f t="shared" si="205"/>
        <v>108</v>
      </c>
      <c r="P1614" t="str">
        <f t="shared" si="206"/>
        <v>Large Order</v>
      </c>
      <c r="Q1614" t="str">
        <f t="shared" si="207"/>
        <v>Weekday</v>
      </c>
    </row>
    <row r="1615" spans="1:17" x14ac:dyDescent="0.35">
      <c r="A1615" t="s">
        <v>1765</v>
      </c>
      <c r="B1615" s="7">
        <v>45446</v>
      </c>
      <c r="C1615" s="13">
        <f t="shared" si="201"/>
        <v>2024</v>
      </c>
      <c r="D1615" s="7" t="str">
        <f t="shared" si="202"/>
        <v>Jun</v>
      </c>
      <c r="E1615" s="7" t="str">
        <f t="shared" si="203"/>
        <v>Mon</v>
      </c>
      <c r="F1615" t="s">
        <v>361</v>
      </c>
      <c r="G1615" t="s">
        <v>84</v>
      </c>
      <c r="H1615" t="s">
        <v>22</v>
      </c>
      <c r="I1615" s="2" t="str">
        <f t="shared" si="200"/>
        <v>East</v>
      </c>
      <c r="J1615" t="s">
        <v>12</v>
      </c>
      <c r="K1615" t="s">
        <v>32</v>
      </c>
      <c r="L1615">
        <v>12</v>
      </c>
      <c r="M1615">
        <v>120</v>
      </c>
      <c r="N1615">
        <f t="shared" si="204"/>
        <v>1440</v>
      </c>
      <c r="O1615">
        <f t="shared" si="205"/>
        <v>144</v>
      </c>
      <c r="P1615" t="str">
        <f t="shared" si="206"/>
        <v>Large Order</v>
      </c>
      <c r="Q1615" t="str">
        <f t="shared" si="207"/>
        <v>Weekday</v>
      </c>
    </row>
    <row r="1616" spans="1:17" x14ac:dyDescent="0.35">
      <c r="A1616" t="s">
        <v>1766</v>
      </c>
      <c r="B1616" s="7">
        <v>45323</v>
      </c>
      <c r="C1616" s="13">
        <f t="shared" si="201"/>
        <v>2024</v>
      </c>
      <c r="D1616" s="7" t="str">
        <f t="shared" si="202"/>
        <v>Feb</v>
      </c>
      <c r="E1616" s="7" t="str">
        <f t="shared" si="203"/>
        <v>Thu</v>
      </c>
      <c r="F1616" t="s">
        <v>317</v>
      </c>
      <c r="G1616" t="s">
        <v>102</v>
      </c>
      <c r="H1616" t="s">
        <v>17</v>
      </c>
      <c r="I1616" s="2" t="str">
        <f t="shared" si="200"/>
        <v>North</v>
      </c>
      <c r="J1616" t="s">
        <v>42</v>
      </c>
      <c r="K1616" t="s">
        <v>28</v>
      </c>
      <c r="L1616">
        <v>13</v>
      </c>
      <c r="M1616">
        <v>120</v>
      </c>
      <c r="N1616">
        <f t="shared" si="204"/>
        <v>1560</v>
      </c>
      <c r="O1616">
        <f t="shared" si="205"/>
        <v>156</v>
      </c>
      <c r="P1616" t="str">
        <f t="shared" si="206"/>
        <v>Large Order</v>
      </c>
      <c r="Q1616" t="str">
        <f t="shared" si="207"/>
        <v>Weekday</v>
      </c>
    </row>
    <row r="1617" spans="1:17" x14ac:dyDescent="0.35">
      <c r="A1617" t="s">
        <v>1767</v>
      </c>
      <c r="B1617" s="7">
        <v>45652</v>
      </c>
      <c r="C1617" s="13">
        <f t="shared" si="201"/>
        <v>2024</v>
      </c>
      <c r="D1617" s="7" t="str">
        <f t="shared" si="202"/>
        <v>Dec</v>
      </c>
      <c r="E1617" s="7" t="str">
        <f t="shared" si="203"/>
        <v>Thu</v>
      </c>
      <c r="F1617" t="s">
        <v>337</v>
      </c>
      <c r="G1617" t="s">
        <v>74</v>
      </c>
      <c r="H1617" t="s">
        <v>22</v>
      </c>
      <c r="I1617" s="2" t="str">
        <f t="shared" si="200"/>
        <v>West</v>
      </c>
      <c r="J1617" t="s">
        <v>12</v>
      </c>
      <c r="K1617" t="s">
        <v>32</v>
      </c>
      <c r="L1617">
        <v>12</v>
      </c>
      <c r="M1617">
        <v>120</v>
      </c>
      <c r="N1617">
        <f t="shared" si="204"/>
        <v>1440</v>
      </c>
      <c r="O1617">
        <f t="shared" si="205"/>
        <v>144</v>
      </c>
      <c r="P1617" t="str">
        <f t="shared" si="206"/>
        <v>Large Order</v>
      </c>
      <c r="Q1617" t="str">
        <f t="shared" si="207"/>
        <v>Weekday</v>
      </c>
    </row>
    <row r="1618" spans="1:17" x14ac:dyDescent="0.35">
      <c r="A1618" t="s">
        <v>1768</v>
      </c>
      <c r="B1618" s="7">
        <v>45404</v>
      </c>
      <c r="C1618" s="13">
        <f t="shared" si="201"/>
        <v>2024</v>
      </c>
      <c r="D1618" s="7" t="str">
        <f t="shared" si="202"/>
        <v>Apr</v>
      </c>
      <c r="E1618" s="7" t="str">
        <f t="shared" si="203"/>
        <v>Mon</v>
      </c>
      <c r="F1618" t="s">
        <v>99</v>
      </c>
      <c r="G1618" t="s">
        <v>35</v>
      </c>
      <c r="H1618" t="s">
        <v>11</v>
      </c>
      <c r="I1618" s="2" t="str">
        <f t="shared" si="200"/>
        <v>South</v>
      </c>
      <c r="J1618" t="s">
        <v>27</v>
      </c>
      <c r="K1618" t="s">
        <v>36</v>
      </c>
      <c r="L1618">
        <v>12</v>
      </c>
      <c r="M1618">
        <v>120</v>
      </c>
      <c r="N1618">
        <f t="shared" si="204"/>
        <v>1440</v>
      </c>
      <c r="O1618">
        <f t="shared" si="205"/>
        <v>144</v>
      </c>
      <c r="P1618" t="str">
        <f t="shared" si="206"/>
        <v>Large Order</v>
      </c>
      <c r="Q1618" t="str">
        <f t="shared" si="207"/>
        <v>Weekday</v>
      </c>
    </row>
    <row r="1619" spans="1:17" x14ac:dyDescent="0.35">
      <c r="A1619" t="s">
        <v>1769</v>
      </c>
      <c r="B1619" s="7">
        <v>45573</v>
      </c>
      <c r="C1619" s="13">
        <f t="shared" si="201"/>
        <v>2024</v>
      </c>
      <c r="D1619" s="7" t="str">
        <f t="shared" si="202"/>
        <v>Oct</v>
      </c>
      <c r="E1619" s="7" t="str">
        <f t="shared" si="203"/>
        <v>Tue</v>
      </c>
      <c r="F1619" t="s">
        <v>553</v>
      </c>
      <c r="G1619" t="s">
        <v>119</v>
      </c>
      <c r="H1619" t="s">
        <v>22</v>
      </c>
      <c r="I1619" s="2" t="str">
        <f t="shared" si="200"/>
        <v>East</v>
      </c>
      <c r="J1619" t="s">
        <v>56</v>
      </c>
      <c r="K1619" t="s">
        <v>28</v>
      </c>
      <c r="L1619">
        <v>20</v>
      </c>
      <c r="M1619">
        <v>120</v>
      </c>
      <c r="N1619">
        <f t="shared" si="204"/>
        <v>2400</v>
      </c>
      <c r="O1619">
        <f t="shared" si="205"/>
        <v>240</v>
      </c>
      <c r="P1619" t="str">
        <f t="shared" si="206"/>
        <v>Large Order</v>
      </c>
      <c r="Q1619" t="str">
        <f t="shared" si="207"/>
        <v>Weekday</v>
      </c>
    </row>
    <row r="1620" spans="1:17" x14ac:dyDescent="0.35">
      <c r="A1620" t="s">
        <v>1770</v>
      </c>
      <c r="B1620" s="7">
        <v>45333</v>
      </c>
      <c r="C1620" s="13">
        <f t="shared" si="201"/>
        <v>2024</v>
      </c>
      <c r="D1620" s="7" t="str">
        <f t="shared" si="202"/>
        <v>Feb</v>
      </c>
      <c r="E1620" s="7" t="str">
        <f t="shared" si="203"/>
        <v>Sun</v>
      </c>
      <c r="F1620" t="s">
        <v>339</v>
      </c>
      <c r="G1620" t="s">
        <v>70</v>
      </c>
      <c r="H1620" t="s">
        <v>22</v>
      </c>
      <c r="I1620" s="2" t="str">
        <f t="shared" si="200"/>
        <v>Central</v>
      </c>
      <c r="J1620" t="s">
        <v>42</v>
      </c>
      <c r="K1620" t="s">
        <v>13</v>
      </c>
      <c r="L1620">
        <v>19</v>
      </c>
      <c r="M1620">
        <v>120</v>
      </c>
      <c r="N1620">
        <f t="shared" si="204"/>
        <v>2280</v>
      </c>
      <c r="O1620">
        <f t="shared" si="205"/>
        <v>228</v>
      </c>
      <c r="P1620" t="str">
        <f t="shared" si="206"/>
        <v>Large Order</v>
      </c>
      <c r="Q1620" t="str">
        <f t="shared" si="207"/>
        <v>Weekend</v>
      </c>
    </row>
    <row r="1621" spans="1:17" x14ac:dyDescent="0.35">
      <c r="A1621" t="s">
        <v>1771</v>
      </c>
      <c r="B1621" s="7">
        <v>45572</v>
      </c>
      <c r="C1621" s="13">
        <f t="shared" si="201"/>
        <v>2024</v>
      </c>
      <c r="D1621" s="7" t="str">
        <f t="shared" si="202"/>
        <v>Oct</v>
      </c>
      <c r="E1621" s="7" t="str">
        <f t="shared" si="203"/>
        <v>Mon</v>
      </c>
      <c r="F1621" t="s">
        <v>358</v>
      </c>
      <c r="G1621" t="s">
        <v>65</v>
      </c>
      <c r="H1621" t="s">
        <v>22</v>
      </c>
      <c r="I1621" s="2" t="str">
        <f t="shared" si="200"/>
        <v>South</v>
      </c>
      <c r="J1621" t="s">
        <v>306</v>
      </c>
      <c r="K1621" t="s">
        <v>28</v>
      </c>
      <c r="L1621">
        <v>6</v>
      </c>
      <c r="M1621">
        <v>120</v>
      </c>
      <c r="N1621">
        <f t="shared" si="204"/>
        <v>720</v>
      </c>
      <c r="O1621">
        <f t="shared" si="205"/>
        <v>72</v>
      </c>
      <c r="P1621" t="str">
        <f t="shared" si="206"/>
        <v>Large Order</v>
      </c>
      <c r="Q1621" t="str">
        <f t="shared" si="207"/>
        <v>Weekday</v>
      </c>
    </row>
    <row r="1622" spans="1:17" x14ac:dyDescent="0.35">
      <c r="A1622" t="s">
        <v>1772</v>
      </c>
      <c r="B1622" s="7">
        <v>45558</v>
      </c>
      <c r="C1622" s="13">
        <f t="shared" si="201"/>
        <v>2024</v>
      </c>
      <c r="D1622" s="7" t="str">
        <f t="shared" si="202"/>
        <v>Sep</v>
      </c>
      <c r="E1622" s="7" t="str">
        <f t="shared" si="203"/>
        <v>Mon</v>
      </c>
      <c r="F1622" t="s">
        <v>396</v>
      </c>
      <c r="G1622" t="s">
        <v>102</v>
      </c>
      <c r="H1622" t="s">
        <v>22</v>
      </c>
      <c r="I1622" s="2" t="str">
        <f t="shared" si="200"/>
        <v>South</v>
      </c>
      <c r="J1622" t="s">
        <v>56</v>
      </c>
      <c r="K1622" t="s">
        <v>36</v>
      </c>
      <c r="L1622">
        <v>16</v>
      </c>
      <c r="M1622">
        <v>120</v>
      </c>
      <c r="N1622">
        <f t="shared" si="204"/>
        <v>1920</v>
      </c>
      <c r="O1622">
        <f t="shared" si="205"/>
        <v>192</v>
      </c>
      <c r="P1622" t="str">
        <f t="shared" si="206"/>
        <v>Large Order</v>
      </c>
      <c r="Q1622" t="str">
        <f t="shared" si="207"/>
        <v>Weekday</v>
      </c>
    </row>
    <row r="1623" spans="1:17" x14ac:dyDescent="0.35">
      <c r="A1623" t="s">
        <v>1773</v>
      </c>
      <c r="B1623" s="7">
        <v>45553</v>
      </c>
      <c r="C1623" s="13">
        <f t="shared" si="201"/>
        <v>2024</v>
      </c>
      <c r="D1623" s="7" t="str">
        <f t="shared" si="202"/>
        <v>Sep</v>
      </c>
      <c r="E1623" s="7" t="str">
        <f t="shared" si="203"/>
        <v>Wed</v>
      </c>
      <c r="F1623" t="s">
        <v>430</v>
      </c>
      <c r="G1623" t="s">
        <v>79</v>
      </c>
      <c r="H1623" t="s">
        <v>17</v>
      </c>
      <c r="I1623" s="2" t="str">
        <f t="shared" si="200"/>
        <v>East</v>
      </c>
      <c r="J1623" t="s">
        <v>56</v>
      </c>
      <c r="K1623" t="s">
        <v>36</v>
      </c>
      <c r="L1623">
        <v>14</v>
      </c>
      <c r="M1623">
        <v>120</v>
      </c>
      <c r="N1623">
        <f t="shared" si="204"/>
        <v>1680</v>
      </c>
      <c r="O1623">
        <f t="shared" si="205"/>
        <v>168</v>
      </c>
      <c r="P1623" t="str">
        <f t="shared" si="206"/>
        <v>Large Order</v>
      </c>
      <c r="Q1623" t="str">
        <f t="shared" si="207"/>
        <v>Weekday</v>
      </c>
    </row>
    <row r="1624" spans="1:17" x14ac:dyDescent="0.35">
      <c r="A1624" t="s">
        <v>1774</v>
      </c>
      <c r="B1624" s="7">
        <v>45321</v>
      </c>
      <c r="C1624" s="13">
        <f t="shared" si="201"/>
        <v>2024</v>
      </c>
      <c r="D1624" s="7" t="str">
        <f t="shared" si="202"/>
        <v>Jan</v>
      </c>
      <c r="E1624" s="7" t="str">
        <f t="shared" si="203"/>
        <v>Tue</v>
      </c>
      <c r="F1624" t="s">
        <v>642</v>
      </c>
      <c r="G1624" t="s">
        <v>70</v>
      </c>
      <c r="H1624" t="s">
        <v>22</v>
      </c>
      <c r="I1624" s="2" t="str">
        <f t="shared" si="200"/>
        <v>North</v>
      </c>
      <c r="J1624" t="s">
        <v>42</v>
      </c>
      <c r="K1624" t="s">
        <v>13</v>
      </c>
      <c r="L1624">
        <v>13</v>
      </c>
      <c r="M1624">
        <v>120</v>
      </c>
      <c r="N1624">
        <f t="shared" si="204"/>
        <v>1560</v>
      </c>
      <c r="O1624">
        <f t="shared" si="205"/>
        <v>156</v>
      </c>
      <c r="P1624" t="str">
        <f t="shared" si="206"/>
        <v>Large Order</v>
      </c>
      <c r="Q1624" t="str">
        <f t="shared" si="207"/>
        <v>Weekday</v>
      </c>
    </row>
    <row r="1625" spans="1:17" x14ac:dyDescent="0.35">
      <c r="A1625" t="s">
        <v>1775</v>
      </c>
      <c r="B1625" s="7">
        <v>45293</v>
      </c>
      <c r="C1625" s="13">
        <f t="shared" si="201"/>
        <v>2024</v>
      </c>
      <c r="D1625" s="7" t="str">
        <f t="shared" si="202"/>
        <v>Jan</v>
      </c>
      <c r="E1625" s="7" t="str">
        <f t="shared" si="203"/>
        <v>Tue</v>
      </c>
      <c r="F1625" t="s">
        <v>323</v>
      </c>
      <c r="G1625" t="s">
        <v>65</v>
      </c>
      <c r="H1625" t="s">
        <v>22</v>
      </c>
      <c r="I1625" s="2" t="str">
        <f t="shared" si="200"/>
        <v>West</v>
      </c>
      <c r="J1625" t="s">
        <v>12</v>
      </c>
      <c r="K1625" t="s">
        <v>13</v>
      </c>
      <c r="L1625">
        <v>14</v>
      </c>
      <c r="M1625">
        <v>120</v>
      </c>
      <c r="N1625">
        <f t="shared" si="204"/>
        <v>1680</v>
      </c>
      <c r="O1625">
        <f t="shared" si="205"/>
        <v>168</v>
      </c>
      <c r="P1625" t="str">
        <f t="shared" si="206"/>
        <v>Large Order</v>
      </c>
      <c r="Q1625" t="str">
        <f t="shared" si="207"/>
        <v>Weekday</v>
      </c>
    </row>
    <row r="1626" spans="1:17" x14ac:dyDescent="0.35">
      <c r="A1626" t="s">
        <v>1776</v>
      </c>
      <c r="B1626" s="7">
        <v>45324</v>
      </c>
      <c r="C1626" s="13">
        <f t="shared" si="201"/>
        <v>2024</v>
      </c>
      <c r="D1626" s="7" t="str">
        <f t="shared" si="202"/>
        <v>Feb</v>
      </c>
      <c r="E1626" s="7" t="str">
        <f t="shared" si="203"/>
        <v>Fri</v>
      </c>
      <c r="F1626" t="s">
        <v>591</v>
      </c>
      <c r="G1626" t="s">
        <v>79</v>
      </c>
      <c r="H1626" t="s">
        <v>11</v>
      </c>
      <c r="I1626" s="2" t="str">
        <f t="shared" si="200"/>
        <v>West</v>
      </c>
      <c r="J1626" t="s">
        <v>27</v>
      </c>
      <c r="K1626" t="s">
        <v>13</v>
      </c>
      <c r="L1626">
        <v>10</v>
      </c>
      <c r="M1626">
        <v>120</v>
      </c>
      <c r="N1626">
        <f t="shared" si="204"/>
        <v>1200</v>
      </c>
      <c r="O1626">
        <f t="shared" si="205"/>
        <v>120</v>
      </c>
      <c r="P1626" t="str">
        <f t="shared" si="206"/>
        <v>Large Order</v>
      </c>
      <c r="Q1626" t="str">
        <f t="shared" si="207"/>
        <v>Weekday</v>
      </c>
    </row>
    <row r="1627" spans="1:17" x14ac:dyDescent="0.35">
      <c r="A1627" t="s">
        <v>1777</v>
      </c>
      <c r="B1627" s="7">
        <v>45361</v>
      </c>
      <c r="C1627" s="13">
        <f t="shared" si="201"/>
        <v>2024</v>
      </c>
      <c r="D1627" s="7" t="str">
        <f t="shared" si="202"/>
        <v>Mar</v>
      </c>
      <c r="E1627" s="7" t="str">
        <f t="shared" si="203"/>
        <v>Sun</v>
      </c>
      <c r="F1627" t="s">
        <v>337</v>
      </c>
      <c r="G1627" t="s">
        <v>21</v>
      </c>
      <c r="H1627" t="s">
        <v>22</v>
      </c>
      <c r="I1627" s="2" t="str">
        <f t="shared" si="200"/>
        <v>Central</v>
      </c>
      <c r="J1627" t="s">
        <v>27</v>
      </c>
      <c r="K1627" t="s">
        <v>32</v>
      </c>
      <c r="L1627">
        <v>13</v>
      </c>
      <c r="M1627">
        <v>120</v>
      </c>
      <c r="N1627">
        <f t="shared" si="204"/>
        <v>1560</v>
      </c>
      <c r="O1627">
        <f t="shared" si="205"/>
        <v>156</v>
      </c>
      <c r="P1627" t="str">
        <f t="shared" si="206"/>
        <v>Large Order</v>
      </c>
      <c r="Q1627" t="str">
        <f t="shared" si="207"/>
        <v>Weekend</v>
      </c>
    </row>
    <row r="1628" spans="1:17" x14ac:dyDescent="0.35">
      <c r="A1628" t="s">
        <v>1778</v>
      </c>
      <c r="B1628" s="7">
        <v>45485</v>
      </c>
      <c r="C1628" s="13">
        <f t="shared" si="201"/>
        <v>2024</v>
      </c>
      <c r="D1628" s="7" t="str">
        <f t="shared" si="202"/>
        <v>Jul</v>
      </c>
      <c r="E1628" s="7" t="str">
        <f t="shared" si="203"/>
        <v>Fri</v>
      </c>
      <c r="F1628" t="s">
        <v>159</v>
      </c>
      <c r="G1628" t="s">
        <v>10</v>
      </c>
      <c r="H1628" t="s">
        <v>22</v>
      </c>
      <c r="I1628" s="2" t="str">
        <f t="shared" si="200"/>
        <v>South</v>
      </c>
      <c r="J1628" t="s">
        <v>306</v>
      </c>
      <c r="K1628" t="s">
        <v>28</v>
      </c>
      <c r="L1628">
        <v>12</v>
      </c>
      <c r="M1628">
        <v>120</v>
      </c>
      <c r="N1628">
        <f t="shared" si="204"/>
        <v>1440</v>
      </c>
      <c r="O1628">
        <f t="shared" si="205"/>
        <v>144</v>
      </c>
      <c r="P1628" t="str">
        <f t="shared" si="206"/>
        <v>Large Order</v>
      </c>
      <c r="Q1628" t="str">
        <f t="shared" si="207"/>
        <v>Weekday</v>
      </c>
    </row>
    <row r="1629" spans="1:17" x14ac:dyDescent="0.35">
      <c r="A1629" t="s">
        <v>1779</v>
      </c>
      <c r="B1629" s="7">
        <v>45567</v>
      </c>
      <c r="C1629" s="13">
        <f t="shared" si="201"/>
        <v>2024</v>
      </c>
      <c r="D1629" s="7" t="str">
        <f t="shared" si="202"/>
        <v>Oct</v>
      </c>
      <c r="E1629" s="7" t="str">
        <f t="shared" si="203"/>
        <v>Wed</v>
      </c>
      <c r="F1629" t="s">
        <v>106</v>
      </c>
      <c r="G1629" t="s">
        <v>160</v>
      </c>
      <c r="H1629" t="s">
        <v>11</v>
      </c>
      <c r="I1629" s="2" t="str">
        <f t="shared" si="200"/>
        <v>West</v>
      </c>
      <c r="J1629" t="s">
        <v>56</v>
      </c>
      <c r="K1629" t="s">
        <v>13</v>
      </c>
      <c r="L1629">
        <v>1</v>
      </c>
      <c r="M1629">
        <v>120</v>
      </c>
      <c r="N1629">
        <f t="shared" si="204"/>
        <v>120</v>
      </c>
      <c r="O1629">
        <f t="shared" si="205"/>
        <v>12</v>
      </c>
      <c r="P1629" t="str">
        <f t="shared" si="206"/>
        <v>Standard Order</v>
      </c>
      <c r="Q1629" t="str">
        <f t="shared" si="207"/>
        <v>Weekday</v>
      </c>
    </row>
    <row r="1630" spans="1:17" x14ac:dyDescent="0.35">
      <c r="A1630" t="s">
        <v>1780</v>
      </c>
      <c r="B1630" s="7">
        <v>45529</v>
      </c>
      <c r="C1630" s="13">
        <f t="shared" si="201"/>
        <v>2024</v>
      </c>
      <c r="D1630" s="7" t="str">
        <f t="shared" si="202"/>
        <v>Aug</v>
      </c>
      <c r="E1630" s="7" t="str">
        <f t="shared" si="203"/>
        <v>Sun</v>
      </c>
      <c r="F1630" t="s">
        <v>422</v>
      </c>
      <c r="G1630" t="s">
        <v>84</v>
      </c>
      <c r="H1630" t="s">
        <v>22</v>
      </c>
      <c r="I1630" s="2" t="str">
        <f t="shared" si="200"/>
        <v>East</v>
      </c>
      <c r="J1630" t="s">
        <v>27</v>
      </c>
      <c r="K1630" t="s">
        <v>36</v>
      </c>
      <c r="L1630">
        <v>13</v>
      </c>
      <c r="M1630">
        <v>120</v>
      </c>
      <c r="N1630">
        <f t="shared" si="204"/>
        <v>1560</v>
      </c>
      <c r="O1630">
        <f t="shared" si="205"/>
        <v>156</v>
      </c>
      <c r="P1630" t="str">
        <f t="shared" si="206"/>
        <v>Large Order</v>
      </c>
      <c r="Q1630" t="str">
        <f t="shared" si="207"/>
        <v>Weekend</v>
      </c>
    </row>
    <row r="1631" spans="1:17" x14ac:dyDescent="0.35">
      <c r="A1631" t="s">
        <v>1781</v>
      </c>
      <c r="B1631" s="7">
        <v>45418</v>
      </c>
      <c r="C1631" s="13">
        <f t="shared" si="201"/>
        <v>2024</v>
      </c>
      <c r="D1631" s="7" t="str">
        <f t="shared" si="202"/>
        <v>May</v>
      </c>
      <c r="E1631" s="7" t="str">
        <f t="shared" si="203"/>
        <v>Mon</v>
      </c>
      <c r="F1631" t="s">
        <v>366</v>
      </c>
      <c r="G1631" t="s">
        <v>48</v>
      </c>
      <c r="H1631" t="s">
        <v>11</v>
      </c>
      <c r="I1631" s="2" t="str">
        <f t="shared" si="200"/>
        <v>South</v>
      </c>
      <c r="J1631" t="s">
        <v>42</v>
      </c>
      <c r="K1631" t="s">
        <v>28</v>
      </c>
      <c r="L1631">
        <v>4</v>
      </c>
      <c r="M1631">
        <v>120</v>
      </c>
      <c r="N1631">
        <f t="shared" si="204"/>
        <v>480</v>
      </c>
      <c r="O1631">
        <f t="shared" si="205"/>
        <v>48</v>
      </c>
      <c r="P1631" t="str">
        <f t="shared" si="206"/>
        <v>Standard Order</v>
      </c>
      <c r="Q1631" t="str">
        <f t="shared" si="207"/>
        <v>Weekday</v>
      </c>
    </row>
    <row r="1632" spans="1:17" x14ac:dyDescent="0.35">
      <c r="A1632" t="s">
        <v>1782</v>
      </c>
      <c r="B1632" s="7">
        <v>45630</v>
      </c>
      <c r="C1632" s="13">
        <f t="shared" si="201"/>
        <v>2024</v>
      </c>
      <c r="D1632" s="7" t="str">
        <f t="shared" si="202"/>
        <v>Dec</v>
      </c>
      <c r="E1632" s="7" t="str">
        <f t="shared" si="203"/>
        <v>Wed</v>
      </c>
      <c r="F1632" t="s">
        <v>572</v>
      </c>
      <c r="G1632" t="s">
        <v>109</v>
      </c>
      <c r="H1632" t="s">
        <v>11</v>
      </c>
      <c r="I1632" s="2" t="str">
        <f t="shared" si="200"/>
        <v>North</v>
      </c>
      <c r="J1632" t="s">
        <v>56</v>
      </c>
      <c r="K1632" t="s">
        <v>28</v>
      </c>
      <c r="L1632">
        <v>3</v>
      </c>
      <c r="M1632">
        <v>120</v>
      </c>
      <c r="N1632">
        <f t="shared" si="204"/>
        <v>360</v>
      </c>
      <c r="O1632">
        <f t="shared" si="205"/>
        <v>36</v>
      </c>
      <c r="P1632" t="str">
        <f t="shared" si="206"/>
        <v>Standard Order</v>
      </c>
      <c r="Q1632" t="str">
        <f t="shared" si="207"/>
        <v>Weekday</v>
      </c>
    </row>
    <row r="1633" spans="1:17" x14ac:dyDescent="0.35">
      <c r="A1633" t="s">
        <v>1783</v>
      </c>
      <c r="B1633" s="7">
        <v>45309</v>
      </c>
      <c r="C1633" s="13">
        <f t="shared" si="201"/>
        <v>2024</v>
      </c>
      <c r="D1633" s="7" t="str">
        <f t="shared" si="202"/>
        <v>Jan</v>
      </c>
      <c r="E1633" s="7" t="str">
        <f t="shared" si="203"/>
        <v>Thu</v>
      </c>
      <c r="F1633" t="s">
        <v>430</v>
      </c>
      <c r="G1633" t="s">
        <v>109</v>
      </c>
      <c r="H1633" t="s">
        <v>22</v>
      </c>
      <c r="I1633" s="2" t="str">
        <f t="shared" si="200"/>
        <v>South</v>
      </c>
      <c r="J1633" t="s">
        <v>12</v>
      </c>
      <c r="K1633" t="s">
        <v>28</v>
      </c>
      <c r="L1633">
        <v>2</v>
      </c>
      <c r="M1633">
        <v>120</v>
      </c>
      <c r="N1633">
        <f t="shared" si="204"/>
        <v>240</v>
      </c>
      <c r="O1633">
        <f t="shared" si="205"/>
        <v>24</v>
      </c>
      <c r="P1633" t="str">
        <f t="shared" si="206"/>
        <v>Standard Order</v>
      </c>
      <c r="Q1633" t="str">
        <f t="shared" si="207"/>
        <v>Weekday</v>
      </c>
    </row>
    <row r="1634" spans="1:17" x14ac:dyDescent="0.35">
      <c r="A1634" t="s">
        <v>1784</v>
      </c>
      <c r="B1634" s="7">
        <v>45411</v>
      </c>
      <c r="C1634" s="13">
        <f t="shared" si="201"/>
        <v>2024</v>
      </c>
      <c r="D1634" s="7" t="str">
        <f t="shared" si="202"/>
        <v>Apr</v>
      </c>
      <c r="E1634" s="7" t="str">
        <f t="shared" si="203"/>
        <v>Mon</v>
      </c>
      <c r="F1634" t="s">
        <v>591</v>
      </c>
      <c r="G1634" t="s">
        <v>65</v>
      </c>
      <c r="H1634" t="s">
        <v>11</v>
      </c>
      <c r="I1634" s="2" t="str">
        <f t="shared" si="200"/>
        <v>East</v>
      </c>
      <c r="J1634" t="s">
        <v>56</v>
      </c>
      <c r="K1634" t="s">
        <v>36</v>
      </c>
      <c r="L1634">
        <v>10</v>
      </c>
      <c r="M1634">
        <v>120</v>
      </c>
      <c r="N1634">
        <f t="shared" si="204"/>
        <v>1200</v>
      </c>
      <c r="O1634">
        <f t="shared" si="205"/>
        <v>120</v>
      </c>
      <c r="P1634" t="str">
        <f t="shared" si="206"/>
        <v>Large Order</v>
      </c>
      <c r="Q1634" t="str">
        <f t="shared" si="207"/>
        <v>Weekday</v>
      </c>
    </row>
    <row r="1635" spans="1:17" x14ac:dyDescent="0.35">
      <c r="A1635" t="s">
        <v>1785</v>
      </c>
      <c r="B1635" s="7">
        <v>45586</v>
      </c>
      <c r="C1635" s="13">
        <f t="shared" si="201"/>
        <v>2024</v>
      </c>
      <c r="D1635" s="7" t="str">
        <f t="shared" si="202"/>
        <v>Oct</v>
      </c>
      <c r="E1635" s="7" t="str">
        <f t="shared" si="203"/>
        <v>Mon</v>
      </c>
      <c r="F1635" t="s">
        <v>38</v>
      </c>
      <c r="G1635" t="s">
        <v>59</v>
      </c>
      <c r="H1635" t="s">
        <v>22</v>
      </c>
      <c r="I1635" s="2" t="str">
        <f t="shared" si="200"/>
        <v>East</v>
      </c>
      <c r="J1635" t="s">
        <v>42</v>
      </c>
      <c r="K1635" t="s">
        <v>28</v>
      </c>
      <c r="L1635">
        <v>10</v>
      </c>
      <c r="M1635">
        <v>120</v>
      </c>
      <c r="N1635">
        <f t="shared" si="204"/>
        <v>1200</v>
      </c>
      <c r="O1635">
        <f t="shared" si="205"/>
        <v>120</v>
      </c>
      <c r="P1635" t="str">
        <f t="shared" si="206"/>
        <v>Large Order</v>
      </c>
      <c r="Q1635" t="str">
        <f t="shared" si="207"/>
        <v>Weekday</v>
      </c>
    </row>
    <row r="1636" spans="1:17" x14ac:dyDescent="0.35">
      <c r="A1636" t="s">
        <v>1786</v>
      </c>
      <c r="B1636" s="7">
        <v>45630</v>
      </c>
      <c r="C1636" s="13">
        <f t="shared" si="201"/>
        <v>2024</v>
      </c>
      <c r="D1636" s="7" t="str">
        <f t="shared" si="202"/>
        <v>Dec</v>
      </c>
      <c r="E1636" s="7" t="str">
        <f t="shared" si="203"/>
        <v>Wed</v>
      </c>
      <c r="F1636" t="s">
        <v>363</v>
      </c>
      <c r="G1636" t="s">
        <v>197</v>
      </c>
      <c r="H1636" t="s">
        <v>17</v>
      </c>
      <c r="I1636" s="2" t="str">
        <f t="shared" si="200"/>
        <v>West</v>
      </c>
      <c r="J1636" t="s">
        <v>42</v>
      </c>
      <c r="K1636" t="s">
        <v>32</v>
      </c>
      <c r="L1636">
        <v>2</v>
      </c>
      <c r="M1636">
        <v>120</v>
      </c>
      <c r="N1636">
        <f t="shared" si="204"/>
        <v>240</v>
      </c>
      <c r="O1636">
        <f t="shared" si="205"/>
        <v>24</v>
      </c>
      <c r="P1636" t="str">
        <f t="shared" si="206"/>
        <v>Standard Order</v>
      </c>
      <c r="Q1636" t="str">
        <f t="shared" si="207"/>
        <v>Weekday</v>
      </c>
    </row>
    <row r="1637" spans="1:17" x14ac:dyDescent="0.35">
      <c r="A1637" t="s">
        <v>1787</v>
      </c>
      <c r="B1637" s="7">
        <v>45594</v>
      </c>
      <c r="C1637" s="13">
        <f t="shared" si="201"/>
        <v>2024</v>
      </c>
      <c r="D1637" s="7" t="str">
        <f t="shared" si="202"/>
        <v>Oct</v>
      </c>
      <c r="E1637" s="7" t="str">
        <f t="shared" si="203"/>
        <v>Tue</v>
      </c>
      <c r="F1637" t="s">
        <v>304</v>
      </c>
      <c r="G1637" t="s">
        <v>45</v>
      </c>
      <c r="H1637" t="s">
        <v>22</v>
      </c>
      <c r="I1637" s="2" t="str">
        <f t="shared" si="200"/>
        <v>Central</v>
      </c>
      <c r="J1637" t="s">
        <v>27</v>
      </c>
      <c r="K1637" t="s">
        <v>36</v>
      </c>
      <c r="L1637">
        <v>16</v>
      </c>
      <c r="M1637">
        <v>120</v>
      </c>
      <c r="N1637">
        <f t="shared" si="204"/>
        <v>1920</v>
      </c>
      <c r="O1637">
        <f t="shared" si="205"/>
        <v>192</v>
      </c>
      <c r="P1637" t="str">
        <f t="shared" si="206"/>
        <v>Large Order</v>
      </c>
      <c r="Q1637" t="str">
        <f t="shared" si="207"/>
        <v>Weekday</v>
      </c>
    </row>
    <row r="1638" spans="1:17" x14ac:dyDescent="0.35">
      <c r="A1638" t="s">
        <v>1788</v>
      </c>
      <c r="B1638" s="7">
        <v>45468</v>
      </c>
      <c r="C1638" s="13">
        <f t="shared" si="201"/>
        <v>2024</v>
      </c>
      <c r="D1638" s="7" t="str">
        <f t="shared" si="202"/>
        <v>Jun</v>
      </c>
      <c r="E1638" s="7" t="str">
        <f t="shared" si="203"/>
        <v>Tue</v>
      </c>
      <c r="F1638" t="s">
        <v>736</v>
      </c>
      <c r="G1638" t="s">
        <v>41</v>
      </c>
      <c r="H1638" t="s">
        <v>17</v>
      </c>
      <c r="I1638" s="2" t="str">
        <f t="shared" si="200"/>
        <v>West</v>
      </c>
      <c r="J1638" t="s">
        <v>306</v>
      </c>
      <c r="K1638" t="s">
        <v>32</v>
      </c>
      <c r="L1638">
        <v>14</v>
      </c>
      <c r="M1638">
        <v>120</v>
      </c>
      <c r="N1638">
        <f t="shared" si="204"/>
        <v>1680</v>
      </c>
      <c r="O1638">
        <f t="shared" si="205"/>
        <v>168</v>
      </c>
      <c r="P1638" t="str">
        <f t="shared" si="206"/>
        <v>Large Order</v>
      </c>
      <c r="Q1638" t="str">
        <f t="shared" si="207"/>
        <v>Weekday</v>
      </c>
    </row>
    <row r="1639" spans="1:17" x14ac:dyDescent="0.35">
      <c r="A1639" t="s">
        <v>1789</v>
      </c>
      <c r="B1639" s="7">
        <v>45445</v>
      </c>
      <c r="C1639" s="13">
        <f t="shared" si="201"/>
        <v>2024</v>
      </c>
      <c r="D1639" s="7" t="str">
        <f t="shared" si="202"/>
        <v>Jun</v>
      </c>
      <c r="E1639" s="7" t="str">
        <f t="shared" si="203"/>
        <v>Sun</v>
      </c>
      <c r="F1639" t="s">
        <v>159</v>
      </c>
      <c r="G1639" t="s">
        <v>45</v>
      </c>
      <c r="H1639" t="s">
        <v>22</v>
      </c>
      <c r="I1639" s="2" t="str">
        <f t="shared" si="200"/>
        <v>Central</v>
      </c>
      <c r="J1639" t="s">
        <v>27</v>
      </c>
      <c r="K1639" t="s">
        <v>28</v>
      </c>
      <c r="L1639">
        <v>8</v>
      </c>
      <c r="M1639">
        <v>120</v>
      </c>
      <c r="N1639">
        <f t="shared" si="204"/>
        <v>960</v>
      </c>
      <c r="O1639">
        <f t="shared" si="205"/>
        <v>96</v>
      </c>
      <c r="P1639" t="str">
        <f t="shared" si="206"/>
        <v>Large Order</v>
      </c>
      <c r="Q1639" t="str">
        <f t="shared" si="207"/>
        <v>Weekend</v>
      </c>
    </row>
    <row r="1640" spans="1:17" x14ac:dyDescent="0.35">
      <c r="A1640" t="s">
        <v>1790</v>
      </c>
      <c r="B1640" s="7">
        <v>45654</v>
      </c>
      <c r="C1640" s="13">
        <f t="shared" si="201"/>
        <v>2024</v>
      </c>
      <c r="D1640" s="7" t="str">
        <f t="shared" si="202"/>
        <v>Dec</v>
      </c>
      <c r="E1640" s="7" t="str">
        <f t="shared" si="203"/>
        <v>Sat</v>
      </c>
      <c r="F1640" t="s">
        <v>167</v>
      </c>
      <c r="G1640" t="s">
        <v>70</v>
      </c>
      <c r="H1640" t="s">
        <v>11</v>
      </c>
      <c r="I1640" s="2" t="str">
        <f t="shared" si="200"/>
        <v>South</v>
      </c>
      <c r="J1640" t="s">
        <v>306</v>
      </c>
      <c r="K1640" t="s">
        <v>23</v>
      </c>
      <c r="L1640">
        <v>14</v>
      </c>
      <c r="M1640">
        <v>120</v>
      </c>
      <c r="N1640">
        <f t="shared" si="204"/>
        <v>1680</v>
      </c>
      <c r="O1640">
        <f t="shared" si="205"/>
        <v>168</v>
      </c>
      <c r="P1640" t="str">
        <f t="shared" si="206"/>
        <v>Large Order</v>
      </c>
      <c r="Q1640" t="str">
        <f t="shared" si="207"/>
        <v>Weekend</v>
      </c>
    </row>
    <row r="1641" spans="1:17" x14ac:dyDescent="0.35">
      <c r="A1641" t="s">
        <v>1791</v>
      </c>
      <c r="B1641" s="7">
        <v>45360</v>
      </c>
      <c r="C1641" s="13">
        <f t="shared" si="201"/>
        <v>2024</v>
      </c>
      <c r="D1641" s="7" t="str">
        <f t="shared" si="202"/>
        <v>Mar</v>
      </c>
      <c r="E1641" s="7" t="str">
        <f t="shared" si="203"/>
        <v>Sat</v>
      </c>
      <c r="F1641" t="s">
        <v>53</v>
      </c>
      <c r="G1641" t="s">
        <v>197</v>
      </c>
      <c r="H1641" t="s">
        <v>17</v>
      </c>
      <c r="I1641" s="2" t="str">
        <f t="shared" si="200"/>
        <v>South</v>
      </c>
      <c r="J1641" t="s">
        <v>56</v>
      </c>
      <c r="K1641" t="s">
        <v>32</v>
      </c>
      <c r="L1641">
        <v>3</v>
      </c>
      <c r="M1641">
        <v>120</v>
      </c>
      <c r="N1641">
        <f t="shared" si="204"/>
        <v>360</v>
      </c>
      <c r="O1641">
        <f t="shared" si="205"/>
        <v>36</v>
      </c>
      <c r="P1641" t="str">
        <f t="shared" si="206"/>
        <v>Standard Order</v>
      </c>
      <c r="Q1641" t="str">
        <f t="shared" si="207"/>
        <v>Weekend</v>
      </c>
    </row>
    <row r="1642" spans="1:17" x14ac:dyDescent="0.35">
      <c r="A1642" t="s">
        <v>1792</v>
      </c>
      <c r="B1642" s="7">
        <v>45481</v>
      </c>
      <c r="C1642" s="13">
        <f t="shared" si="201"/>
        <v>2024</v>
      </c>
      <c r="D1642" s="7" t="str">
        <f t="shared" si="202"/>
        <v>Jul</v>
      </c>
      <c r="E1642" s="7" t="str">
        <f t="shared" si="203"/>
        <v>Mon</v>
      </c>
      <c r="F1642" t="s">
        <v>203</v>
      </c>
      <c r="G1642" t="s">
        <v>174</v>
      </c>
      <c r="H1642" t="s">
        <v>22</v>
      </c>
      <c r="I1642" s="2" t="str">
        <f t="shared" si="200"/>
        <v>South</v>
      </c>
      <c r="J1642" t="s">
        <v>56</v>
      </c>
      <c r="K1642" t="s">
        <v>13</v>
      </c>
      <c r="L1642">
        <v>9</v>
      </c>
      <c r="M1642">
        <v>120</v>
      </c>
      <c r="N1642">
        <f t="shared" si="204"/>
        <v>1080</v>
      </c>
      <c r="O1642">
        <f t="shared" si="205"/>
        <v>108</v>
      </c>
      <c r="P1642" t="str">
        <f t="shared" si="206"/>
        <v>Large Order</v>
      </c>
      <c r="Q1642" t="str">
        <f t="shared" si="207"/>
        <v>Weekday</v>
      </c>
    </row>
    <row r="1643" spans="1:17" x14ac:dyDescent="0.35">
      <c r="A1643" t="s">
        <v>1793</v>
      </c>
      <c r="B1643" s="7">
        <v>45601</v>
      </c>
      <c r="C1643" s="13">
        <f t="shared" si="201"/>
        <v>2024</v>
      </c>
      <c r="D1643" s="7" t="str">
        <f t="shared" si="202"/>
        <v>Nov</v>
      </c>
      <c r="E1643" s="7" t="str">
        <f t="shared" si="203"/>
        <v>Tue</v>
      </c>
      <c r="F1643" t="s">
        <v>493</v>
      </c>
      <c r="G1643" t="s">
        <v>79</v>
      </c>
      <c r="H1643" t="s">
        <v>11</v>
      </c>
      <c r="I1643" s="2" t="str">
        <f t="shared" si="200"/>
        <v>South</v>
      </c>
      <c r="J1643" t="s">
        <v>56</v>
      </c>
      <c r="K1643" t="s">
        <v>36</v>
      </c>
      <c r="L1643">
        <v>18</v>
      </c>
      <c r="M1643">
        <v>120</v>
      </c>
      <c r="N1643">
        <f t="shared" si="204"/>
        <v>2160</v>
      </c>
      <c r="O1643">
        <f t="shared" si="205"/>
        <v>216</v>
      </c>
      <c r="P1643" t="str">
        <f t="shared" si="206"/>
        <v>Large Order</v>
      </c>
      <c r="Q1643" t="str">
        <f t="shared" si="207"/>
        <v>Weekday</v>
      </c>
    </row>
    <row r="1644" spans="1:17" x14ac:dyDescent="0.35">
      <c r="A1644" t="s">
        <v>1794</v>
      </c>
      <c r="B1644" s="7">
        <v>45398</v>
      </c>
      <c r="C1644" s="13">
        <f t="shared" si="201"/>
        <v>2024</v>
      </c>
      <c r="D1644" s="7" t="str">
        <f t="shared" si="202"/>
        <v>Apr</v>
      </c>
      <c r="E1644" s="7" t="str">
        <f t="shared" si="203"/>
        <v>Tue</v>
      </c>
      <c r="F1644" t="s">
        <v>118</v>
      </c>
      <c r="G1644" t="s">
        <v>74</v>
      </c>
      <c r="H1644" t="s">
        <v>11</v>
      </c>
      <c r="I1644" s="2" t="str">
        <f t="shared" si="200"/>
        <v>South</v>
      </c>
      <c r="J1644" t="s">
        <v>56</v>
      </c>
      <c r="K1644" t="s">
        <v>28</v>
      </c>
      <c r="L1644">
        <v>4</v>
      </c>
      <c r="M1644">
        <v>120</v>
      </c>
      <c r="N1644">
        <f t="shared" si="204"/>
        <v>480</v>
      </c>
      <c r="O1644">
        <f t="shared" si="205"/>
        <v>48</v>
      </c>
      <c r="P1644" t="str">
        <f t="shared" si="206"/>
        <v>Standard Order</v>
      </c>
      <c r="Q1644" t="str">
        <f t="shared" si="207"/>
        <v>Weekday</v>
      </c>
    </row>
    <row r="1645" spans="1:17" x14ac:dyDescent="0.35">
      <c r="A1645" t="s">
        <v>1795</v>
      </c>
      <c r="B1645" s="7">
        <v>45537</v>
      </c>
      <c r="C1645" s="13">
        <f t="shared" si="201"/>
        <v>2024</v>
      </c>
      <c r="D1645" s="7" t="str">
        <f t="shared" si="202"/>
        <v>Sep</v>
      </c>
      <c r="E1645" s="7" t="str">
        <f t="shared" si="203"/>
        <v>Mon</v>
      </c>
      <c r="F1645" t="s">
        <v>78</v>
      </c>
      <c r="G1645" t="s">
        <v>62</v>
      </c>
      <c r="H1645" t="s">
        <v>22</v>
      </c>
      <c r="I1645" s="2" t="str">
        <f t="shared" si="200"/>
        <v>East</v>
      </c>
      <c r="J1645" t="s">
        <v>56</v>
      </c>
      <c r="K1645" t="s">
        <v>23</v>
      </c>
      <c r="L1645">
        <v>8</v>
      </c>
      <c r="M1645">
        <v>120</v>
      </c>
      <c r="N1645">
        <f t="shared" si="204"/>
        <v>960</v>
      </c>
      <c r="O1645">
        <f t="shared" si="205"/>
        <v>96</v>
      </c>
      <c r="P1645" t="str">
        <f t="shared" si="206"/>
        <v>Large Order</v>
      </c>
      <c r="Q1645" t="str">
        <f t="shared" si="207"/>
        <v>Weekday</v>
      </c>
    </row>
    <row r="1646" spans="1:17" x14ac:dyDescent="0.35">
      <c r="A1646" t="s">
        <v>1796</v>
      </c>
      <c r="B1646" s="7">
        <v>45436</v>
      </c>
      <c r="C1646" s="13">
        <f t="shared" si="201"/>
        <v>2024</v>
      </c>
      <c r="D1646" s="7" t="str">
        <f t="shared" si="202"/>
        <v>May</v>
      </c>
      <c r="E1646" s="7" t="str">
        <f t="shared" si="203"/>
        <v>Fri</v>
      </c>
      <c r="F1646" t="s">
        <v>159</v>
      </c>
      <c r="G1646" t="s">
        <v>70</v>
      </c>
      <c r="H1646" t="s">
        <v>22</v>
      </c>
      <c r="I1646" s="2" t="str">
        <f t="shared" si="200"/>
        <v>West</v>
      </c>
      <c r="J1646" t="s">
        <v>42</v>
      </c>
      <c r="K1646" t="s">
        <v>32</v>
      </c>
      <c r="L1646">
        <v>9</v>
      </c>
      <c r="M1646">
        <v>120</v>
      </c>
      <c r="N1646">
        <f t="shared" si="204"/>
        <v>1080</v>
      </c>
      <c r="O1646">
        <f t="shared" si="205"/>
        <v>108</v>
      </c>
      <c r="P1646" t="str">
        <f t="shared" si="206"/>
        <v>Large Order</v>
      </c>
      <c r="Q1646" t="str">
        <f t="shared" si="207"/>
        <v>Weekday</v>
      </c>
    </row>
    <row r="1647" spans="1:17" x14ac:dyDescent="0.35">
      <c r="A1647" t="s">
        <v>1797</v>
      </c>
      <c r="B1647" s="7">
        <v>45546</v>
      </c>
      <c r="C1647" s="13">
        <f t="shared" si="201"/>
        <v>2024</v>
      </c>
      <c r="D1647" s="7" t="str">
        <f t="shared" si="202"/>
        <v>Sep</v>
      </c>
      <c r="E1647" s="7" t="str">
        <f t="shared" si="203"/>
        <v>Wed</v>
      </c>
      <c r="F1647" t="s">
        <v>319</v>
      </c>
      <c r="G1647" t="s">
        <v>102</v>
      </c>
      <c r="H1647" t="s">
        <v>22</v>
      </c>
      <c r="I1647" s="2" t="str">
        <f t="shared" si="200"/>
        <v>South</v>
      </c>
      <c r="J1647" t="s">
        <v>27</v>
      </c>
      <c r="K1647" t="s">
        <v>32</v>
      </c>
      <c r="L1647">
        <v>7</v>
      </c>
      <c r="M1647">
        <v>120</v>
      </c>
      <c r="N1647">
        <f t="shared" si="204"/>
        <v>840</v>
      </c>
      <c r="O1647">
        <f t="shared" si="205"/>
        <v>84</v>
      </c>
      <c r="P1647" t="str">
        <f t="shared" si="206"/>
        <v>Large Order</v>
      </c>
      <c r="Q1647" t="str">
        <f t="shared" si="207"/>
        <v>Weekday</v>
      </c>
    </row>
    <row r="1648" spans="1:17" x14ac:dyDescent="0.35">
      <c r="A1648" t="s">
        <v>1798</v>
      </c>
      <c r="B1648" s="7">
        <v>45503</v>
      </c>
      <c r="C1648" s="13">
        <f t="shared" si="201"/>
        <v>2024</v>
      </c>
      <c r="D1648" s="7" t="str">
        <f t="shared" si="202"/>
        <v>Jul</v>
      </c>
      <c r="E1648" s="7" t="str">
        <f t="shared" si="203"/>
        <v>Tue</v>
      </c>
      <c r="F1648" t="s">
        <v>116</v>
      </c>
      <c r="G1648" t="s">
        <v>59</v>
      </c>
      <c r="H1648" t="s">
        <v>11</v>
      </c>
      <c r="I1648" s="2" t="str">
        <f t="shared" si="200"/>
        <v>East</v>
      </c>
      <c r="J1648" t="s">
        <v>56</v>
      </c>
      <c r="K1648" t="s">
        <v>13</v>
      </c>
      <c r="L1648">
        <v>9</v>
      </c>
      <c r="M1648">
        <v>120</v>
      </c>
      <c r="N1648">
        <f t="shared" si="204"/>
        <v>1080</v>
      </c>
      <c r="O1648">
        <f t="shared" si="205"/>
        <v>108</v>
      </c>
      <c r="P1648" t="str">
        <f t="shared" si="206"/>
        <v>Large Order</v>
      </c>
      <c r="Q1648" t="str">
        <f t="shared" si="207"/>
        <v>Weekday</v>
      </c>
    </row>
    <row r="1649" spans="1:17" x14ac:dyDescent="0.35">
      <c r="A1649" t="s">
        <v>1799</v>
      </c>
      <c r="B1649" s="7">
        <v>45591</v>
      </c>
      <c r="C1649" s="13">
        <f t="shared" si="201"/>
        <v>2024</v>
      </c>
      <c r="D1649" s="7" t="str">
        <f t="shared" si="202"/>
        <v>Oct</v>
      </c>
      <c r="E1649" s="7" t="str">
        <f t="shared" si="203"/>
        <v>Sat</v>
      </c>
      <c r="F1649" t="s">
        <v>361</v>
      </c>
      <c r="G1649" t="s">
        <v>84</v>
      </c>
      <c r="H1649" t="s">
        <v>17</v>
      </c>
      <c r="I1649" s="2" t="str">
        <f t="shared" si="200"/>
        <v>Central</v>
      </c>
      <c r="J1649" t="s">
        <v>42</v>
      </c>
      <c r="K1649" t="s">
        <v>28</v>
      </c>
      <c r="L1649">
        <v>7</v>
      </c>
      <c r="M1649">
        <v>120</v>
      </c>
      <c r="N1649">
        <f t="shared" si="204"/>
        <v>840</v>
      </c>
      <c r="O1649">
        <f t="shared" si="205"/>
        <v>84</v>
      </c>
      <c r="P1649" t="str">
        <f t="shared" si="206"/>
        <v>Large Order</v>
      </c>
      <c r="Q1649" t="str">
        <f t="shared" si="207"/>
        <v>Weekend</v>
      </c>
    </row>
    <row r="1650" spans="1:17" x14ac:dyDescent="0.35">
      <c r="A1650" t="s">
        <v>1800</v>
      </c>
      <c r="B1650" s="7">
        <v>45486</v>
      </c>
      <c r="C1650" s="13">
        <f t="shared" si="201"/>
        <v>2024</v>
      </c>
      <c r="D1650" s="7" t="str">
        <f t="shared" si="202"/>
        <v>Jul</v>
      </c>
      <c r="E1650" s="7" t="str">
        <f t="shared" si="203"/>
        <v>Sat</v>
      </c>
      <c r="F1650" t="s">
        <v>614</v>
      </c>
      <c r="G1650" t="s">
        <v>197</v>
      </c>
      <c r="H1650" t="s">
        <v>17</v>
      </c>
      <c r="I1650" s="2" t="str">
        <f t="shared" si="200"/>
        <v>West</v>
      </c>
      <c r="J1650" t="s">
        <v>306</v>
      </c>
      <c r="K1650" t="s">
        <v>32</v>
      </c>
      <c r="L1650">
        <v>9</v>
      </c>
      <c r="M1650">
        <v>120</v>
      </c>
      <c r="N1650">
        <f t="shared" si="204"/>
        <v>1080</v>
      </c>
      <c r="O1650">
        <f t="shared" si="205"/>
        <v>108</v>
      </c>
      <c r="P1650" t="str">
        <f t="shared" si="206"/>
        <v>Large Order</v>
      </c>
      <c r="Q1650" t="str">
        <f t="shared" si="207"/>
        <v>Weekend</v>
      </c>
    </row>
    <row r="1651" spans="1:17" x14ac:dyDescent="0.35">
      <c r="A1651" t="s">
        <v>1801</v>
      </c>
      <c r="B1651" s="7">
        <v>45542</v>
      </c>
      <c r="C1651" s="13">
        <f t="shared" si="201"/>
        <v>2024</v>
      </c>
      <c r="D1651" s="7" t="str">
        <f t="shared" si="202"/>
        <v>Sep</v>
      </c>
      <c r="E1651" s="7" t="str">
        <f t="shared" si="203"/>
        <v>Sat</v>
      </c>
      <c r="F1651" t="s">
        <v>329</v>
      </c>
      <c r="G1651" t="s">
        <v>21</v>
      </c>
      <c r="H1651" t="s">
        <v>22</v>
      </c>
      <c r="I1651" s="2" t="str">
        <f t="shared" si="200"/>
        <v>Central</v>
      </c>
      <c r="J1651" t="s">
        <v>27</v>
      </c>
      <c r="K1651" t="s">
        <v>23</v>
      </c>
      <c r="L1651">
        <v>6</v>
      </c>
      <c r="M1651">
        <v>120</v>
      </c>
      <c r="N1651">
        <f t="shared" si="204"/>
        <v>720</v>
      </c>
      <c r="O1651">
        <f t="shared" si="205"/>
        <v>72</v>
      </c>
      <c r="P1651" t="str">
        <f t="shared" si="206"/>
        <v>Large Order</v>
      </c>
      <c r="Q1651" t="str">
        <f t="shared" si="207"/>
        <v>Weekend</v>
      </c>
    </row>
    <row r="1652" spans="1:17" x14ac:dyDescent="0.35">
      <c r="A1652" t="s">
        <v>1802</v>
      </c>
      <c r="B1652" s="7">
        <v>45472</v>
      </c>
      <c r="C1652" s="13">
        <f t="shared" si="201"/>
        <v>2024</v>
      </c>
      <c r="D1652" s="7" t="str">
        <f t="shared" si="202"/>
        <v>Jun</v>
      </c>
      <c r="E1652" s="7" t="str">
        <f t="shared" si="203"/>
        <v>Sat</v>
      </c>
      <c r="F1652" t="s">
        <v>30</v>
      </c>
      <c r="G1652" t="s">
        <v>16</v>
      </c>
      <c r="H1652" t="s">
        <v>22</v>
      </c>
      <c r="I1652" s="2" t="str">
        <f t="shared" si="200"/>
        <v>North</v>
      </c>
      <c r="J1652" t="s">
        <v>306</v>
      </c>
      <c r="K1652" t="s">
        <v>23</v>
      </c>
      <c r="L1652">
        <v>6</v>
      </c>
      <c r="M1652">
        <v>120</v>
      </c>
      <c r="N1652">
        <f t="shared" si="204"/>
        <v>720</v>
      </c>
      <c r="O1652">
        <f t="shared" si="205"/>
        <v>72</v>
      </c>
      <c r="P1652" t="str">
        <f t="shared" si="206"/>
        <v>Large Order</v>
      </c>
      <c r="Q1652" t="str">
        <f t="shared" si="207"/>
        <v>Weekend</v>
      </c>
    </row>
    <row r="1653" spans="1:17" x14ac:dyDescent="0.35">
      <c r="A1653" t="s">
        <v>1803</v>
      </c>
      <c r="B1653" s="7">
        <v>45569</v>
      </c>
      <c r="C1653" s="13">
        <f t="shared" si="201"/>
        <v>2024</v>
      </c>
      <c r="D1653" s="7" t="str">
        <f t="shared" si="202"/>
        <v>Oct</v>
      </c>
      <c r="E1653" s="7" t="str">
        <f t="shared" si="203"/>
        <v>Fri</v>
      </c>
      <c r="F1653" t="s">
        <v>736</v>
      </c>
      <c r="G1653" t="s">
        <v>79</v>
      </c>
      <c r="H1653" t="s">
        <v>22</v>
      </c>
      <c r="I1653" s="2" t="str">
        <f t="shared" si="200"/>
        <v>North</v>
      </c>
      <c r="J1653" t="s">
        <v>12</v>
      </c>
      <c r="K1653" t="s">
        <v>13</v>
      </c>
      <c r="L1653">
        <v>2</v>
      </c>
      <c r="M1653">
        <v>120</v>
      </c>
      <c r="N1653">
        <f t="shared" si="204"/>
        <v>240</v>
      </c>
      <c r="O1653">
        <f t="shared" si="205"/>
        <v>24</v>
      </c>
      <c r="P1653" t="str">
        <f t="shared" si="206"/>
        <v>Standard Order</v>
      </c>
      <c r="Q1653" t="str">
        <f t="shared" si="207"/>
        <v>Weekday</v>
      </c>
    </row>
    <row r="1654" spans="1:17" x14ac:dyDescent="0.35">
      <c r="A1654" t="s">
        <v>1804</v>
      </c>
      <c r="B1654" s="7">
        <v>45503</v>
      </c>
      <c r="C1654" s="13">
        <f t="shared" si="201"/>
        <v>2024</v>
      </c>
      <c r="D1654" s="7" t="str">
        <f t="shared" si="202"/>
        <v>Jul</v>
      </c>
      <c r="E1654" s="7" t="str">
        <f t="shared" si="203"/>
        <v>Tue</v>
      </c>
      <c r="F1654" t="s">
        <v>99</v>
      </c>
      <c r="G1654" t="s">
        <v>21</v>
      </c>
      <c r="H1654" t="s">
        <v>11</v>
      </c>
      <c r="I1654" s="2" t="str">
        <f t="shared" si="200"/>
        <v>Central</v>
      </c>
      <c r="J1654" t="s">
        <v>12</v>
      </c>
      <c r="K1654" t="s">
        <v>28</v>
      </c>
      <c r="L1654">
        <v>1</v>
      </c>
      <c r="M1654">
        <v>120</v>
      </c>
      <c r="N1654">
        <f t="shared" si="204"/>
        <v>120</v>
      </c>
      <c r="O1654">
        <f t="shared" si="205"/>
        <v>12</v>
      </c>
      <c r="P1654" t="str">
        <f t="shared" si="206"/>
        <v>Standard Order</v>
      </c>
      <c r="Q1654" t="str">
        <f t="shared" si="207"/>
        <v>Weekday</v>
      </c>
    </row>
    <row r="1655" spans="1:17" x14ac:dyDescent="0.35">
      <c r="A1655" t="s">
        <v>1805</v>
      </c>
      <c r="B1655" s="7">
        <v>45525</v>
      </c>
      <c r="C1655" s="13">
        <f t="shared" si="201"/>
        <v>2024</v>
      </c>
      <c r="D1655" s="7" t="str">
        <f t="shared" si="202"/>
        <v>Aug</v>
      </c>
      <c r="E1655" s="7" t="str">
        <f t="shared" si="203"/>
        <v>Wed</v>
      </c>
      <c r="F1655" t="s">
        <v>200</v>
      </c>
      <c r="G1655" t="s">
        <v>79</v>
      </c>
      <c r="H1655" t="s">
        <v>22</v>
      </c>
      <c r="I1655" s="2" t="str">
        <f t="shared" si="200"/>
        <v>North</v>
      </c>
      <c r="J1655" t="s">
        <v>306</v>
      </c>
      <c r="K1655" t="s">
        <v>23</v>
      </c>
      <c r="L1655">
        <v>16</v>
      </c>
      <c r="M1655">
        <v>120</v>
      </c>
      <c r="N1655">
        <f t="shared" si="204"/>
        <v>1920</v>
      </c>
      <c r="O1655">
        <f t="shared" si="205"/>
        <v>192</v>
      </c>
      <c r="P1655" t="str">
        <f t="shared" si="206"/>
        <v>Large Order</v>
      </c>
      <c r="Q1655" t="str">
        <f t="shared" si="207"/>
        <v>Weekday</v>
      </c>
    </row>
    <row r="1656" spans="1:17" x14ac:dyDescent="0.35">
      <c r="A1656" t="s">
        <v>1806</v>
      </c>
      <c r="B1656" s="7">
        <v>45564</v>
      </c>
      <c r="C1656" s="13">
        <f t="shared" si="201"/>
        <v>2024</v>
      </c>
      <c r="D1656" s="7" t="str">
        <f t="shared" si="202"/>
        <v>Sep</v>
      </c>
      <c r="E1656" s="7" t="str">
        <f t="shared" si="203"/>
        <v>Sun</v>
      </c>
      <c r="F1656" t="s">
        <v>378</v>
      </c>
      <c r="G1656" t="s">
        <v>87</v>
      </c>
      <c r="H1656" t="s">
        <v>11</v>
      </c>
      <c r="I1656" s="2" t="str">
        <f t="shared" si="200"/>
        <v>West</v>
      </c>
      <c r="J1656" t="s">
        <v>12</v>
      </c>
      <c r="K1656" t="s">
        <v>36</v>
      </c>
      <c r="L1656">
        <v>9</v>
      </c>
      <c r="M1656">
        <v>120</v>
      </c>
      <c r="N1656">
        <f t="shared" si="204"/>
        <v>1080</v>
      </c>
      <c r="O1656">
        <f t="shared" si="205"/>
        <v>108</v>
      </c>
      <c r="P1656" t="str">
        <f t="shared" si="206"/>
        <v>Large Order</v>
      </c>
      <c r="Q1656" t="str">
        <f t="shared" si="207"/>
        <v>Weekend</v>
      </c>
    </row>
    <row r="1657" spans="1:17" x14ac:dyDescent="0.35">
      <c r="A1657" t="s">
        <v>1807</v>
      </c>
      <c r="B1657" s="7">
        <v>45438</v>
      </c>
      <c r="C1657" s="13">
        <f t="shared" si="201"/>
        <v>2024</v>
      </c>
      <c r="D1657" s="7" t="str">
        <f t="shared" si="202"/>
        <v>May</v>
      </c>
      <c r="E1657" s="7" t="str">
        <f t="shared" si="203"/>
        <v>Sun</v>
      </c>
      <c r="F1657" t="s">
        <v>138</v>
      </c>
      <c r="G1657" t="s">
        <v>160</v>
      </c>
      <c r="H1657" t="s">
        <v>22</v>
      </c>
      <c r="I1657" s="2" t="str">
        <f t="shared" si="200"/>
        <v>Central</v>
      </c>
      <c r="J1657" t="s">
        <v>27</v>
      </c>
      <c r="K1657" t="s">
        <v>28</v>
      </c>
      <c r="L1657">
        <v>4</v>
      </c>
      <c r="M1657">
        <v>120</v>
      </c>
      <c r="N1657">
        <f t="shared" si="204"/>
        <v>480</v>
      </c>
      <c r="O1657">
        <f t="shared" si="205"/>
        <v>48</v>
      </c>
      <c r="P1657" t="str">
        <f t="shared" si="206"/>
        <v>Standard Order</v>
      </c>
      <c r="Q1657" t="str">
        <f t="shared" si="207"/>
        <v>Weekend</v>
      </c>
    </row>
    <row r="1658" spans="1:17" x14ac:dyDescent="0.35">
      <c r="A1658" t="s">
        <v>1808</v>
      </c>
      <c r="B1658" s="7">
        <v>45560</v>
      </c>
      <c r="C1658" s="13">
        <f t="shared" si="201"/>
        <v>2024</v>
      </c>
      <c r="D1658" s="7" t="str">
        <f t="shared" si="202"/>
        <v>Sep</v>
      </c>
      <c r="E1658" s="7" t="str">
        <f t="shared" si="203"/>
        <v>Wed</v>
      </c>
      <c r="F1658" t="s">
        <v>125</v>
      </c>
      <c r="G1658" t="s">
        <v>197</v>
      </c>
      <c r="H1658" t="s">
        <v>11</v>
      </c>
      <c r="I1658" s="2" t="str">
        <f t="shared" si="200"/>
        <v>West</v>
      </c>
      <c r="J1658" t="s">
        <v>306</v>
      </c>
      <c r="K1658" t="s">
        <v>36</v>
      </c>
      <c r="L1658">
        <v>9</v>
      </c>
      <c r="M1658">
        <v>120</v>
      </c>
      <c r="N1658">
        <f t="shared" si="204"/>
        <v>1080</v>
      </c>
      <c r="O1658">
        <f t="shared" si="205"/>
        <v>108</v>
      </c>
      <c r="P1658" t="str">
        <f t="shared" si="206"/>
        <v>Large Order</v>
      </c>
      <c r="Q1658" t="str">
        <f t="shared" si="207"/>
        <v>Weekday</v>
      </c>
    </row>
    <row r="1659" spans="1:17" x14ac:dyDescent="0.35">
      <c r="A1659" t="s">
        <v>1809</v>
      </c>
      <c r="B1659" s="7">
        <v>45428</v>
      </c>
      <c r="C1659" s="13">
        <f t="shared" si="201"/>
        <v>2024</v>
      </c>
      <c r="D1659" s="7" t="str">
        <f t="shared" si="202"/>
        <v>May</v>
      </c>
      <c r="E1659" s="7" t="str">
        <f t="shared" si="203"/>
        <v>Thu</v>
      </c>
      <c r="F1659" t="s">
        <v>106</v>
      </c>
      <c r="G1659" t="s">
        <v>10</v>
      </c>
      <c r="H1659" t="s">
        <v>17</v>
      </c>
      <c r="I1659" s="2" t="str">
        <f t="shared" si="200"/>
        <v>North</v>
      </c>
      <c r="J1659" t="s">
        <v>27</v>
      </c>
      <c r="K1659" t="s">
        <v>23</v>
      </c>
      <c r="L1659">
        <v>19</v>
      </c>
      <c r="M1659">
        <v>120</v>
      </c>
      <c r="N1659">
        <f t="shared" si="204"/>
        <v>2280</v>
      </c>
      <c r="O1659">
        <f t="shared" si="205"/>
        <v>228</v>
      </c>
      <c r="P1659" t="str">
        <f t="shared" si="206"/>
        <v>Large Order</v>
      </c>
      <c r="Q1659" t="str">
        <f t="shared" si="207"/>
        <v>Weekday</v>
      </c>
    </row>
    <row r="1660" spans="1:17" x14ac:dyDescent="0.35">
      <c r="A1660" t="s">
        <v>1810</v>
      </c>
      <c r="B1660" s="7">
        <v>45648</v>
      </c>
      <c r="C1660" s="13">
        <f t="shared" si="201"/>
        <v>2024</v>
      </c>
      <c r="D1660" s="7" t="str">
        <f t="shared" si="202"/>
        <v>Dec</v>
      </c>
      <c r="E1660" s="7" t="str">
        <f t="shared" si="203"/>
        <v>Sun</v>
      </c>
      <c r="F1660" t="s">
        <v>240</v>
      </c>
      <c r="G1660" t="s">
        <v>74</v>
      </c>
      <c r="H1660" t="s">
        <v>22</v>
      </c>
      <c r="I1660" s="2" t="str">
        <f t="shared" si="200"/>
        <v>North</v>
      </c>
      <c r="J1660" t="s">
        <v>12</v>
      </c>
      <c r="K1660" t="s">
        <v>13</v>
      </c>
      <c r="L1660">
        <v>3</v>
      </c>
      <c r="M1660">
        <v>120</v>
      </c>
      <c r="N1660">
        <f t="shared" si="204"/>
        <v>360</v>
      </c>
      <c r="O1660">
        <f t="shared" si="205"/>
        <v>36</v>
      </c>
      <c r="P1660" t="str">
        <f t="shared" si="206"/>
        <v>Standard Order</v>
      </c>
      <c r="Q1660" t="str">
        <f t="shared" si="207"/>
        <v>Weekend</v>
      </c>
    </row>
    <row r="1661" spans="1:17" x14ac:dyDescent="0.35">
      <c r="A1661" t="s">
        <v>1811</v>
      </c>
      <c r="B1661" s="7">
        <v>45485</v>
      </c>
      <c r="C1661" s="13">
        <f t="shared" si="201"/>
        <v>2024</v>
      </c>
      <c r="D1661" s="7" t="str">
        <f t="shared" si="202"/>
        <v>Jul</v>
      </c>
      <c r="E1661" s="7" t="str">
        <f t="shared" si="203"/>
        <v>Fri</v>
      </c>
      <c r="F1661" t="s">
        <v>378</v>
      </c>
      <c r="G1661" t="s">
        <v>35</v>
      </c>
      <c r="H1661" t="s">
        <v>11</v>
      </c>
      <c r="I1661" s="2" t="str">
        <f t="shared" si="200"/>
        <v>North</v>
      </c>
      <c r="J1661" t="s">
        <v>12</v>
      </c>
      <c r="K1661" t="s">
        <v>28</v>
      </c>
      <c r="L1661">
        <v>3</v>
      </c>
      <c r="M1661">
        <v>120</v>
      </c>
      <c r="N1661">
        <f t="shared" si="204"/>
        <v>360</v>
      </c>
      <c r="O1661">
        <f t="shared" si="205"/>
        <v>36</v>
      </c>
      <c r="P1661" t="str">
        <f t="shared" si="206"/>
        <v>Standard Order</v>
      </c>
      <c r="Q1661" t="str">
        <f t="shared" si="207"/>
        <v>Weekday</v>
      </c>
    </row>
    <row r="1662" spans="1:17" x14ac:dyDescent="0.35">
      <c r="A1662" t="s">
        <v>1812</v>
      </c>
      <c r="B1662" s="7">
        <v>45514</v>
      </c>
      <c r="C1662" s="13">
        <f t="shared" si="201"/>
        <v>2024</v>
      </c>
      <c r="D1662" s="7" t="str">
        <f t="shared" si="202"/>
        <v>Aug</v>
      </c>
      <c r="E1662" s="7" t="str">
        <f t="shared" si="203"/>
        <v>Sat</v>
      </c>
      <c r="F1662" t="s">
        <v>736</v>
      </c>
      <c r="G1662" t="s">
        <v>72</v>
      </c>
      <c r="H1662" t="s">
        <v>22</v>
      </c>
      <c r="I1662" s="2" t="str">
        <f t="shared" si="200"/>
        <v>North</v>
      </c>
      <c r="J1662" t="s">
        <v>12</v>
      </c>
      <c r="K1662" t="s">
        <v>36</v>
      </c>
      <c r="L1662">
        <v>2</v>
      </c>
      <c r="M1662">
        <v>120</v>
      </c>
      <c r="N1662">
        <f t="shared" si="204"/>
        <v>240</v>
      </c>
      <c r="O1662">
        <f t="shared" si="205"/>
        <v>24</v>
      </c>
      <c r="P1662" t="str">
        <f t="shared" si="206"/>
        <v>Standard Order</v>
      </c>
      <c r="Q1662" t="str">
        <f t="shared" si="207"/>
        <v>Weekend</v>
      </c>
    </row>
    <row r="1663" spans="1:17" x14ac:dyDescent="0.35">
      <c r="A1663" t="s">
        <v>1813</v>
      </c>
      <c r="B1663" s="7">
        <v>45646</v>
      </c>
      <c r="C1663" s="13">
        <f t="shared" si="201"/>
        <v>2024</v>
      </c>
      <c r="D1663" s="7" t="str">
        <f t="shared" si="202"/>
        <v>Dec</v>
      </c>
      <c r="E1663" s="7" t="str">
        <f t="shared" si="203"/>
        <v>Fri</v>
      </c>
      <c r="F1663" t="s">
        <v>614</v>
      </c>
      <c r="G1663" t="s">
        <v>35</v>
      </c>
      <c r="H1663" t="s">
        <v>17</v>
      </c>
      <c r="I1663" s="2" t="str">
        <f t="shared" si="200"/>
        <v>East</v>
      </c>
      <c r="J1663" t="s">
        <v>12</v>
      </c>
      <c r="K1663" t="s">
        <v>13</v>
      </c>
      <c r="L1663">
        <v>9</v>
      </c>
      <c r="M1663">
        <v>120</v>
      </c>
      <c r="N1663">
        <f t="shared" si="204"/>
        <v>1080</v>
      </c>
      <c r="O1663">
        <f t="shared" si="205"/>
        <v>108</v>
      </c>
      <c r="P1663" t="str">
        <f t="shared" si="206"/>
        <v>Large Order</v>
      </c>
      <c r="Q1663" t="str">
        <f t="shared" si="207"/>
        <v>Weekday</v>
      </c>
    </row>
    <row r="1664" spans="1:17" x14ac:dyDescent="0.35">
      <c r="A1664" t="s">
        <v>1814</v>
      </c>
      <c r="B1664" s="7">
        <v>45580</v>
      </c>
      <c r="C1664" s="13">
        <f t="shared" si="201"/>
        <v>2024</v>
      </c>
      <c r="D1664" s="7" t="str">
        <f t="shared" si="202"/>
        <v>Oct</v>
      </c>
      <c r="E1664" s="7" t="str">
        <f t="shared" si="203"/>
        <v>Tue</v>
      </c>
      <c r="F1664" t="s">
        <v>371</v>
      </c>
      <c r="G1664" t="s">
        <v>79</v>
      </c>
      <c r="H1664" t="s">
        <v>11</v>
      </c>
      <c r="I1664" s="2" t="str">
        <f t="shared" si="200"/>
        <v>South</v>
      </c>
      <c r="J1664" t="s">
        <v>42</v>
      </c>
      <c r="K1664" t="s">
        <v>13</v>
      </c>
      <c r="L1664">
        <v>7</v>
      </c>
      <c r="M1664">
        <v>120</v>
      </c>
      <c r="N1664">
        <f t="shared" si="204"/>
        <v>840</v>
      </c>
      <c r="O1664">
        <f t="shared" si="205"/>
        <v>84</v>
      </c>
      <c r="P1664" t="str">
        <f t="shared" si="206"/>
        <v>Large Order</v>
      </c>
      <c r="Q1664" t="str">
        <f t="shared" si="207"/>
        <v>Weekday</v>
      </c>
    </row>
    <row r="1665" spans="1:17" x14ac:dyDescent="0.35">
      <c r="A1665" t="s">
        <v>1815</v>
      </c>
      <c r="B1665" s="7">
        <v>45656</v>
      </c>
      <c r="C1665" s="13">
        <f t="shared" si="201"/>
        <v>2024</v>
      </c>
      <c r="D1665" s="7" t="str">
        <f t="shared" si="202"/>
        <v>Dec</v>
      </c>
      <c r="E1665" s="7" t="str">
        <f t="shared" si="203"/>
        <v>Mon</v>
      </c>
      <c r="F1665" t="s">
        <v>106</v>
      </c>
      <c r="G1665" t="s">
        <v>10</v>
      </c>
      <c r="H1665" t="s">
        <v>17</v>
      </c>
      <c r="I1665" s="2" t="str">
        <f t="shared" si="200"/>
        <v>West</v>
      </c>
      <c r="J1665" t="s">
        <v>56</v>
      </c>
      <c r="K1665" t="s">
        <v>36</v>
      </c>
      <c r="L1665">
        <v>8</v>
      </c>
      <c r="M1665">
        <v>120</v>
      </c>
      <c r="N1665">
        <f t="shared" si="204"/>
        <v>960</v>
      </c>
      <c r="O1665">
        <f t="shared" si="205"/>
        <v>96</v>
      </c>
      <c r="P1665" t="str">
        <f t="shared" si="206"/>
        <v>Large Order</v>
      </c>
      <c r="Q1665" t="str">
        <f t="shared" si="207"/>
        <v>Weekday</v>
      </c>
    </row>
    <row r="1666" spans="1:17" x14ac:dyDescent="0.35">
      <c r="A1666" t="s">
        <v>1816</v>
      </c>
      <c r="B1666" s="7">
        <v>45491</v>
      </c>
      <c r="C1666" s="13">
        <f t="shared" si="201"/>
        <v>2024</v>
      </c>
      <c r="D1666" s="7" t="str">
        <f t="shared" si="202"/>
        <v>Jul</v>
      </c>
      <c r="E1666" s="7" t="str">
        <f t="shared" si="203"/>
        <v>Thu</v>
      </c>
      <c r="F1666" t="s">
        <v>422</v>
      </c>
      <c r="G1666" t="s">
        <v>174</v>
      </c>
      <c r="H1666" t="s">
        <v>17</v>
      </c>
      <c r="I1666" s="2" t="str">
        <f t="shared" si="200"/>
        <v>South</v>
      </c>
      <c r="J1666" t="s">
        <v>27</v>
      </c>
      <c r="K1666" t="s">
        <v>28</v>
      </c>
      <c r="L1666">
        <v>3</v>
      </c>
      <c r="M1666">
        <v>120</v>
      </c>
      <c r="N1666">
        <f t="shared" si="204"/>
        <v>360</v>
      </c>
      <c r="O1666">
        <f t="shared" si="205"/>
        <v>36</v>
      </c>
      <c r="P1666" t="str">
        <f t="shared" si="206"/>
        <v>Standard Order</v>
      </c>
      <c r="Q1666" t="str">
        <f t="shared" si="207"/>
        <v>Weekday</v>
      </c>
    </row>
    <row r="1667" spans="1:17" x14ac:dyDescent="0.35">
      <c r="A1667" t="s">
        <v>1817</v>
      </c>
      <c r="B1667" s="7">
        <v>45469</v>
      </c>
      <c r="C1667" s="13">
        <f t="shared" si="201"/>
        <v>2024</v>
      </c>
      <c r="D1667" s="7" t="str">
        <f t="shared" si="202"/>
        <v>Jun</v>
      </c>
      <c r="E1667" s="7" t="str">
        <f t="shared" si="203"/>
        <v>Wed</v>
      </c>
      <c r="F1667" t="s">
        <v>9</v>
      </c>
      <c r="G1667" t="s">
        <v>102</v>
      </c>
      <c r="H1667" t="s">
        <v>17</v>
      </c>
      <c r="I1667" s="2" t="str">
        <f t="shared" ref="I1667:I1730" si="208">TRIM(J1668)</f>
        <v>North</v>
      </c>
      <c r="J1667" t="s">
        <v>56</v>
      </c>
      <c r="K1667" t="s">
        <v>13</v>
      </c>
      <c r="L1667">
        <v>11</v>
      </c>
      <c r="M1667">
        <v>120</v>
      </c>
      <c r="N1667">
        <f t="shared" si="204"/>
        <v>1320</v>
      </c>
      <c r="O1667">
        <f t="shared" si="205"/>
        <v>132</v>
      </c>
      <c r="P1667" t="str">
        <f t="shared" si="206"/>
        <v>Large Order</v>
      </c>
      <c r="Q1667" t="str">
        <f t="shared" si="207"/>
        <v>Weekday</v>
      </c>
    </row>
    <row r="1668" spans="1:17" x14ac:dyDescent="0.35">
      <c r="A1668" t="s">
        <v>1818</v>
      </c>
      <c r="B1668" s="7">
        <v>45606</v>
      </c>
      <c r="C1668" s="13">
        <f t="shared" ref="C1668:C1731" si="209">YEAR(B1668)</f>
        <v>2024</v>
      </c>
      <c r="D1668" s="7" t="str">
        <f t="shared" ref="D1668:D1731" si="210">TEXT(B1668,"mmm")</f>
        <v>Nov</v>
      </c>
      <c r="E1668" s="7" t="str">
        <f t="shared" ref="E1668:E1731" si="211">TEXT(B1668,"ddd")</f>
        <v>Sun</v>
      </c>
      <c r="F1668" t="s">
        <v>327</v>
      </c>
      <c r="G1668" t="s">
        <v>31</v>
      </c>
      <c r="H1668" t="s">
        <v>17</v>
      </c>
      <c r="I1668" s="2" t="str">
        <f t="shared" si="208"/>
        <v>South</v>
      </c>
      <c r="J1668" t="s">
        <v>12</v>
      </c>
      <c r="K1668" t="s">
        <v>32</v>
      </c>
      <c r="L1668">
        <v>15</v>
      </c>
      <c r="M1668">
        <v>120</v>
      </c>
      <c r="N1668">
        <f t="shared" ref="N1668:N1731" si="212">M1668*L1668</f>
        <v>1800</v>
      </c>
      <c r="O1668">
        <f t="shared" ref="O1668:O1731" si="213">N1668*0.1</f>
        <v>180</v>
      </c>
      <c r="P1668" t="str">
        <f t="shared" ref="P1668:P1731" si="214">IF(N1668&gt;500,"Large Order","Standard Order")</f>
        <v>Large Order</v>
      </c>
      <c r="Q1668" t="str">
        <f t="shared" ref="Q1668:Q1731" si="215">IF(OR(TRIM(E1668)="Sat",TRIM(E1668)="Sun"),"Weekend","Weekday")</f>
        <v>Weekend</v>
      </c>
    </row>
    <row r="1669" spans="1:17" x14ac:dyDescent="0.35">
      <c r="A1669" t="s">
        <v>1819</v>
      </c>
      <c r="B1669" s="7">
        <v>45474</v>
      </c>
      <c r="C1669" s="13">
        <f t="shared" si="209"/>
        <v>2024</v>
      </c>
      <c r="D1669" s="7" t="str">
        <f t="shared" si="210"/>
        <v>Jul</v>
      </c>
      <c r="E1669" s="7" t="str">
        <f t="shared" si="211"/>
        <v>Mon</v>
      </c>
      <c r="F1669" t="s">
        <v>378</v>
      </c>
      <c r="G1669" t="s">
        <v>31</v>
      </c>
      <c r="H1669" t="s">
        <v>17</v>
      </c>
      <c r="I1669" s="2" t="str">
        <f t="shared" si="208"/>
        <v>North</v>
      </c>
      <c r="J1669" t="s">
        <v>56</v>
      </c>
      <c r="K1669" t="s">
        <v>36</v>
      </c>
      <c r="L1669">
        <v>13</v>
      </c>
      <c r="M1669">
        <v>120</v>
      </c>
      <c r="N1669">
        <f t="shared" si="212"/>
        <v>1560</v>
      </c>
      <c r="O1669">
        <f t="shared" si="213"/>
        <v>156</v>
      </c>
      <c r="P1669" t="str">
        <f t="shared" si="214"/>
        <v>Large Order</v>
      </c>
      <c r="Q1669" t="str">
        <f t="shared" si="215"/>
        <v>Weekday</v>
      </c>
    </row>
    <row r="1670" spans="1:17" x14ac:dyDescent="0.35">
      <c r="A1670" t="s">
        <v>1820</v>
      </c>
      <c r="B1670" s="7">
        <v>45608</v>
      </c>
      <c r="C1670" s="13">
        <f t="shared" si="209"/>
        <v>2024</v>
      </c>
      <c r="D1670" s="7" t="str">
        <f t="shared" si="210"/>
        <v>Nov</v>
      </c>
      <c r="E1670" s="7" t="str">
        <f t="shared" si="211"/>
        <v>Tue</v>
      </c>
      <c r="F1670" t="s">
        <v>61</v>
      </c>
      <c r="G1670" t="s">
        <v>197</v>
      </c>
      <c r="H1670" t="s">
        <v>22</v>
      </c>
      <c r="I1670" s="2" t="str">
        <f t="shared" si="208"/>
        <v>West</v>
      </c>
      <c r="J1670" t="s">
        <v>12</v>
      </c>
      <c r="K1670" t="s">
        <v>13</v>
      </c>
      <c r="L1670">
        <v>9</v>
      </c>
      <c r="M1670">
        <v>120</v>
      </c>
      <c r="N1670">
        <f t="shared" si="212"/>
        <v>1080</v>
      </c>
      <c r="O1670">
        <f t="shared" si="213"/>
        <v>108</v>
      </c>
      <c r="P1670" t="str">
        <f t="shared" si="214"/>
        <v>Large Order</v>
      </c>
      <c r="Q1670" t="str">
        <f t="shared" si="215"/>
        <v>Weekday</v>
      </c>
    </row>
    <row r="1671" spans="1:17" x14ac:dyDescent="0.35">
      <c r="A1671" t="s">
        <v>1821</v>
      </c>
      <c r="B1671" s="7">
        <v>45656</v>
      </c>
      <c r="C1671" s="13">
        <f t="shared" si="209"/>
        <v>2024</v>
      </c>
      <c r="D1671" s="7" t="str">
        <f t="shared" si="210"/>
        <v>Dec</v>
      </c>
      <c r="E1671" s="7" t="str">
        <f t="shared" si="211"/>
        <v>Mon</v>
      </c>
      <c r="F1671" t="s">
        <v>728</v>
      </c>
      <c r="G1671" t="s">
        <v>21</v>
      </c>
      <c r="H1671" t="s">
        <v>11</v>
      </c>
      <c r="I1671" s="2" t="str">
        <f t="shared" si="208"/>
        <v>East</v>
      </c>
      <c r="J1671" t="s">
        <v>27</v>
      </c>
      <c r="K1671" t="s">
        <v>32</v>
      </c>
      <c r="L1671">
        <v>12</v>
      </c>
      <c r="M1671">
        <v>120</v>
      </c>
      <c r="N1671">
        <f t="shared" si="212"/>
        <v>1440</v>
      </c>
      <c r="O1671">
        <f t="shared" si="213"/>
        <v>144</v>
      </c>
      <c r="P1671" t="str">
        <f t="shared" si="214"/>
        <v>Large Order</v>
      </c>
      <c r="Q1671" t="str">
        <f t="shared" si="215"/>
        <v>Weekday</v>
      </c>
    </row>
    <row r="1672" spans="1:17" x14ac:dyDescent="0.35">
      <c r="A1672" t="s">
        <v>1822</v>
      </c>
      <c r="B1672" s="7">
        <v>45294</v>
      </c>
      <c r="C1672" s="13">
        <f t="shared" si="209"/>
        <v>2024</v>
      </c>
      <c r="D1672" s="7" t="str">
        <f t="shared" si="210"/>
        <v>Jan</v>
      </c>
      <c r="E1672" s="7" t="str">
        <f t="shared" si="211"/>
        <v>Wed</v>
      </c>
      <c r="F1672" t="s">
        <v>147</v>
      </c>
      <c r="G1672" t="s">
        <v>70</v>
      </c>
      <c r="H1672" t="s">
        <v>17</v>
      </c>
      <c r="I1672" s="2" t="str">
        <f t="shared" si="208"/>
        <v>Central</v>
      </c>
      <c r="J1672" t="s">
        <v>42</v>
      </c>
      <c r="K1672" t="s">
        <v>13</v>
      </c>
      <c r="L1672">
        <v>5</v>
      </c>
      <c r="M1672">
        <v>120</v>
      </c>
      <c r="N1672">
        <f t="shared" si="212"/>
        <v>600</v>
      </c>
      <c r="O1672">
        <f t="shared" si="213"/>
        <v>60</v>
      </c>
      <c r="P1672" t="str">
        <f t="shared" si="214"/>
        <v>Large Order</v>
      </c>
      <c r="Q1672" t="str">
        <f t="shared" si="215"/>
        <v>Weekday</v>
      </c>
    </row>
    <row r="1673" spans="1:17" x14ac:dyDescent="0.35">
      <c r="A1673" t="s">
        <v>1823</v>
      </c>
      <c r="B1673" s="7">
        <v>45512</v>
      </c>
      <c r="C1673" s="13">
        <f t="shared" si="209"/>
        <v>2024</v>
      </c>
      <c r="D1673" s="7" t="str">
        <f t="shared" si="210"/>
        <v>Aug</v>
      </c>
      <c r="E1673" s="7" t="str">
        <f t="shared" si="211"/>
        <v>Thu</v>
      </c>
      <c r="F1673" t="s">
        <v>430</v>
      </c>
      <c r="G1673" t="s">
        <v>174</v>
      </c>
      <c r="H1673" t="s">
        <v>22</v>
      </c>
      <c r="I1673" s="2" t="str">
        <f t="shared" si="208"/>
        <v>Central</v>
      </c>
      <c r="J1673" t="s">
        <v>306</v>
      </c>
      <c r="K1673" t="s">
        <v>23</v>
      </c>
      <c r="L1673">
        <v>4</v>
      </c>
      <c r="M1673">
        <v>120</v>
      </c>
      <c r="N1673">
        <f t="shared" si="212"/>
        <v>480</v>
      </c>
      <c r="O1673">
        <f t="shared" si="213"/>
        <v>48</v>
      </c>
      <c r="P1673" t="str">
        <f t="shared" si="214"/>
        <v>Standard Order</v>
      </c>
      <c r="Q1673" t="str">
        <f t="shared" si="215"/>
        <v>Weekday</v>
      </c>
    </row>
    <row r="1674" spans="1:17" x14ac:dyDescent="0.35">
      <c r="A1674" t="s">
        <v>1824</v>
      </c>
      <c r="B1674" s="7">
        <v>45473</v>
      </c>
      <c r="C1674" s="13">
        <f t="shared" si="209"/>
        <v>2024</v>
      </c>
      <c r="D1674" s="7" t="str">
        <f t="shared" si="210"/>
        <v>Jun</v>
      </c>
      <c r="E1674" s="7" t="str">
        <f t="shared" si="211"/>
        <v>Sun</v>
      </c>
      <c r="F1674" t="s">
        <v>378</v>
      </c>
      <c r="G1674" t="s">
        <v>10</v>
      </c>
      <c r="H1674" t="s">
        <v>22</v>
      </c>
      <c r="I1674" s="2" t="str">
        <f t="shared" si="208"/>
        <v>Central</v>
      </c>
      <c r="J1674" t="s">
        <v>306</v>
      </c>
      <c r="K1674" t="s">
        <v>32</v>
      </c>
      <c r="L1674">
        <v>13</v>
      </c>
      <c r="M1674">
        <v>120</v>
      </c>
      <c r="N1674">
        <f t="shared" si="212"/>
        <v>1560</v>
      </c>
      <c r="O1674">
        <f t="shared" si="213"/>
        <v>156</v>
      </c>
      <c r="P1674" t="str">
        <f t="shared" si="214"/>
        <v>Large Order</v>
      </c>
      <c r="Q1674" t="str">
        <f t="shared" si="215"/>
        <v>Weekend</v>
      </c>
    </row>
    <row r="1675" spans="1:17" x14ac:dyDescent="0.35">
      <c r="A1675" t="s">
        <v>1825</v>
      </c>
      <c r="B1675" s="7">
        <v>45503</v>
      </c>
      <c r="C1675" s="13">
        <f t="shared" si="209"/>
        <v>2024</v>
      </c>
      <c r="D1675" s="7" t="str">
        <f t="shared" si="210"/>
        <v>Jul</v>
      </c>
      <c r="E1675" s="7" t="str">
        <f t="shared" si="211"/>
        <v>Tue</v>
      </c>
      <c r="F1675" t="s">
        <v>53</v>
      </c>
      <c r="G1675" t="s">
        <v>119</v>
      </c>
      <c r="H1675" t="s">
        <v>11</v>
      </c>
      <c r="I1675" s="2" t="str">
        <f t="shared" si="208"/>
        <v>East</v>
      </c>
      <c r="J1675" t="s">
        <v>306</v>
      </c>
      <c r="K1675" t="s">
        <v>28</v>
      </c>
      <c r="L1675">
        <v>19</v>
      </c>
      <c r="M1675">
        <v>120</v>
      </c>
      <c r="N1675">
        <f t="shared" si="212"/>
        <v>2280</v>
      </c>
      <c r="O1675">
        <f t="shared" si="213"/>
        <v>228</v>
      </c>
      <c r="P1675" t="str">
        <f t="shared" si="214"/>
        <v>Large Order</v>
      </c>
      <c r="Q1675" t="str">
        <f t="shared" si="215"/>
        <v>Weekday</v>
      </c>
    </row>
    <row r="1676" spans="1:17" x14ac:dyDescent="0.35">
      <c r="A1676" t="s">
        <v>1826</v>
      </c>
      <c r="B1676" s="7">
        <v>45642</v>
      </c>
      <c r="C1676" s="13">
        <f t="shared" si="209"/>
        <v>2024</v>
      </c>
      <c r="D1676" s="7" t="str">
        <f t="shared" si="210"/>
        <v>Dec</v>
      </c>
      <c r="E1676" s="7" t="str">
        <f t="shared" si="211"/>
        <v>Mon</v>
      </c>
      <c r="F1676" t="s">
        <v>159</v>
      </c>
      <c r="G1676" t="s">
        <v>45</v>
      </c>
      <c r="H1676" t="s">
        <v>11</v>
      </c>
      <c r="I1676" s="2" t="str">
        <f t="shared" si="208"/>
        <v>West</v>
      </c>
      <c r="J1676" t="s">
        <v>42</v>
      </c>
      <c r="K1676" t="s">
        <v>32</v>
      </c>
      <c r="L1676">
        <v>9</v>
      </c>
      <c r="M1676">
        <v>120</v>
      </c>
      <c r="N1676">
        <f t="shared" si="212"/>
        <v>1080</v>
      </c>
      <c r="O1676">
        <f t="shared" si="213"/>
        <v>108</v>
      </c>
      <c r="P1676" t="str">
        <f t="shared" si="214"/>
        <v>Large Order</v>
      </c>
      <c r="Q1676" t="str">
        <f t="shared" si="215"/>
        <v>Weekday</v>
      </c>
    </row>
    <row r="1677" spans="1:17" x14ac:dyDescent="0.35">
      <c r="A1677" t="s">
        <v>1827</v>
      </c>
      <c r="B1677" s="7">
        <v>45324</v>
      </c>
      <c r="C1677" s="13">
        <f t="shared" si="209"/>
        <v>2024</v>
      </c>
      <c r="D1677" s="7" t="str">
        <f t="shared" si="210"/>
        <v>Feb</v>
      </c>
      <c r="E1677" s="7" t="str">
        <f t="shared" si="211"/>
        <v>Fri</v>
      </c>
      <c r="F1677" t="s">
        <v>30</v>
      </c>
      <c r="G1677" t="s">
        <v>87</v>
      </c>
      <c r="H1677" t="s">
        <v>17</v>
      </c>
      <c r="I1677" s="2" t="str">
        <f t="shared" si="208"/>
        <v>West</v>
      </c>
      <c r="J1677" t="s">
        <v>27</v>
      </c>
      <c r="K1677" t="s">
        <v>32</v>
      </c>
      <c r="L1677">
        <v>16</v>
      </c>
      <c r="M1677">
        <v>120</v>
      </c>
      <c r="N1677">
        <f t="shared" si="212"/>
        <v>1920</v>
      </c>
      <c r="O1677">
        <f t="shared" si="213"/>
        <v>192</v>
      </c>
      <c r="P1677" t="str">
        <f t="shared" si="214"/>
        <v>Large Order</v>
      </c>
      <c r="Q1677" t="str">
        <f t="shared" si="215"/>
        <v>Weekday</v>
      </c>
    </row>
    <row r="1678" spans="1:17" x14ac:dyDescent="0.35">
      <c r="A1678" t="s">
        <v>1828</v>
      </c>
      <c r="B1678" s="7">
        <v>45476</v>
      </c>
      <c r="C1678" s="13">
        <f t="shared" si="209"/>
        <v>2024</v>
      </c>
      <c r="D1678" s="7" t="str">
        <f t="shared" si="210"/>
        <v>Jul</v>
      </c>
      <c r="E1678" s="7" t="str">
        <f t="shared" si="211"/>
        <v>Wed</v>
      </c>
      <c r="F1678" t="s">
        <v>230</v>
      </c>
      <c r="G1678" t="s">
        <v>197</v>
      </c>
      <c r="H1678" t="s">
        <v>22</v>
      </c>
      <c r="I1678" s="2" t="str">
        <f t="shared" si="208"/>
        <v>West</v>
      </c>
      <c r="J1678" t="s">
        <v>27</v>
      </c>
      <c r="K1678" t="s">
        <v>36</v>
      </c>
      <c r="L1678">
        <v>20</v>
      </c>
      <c r="M1678">
        <v>120</v>
      </c>
      <c r="N1678">
        <f t="shared" si="212"/>
        <v>2400</v>
      </c>
      <c r="O1678">
        <f t="shared" si="213"/>
        <v>240</v>
      </c>
      <c r="P1678" t="str">
        <f t="shared" si="214"/>
        <v>Large Order</v>
      </c>
      <c r="Q1678" t="str">
        <f t="shared" si="215"/>
        <v>Weekday</v>
      </c>
    </row>
    <row r="1679" spans="1:17" x14ac:dyDescent="0.35">
      <c r="A1679" t="s">
        <v>1829</v>
      </c>
      <c r="B1679" s="7">
        <v>45346</v>
      </c>
      <c r="C1679" s="13">
        <f t="shared" si="209"/>
        <v>2024</v>
      </c>
      <c r="D1679" s="7" t="str">
        <f t="shared" si="210"/>
        <v>Feb</v>
      </c>
      <c r="E1679" s="7" t="str">
        <f t="shared" si="211"/>
        <v>Sat</v>
      </c>
      <c r="F1679" t="s">
        <v>99</v>
      </c>
      <c r="G1679" t="s">
        <v>74</v>
      </c>
      <c r="H1679" t="s">
        <v>11</v>
      </c>
      <c r="I1679" s="2" t="str">
        <f t="shared" si="208"/>
        <v>Central</v>
      </c>
      <c r="J1679" t="s">
        <v>27</v>
      </c>
      <c r="K1679" t="s">
        <v>32</v>
      </c>
      <c r="L1679">
        <v>20</v>
      </c>
      <c r="M1679">
        <v>120</v>
      </c>
      <c r="N1679">
        <f t="shared" si="212"/>
        <v>2400</v>
      </c>
      <c r="O1679">
        <f t="shared" si="213"/>
        <v>240</v>
      </c>
      <c r="P1679" t="str">
        <f t="shared" si="214"/>
        <v>Large Order</v>
      </c>
      <c r="Q1679" t="str">
        <f t="shared" si="215"/>
        <v>Weekend</v>
      </c>
    </row>
    <row r="1680" spans="1:17" x14ac:dyDescent="0.35">
      <c r="A1680" t="s">
        <v>1830</v>
      </c>
      <c r="B1680" s="7">
        <v>45460</v>
      </c>
      <c r="C1680" s="13">
        <f t="shared" si="209"/>
        <v>2024</v>
      </c>
      <c r="D1680" s="7" t="str">
        <f t="shared" si="210"/>
        <v>Jun</v>
      </c>
      <c r="E1680" s="7" t="str">
        <f t="shared" si="211"/>
        <v>Mon</v>
      </c>
      <c r="F1680" t="s">
        <v>396</v>
      </c>
      <c r="G1680" t="s">
        <v>72</v>
      </c>
      <c r="H1680" t="s">
        <v>17</v>
      </c>
      <c r="I1680" s="2" t="str">
        <f t="shared" si="208"/>
        <v>South</v>
      </c>
      <c r="J1680" t="s">
        <v>306</v>
      </c>
      <c r="K1680" t="s">
        <v>28</v>
      </c>
      <c r="L1680">
        <v>10</v>
      </c>
      <c r="M1680">
        <v>120</v>
      </c>
      <c r="N1680">
        <f t="shared" si="212"/>
        <v>1200</v>
      </c>
      <c r="O1680">
        <f t="shared" si="213"/>
        <v>120</v>
      </c>
      <c r="P1680" t="str">
        <f t="shared" si="214"/>
        <v>Large Order</v>
      </c>
      <c r="Q1680" t="str">
        <f t="shared" si="215"/>
        <v>Weekday</v>
      </c>
    </row>
    <row r="1681" spans="1:17" x14ac:dyDescent="0.35">
      <c r="A1681" t="s">
        <v>1831</v>
      </c>
      <c r="B1681" s="7">
        <v>45647</v>
      </c>
      <c r="C1681" s="13">
        <f t="shared" si="209"/>
        <v>2024</v>
      </c>
      <c r="D1681" s="7" t="str">
        <f t="shared" si="210"/>
        <v>Dec</v>
      </c>
      <c r="E1681" s="7" t="str">
        <f t="shared" si="211"/>
        <v>Sat</v>
      </c>
      <c r="F1681" t="s">
        <v>104</v>
      </c>
      <c r="G1681" t="s">
        <v>35</v>
      </c>
      <c r="H1681" t="s">
        <v>17</v>
      </c>
      <c r="I1681" s="2" t="str">
        <f t="shared" si="208"/>
        <v>South</v>
      </c>
      <c r="J1681" t="s">
        <v>56</v>
      </c>
      <c r="K1681" t="s">
        <v>23</v>
      </c>
      <c r="L1681">
        <v>11</v>
      </c>
      <c r="M1681">
        <v>120</v>
      </c>
      <c r="N1681">
        <f t="shared" si="212"/>
        <v>1320</v>
      </c>
      <c r="O1681">
        <f t="shared" si="213"/>
        <v>132</v>
      </c>
      <c r="P1681" t="str">
        <f t="shared" si="214"/>
        <v>Large Order</v>
      </c>
      <c r="Q1681" t="str">
        <f t="shared" si="215"/>
        <v>Weekend</v>
      </c>
    </row>
    <row r="1682" spans="1:17" x14ac:dyDescent="0.35">
      <c r="A1682" t="s">
        <v>1832</v>
      </c>
      <c r="B1682" s="7">
        <v>45647</v>
      </c>
      <c r="C1682" s="13">
        <f t="shared" si="209"/>
        <v>2024</v>
      </c>
      <c r="D1682" s="7" t="str">
        <f t="shared" si="210"/>
        <v>Dec</v>
      </c>
      <c r="E1682" s="7" t="str">
        <f t="shared" si="211"/>
        <v>Sat</v>
      </c>
      <c r="F1682" t="s">
        <v>541</v>
      </c>
      <c r="G1682" t="s">
        <v>35</v>
      </c>
      <c r="H1682" t="s">
        <v>22</v>
      </c>
      <c r="I1682" s="2" t="str">
        <f t="shared" si="208"/>
        <v>South</v>
      </c>
      <c r="J1682" t="s">
        <v>56</v>
      </c>
      <c r="K1682" t="s">
        <v>32</v>
      </c>
      <c r="L1682">
        <v>13</v>
      </c>
      <c r="M1682">
        <v>120</v>
      </c>
      <c r="N1682">
        <f t="shared" si="212"/>
        <v>1560</v>
      </c>
      <c r="O1682">
        <f t="shared" si="213"/>
        <v>156</v>
      </c>
      <c r="P1682" t="str">
        <f t="shared" si="214"/>
        <v>Large Order</v>
      </c>
      <c r="Q1682" t="str">
        <f t="shared" si="215"/>
        <v>Weekend</v>
      </c>
    </row>
    <row r="1683" spans="1:17" x14ac:dyDescent="0.35">
      <c r="A1683" t="s">
        <v>1833</v>
      </c>
      <c r="B1683" s="7">
        <v>45493</v>
      </c>
      <c r="C1683" s="13">
        <f t="shared" si="209"/>
        <v>2024</v>
      </c>
      <c r="D1683" s="7" t="str">
        <f t="shared" si="210"/>
        <v>Jul</v>
      </c>
      <c r="E1683" s="7" t="str">
        <f t="shared" si="211"/>
        <v>Sat</v>
      </c>
      <c r="F1683" t="s">
        <v>83</v>
      </c>
      <c r="G1683" t="s">
        <v>102</v>
      </c>
      <c r="H1683" t="s">
        <v>22</v>
      </c>
      <c r="I1683" s="2" t="str">
        <f t="shared" si="208"/>
        <v>South</v>
      </c>
      <c r="J1683" t="s">
        <v>56</v>
      </c>
      <c r="K1683" t="s">
        <v>36</v>
      </c>
      <c r="L1683">
        <v>18</v>
      </c>
      <c r="M1683">
        <v>120</v>
      </c>
      <c r="N1683">
        <f t="shared" si="212"/>
        <v>2160</v>
      </c>
      <c r="O1683">
        <f t="shared" si="213"/>
        <v>216</v>
      </c>
      <c r="P1683" t="str">
        <f t="shared" si="214"/>
        <v>Large Order</v>
      </c>
      <c r="Q1683" t="str">
        <f t="shared" si="215"/>
        <v>Weekend</v>
      </c>
    </row>
    <row r="1684" spans="1:17" x14ac:dyDescent="0.35">
      <c r="A1684" t="s">
        <v>1834</v>
      </c>
      <c r="B1684" s="7">
        <v>45573</v>
      </c>
      <c r="C1684" s="13">
        <f t="shared" si="209"/>
        <v>2024</v>
      </c>
      <c r="D1684" s="7" t="str">
        <f t="shared" si="210"/>
        <v>Oct</v>
      </c>
      <c r="E1684" s="7" t="str">
        <f t="shared" si="211"/>
        <v>Tue</v>
      </c>
      <c r="F1684" t="s">
        <v>64</v>
      </c>
      <c r="G1684" t="s">
        <v>84</v>
      </c>
      <c r="H1684" t="s">
        <v>17</v>
      </c>
      <c r="I1684" s="2" t="str">
        <f t="shared" si="208"/>
        <v>South</v>
      </c>
      <c r="J1684" t="s">
        <v>56</v>
      </c>
      <c r="K1684" t="s">
        <v>23</v>
      </c>
      <c r="L1684">
        <v>10</v>
      </c>
      <c r="M1684">
        <v>120</v>
      </c>
      <c r="N1684">
        <f t="shared" si="212"/>
        <v>1200</v>
      </c>
      <c r="O1684">
        <f t="shared" si="213"/>
        <v>120</v>
      </c>
      <c r="P1684" t="str">
        <f t="shared" si="214"/>
        <v>Large Order</v>
      </c>
      <c r="Q1684" t="str">
        <f t="shared" si="215"/>
        <v>Weekday</v>
      </c>
    </row>
    <row r="1685" spans="1:17" x14ac:dyDescent="0.35">
      <c r="A1685" t="s">
        <v>1835</v>
      </c>
      <c r="B1685" s="7">
        <v>45327</v>
      </c>
      <c r="C1685" s="13">
        <f t="shared" si="209"/>
        <v>2024</v>
      </c>
      <c r="D1685" s="7" t="str">
        <f t="shared" si="210"/>
        <v>Feb</v>
      </c>
      <c r="E1685" s="7" t="str">
        <f t="shared" si="211"/>
        <v>Mon</v>
      </c>
      <c r="F1685" t="s">
        <v>408</v>
      </c>
      <c r="G1685" t="s">
        <v>41</v>
      </c>
      <c r="H1685" t="s">
        <v>17</v>
      </c>
      <c r="I1685" s="2" t="str">
        <f t="shared" si="208"/>
        <v>North</v>
      </c>
      <c r="J1685" t="s">
        <v>56</v>
      </c>
      <c r="K1685" t="s">
        <v>32</v>
      </c>
      <c r="L1685">
        <v>8</v>
      </c>
      <c r="M1685">
        <v>120</v>
      </c>
      <c r="N1685">
        <f t="shared" si="212"/>
        <v>960</v>
      </c>
      <c r="O1685">
        <f t="shared" si="213"/>
        <v>96</v>
      </c>
      <c r="P1685" t="str">
        <f t="shared" si="214"/>
        <v>Large Order</v>
      </c>
      <c r="Q1685" t="str">
        <f t="shared" si="215"/>
        <v>Weekday</v>
      </c>
    </row>
    <row r="1686" spans="1:17" x14ac:dyDescent="0.35">
      <c r="A1686" t="s">
        <v>1836</v>
      </c>
      <c r="B1686" s="7">
        <v>45370</v>
      </c>
      <c r="C1686" s="13">
        <f t="shared" si="209"/>
        <v>2024</v>
      </c>
      <c r="D1686" s="7" t="str">
        <f t="shared" si="210"/>
        <v>Mar</v>
      </c>
      <c r="E1686" s="7" t="str">
        <f t="shared" si="211"/>
        <v>Tue</v>
      </c>
      <c r="F1686" t="s">
        <v>436</v>
      </c>
      <c r="G1686" t="s">
        <v>87</v>
      </c>
      <c r="H1686" t="s">
        <v>17</v>
      </c>
      <c r="I1686" s="2" t="str">
        <f t="shared" si="208"/>
        <v>West</v>
      </c>
      <c r="J1686" t="s">
        <v>12</v>
      </c>
      <c r="K1686" t="s">
        <v>23</v>
      </c>
      <c r="L1686">
        <v>20</v>
      </c>
      <c r="M1686">
        <v>120</v>
      </c>
      <c r="N1686">
        <f t="shared" si="212"/>
        <v>2400</v>
      </c>
      <c r="O1686">
        <f t="shared" si="213"/>
        <v>240</v>
      </c>
      <c r="P1686" t="str">
        <f t="shared" si="214"/>
        <v>Large Order</v>
      </c>
      <c r="Q1686" t="str">
        <f t="shared" si="215"/>
        <v>Weekday</v>
      </c>
    </row>
    <row r="1687" spans="1:17" x14ac:dyDescent="0.35">
      <c r="A1687" t="s">
        <v>1837</v>
      </c>
      <c r="B1687" s="7">
        <v>45497</v>
      </c>
      <c r="C1687" s="13">
        <f t="shared" si="209"/>
        <v>2024</v>
      </c>
      <c r="D1687" s="7" t="str">
        <f t="shared" si="210"/>
        <v>Jul</v>
      </c>
      <c r="E1687" s="7" t="str">
        <f t="shared" si="211"/>
        <v>Wed</v>
      </c>
      <c r="F1687" t="s">
        <v>312</v>
      </c>
      <c r="G1687" t="s">
        <v>160</v>
      </c>
      <c r="H1687" t="s">
        <v>22</v>
      </c>
      <c r="I1687" s="2" t="str">
        <f t="shared" si="208"/>
        <v>North</v>
      </c>
      <c r="J1687" t="s">
        <v>27</v>
      </c>
      <c r="K1687" t="s">
        <v>36</v>
      </c>
      <c r="L1687">
        <v>2</v>
      </c>
      <c r="M1687">
        <v>120</v>
      </c>
      <c r="N1687">
        <f t="shared" si="212"/>
        <v>240</v>
      </c>
      <c r="O1687">
        <f t="shared" si="213"/>
        <v>24</v>
      </c>
      <c r="P1687" t="str">
        <f t="shared" si="214"/>
        <v>Standard Order</v>
      </c>
      <c r="Q1687" t="str">
        <f t="shared" si="215"/>
        <v>Weekday</v>
      </c>
    </row>
    <row r="1688" spans="1:17" x14ac:dyDescent="0.35">
      <c r="A1688" t="s">
        <v>1838</v>
      </c>
      <c r="B1688" s="7">
        <v>45476</v>
      </c>
      <c r="C1688" s="13">
        <f t="shared" si="209"/>
        <v>2024</v>
      </c>
      <c r="D1688" s="7" t="str">
        <f t="shared" si="210"/>
        <v>Jul</v>
      </c>
      <c r="E1688" s="7" t="str">
        <f t="shared" si="211"/>
        <v>Wed</v>
      </c>
      <c r="F1688" t="s">
        <v>424</v>
      </c>
      <c r="G1688" t="s">
        <v>174</v>
      </c>
      <c r="H1688" t="s">
        <v>22</v>
      </c>
      <c r="I1688" s="2" t="str">
        <f t="shared" si="208"/>
        <v>North</v>
      </c>
      <c r="J1688" t="s">
        <v>12</v>
      </c>
      <c r="K1688" t="s">
        <v>13</v>
      </c>
      <c r="L1688">
        <v>8</v>
      </c>
      <c r="M1688">
        <v>120</v>
      </c>
      <c r="N1688">
        <f t="shared" si="212"/>
        <v>960</v>
      </c>
      <c r="O1688">
        <f t="shared" si="213"/>
        <v>96</v>
      </c>
      <c r="P1688" t="str">
        <f t="shared" si="214"/>
        <v>Large Order</v>
      </c>
      <c r="Q1688" t="str">
        <f t="shared" si="215"/>
        <v>Weekday</v>
      </c>
    </row>
    <row r="1689" spans="1:17" x14ac:dyDescent="0.35">
      <c r="A1689" t="s">
        <v>1839</v>
      </c>
      <c r="B1689" s="7">
        <v>45473</v>
      </c>
      <c r="C1689" s="13">
        <f t="shared" si="209"/>
        <v>2024</v>
      </c>
      <c r="D1689" s="7" t="str">
        <f t="shared" si="210"/>
        <v>Jun</v>
      </c>
      <c r="E1689" s="7" t="str">
        <f t="shared" si="211"/>
        <v>Sun</v>
      </c>
      <c r="F1689" t="s">
        <v>30</v>
      </c>
      <c r="G1689" t="s">
        <v>21</v>
      </c>
      <c r="H1689" t="s">
        <v>22</v>
      </c>
      <c r="I1689" s="2" t="str">
        <f t="shared" si="208"/>
        <v>North</v>
      </c>
      <c r="J1689" t="s">
        <v>12</v>
      </c>
      <c r="K1689" t="s">
        <v>36</v>
      </c>
      <c r="L1689">
        <v>13</v>
      </c>
      <c r="M1689">
        <v>120</v>
      </c>
      <c r="N1689">
        <f t="shared" si="212"/>
        <v>1560</v>
      </c>
      <c r="O1689">
        <f t="shared" si="213"/>
        <v>156</v>
      </c>
      <c r="P1689" t="str">
        <f t="shared" si="214"/>
        <v>Large Order</v>
      </c>
      <c r="Q1689" t="str">
        <f t="shared" si="215"/>
        <v>Weekend</v>
      </c>
    </row>
    <row r="1690" spans="1:17" x14ac:dyDescent="0.35">
      <c r="A1690" t="s">
        <v>1840</v>
      </c>
      <c r="B1690" s="7">
        <v>45461</v>
      </c>
      <c r="C1690" s="13">
        <f t="shared" si="209"/>
        <v>2024</v>
      </c>
      <c r="D1690" s="7" t="str">
        <f t="shared" si="210"/>
        <v>Jun</v>
      </c>
      <c r="E1690" s="7" t="str">
        <f t="shared" si="211"/>
        <v>Tue</v>
      </c>
      <c r="F1690" t="s">
        <v>348</v>
      </c>
      <c r="G1690" t="s">
        <v>102</v>
      </c>
      <c r="H1690" t="s">
        <v>11</v>
      </c>
      <c r="I1690" s="2" t="str">
        <f t="shared" si="208"/>
        <v>Central</v>
      </c>
      <c r="J1690" t="s">
        <v>12</v>
      </c>
      <c r="K1690" t="s">
        <v>32</v>
      </c>
      <c r="L1690">
        <v>8</v>
      </c>
      <c r="M1690">
        <v>120</v>
      </c>
      <c r="N1690">
        <f t="shared" si="212"/>
        <v>960</v>
      </c>
      <c r="O1690">
        <f t="shared" si="213"/>
        <v>96</v>
      </c>
      <c r="P1690" t="str">
        <f t="shared" si="214"/>
        <v>Large Order</v>
      </c>
      <c r="Q1690" t="str">
        <f t="shared" si="215"/>
        <v>Weekday</v>
      </c>
    </row>
    <row r="1691" spans="1:17" x14ac:dyDescent="0.35">
      <c r="A1691" t="s">
        <v>1841</v>
      </c>
      <c r="B1691" s="7">
        <v>45557</v>
      </c>
      <c r="C1691" s="13">
        <f t="shared" si="209"/>
        <v>2024</v>
      </c>
      <c r="D1691" s="7" t="str">
        <f t="shared" si="210"/>
        <v>Sep</v>
      </c>
      <c r="E1691" s="7" t="str">
        <f t="shared" si="211"/>
        <v>Sun</v>
      </c>
      <c r="F1691" t="s">
        <v>642</v>
      </c>
      <c r="G1691" t="s">
        <v>59</v>
      </c>
      <c r="H1691" t="s">
        <v>22</v>
      </c>
      <c r="I1691" s="2" t="str">
        <f t="shared" si="208"/>
        <v>Central</v>
      </c>
      <c r="J1691" t="s">
        <v>306</v>
      </c>
      <c r="K1691" t="s">
        <v>28</v>
      </c>
      <c r="L1691">
        <v>15</v>
      </c>
      <c r="M1691">
        <v>120</v>
      </c>
      <c r="N1691">
        <f t="shared" si="212"/>
        <v>1800</v>
      </c>
      <c r="O1691">
        <f t="shared" si="213"/>
        <v>180</v>
      </c>
      <c r="P1691" t="str">
        <f t="shared" si="214"/>
        <v>Large Order</v>
      </c>
      <c r="Q1691" t="str">
        <f t="shared" si="215"/>
        <v>Weekend</v>
      </c>
    </row>
    <row r="1692" spans="1:17" x14ac:dyDescent="0.35">
      <c r="A1692" t="s">
        <v>1842</v>
      </c>
      <c r="B1692" s="7">
        <v>45529</v>
      </c>
      <c r="C1692" s="13">
        <f t="shared" si="209"/>
        <v>2024</v>
      </c>
      <c r="D1692" s="7" t="str">
        <f t="shared" si="210"/>
        <v>Aug</v>
      </c>
      <c r="E1692" s="7" t="str">
        <f t="shared" si="211"/>
        <v>Sun</v>
      </c>
      <c r="F1692" t="s">
        <v>337</v>
      </c>
      <c r="G1692" t="s">
        <v>41</v>
      </c>
      <c r="H1692" t="s">
        <v>22</v>
      </c>
      <c r="I1692" s="2" t="str">
        <f t="shared" si="208"/>
        <v>North</v>
      </c>
      <c r="J1692" t="s">
        <v>306</v>
      </c>
      <c r="K1692" t="s">
        <v>28</v>
      </c>
      <c r="L1692">
        <v>12</v>
      </c>
      <c r="M1692">
        <v>120</v>
      </c>
      <c r="N1692">
        <f t="shared" si="212"/>
        <v>1440</v>
      </c>
      <c r="O1692">
        <f t="shared" si="213"/>
        <v>144</v>
      </c>
      <c r="P1692" t="str">
        <f t="shared" si="214"/>
        <v>Large Order</v>
      </c>
      <c r="Q1692" t="str">
        <f t="shared" si="215"/>
        <v>Weekend</v>
      </c>
    </row>
    <row r="1693" spans="1:17" x14ac:dyDescent="0.35">
      <c r="A1693" t="s">
        <v>1843</v>
      </c>
      <c r="B1693" s="7">
        <v>45539</v>
      </c>
      <c r="C1693" s="13">
        <f t="shared" si="209"/>
        <v>2024</v>
      </c>
      <c r="D1693" s="7" t="str">
        <f t="shared" si="210"/>
        <v>Sep</v>
      </c>
      <c r="E1693" s="7" t="str">
        <f t="shared" si="211"/>
        <v>Wed</v>
      </c>
      <c r="F1693" t="s">
        <v>15</v>
      </c>
      <c r="G1693" t="s">
        <v>74</v>
      </c>
      <c r="H1693" t="s">
        <v>17</v>
      </c>
      <c r="I1693" s="2" t="str">
        <f t="shared" si="208"/>
        <v>West</v>
      </c>
      <c r="J1693" t="s">
        <v>12</v>
      </c>
      <c r="K1693" t="s">
        <v>13</v>
      </c>
      <c r="L1693">
        <v>5</v>
      </c>
      <c r="M1693">
        <v>120</v>
      </c>
      <c r="N1693">
        <f t="shared" si="212"/>
        <v>600</v>
      </c>
      <c r="O1693">
        <f t="shared" si="213"/>
        <v>60</v>
      </c>
      <c r="P1693" t="str">
        <f t="shared" si="214"/>
        <v>Large Order</v>
      </c>
      <c r="Q1693" t="str">
        <f t="shared" si="215"/>
        <v>Weekday</v>
      </c>
    </row>
    <row r="1694" spans="1:17" x14ac:dyDescent="0.35">
      <c r="A1694" t="s">
        <v>1844</v>
      </c>
      <c r="B1694" s="7">
        <v>45467</v>
      </c>
      <c r="C1694" s="13">
        <f t="shared" si="209"/>
        <v>2024</v>
      </c>
      <c r="D1694" s="7" t="str">
        <f t="shared" si="210"/>
        <v>Jun</v>
      </c>
      <c r="E1694" s="7" t="str">
        <f t="shared" si="211"/>
        <v>Mon</v>
      </c>
      <c r="F1694" t="s">
        <v>366</v>
      </c>
      <c r="G1694" t="s">
        <v>65</v>
      </c>
      <c r="H1694" t="s">
        <v>22</v>
      </c>
      <c r="I1694" s="2" t="str">
        <f t="shared" si="208"/>
        <v>East</v>
      </c>
      <c r="J1694" t="s">
        <v>27</v>
      </c>
      <c r="K1694" t="s">
        <v>32</v>
      </c>
      <c r="L1694">
        <v>16</v>
      </c>
      <c r="M1694">
        <v>120</v>
      </c>
      <c r="N1694">
        <f t="shared" si="212"/>
        <v>1920</v>
      </c>
      <c r="O1694">
        <f t="shared" si="213"/>
        <v>192</v>
      </c>
      <c r="P1694" t="str">
        <f t="shared" si="214"/>
        <v>Large Order</v>
      </c>
      <c r="Q1694" t="str">
        <f t="shared" si="215"/>
        <v>Weekday</v>
      </c>
    </row>
    <row r="1695" spans="1:17" x14ac:dyDescent="0.35">
      <c r="A1695" t="s">
        <v>1845</v>
      </c>
      <c r="B1695" s="7">
        <v>45648</v>
      </c>
      <c r="C1695" s="13">
        <f t="shared" si="209"/>
        <v>2024</v>
      </c>
      <c r="D1695" s="7" t="str">
        <f t="shared" si="210"/>
        <v>Dec</v>
      </c>
      <c r="E1695" s="7" t="str">
        <f t="shared" si="211"/>
        <v>Sun</v>
      </c>
      <c r="F1695" t="s">
        <v>430</v>
      </c>
      <c r="G1695" t="s">
        <v>72</v>
      </c>
      <c r="H1695" t="s">
        <v>11</v>
      </c>
      <c r="I1695" s="2" t="str">
        <f t="shared" si="208"/>
        <v>South</v>
      </c>
      <c r="J1695" t="s">
        <v>42</v>
      </c>
      <c r="K1695" t="s">
        <v>13</v>
      </c>
      <c r="L1695">
        <v>4</v>
      </c>
      <c r="M1695">
        <v>120</v>
      </c>
      <c r="N1695">
        <f t="shared" si="212"/>
        <v>480</v>
      </c>
      <c r="O1695">
        <f t="shared" si="213"/>
        <v>48</v>
      </c>
      <c r="P1695" t="str">
        <f t="shared" si="214"/>
        <v>Standard Order</v>
      </c>
      <c r="Q1695" t="str">
        <f t="shared" si="215"/>
        <v>Weekend</v>
      </c>
    </row>
    <row r="1696" spans="1:17" x14ac:dyDescent="0.35">
      <c r="A1696" t="s">
        <v>1846</v>
      </c>
      <c r="B1696" s="7">
        <v>45467</v>
      </c>
      <c r="C1696" s="13">
        <f t="shared" si="209"/>
        <v>2024</v>
      </c>
      <c r="D1696" s="7" t="str">
        <f t="shared" si="210"/>
        <v>Jun</v>
      </c>
      <c r="E1696" s="7" t="str">
        <f t="shared" si="211"/>
        <v>Mon</v>
      </c>
      <c r="F1696" t="s">
        <v>736</v>
      </c>
      <c r="G1696" t="s">
        <v>102</v>
      </c>
      <c r="H1696" t="s">
        <v>22</v>
      </c>
      <c r="I1696" s="2" t="str">
        <f t="shared" si="208"/>
        <v>West</v>
      </c>
      <c r="J1696" t="s">
        <v>56</v>
      </c>
      <c r="K1696" t="s">
        <v>28</v>
      </c>
      <c r="L1696">
        <v>17</v>
      </c>
      <c r="M1696">
        <v>120</v>
      </c>
      <c r="N1696">
        <f t="shared" si="212"/>
        <v>2040</v>
      </c>
      <c r="O1696">
        <f t="shared" si="213"/>
        <v>204</v>
      </c>
      <c r="P1696" t="str">
        <f t="shared" si="214"/>
        <v>Large Order</v>
      </c>
      <c r="Q1696" t="str">
        <f t="shared" si="215"/>
        <v>Weekday</v>
      </c>
    </row>
    <row r="1697" spans="1:17" x14ac:dyDescent="0.35">
      <c r="A1697" t="s">
        <v>1847</v>
      </c>
      <c r="B1697" s="7">
        <v>45373</v>
      </c>
      <c r="C1697" s="13">
        <f t="shared" si="209"/>
        <v>2024</v>
      </c>
      <c r="D1697" s="7" t="str">
        <f t="shared" si="210"/>
        <v>Mar</v>
      </c>
      <c r="E1697" s="7" t="str">
        <f t="shared" si="211"/>
        <v>Fri</v>
      </c>
      <c r="F1697" t="s">
        <v>118</v>
      </c>
      <c r="G1697" t="s">
        <v>174</v>
      </c>
      <c r="H1697" t="s">
        <v>17</v>
      </c>
      <c r="I1697" s="2" t="str">
        <f t="shared" si="208"/>
        <v>West</v>
      </c>
      <c r="J1697" t="s">
        <v>27</v>
      </c>
      <c r="K1697" t="s">
        <v>28</v>
      </c>
      <c r="L1697">
        <v>13</v>
      </c>
      <c r="M1697">
        <v>120</v>
      </c>
      <c r="N1697">
        <f t="shared" si="212"/>
        <v>1560</v>
      </c>
      <c r="O1697">
        <f t="shared" si="213"/>
        <v>156</v>
      </c>
      <c r="P1697" t="str">
        <f t="shared" si="214"/>
        <v>Large Order</v>
      </c>
      <c r="Q1697" t="str">
        <f t="shared" si="215"/>
        <v>Weekday</v>
      </c>
    </row>
    <row r="1698" spans="1:17" x14ac:dyDescent="0.35">
      <c r="A1698" t="s">
        <v>1848</v>
      </c>
      <c r="B1698" s="7">
        <v>45387</v>
      </c>
      <c r="C1698" s="13">
        <f t="shared" si="209"/>
        <v>2024</v>
      </c>
      <c r="D1698" s="7" t="str">
        <f t="shared" si="210"/>
        <v>Apr</v>
      </c>
      <c r="E1698" s="7" t="str">
        <f t="shared" si="211"/>
        <v>Fri</v>
      </c>
      <c r="F1698" t="s">
        <v>541</v>
      </c>
      <c r="G1698" t="s">
        <v>41</v>
      </c>
      <c r="H1698" t="s">
        <v>17</v>
      </c>
      <c r="I1698" s="2" t="str">
        <f t="shared" si="208"/>
        <v>North</v>
      </c>
      <c r="J1698" t="s">
        <v>27</v>
      </c>
      <c r="K1698" t="s">
        <v>13</v>
      </c>
      <c r="L1698">
        <v>20</v>
      </c>
      <c r="M1698">
        <v>120</v>
      </c>
      <c r="N1698">
        <f t="shared" si="212"/>
        <v>2400</v>
      </c>
      <c r="O1698">
        <f t="shared" si="213"/>
        <v>240</v>
      </c>
      <c r="P1698" t="str">
        <f t="shared" si="214"/>
        <v>Large Order</v>
      </c>
      <c r="Q1698" t="str">
        <f t="shared" si="215"/>
        <v>Weekday</v>
      </c>
    </row>
    <row r="1699" spans="1:17" x14ac:dyDescent="0.35">
      <c r="A1699" t="s">
        <v>1849</v>
      </c>
      <c r="B1699" s="7">
        <v>45522</v>
      </c>
      <c r="C1699" s="13">
        <f t="shared" si="209"/>
        <v>2024</v>
      </c>
      <c r="D1699" s="7" t="str">
        <f t="shared" si="210"/>
        <v>Aug</v>
      </c>
      <c r="E1699" s="7" t="str">
        <f t="shared" si="211"/>
        <v>Sun</v>
      </c>
      <c r="F1699" t="s">
        <v>449</v>
      </c>
      <c r="G1699" t="s">
        <v>87</v>
      </c>
      <c r="H1699" t="s">
        <v>17</v>
      </c>
      <c r="I1699" s="2" t="str">
        <f t="shared" si="208"/>
        <v>Central</v>
      </c>
      <c r="J1699" t="s">
        <v>12</v>
      </c>
      <c r="K1699" t="s">
        <v>28</v>
      </c>
      <c r="L1699">
        <v>7</v>
      </c>
      <c r="M1699">
        <v>120</v>
      </c>
      <c r="N1699">
        <f t="shared" si="212"/>
        <v>840</v>
      </c>
      <c r="O1699">
        <f t="shared" si="213"/>
        <v>84</v>
      </c>
      <c r="P1699" t="str">
        <f t="shared" si="214"/>
        <v>Large Order</v>
      </c>
      <c r="Q1699" t="str">
        <f t="shared" si="215"/>
        <v>Weekend</v>
      </c>
    </row>
    <row r="1700" spans="1:17" x14ac:dyDescent="0.35">
      <c r="A1700" t="s">
        <v>1850</v>
      </c>
      <c r="B1700" s="7">
        <v>45652</v>
      </c>
      <c r="C1700" s="13">
        <f t="shared" si="209"/>
        <v>2024</v>
      </c>
      <c r="D1700" s="7" t="str">
        <f t="shared" si="210"/>
        <v>Dec</v>
      </c>
      <c r="E1700" s="7" t="str">
        <f t="shared" si="211"/>
        <v>Thu</v>
      </c>
      <c r="F1700" t="s">
        <v>58</v>
      </c>
      <c r="G1700" t="s">
        <v>59</v>
      </c>
      <c r="H1700" t="s">
        <v>11</v>
      </c>
      <c r="I1700" s="2" t="str">
        <f t="shared" si="208"/>
        <v>West</v>
      </c>
      <c r="J1700" t="s">
        <v>306</v>
      </c>
      <c r="K1700" t="s">
        <v>28</v>
      </c>
      <c r="L1700">
        <v>12</v>
      </c>
      <c r="M1700">
        <v>120</v>
      </c>
      <c r="N1700">
        <f t="shared" si="212"/>
        <v>1440</v>
      </c>
      <c r="O1700">
        <f t="shared" si="213"/>
        <v>144</v>
      </c>
      <c r="P1700" t="str">
        <f t="shared" si="214"/>
        <v>Large Order</v>
      </c>
      <c r="Q1700" t="str">
        <f t="shared" si="215"/>
        <v>Weekday</v>
      </c>
    </row>
    <row r="1701" spans="1:17" x14ac:dyDescent="0.35">
      <c r="A1701" t="s">
        <v>1851</v>
      </c>
      <c r="B1701" s="7">
        <v>45526</v>
      </c>
      <c r="C1701" s="13">
        <f t="shared" si="209"/>
        <v>2024</v>
      </c>
      <c r="D1701" s="7" t="str">
        <f t="shared" si="210"/>
        <v>Aug</v>
      </c>
      <c r="E1701" s="7" t="str">
        <f t="shared" si="211"/>
        <v>Thu</v>
      </c>
      <c r="F1701" t="s">
        <v>40</v>
      </c>
      <c r="G1701" t="s">
        <v>26</v>
      </c>
      <c r="H1701" t="s">
        <v>22</v>
      </c>
      <c r="I1701" s="2" t="str">
        <f t="shared" si="208"/>
        <v>East</v>
      </c>
      <c r="J1701" t="s">
        <v>27</v>
      </c>
      <c r="K1701" t="s">
        <v>36</v>
      </c>
      <c r="L1701">
        <v>11</v>
      </c>
      <c r="M1701">
        <v>120</v>
      </c>
      <c r="N1701">
        <f t="shared" si="212"/>
        <v>1320</v>
      </c>
      <c r="O1701">
        <f t="shared" si="213"/>
        <v>132</v>
      </c>
      <c r="P1701" t="str">
        <f t="shared" si="214"/>
        <v>Large Order</v>
      </c>
      <c r="Q1701" t="str">
        <f t="shared" si="215"/>
        <v>Weekday</v>
      </c>
    </row>
    <row r="1702" spans="1:17" x14ac:dyDescent="0.35">
      <c r="A1702" t="s">
        <v>1852</v>
      </c>
      <c r="B1702" s="7">
        <v>45604</v>
      </c>
      <c r="C1702" s="13">
        <f t="shared" si="209"/>
        <v>2024</v>
      </c>
      <c r="D1702" s="7" t="str">
        <f t="shared" si="210"/>
        <v>Nov</v>
      </c>
      <c r="E1702" s="7" t="str">
        <f t="shared" si="211"/>
        <v>Fri</v>
      </c>
      <c r="F1702" t="s">
        <v>106</v>
      </c>
      <c r="G1702" t="s">
        <v>59</v>
      </c>
      <c r="H1702" t="s">
        <v>11</v>
      </c>
      <c r="I1702" s="2" t="str">
        <f t="shared" si="208"/>
        <v>Central</v>
      </c>
      <c r="J1702" t="s">
        <v>42</v>
      </c>
      <c r="K1702" t="s">
        <v>32</v>
      </c>
      <c r="L1702">
        <v>15</v>
      </c>
      <c r="M1702">
        <v>120</v>
      </c>
      <c r="N1702">
        <f t="shared" si="212"/>
        <v>1800</v>
      </c>
      <c r="O1702">
        <f t="shared" si="213"/>
        <v>180</v>
      </c>
      <c r="P1702" t="str">
        <f t="shared" si="214"/>
        <v>Large Order</v>
      </c>
      <c r="Q1702" t="str">
        <f t="shared" si="215"/>
        <v>Weekday</v>
      </c>
    </row>
    <row r="1703" spans="1:17" x14ac:dyDescent="0.35">
      <c r="A1703" t="s">
        <v>1853</v>
      </c>
      <c r="B1703" s="7">
        <v>45636</v>
      </c>
      <c r="C1703" s="13">
        <f t="shared" si="209"/>
        <v>2024</v>
      </c>
      <c r="D1703" s="7" t="str">
        <f t="shared" si="210"/>
        <v>Dec</v>
      </c>
      <c r="E1703" s="7" t="str">
        <f t="shared" si="211"/>
        <v>Tue</v>
      </c>
      <c r="F1703" t="s">
        <v>369</v>
      </c>
      <c r="G1703" t="s">
        <v>74</v>
      </c>
      <c r="H1703" t="s">
        <v>22</v>
      </c>
      <c r="I1703" s="2" t="str">
        <f t="shared" si="208"/>
        <v>East</v>
      </c>
      <c r="J1703" t="s">
        <v>306</v>
      </c>
      <c r="K1703" t="s">
        <v>13</v>
      </c>
      <c r="L1703">
        <v>5</v>
      </c>
      <c r="M1703">
        <v>120</v>
      </c>
      <c r="N1703">
        <f t="shared" si="212"/>
        <v>600</v>
      </c>
      <c r="O1703">
        <f t="shared" si="213"/>
        <v>60</v>
      </c>
      <c r="P1703" t="str">
        <f t="shared" si="214"/>
        <v>Large Order</v>
      </c>
      <c r="Q1703" t="str">
        <f t="shared" si="215"/>
        <v>Weekday</v>
      </c>
    </row>
    <row r="1704" spans="1:17" x14ac:dyDescent="0.35">
      <c r="A1704" t="s">
        <v>1854</v>
      </c>
      <c r="B1704" s="7">
        <v>45414</v>
      </c>
      <c r="C1704" s="13">
        <f t="shared" si="209"/>
        <v>2024</v>
      </c>
      <c r="D1704" s="7" t="str">
        <f t="shared" si="210"/>
        <v>May</v>
      </c>
      <c r="E1704" s="7" t="str">
        <f t="shared" si="211"/>
        <v>Thu</v>
      </c>
      <c r="F1704" t="s">
        <v>147</v>
      </c>
      <c r="G1704" t="s">
        <v>102</v>
      </c>
      <c r="H1704" t="s">
        <v>11</v>
      </c>
      <c r="I1704" s="2" t="str">
        <f t="shared" si="208"/>
        <v>West</v>
      </c>
      <c r="J1704" t="s">
        <v>42</v>
      </c>
      <c r="K1704" t="s">
        <v>28</v>
      </c>
      <c r="L1704">
        <v>17</v>
      </c>
      <c r="M1704">
        <v>120</v>
      </c>
      <c r="N1704">
        <f t="shared" si="212"/>
        <v>2040</v>
      </c>
      <c r="O1704">
        <f t="shared" si="213"/>
        <v>204</v>
      </c>
      <c r="P1704" t="str">
        <f t="shared" si="214"/>
        <v>Large Order</v>
      </c>
      <c r="Q1704" t="str">
        <f t="shared" si="215"/>
        <v>Weekday</v>
      </c>
    </row>
    <row r="1705" spans="1:17" x14ac:dyDescent="0.35">
      <c r="A1705" t="s">
        <v>1855</v>
      </c>
      <c r="B1705" s="7">
        <v>45597</v>
      </c>
      <c r="C1705" s="13">
        <f t="shared" si="209"/>
        <v>2024</v>
      </c>
      <c r="D1705" s="7" t="str">
        <f t="shared" si="210"/>
        <v>Nov</v>
      </c>
      <c r="E1705" s="7" t="str">
        <f t="shared" si="211"/>
        <v>Fri</v>
      </c>
      <c r="F1705" t="s">
        <v>99</v>
      </c>
      <c r="G1705" t="s">
        <v>59</v>
      </c>
      <c r="H1705" t="s">
        <v>17</v>
      </c>
      <c r="I1705" s="2" t="str">
        <f t="shared" si="208"/>
        <v>South</v>
      </c>
      <c r="J1705" t="s">
        <v>27</v>
      </c>
      <c r="K1705" t="s">
        <v>28</v>
      </c>
      <c r="L1705">
        <v>16</v>
      </c>
      <c r="M1705">
        <v>120</v>
      </c>
      <c r="N1705">
        <f t="shared" si="212"/>
        <v>1920</v>
      </c>
      <c r="O1705">
        <f t="shared" si="213"/>
        <v>192</v>
      </c>
      <c r="P1705" t="str">
        <f t="shared" si="214"/>
        <v>Large Order</v>
      </c>
      <c r="Q1705" t="str">
        <f t="shared" si="215"/>
        <v>Weekday</v>
      </c>
    </row>
    <row r="1706" spans="1:17" x14ac:dyDescent="0.35">
      <c r="A1706" t="s">
        <v>1856</v>
      </c>
      <c r="B1706" s="7">
        <v>45647</v>
      </c>
      <c r="C1706" s="13">
        <f t="shared" si="209"/>
        <v>2024</v>
      </c>
      <c r="D1706" s="7" t="str">
        <f t="shared" si="210"/>
        <v>Dec</v>
      </c>
      <c r="E1706" s="7" t="str">
        <f t="shared" si="211"/>
        <v>Sat</v>
      </c>
      <c r="F1706" t="s">
        <v>736</v>
      </c>
      <c r="G1706" t="s">
        <v>45</v>
      </c>
      <c r="H1706" t="s">
        <v>22</v>
      </c>
      <c r="I1706" s="2" t="str">
        <f t="shared" si="208"/>
        <v>East</v>
      </c>
      <c r="J1706" t="s">
        <v>56</v>
      </c>
      <c r="K1706" t="s">
        <v>23</v>
      </c>
      <c r="L1706">
        <v>10</v>
      </c>
      <c r="M1706">
        <v>120</v>
      </c>
      <c r="N1706">
        <f t="shared" si="212"/>
        <v>1200</v>
      </c>
      <c r="O1706">
        <f t="shared" si="213"/>
        <v>120</v>
      </c>
      <c r="P1706" t="str">
        <f t="shared" si="214"/>
        <v>Large Order</v>
      </c>
      <c r="Q1706" t="str">
        <f t="shared" si="215"/>
        <v>Weekend</v>
      </c>
    </row>
    <row r="1707" spans="1:17" x14ac:dyDescent="0.35">
      <c r="A1707" t="s">
        <v>1857</v>
      </c>
      <c r="B1707" s="7">
        <v>45453</v>
      </c>
      <c r="C1707" s="13">
        <f t="shared" si="209"/>
        <v>2024</v>
      </c>
      <c r="D1707" s="7" t="str">
        <f t="shared" si="210"/>
        <v>Jun</v>
      </c>
      <c r="E1707" s="7" t="str">
        <f t="shared" si="211"/>
        <v>Mon</v>
      </c>
      <c r="F1707" t="s">
        <v>430</v>
      </c>
      <c r="G1707" t="s">
        <v>109</v>
      </c>
      <c r="H1707" t="s">
        <v>11</v>
      </c>
      <c r="I1707" s="2" t="str">
        <f t="shared" si="208"/>
        <v>West</v>
      </c>
      <c r="J1707" t="s">
        <v>42</v>
      </c>
      <c r="K1707" t="s">
        <v>13</v>
      </c>
      <c r="L1707">
        <v>16</v>
      </c>
      <c r="M1707">
        <v>120</v>
      </c>
      <c r="N1707">
        <f t="shared" si="212"/>
        <v>1920</v>
      </c>
      <c r="O1707">
        <f t="shared" si="213"/>
        <v>192</v>
      </c>
      <c r="P1707" t="str">
        <f t="shared" si="214"/>
        <v>Large Order</v>
      </c>
      <c r="Q1707" t="str">
        <f t="shared" si="215"/>
        <v>Weekday</v>
      </c>
    </row>
    <row r="1708" spans="1:17" x14ac:dyDescent="0.35">
      <c r="A1708" t="s">
        <v>1858</v>
      </c>
      <c r="B1708" s="7">
        <v>45488</v>
      </c>
      <c r="C1708" s="13">
        <f t="shared" si="209"/>
        <v>2024</v>
      </c>
      <c r="D1708" s="7" t="str">
        <f t="shared" si="210"/>
        <v>Jul</v>
      </c>
      <c r="E1708" s="7" t="str">
        <f t="shared" si="211"/>
        <v>Mon</v>
      </c>
      <c r="F1708" t="s">
        <v>642</v>
      </c>
      <c r="G1708" t="s">
        <v>160</v>
      </c>
      <c r="H1708" t="s">
        <v>22</v>
      </c>
      <c r="I1708" s="2" t="str">
        <f t="shared" si="208"/>
        <v>Central</v>
      </c>
      <c r="J1708" t="s">
        <v>27</v>
      </c>
      <c r="K1708" t="s">
        <v>23</v>
      </c>
      <c r="L1708">
        <v>16</v>
      </c>
      <c r="M1708">
        <v>120</v>
      </c>
      <c r="N1708">
        <f t="shared" si="212"/>
        <v>1920</v>
      </c>
      <c r="O1708">
        <f t="shared" si="213"/>
        <v>192</v>
      </c>
      <c r="P1708" t="str">
        <f t="shared" si="214"/>
        <v>Large Order</v>
      </c>
      <c r="Q1708" t="str">
        <f t="shared" si="215"/>
        <v>Weekday</v>
      </c>
    </row>
    <row r="1709" spans="1:17" x14ac:dyDescent="0.35">
      <c r="A1709" t="s">
        <v>1859</v>
      </c>
      <c r="B1709" s="7">
        <v>45519</v>
      </c>
      <c r="C1709" s="13">
        <f t="shared" si="209"/>
        <v>2024</v>
      </c>
      <c r="D1709" s="7" t="str">
        <f t="shared" si="210"/>
        <v>Aug</v>
      </c>
      <c r="E1709" s="7" t="str">
        <f t="shared" si="211"/>
        <v>Thu</v>
      </c>
      <c r="F1709" t="s">
        <v>374</v>
      </c>
      <c r="G1709" t="s">
        <v>45</v>
      </c>
      <c r="H1709" t="s">
        <v>11</v>
      </c>
      <c r="I1709" s="2" t="str">
        <f t="shared" si="208"/>
        <v>South</v>
      </c>
      <c r="J1709" t="s">
        <v>306</v>
      </c>
      <c r="K1709" t="s">
        <v>13</v>
      </c>
      <c r="L1709">
        <v>8</v>
      </c>
      <c r="M1709">
        <v>120</v>
      </c>
      <c r="N1709">
        <f t="shared" si="212"/>
        <v>960</v>
      </c>
      <c r="O1709">
        <f t="shared" si="213"/>
        <v>96</v>
      </c>
      <c r="P1709" t="str">
        <f t="shared" si="214"/>
        <v>Large Order</v>
      </c>
      <c r="Q1709" t="str">
        <f t="shared" si="215"/>
        <v>Weekday</v>
      </c>
    </row>
    <row r="1710" spans="1:17" x14ac:dyDescent="0.35">
      <c r="A1710" t="s">
        <v>1860</v>
      </c>
      <c r="B1710" s="7">
        <v>45432</v>
      </c>
      <c r="C1710" s="13">
        <f t="shared" si="209"/>
        <v>2024</v>
      </c>
      <c r="D1710" s="7" t="str">
        <f t="shared" si="210"/>
        <v>May</v>
      </c>
      <c r="E1710" s="7" t="str">
        <f t="shared" si="211"/>
        <v>Mon</v>
      </c>
      <c r="F1710" t="s">
        <v>240</v>
      </c>
      <c r="G1710" t="s">
        <v>174</v>
      </c>
      <c r="H1710" t="s">
        <v>17</v>
      </c>
      <c r="I1710" s="2" t="str">
        <f t="shared" si="208"/>
        <v>Central</v>
      </c>
      <c r="J1710" t="s">
        <v>56</v>
      </c>
      <c r="K1710" t="s">
        <v>23</v>
      </c>
      <c r="L1710">
        <v>19</v>
      </c>
      <c r="M1710">
        <v>120</v>
      </c>
      <c r="N1710">
        <f t="shared" si="212"/>
        <v>2280</v>
      </c>
      <c r="O1710">
        <f t="shared" si="213"/>
        <v>228</v>
      </c>
      <c r="P1710" t="str">
        <f t="shared" si="214"/>
        <v>Large Order</v>
      </c>
      <c r="Q1710" t="str">
        <f t="shared" si="215"/>
        <v>Weekday</v>
      </c>
    </row>
    <row r="1711" spans="1:17" x14ac:dyDescent="0.35">
      <c r="A1711" t="s">
        <v>1861</v>
      </c>
      <c r="B1711" s="7">
        <v>45545</v>
      </c>
      <c r="C1711" s="13">
        <f t="shared" si="209"/>
        <v>2024</v>
      </c>
      <c r="D1711" s="7" t="str">
        <f t="shared" si="210"/>
        <v>Sep</v>
      </c>
      <c r="E1711" s="7" t="str">
        <f t="shared" si="211"/>
        <v>Tue</v>
      </c>
      <c r="F1711" t="s">
        <v>378</v>
      </c>
      <c r="G1711" t="s">
        <v>160</v>
      </c>
      <c r="H1711" t="s">
        <v>11</v>
      </c>
      <c r="I1711" s="2" t="str">
        <f t="shared" si="208"/>
        <v>West</v>
      </c>
      <c r="J1711" t="s">
        <v>306</v>
      </c>
      <c r="K1711" t="s">
        <v>13</v>
      </c>
      <c r="L1711">
        <v>9</v>
      </c>
      <c r="M1711">
        <v>120</v>
      </c>
      <c r="N1711">
        <f t="shared" si="212"/>
        <v>1080</v>
      </c>
      <c r="O1711">
        <f t="shared" si="213"/>
        <v>108</v>
      </c>
      <c r="P1711" t="str">
        <f t="shared" si="214"/>
        <v>Large Order</v>
      </c>
      <c r="Q1711" t="str">
        <f t="shared" si="215"/>
        <v>Weekday</v>
      </c>
    </row>
    <row r="1712" spans="1:17" x14ac:dyDescent="0.35">
      <c r="A1712" t="s">
        <v>1862</v>
      </c>
      <c r="B1712" s="7">
        <v>45479</v>
      </c>
      <c r="C1712" s="13">
        <f t="shared" si="209"/>
        <v>2024</v>
      </c>
      <c r="D1712" s="7" t="str">
        <f t="shared" si="210"/>
        <v>Jul</v>
      </c>
      <c r="E1712" s="7" t="str">
        <f t="shared" si="211"/>
        <v>Sat</v>
      </c>
      <c r="F1712" t="s">
        <v>591</v>
      </c>
      <c r="G1712" t="s">
        <v>119</v>
      </c>
      <c r="H1712" t="s">
        <v>11</v>
      </c>
      <c r="I1712" s="2" t="str">
        <f t="shared" si="208"/>
        <v>East</v>
      </c>
      <c r="J1712" t="s">
        <v>27</v>
      </c>
      <c r="K1712" t="s">
        <v>36</v>
      </c>
      <c r="L1712">
        <v>7</v>
      </c>
      <c r="M1712">
        <v>120</v>
      </c>
      <c r="N1712">
        <f t="shared" si="212"/>
        <v>840</v>
      </c>
      <c r="O1712">
        <f t="shared" si="213"/>
        <v>84</v>
      </c>
      <c r="P1712" t="str">
        <f t="shared" si="214"/>
        <v>Large Order</v>
      </c>
      <c r="Q1712" t="str">
        <f t="shared" si="215"/>
        <v>Weekend</v>
      </c>
    </row>
    <row r="1713" spans="1:17" x14ac:dyDescent="0.35">
      <c r="A1713" t="s">
        <v>1863</v>
      </c>
      <c r="B1713" s="7">
        <v>45344</v>
      </c>
      <c r="C1713" s="13">
        <f t="shared" si="209"/>
        <v>2024</v>
      </c>
      <c r="D1713" s="7" t="str">
        <f t="shared" si="210"/>
        <v>Feb</v>
      </c>
      <c r="E1713" s="7" t="str">
        <f t="shared" si="211"/>
        <v>Thu</v>
      </c>
      <c r="F1713" t="s">
        <v>304</v>
      </c>
      <c r="G1713" t="s">
        <v>21</v>
      </c>
      <c r="H1713" t="s">
        <v>11</v>
      </c>
      <c r="I1713" s="2" t="str">
        <f t="shared" si="208"/>
        <v>South</v>
      </c>
      <c r="J1713" t="s">
        <v>42</v>
      </c>
      <c r="K1713" t="s">
        <v>13</v>
      </c>
      <c r="L1713">
        <v>15</v>
      </c>
      <c r="M1713">
        <v>120</v>
      </c>
      <c r="N1713">
        <f t="shared" si="212"/>
        <v>1800</v>
      </c>
      <c r="O1713">
        <f t="shared" si="213"/>
        <v>180</v>
      </c>
      <c r="P1713" t="str">
        <f t="shared" si="214"/>
        <v>Large Order</v>
      </c>
      <c r="Q1713" t="str">
        <f t="shared" si="215"/>
        <v>Weekday</v>
      </c>
    </row>
    <row r="1714" spans="1:17" x14ac:dyDescent="0.35">
      <c r="A1714" t="s">
        <v>1864</v>
      </c>
      <c r="B1714" s="7">
        <v>45336</v>
      </c>
      <c r="C1714" s="13">
        <f t="shared" si="209"/>
        <v>2024</v>
      </c>
      <c r="D1714" s="7" t="str">
        <f t="shared" si="210"/>
        <v>Feb</v>
      </c>
      <c r="E1714" s="7" t="str">
        <f t="shared" si="211"/>
        <v>Wed</v>
      </c>
      <c r="F1714" t="s">
        <v>396</v>
      </c>
      <c r="G1714" t="s">
        <v>102</v>
      </c>
      <c r="H1714" t="s">
        <v>11</v>
      </c>
      <c r="I1714" s="2" t="str">
        <f t="shared" si="208"/>
        <v>Central</v>
      </c>
      <c r="J1714" t="s">
        <v>56</v>
      </c>
      <c r="K1714" t="s">
        <v>36</v>
      </c>
      <c r="L1714">
        <v>12</v>
      </c>
      <c r="M1714">
        <v>120</v>
      </c>
      <c r="N1714">
        <f t="shared" si="212"/>
        <v>1440</v>
      </c>
      <c r="O1714">
        <f t="shared" si="213"/>
        <v>144</v>
      </c>
      <c r="P1714" t="str">
        <f t="shared" si="214"/>
        <v>Large Order</v>
      </c>
      <c r="Q1714" t="str">
        <f t="shared" si="215"/>
        <v>Weekday</v>
      </c>
    </row>
    <row r="1715" spans="1:17" x14ac:dyDescent="0.35">
      <c r="A1715" t="s">
        <v>1865</v>
      </c>
      <c r="B1715" s="7">
        <v>45604</v>
      </c>
      <c r="C1715" s="13">
        <f t="shared" si="209"/>
        <v>2024</v>
      </c>
      <c r="D1715" s="7" t="str">
        <f t="shared" si="210"/>
        <v>Nov</v>
      </c>
      <c r="E1715" s="7" t="str">
        <f t="shared" si="211"/>
        <v>Fri</v>
      </c>
      <c r="F1715" t="s">
        <v>451</v>
      </c>
      <c r="G1715" t="s">
        <v>87</v>
      </c>
      <c r="H1715" t="s">
        <v>11</v>
      </c>
      <c r="I1715" s="2" t="str">
        <f t="shared" si="208"/>
        <v>East</v>
      </c>
      <c r="J1715" t="s">
        <v>306</v>
      </c>
      <c r="K1715" t="s">
        <v>28</v>
      </c>
      <c r="L1715">
        <v>7</v>
      </c>
      <c r="M1715">
        <v>120</v>
      </c>
      <c r="N1715">
        <f t="shared" si="212"/>
        <v>840</v>
      </c>
      <c r="O1715">
        <f t="shared" si="213"/>
        <v>84</v>
      </c>
      <c r="P1715" t="str">
        <f t="shared" si="214"/>
        <v>Large Order</v>
      </c>
      <c r="Q1715" t="str">
        <f t="shared" si="215"/>
        <v>Weekday</v>
      </c>
    </row>
    <row r="1716" spans="1:17" x14ac:dyDescent="0.35">
      <c r="A1716" t="s">
        <v>1866</v>
      </c>
      <c r="B1716" s="7">
        <v>45322</v>
      </c>
      <c r="C1716" s="13">
        <f t="shared" si="209"/>
        <v>2024</v>
      </c>
      <c r="D1716" s="7" t="str">
        <f t="shared" si="210"/>
        <v>Jan</v>
      </c>
      <c r="E1716" s="7" t="str">
        <f t="shared" si="211"/>
        <v>Wed</v>
      </c>
      <c r="F1716" t="s">
        <v>614</v>
      </c>
      <c r="G1716" t="s">
        <v>48</v>
      </c>
      <c r="H1716" t="s">
        <v>22</v>
      </c>
      <c r="I1716" s="2" t="str">
        <f t="shared" si="208"/>
        <v>East</v>
      </c>
      <c r="J1716" t="s">
        <v>42</v>
      </c>
      <c r="K1716" t="s">
        <v>36</v>
      </c>
      <c r="L1716">
        <v>18</v>
      </c>
      <c r="M1716">
        <v>120</v>
      </c>
      <c r="N1716">
        <f t="shared" si="212"/>
        <v>2160</v>
      </c>
      <c r="O1716">
        <f t="shared" si="213"/>
        <v>216</v>
      </c>
      <c r="P1716" t="str">
        <f t="shared" si="214"/>
        <v>Large Order</v>
      </c>
      <c r="Q1716" t="str">
        <f t="shared" si="215"/>
        <v>Weekday</v>
      </c>
    </row>
    <row r="1717" spans="1:17" x14ac:dyDescent="0.35">
      <c r="A1717" t="s">
        <v>1867</v>
      </c>
      <c r="B1717" s="7">
        <v>45652</v>
      </c>
      <c r="C1717" s="13">
        <f t="shared" si="209"/>
        <v>2024</v>
      </c>
      <c r="D1717" s="7" t="str">
        <f t="shared" si="210"/>
        <v>Dec</v>
      </c>
      <c r="E1717" s="7" t="str">
        <f t="shared" si="211"/>
        <v>Thu</v>
      </c>
      <c r="F1717" t="s">
        <v>61</v>
      </c>
      <c r="G1717" t="s">
        <v>74</v>
      </c>
      <c r="H1717" t="s">
        <v>22</v>
      </c>
      <c r="I1717" s="2" t="str">
        <f t="shared" si="208"/>
        <v>South</v>
      </c>
      <c r="J1717" t="s">
        <v>42</v>
      </c>
      <c r="K1717" t="s">
        <v>36</v>
      </c>
      <c r="L1717">
        <v>4</v>
      </c>
      <c r="M1717">
        <v>120</v>
      </c>
      <c r="N1717">
        <f t="shared" si="212"/>
        <v>480</v>
      </c>
      <c r="O1717">
        <f t="shared" si="213"/>
        <v>48</v>
      </c>
      <c r="P1717" t="str">
        <f t="shared" si="214"/>
        <v>Standard Order</v>
      </c>
      <c r="Q1717" t="str">
        <f t="shared" si="215"/>
        <v>Weekday</v>
      </c>
    </row>
    <row r="1718" spans="1:17" x14ac:dyDescent="0.35">
      <c r="A1718" t="s">
        <v>1868</v>
      </c>
      <c r="B1718" s="7">
        <v>45502</v>
      </c>
      <c r="C1718" s="13">
        <f t="shared" si="209"/>
        <v>2024</v>
      </c>
      <c r="D1718" s="7" t="str">
        <f t="shared" si="210"/>
        <v>Jul</v>
      </c>
      <c r="E1718" s="7" t="str">
        <f t="shared" si="211"/>
        <v>Mon</v>
      </c>
      <c r="F1718" t="s">
        <v>131</v>
      </c>
      <c r="G1718" t="s">
        <v>26</v>
      </c>
      <c r="H1718" t="s">
        <v>22</v>
      </c>
      <c r="I1718" s="2" t="str">
        <f t="shared" si="208"/>
        <v>West</v>
      </c>
      <c r="J1718" t="s">
        <v>56</v>
      </c>
      <c r="K1718" t="s">
        <v>28</v>
      </c>
      <c r="L1718">
        <v>8</v>
      </c>
      <c r="M1718">
        <v>120</v>
      </c>
      <c r="N1718">
        <f t="shared" si="212"/>
        <v>960</v>
      </c>
      <c r="O1718">
        <f t="shared" si="213"/>
        <v>96</v>
      </c>
      <c r="P1718" t="str">
        <f t="shared" si="214"/>
        <v>Large Order</v>
      </c>
      <c r="Q1718" t="str">
        <f t="shared" si="215"/>
        <v>Weekday</v>
      </c>
    </row>
    <row r="1719" spans="1:17" x14ac:dyDescent="0.35">
      <c r="A1719" t="s">
        <v>1869</v>
      </c>
      <c r="B1719" s="7">
        <v>45456</v>
      </c>
      <c r="C1719" s="13">
        <f t="shared" si="209"/>
        <v>2024</v>
      </c>
      <c r="D1719" s="7" t="str">
        <f t="shared" si="210"/>
        <v>Jun</v>
      </c>
      <c r="E1719" s="7" t="str">
        <f t="shared" si="211"/>
        <v>Thu</v>
      </c>
      <c r="F1719" t="s">
        <v>78</v>
      </c>
      <c r="G1719" t="s">
        <v>119</v>
      </c>
      <c r="H1719" t="s">
        <v>22</v>
      </c>
      <c r="I1719" s="2" t="str">
        <f t="shared" si="208"/>
        <v>West</v>
      </c>
      <c r="J1719" t="s">
        <v>27</v>
      </c>
      <c r="K1719" t="s">
        <v>23</v>
      </c>
      <c r="L1719">
        <v>5</v>
      </c>
      <c r="M1719">
        <v>120</v>
      </c>
      <c r="N1719">
        <f t="shared" si="212"/>
        <v>600</v>
      </c>
      <c r="O1719">
        <f t="shared" si="213"/>
        <v>60</v>
      </c>
      <c r="P1719" t="str">
        <f t="shared" si="214"/>
        <v>Large Order</v>
      </c>
      <c r="Q1719" t="str">
        <f t="shared" si="215"/>
        <v>Weekday</v>
      </c>
    </row>
    <row r="1720" spans="1:17" x14ac:dyDescent="0.35">
      <c r="A1720" t="s">
        <v>1870</v>
      </c>
      <c r="B1720" s="7">
        <v>45429</v>
      </c>
      <c r="C1720" s="13">
        <f t="shared" si="209"/>
        <v>2024</v>
      </c>
      <c r="D1720" s="7" t="str">
        <f t="shared" si="210"/>
        <v>May</v>
      </c>
      <c r="E1720" s="7" t="str">
        <f t="shared" si="211"/>
        <v>Fri</v>
      </c>
      <c r="F1720" t="s">
        <v>451</v>
      </c>
      <c r="G1720" t="s">
        <v>87</v>
      </c>
      <c r="H1720" t="s">
        <v>17</v>
      </c>
      <c r="I1720" s="2" t="str">
        <f t="shared" si="208"/>
        <v>West</v>
      </c>
      <c r="J1720" t="s">
        <v>27</v>
      </c>
      <c r="K1720" t="s">
        <v>13</v>
      </c>
      <c r="L1720">
        <v>3</v>
      </c>
      <c r="M1720">
        <v>120</v>
      </c>
      <c r="N1720">
        <f t="shared" si="212"/>
        <v>360</v>
      </c>
      <c r="O1720">
        <f t="shared" si="213"/>
        <v>36</v>
      </c>
      <c r="P1720" t="str">
        <f t="shared" si="214"/>
        <v>Standard Order</v>
      </c>
      <c r="Q1720" t="str">
        <f t="shared" si="215"/>
        <v>Weekday</v>
      </c>
    </row>
    <row r="1721" spans="1:17" x14ac:dyDescent="0.35">
      <c r="A1721" t="s">
        <v>1871</v>
      </c>
      <c r="B1721" s="7">
        <v>45434</v>
      </c>
      <c r="C1721" s="13">
        <f t="shared" si="209"/>
        <v>2024</v>
      </c>
      <c r="D1721" s="7" t="str">
        <f t="shared" si="210"/>
        <v>May</v>
      </c>
      <c r="E1721" s="7" t="str">
        <f t="shared" si="211"/>
        <v>Wed</v>
      </c>
      <c r="F1721" t="s">
        <v>465</v>
      </c>
      <c r="G1721" t="s">
        <v>48</v>
      </c>
      <c r="H1721" t="s">
        <v>17</v>
      </c>
      <c r="I1721" s="2" t="str">
        <f t="shared" si="208"/>
        <v>East</v>
      </c>
      <c r="J1721" t="s">
        <v>27</v>
      </c>
      <c r="K1721" t="s">
        <v>32</v>
      </c>
      <c r="L1721">
        <v>19</v>
      </c>
      <c r="M1721">
        <v>120</v>
      </c>
      <c r="N1721">
        <f t="shared" si="212"/>
        <v>2280</v>
      </c>
      <c r="O1721">
        <f t="shared" si="213"/>
        <v>228</v>
      </c>
      <c r="P1721" t="str">
        <f t="shared" si="214"/>
        <v>Large Order</v>
      </c>
      <c r="Q1721" t="str">
        <f t="shared" si="215"/>
        <v>Weekday</v>
      </c>
    </row>
    <row r="1722" spans="1:17" x14ac:dyDescent="0.35">
      <c r="A1722" t="s">
        <v>1872</v>
      </c>
      <c r="B1722" s="7">
        <v>45339</v>
      </c>
      <c r="C1722" s="13">
        <f t="shared" si="209"/>
        <v>2024</v>
      </c>
      <c r="D1722" s="7" t="str">
        <f t="shared" si="210"/>
        <v>Feb</v>
      </c>
      <c r="E1722" s="7" t="str">
        <f t="shared" si="211"/>
        <v>Sat</v>
      </c>
      <c r="F1722" t="s">
        <v>388</v>
      </c>
      <c r="G1722" t="s">
        <v>70</v>
      </c>
      <c r="H1722" t="s">
        <v>22</v>
      </c>
      <c r="I1722" s="2" t="str">
        <f t="shared" si="208"/>
        <v>East</v>
      </c>
      <c r="J1722" t="s">
        <v>42</v>
      </c>
      <c r="K1722" t="s">
        <v>13</v>
      </c>
      <c r="L1722">
        <v>18</v>
      </c>
      <c r="M1722">
        <v>120</v>
      </c>
      <c r="N1722">
        <f t="shared" si="212"/>
        <v>2160</v>
      </c>
      <c r="O1722">
        <f t="shared" si="213"/>
        <v>216</v>
      </c>
      <c r="P1722" t="str">
        <f t="shared" si="214"/>
        <v>Large Order</v>
      </c>
      <c r="Q1722" t="str">
        <f t="shared" si="215"/>
        <v>Weekend</v>
      </c>
    </row>
    <row r="1723" spans="1:17" x14ac:dyDescent="0.35">
      <c r="A1723" t="s">
        <v>1873</v>
      </c>
      <c r="B1723" s="7">
        <v>45511</v>
      </c>
      <c r="C1723" s="13">
        <f t="shared" si="209"/>
        <v>2024</v>
      </c>
      <c r="D1723" s="7" t="str">
        <f t="shared" si="210"/>
        <v>Aug</v>
      </c>
      <c r="E1723" s="7" t="str">
        <f t="shared" si="211"/>
        <v>Wed</v>
      </c>
      <c r="F1723" t="s">
        <v>133</v>
      </c>
      <c r="G1723" t="s">
        <v>35</v>
      </c>
      <c r="H1723" t="s">
        <v>17</v>
      </c>
      <c r="I1723" s="2" t="str">
        <f t="shared" si="208"/>
        <v>North</v>
      </c>
      <c r="J1723" t="s">
        <v>42</v>
      </c>
      <c r="K1723" t="s">
        <v>32</v>
      </c>
      <c r="L1723">
        <v>11</v>
      </c>
      <c r="M1723">
        <v>120</v>
      </c>
      <c r="N1723">
        <f t="shared" si="212"/>
        <v>1320</v>
      </c>
      <c r="O1723">
        <f t="shared" si="213"/>
        <v>132</v>
      </c>
      <c r="P1723" t="str">
        <f t="shared" si="214"/>
        <v>Large Order</v>
      </c>
      <c r="Q1723" t="str">
        <f t="shared" si="215"/>
        <v>Weekday</v>
      </c>
    </row>
    <row r="1724" spans="1:17" x14ac:dyDescent="0.35">
      <c r="A1724" t="s">
        <v>1874</v>
      </c>
      <c r="B1724" s="7">
        <v>45358</v>
      </c>
      <c r="C1724" s="13">
        <f t="shared" si="209"/>
        <v>2024</v>
      </c>
      <c r="D1724" s="7" t="str">
        <f t="shared" si="210"/>
        <v>Mar</v>
      </c>
      <c r="E1724" s="7" t="str">
        <f t="shared" si="211"/>
        <v>Thu</v>
      </c>
      <c r="F1724" t="s">
        <v>614</v>
      </c>
      <c r="G1724" t="s">
        <v>35</v>
      </c>
      <c r="H1724" t="s">
        <v>17</v>
      </c>
      <c r="I1724" s="2" t="str">
        <f t="shared" si="208"/>
        <v>West</v>
      </c>
      <c r="J1724" t="s">
        <v>12</v>
      </c>
      <c r="K1724" t="s">
        <v>13</v>
      </c>
      <c r="L1724">
        <v>4</v>
      </c>
      <c r="M1724">
        <v>120</v>
      </c>
      <c r="N1724">
        <f t="shared" si="212"/>
        <v>480</v>
      </c>
      <c r="O1724">
        <f t="shared" si="213"/>
        <v>48</v>
      </c>
      <c r="P1724" t="str">
        <f t="shared" si="214"/>
        <v>Standard Order</v>
      </c>
      <c r="Q1724" t="str">
        <f t="shared" si="215"/>
        <v>Weekday</v>
      </c>
    </row>
    <row r="1725" spans="1:17" x14ac:dyDescent="0.35">
      <c r="A1725" t="s">
        <v>1875</v>
      </c>
      <c r="B1725" s="7">
        <v>45527</v>
      </c>
      <c r="C1725" s="13">
        <f t="shared" si="209"/>
        <v>2024</v>
      </c>
      <c r="D1725" s="7" t="str">
        <f t="shared" si="210"/>
        <v>Aug</v>
      </c>
      <c r="E1725" s="7" t="str">
        <f t="shared" si="211"/>
        <v>Fri</v>
      </c>
      <c r="F1725" t="s">
        <v>138</v>
      </c>
      <c r="G1725" t="s">
        <v>102</v>
      </c>
      <c r="H1725" t="s">
        <v>11</v>
      </c>
      <c r="I1725" s="2" t="str">
        <f t="shared" si="208"/>
        <v>East</v>
      </c>
      <c r="J1725" t="s">
        <v>27</v>
      </c>
      <c r="K1725" t="s">
        <v>23</v>
      </c>
      <c r="L1725">
        <v>1</v>
      </c>
      <c r="M1725">
        <v>120</v>
      </c>
      <c r="N1725">
        <f t="shared" si="212"/>
        <v>120</v>
      </c>
      <c r="O1725">
        <f t="shared" si="213"/>
        <v>12</v>
      </c>
      <c r="P1725" t="str">
        <f t="shared" si="214"/>
        <v>Standard Order</v>
      </c>
      <c r="Q1725" t="str">
        <f t="shared" si="215"/>
        <v>Weekday</v>
      </c>
    </row>
    <row r="1726" spans="1:17" x14ac:dyDescent="0.35">
      <c r="A1726" t="s">
        <v>1876</v>
      </c>
      <c r="B1726" s="7">
        <v>45511</v>
      </c>
      <c r="C1726" s="13">
        <f t="shared" si="209"/>
        <v>2024</v>
      </c>
      <c r="D1726" s="7" t="str">
        <f t="shared" si="210"/>
        <v>Aug</v>
      </c>
      <c r="E1726" s="7" t="str">
        <f t="shared" si="211"/>
        <v>Wed</v>
      </c>
      <c r="F1726" t="s">
        <v>104</v>
      </c>
      <c r="G1726" t="s">
        <v>62</v>
      </c>
      <c r="H1726" t="s">
        <v>11</v>
      </c>
      <c r="I1726" s="2" t="str">
        <f t="shared" si="208"/>
        <v>South</v>
      </c>
      <c r="J1726" t="s">
        <v>42</v>
      </c>
      <c r="K1726" t="s">
        <v>28</v>
      </c>
      <c r="L1726">
        <v>9</v>
      </c>
      <c r="M1726">
        <v>120</v>
      </c>
      <c r="N1726">
        <f t="shared" si="212"/>
        <v>1080</v>
      </c>
      <c r="O1726">
        <f t="shared" si="213"/>
        <v>108</v>
      </c>
      <c r="P1726" t="str">
        <f t="shared" si="214"/>
        <v>Large Order</v>
      </c>
      <c r="Q1726" t="str">
        <f t="shared" si="215"/>
        <v>Weekday</v>
      </c>
    </row>
    <row r="1727" spans="1:17" x14ac:dyDescent="0.35">
      <c r="A1727" t="s">
        <v>1877</v>
      </c>
      <c r="B1727" s="7">
        <v>45476</v>
      </c>
      <c r="C1727" s="13">
        <f t="shared" si="209"/>
        <v>2024</v>
      </c>
      <c r="D1727" s="7" t="str">
        <f t="shared" si="210"/>
        <v>Jul</v>
      </c>
      <c r="E1727" s="7" t="str">
        <f t="shared" si="211"/>
        <v>Wed</v>
      </c>
      <c r="F1727" t="s">
        <v>230</v>
      </c>
      <c r="G1727" t="s">
        <v>10</v>
      </c>
      <c r="H1727" t="s">
        <v>17</v>
      </c>
      <c r="I1727" s="2" t="str">
        <f t="shared" si="208"/>
        <v>North</v>
      </c>
      <c r="J1727" t="s">
        <v>56</v>
      </c>
      <c r="K1727" t="s">
        <v>13</v>
      </c>
      <c r="L1727">
        <v>13</v>
      </c>
      <c r="M1727">
        <v>120</v>
      </c>
      <c r="N1727">
        <f t="shared" si="212"/>
        <v>1560</v>
      </c>
      <c r="O1727">
        <f t="shared" si="213"/>
        <v>156</v>
      </c>
      <c r="P1727" t="str">
        <f t="shared" si="214"/>
        <v>Large Order</v>
      </c>
      <c r="Q1727" t="str">
        <f t="shared" si="215"/>
        <v>Weekday</v>
      </c>
    </row>
    <row r="1728" spans="1:17" x14ac:dyDescent="0.35">
      <c r="A1728" t="s">
        <v>1878</v>
      </c>
      <c r="B1728" s="7">
        <v>45650</v>
      </c>
      <c r="C1728" s="13">
        <f t="shared" si="209"/>
        <v>2024</v>
      </c>
      <c r="D1728" s="7" t="str">
        <f t="shared" si="210"/>
        <v>Dec</v>
      </c>
      <c r="E1728" s="7" t="str">
        <f t="shared" si="211"/>
        <v>Tue</v>
      </c>
      <c r="F1728" t="s">
        <v>664</v>
      </c>
      <c r="G1728" t="s">
        <v>197</v>
      </c>
      <c r="H1728" t="s">
        <v>17</v>
      </c>
      <c r="I1728" s="2" t="str">
        <f t="shared" si="208"/>
        <v>Central</v>
      </c>
      <c r="J1728" t="s">
        <v>12</v>
      </c>
      <c r="K1728" t="s">
        <v>13</v>
      </c>
      <c r="L1728">
        <v>1</v>
      </c>
      <c r="M1728">
        <v>120</v>
      </c>
      <c r="N1728">
        <f t="shared" si="212"/>
        <v>120</v>
      </c>
      <c r="O1728">
        <f t="shared" si="213"/>
        <v>12</v>
      </c>
      <c r="P1728" t="str">
        <f t="shared" si="214"/>
        <v>Standard Order</v>
      </c>
      <c r="Q1728" t="str">
        <f t="shared" si="215"/>
        <v>Weekday</v>
      </c>
    </row>
    <row r="1729" spans="1:17" x14ac:dyDescent="0.35">
      <c r="A1729" t="s">
        <v>1879</v>
      </c>
      <c r="B1729" s="7">
        <v>45331</v>
      </c>
      <c r="C1729" s="13">
        <f t="shared" si="209"/>
        <v>2024</v>
      </c>
      <c r="D1729" s="7" t="str">
        <f t="shared" si="210"/>
        <v>Feb</v>
      </c>
      <c r="E1729" s="7" t="str">
        <f t="shared" si="211"/>
        <v>Fri</v>
      </c>
      <c r="F1729" t="s">
        <v>34</v>
      </c>
      <c r="G1729" t="s">
        <v>59</v>
      </c>
      <c r="H1729" t="s">
        <v>11</v>
      </c>
      <c r="I1729" s="2" t="str">
        <f t="shared" si="208"/>
        <v>South</v>
      </c>
      <c r="J1729" t="s">
        <v>306</v>
      </c>
      <c r="K1729" t="s">
        <v>23</v>
      </c>
      <c r="L1729">
        <v>1</v>
      </c>
      <c r="M1729">
        <v>120</v>
      </c>
      <c r="N1729">
        <f t="shared" si="212"/>
        <v>120</v>
      </c>
      <c r="O1729">
        <f t="shared" si="213"/>
        <v>12</v>
      </c>
      <c r="P1729" t="str">
        <f t="shared" si="214"/>
        <v>Standard Order</v>
      </c>
      <c r="Q1729" t="str">
        <f t="shared" si="215"/>
        <v>Weekday</v>
      </c>
    </row>
    <row r="1730" spans="1:17" x14ac:dyDescent="0.35">
      <c r="A1730" t="s">
        <v>1880</v>
      </c>
      <c r="B1730" s="7">
        <v>45467</v>
      </c>
      <c r="C1730" s="13">
        <f t="shared" si="209"/>
        <v>2024</v>
      </c>
      <c r="D1730" s="7" t="str">
        <f t="shared" si="210"/>
        <v>Jun</v>
      </c>
      <c r="E1730" s="7" t="str">
        <f t="shared" si="211"/>
        <v>Mon</v>
      </c>
      <c r="F1730" t="s">
        <v>114</v>
      </c>
      <c r="G1730" t="s">
        <v>87</v>
      </c>
      <c r="H1730" t="s">
        <v>22</v>
      </c>
      <c r="I1730" s="2" t="str">
        <f t="shared" si="208"/>
        <v>East</v>
      </c>
      <c r="J1730" t="s">
        <v>56</v>
      </c>
      <c r="K1730" t="s">
        <v>23</v>
      </c>
      <c r="L1730">
        <v>3</v>
      </c>
      <c r="M1730">
        <v>120</v>
      </c>
      <c r="N1730">
        <f t="shared" si="212"/>
        <v>360</v>
      </c>
      <c r="O1730">
        <f t="shared" si="213"/>
        <v>36</v>
      </c>
      <c r="P1730" t="str">
        <f t="shared" si="214"/>
        <v>Standard Order</v>
      </c>
      <c r="Q1730" t="str">
        <f t="shared" si="215"/>
        <v>Weekday</v>
      </c>
    </row>
    <row r="1731" spans="1:17" x14ac:dyDescent="0.35">
      <c r="A1731" t="s">
        <v>1881</v>
      </c>
      <c r="B1731" s="7">
        <v>45337</v>
      </c>
      <c r="C1731" s="13">
        <f t="shared" si="209"/>
        <v>2024</v>
      </c>
      <c r="D1731" s="7" t="str">
        <f t="shared" si="210"/>
        <v>Feb</v>
      </c>
      <c r="E1731" s="7" t="str">
        <f t="shared" si="211"/>
        <v>Thu</v>
      </c>
      <c r="F1731" t="s">
        <v>388</v>
      </c>
      <c r="G1731" t="s">
        <v>102</v>
      </c>
      <c r="H1731" t="s">
        <v>11</v>
      </c>
      <c r="I1731" s="2" t="str">
        <f t="shared" ref="I1731:I1794" si="216">TRIM(J1732)</f>
        <v>North</v>
      </c>
      <c r="J1731" t="s">
        <v>42</v>
      </c>
      <c r="K1731" t="s">
        <v>32</v>
      </c>
      <c r="L1731">
        <v>10</v>
      </c>
      <c r="M1731">
        <v>120</v>
      </c>
      <c r="N1731">
        <f t="shared" si="212"/>
        <v>1200</v>
      </c>
      <c r="O1731">
        <f t="shared" si="213"/>
        <v>120</v>
      </c>
      <c r="P1731" t="str">
        <f t="shared" si="214"/>
        <v>Large Order</v>
      </c>
      <c r="Q1731" t="str">
        <f t="shared" si="215"/>
        <v>Weekday</v>
      </c>
    </row>
    <row r="1732" spans="1:17" x14ac:dyDescent="0.35">
      <c r="A1732" t="s">
        <v>1882</v>
      </c>
      <c r="B1732" s="7">
        <v>45360</v>
      </c>
      <c r="C1732" s="13">
        <f t="shared" ref="C1732:C1795" si="217">YEAR(B1732)</f>
        <v>2024</v>
      </c>
      <c r="D1732" s="7" t="str">
        <f t="shared" ref="D1732:D1795" si="218">TEXT(B1732,"mmm")</f>
        <v>Mar</v>
      </c>
      <c r="E1732" s="7" t="str">
        <f t="shared" ref="E1732:E1795" si="219">TEXT(B1732,"ddd")</f>
        <v>Sat</v>
      </c>
      <c r="F1732" t="s">
        <v>736</v>
      </c>
      <c r="G1732" t="s">
        <v>41</v>
      </c>
      <c r="H1732" t="s">
        <v>11</v>
      </c>
      <c r="I1732" s="2" t="str">
        <f t="shared" si="216"/>
        <v>South</v>
      </c>
      <c r="J1732" t="s">
        <v>12</v>
      </c>
      <c r="K1732" t="s">
        <v>36</v>
      </c>
      <c r="L1732">
        <v>19</v>
      </c>
      <c r="M1732">
        <v>120</v>
      </c>
      <c r="N1732">
        <f t="shared" ref="N1732:N1795" si="220">M1732*L1732</f>
        <v>2280</v>
      </c>
      <c r="O1732">
        <f t="shared" ref="O1732:O1795" si="221">N1732*0.1</f>
        <v>228</v>
      </c>
      <c r="P1732" t="str">
        <f t="shared" ref="P1732:P1795" si="222">IF(N1732&gt;500,"Large Order","Standard Order")</f>
        <v>Large Order</v>
      </c>
      <c r="Q1732" t="str">
        <f t="shared" ref="Q1732:Q1795" si="223">IF(OR(TRIM(E1732)="Sat",TRIM(E1732)="Sun"),"Weekend","Weekday")</f>
        <v>Weekend</v>
      </c>
    </row>
    <row r="1733" spans="1:17" x14ac:dyDescent="0.35">
      <c r="A1733" t="s">
        <v>1883</v>
      </c>
      <c r="B1733" s="7">
        <v>45624</v>
      </c>
      <c r="C1733" s="13">
        <f t="shared" si="217"/>
        <v>2024</v>
      </c>
      <c r="D1733" s="7" t="str">
        <f t="shared" si="218"/>
        <v>Nov</v>
      </c>
      <c r="E1733" s="7" t="str">
        <f t="shared" si="219"/>
        <v>Thu</v>
      </c>
      <c r="F1733" t="s">
        <v>30</v>
      </c>
      <c r="G1733" t="s">
        <v>70</v>
      </c>
      <c r="H1733" t="s">
        <v>17</v>
      </c>
      <c r="I1733" s="2" t="str">
        <f t="shared" si="216"/>
        <v>South</v>
      </c>
      <c r="J1733" t="s">
        <v>56</v>
      </c>
      <c r="K1733" t="s">
        <v>28</v>
      </c>
      <c r="L1733">
        <v>14</v>
      </c>
      <c r="M1733">
        <v>120</v>
      </c>
      <c r="N1733">
        <f t="shared" si="220"/>
        <v>1680</v>
      </c>
      <c r="O1733">
        <f t="shared" si="221"/>
        <v>168</v>
      </c>
      <c r="P1733" t="str">
        <f t="shared" si="222"/>
        <v>Large Order</v>
      </c>
      <c r="Q1733" t="str">
        <f t="shared" si="223"/>
        <v>Weekday</v>
      </c>
    </row>
    <row r="1734" spans="1:17" x14ac:dyDescent="0.35">
      <c r="A1734" t="s">
        <v>1884</v>
      </c>
      <c r="B1734" s="7">
        <v>45518</v>
      </c>
      <c r="C1734" s="13">
        <f t="shared" si="217"/>
        <v>2024</v>
      </c>
      <c r="D1734" s="7" t="str">
        <f t="shared" si="218"/>
        <v>Aug</v>
      </c>
      <c r="E1734" s="7" t="str">
        <f t="shared" si="219"/>
        <v>Wed</v>
      </c>
      <c r="F1734" t="s">
        <v>133</v>
      </c>
      <c r="G1734" t="s">
        <v>10</v>
      </c>
      <c r="H1734" t="s">
        <v>11</v>
      </c>
      <c r="I1734" s="2" t="str">
        <f t="shared" si="216"/>
        <v>South</v>
      </c>
      <c r="J1734" t="s">
        <v>56</v>
      </c>
      <c r="K1734" t="s">
        <v>13</v>
      </c>
      <c r="L1734">
        <v>19</v>
      </c>
      <c r="M1734">
        <v>120</v>
      </c>
      <c r="N1734">
        <f t="shared" si="220"/>
        <v>2280</v>
      </c>
      <c r="O1734">
        <f t="shared" si="221"/>
        <v>228</v>
      </c>
      <c r="P1734" t="str">
        <f t="shared" si="222"/>
        <v>Large Order</v>
      </c>
      <c r="Q1734" t="str">
        <f t="shared" si="223"/>
        <v>Weekday</v>
      </c>
    </row>
    <row r="1735" spans="1:17" x14ac:dyDescent="0.35">
      <c r="A1735" t="s">
        <v>1885</v>
      </c>
      <c r="B1735" s="7">
        <v>45471</v>
      </c>
      <c r="C1735" s="13">
        <f t="shared" si="217"/>
        <v>2024</v>
      </c>
      <c r="D1735" s="7" t="str">
        <f t="shared" si="218"/>
        <v>Jun</v>
      </c>
      <c r="E1735" s="7" t="str">
        <f t="shared" si="219"/>
        <v>Fri</v>
      </c>
      <c r="F1735" t="s">
        <v>309</v>
      </c>
      <c r="G1735" t="s">
        <v>72</v>
      </c>
      <c r="H1735" t="s">
        <v>11</v>
      </c>
      <c r="I1735" s="2" t="str">
        <f t="shared" si="216"/>
        <v>East</v>
      </c>
      <c r="J1735" t="s">
        <v>56</v>
      </c>
      <c r="K1735" t="s">
        <v>32</v>
      </c>
      <c r="L1735">
        <v>3</v>
      </c>
      <c r="M1735">
        <v>120</v>
      </c>
      <c r="N1735">
        <f t="shared" si="220"/>
        <v>360</v>
      </c>
      <c r="O1735">
        <f t="shared" si="221"/>
        <v>36</v>
      </c>
      <c r="P1735" t="str">
        <f t="shared" si="222"/>
        <v>Standard Order</v>
      </c>
      <c r="Q1735" t="str">
        <f t="shared" si="223"/>
        <v>Weekday</v>
      </c>
    </row>
    <row r="1736" spans="1:17" x14ac:dyDescent="0.35">
      <c r="A1736" t="s">
        <v>1886</v>
      </c>
      <c r="B1736" s="7">
        <v>45599</v>
      </c>
      <c r="C1736" s="13">
        <f t="shared" si="217"/>
        <v>2024</v>
      </c>
      <c r="D1736" s="7" t="str">
        <f t="shared" si="218"/>
        <v>Nov</v>
      </c>
      <c r="E1736" s="7" t="str">
        <f t="shared" si="219"/>
        <v>Sun</v>
      </c>
      <c r="F1736" t="s">
        <v>327</v>
      </c>
      <c r="G1736" t="s">
        <v>84</v>
      </c>
      <c r="H1736" t="s">
        <v>22</v>
      </c>
      <c r="I1736" s="2" t="str">
        <f t="shared" si="216"/>
        <v>West</v>
      </c>
      <c r="J1736" t="s">
        <v>42</v>
      </c>
      <c r="K1736" t="s">
        <v>13</v>
      </c>
      <c r="L1736">
        <v>10</v>
      </c>
      <c r="M1736">
        <v>120</v>
      </c>
      <c r="N1736">
        <f t="shared" si="220"/>
        <v>1200</v>
      </c>
      <c r="O1736">
        <f t="shared" si="221"/>
        <v>120</v>
      </c>
      <c r="P1736" t="str">
        <f t="shared" si="222"/>
        <v>Large Order</v>
      </c>
      <c r="Q1736" t="str">
        <f t="shared" si="223"/>
        <v>Weekend</v>
      </c>
    </row>
    <row r="1737" spans="1:17" x14ac:dyDescent="0.35">
      <c r="A1737" t="s">
        <v>1887</v>
      </c>
      <c r="B1737" s="7">
        <v>45602</v>
      </c>
      <c r="C1737" s="13">
        <f t="shared" si="217"/>
        <v>2024</v>
      </c>
      <c r="D1737" s="7" t="str">
        <f t="shared" si="218"/>
        <v>Nov</v>
      </c>
      <c r="E1737" s="7" t="str">
        <f t="shared" si="219"/>
        <v>Wed</v>
      </c>
      <c r="F1737" t="s">
        <v>345</v>
      </c>
      <c r="G1737" t="s">
        <v>65</v>
      </c>
      <c r="H1737" t="s">
        <v>22</v>
      </c>
      <c r="I1737" s="2" t="str">
        <f t="shared" si="216"/>
        <v>South</v>
      </c>
      <c r="J1737" t="s">
        <v>27</v>
      </c>
      <c r="K1737" t="s">
        <v>32</v>
      </c>
      <c r="L1737">
        <v>2</v>
      </c>
      <c r="M1737">
        <v>120</v>
      </c>
      <c r="N1737">
        <f t="shared" si="220"/>
        <v>240</v>
      </c>
      <c r="O1737">
        <f t="shared" si="221"/>
        <v>24</v>
      </c>
      <c r="P1737" t="str">
        <f t="shared" si="222"/>
        <v>Standard Order</v>
      </c>
      <c r="Q1737" t="str">
        <f t="shared" si="223"/>
        <v>Weekday</v>
      </c>
    </row>
    <row r="1738" spans="1:17" x14ac:dyDescent="0.35">
      <c r="A1738" t="s">
        <v>1888</v>
      </c>
      <c r="B1738" s="7">
        <v>45414</v>
      </c>
      <c r="C1738" s="13">
        <f t="shared" si="217"/>
        <v>2024</v>
      </c>
      <c r="D1738" s="7" t="str">
        <f t="shared" si="218"/>
        <v>May</v>
      </c>
      <c r="E1738" s="7" t="str">
        <f t="shared" si="219"/>
        <v>Thu</v>
      </c>
      <c r="F1738" t="s">
        <v>432</v>
      </c>
      <c r="G1738" t="s">
        <v>31</v>
      </c>
      <c r="H1738" t="s">
        <v>11</v>
      </c>
      <c r="I1738" s="2" t="str">
        <f t="shared" si="216"/>
        <v>West</v>
      </c>
      <c r="J1738" t="s">
        <v>56</v>
      </c>
      <c r="K1738" t="s">
        <v>23</v>
      </c>
      <c r="L1738">
        <v>20</v>
      </c>
      <c r="M1738">
        <v>120</v>
      </c>
      <c r="N1738">
        <f t="shared" si="220"/>
        <v>2400</v>
      </c>
      <c r="O1738">
        <f t="shared" si="221"/>
        <v>240</v>
      </c>
      <c r="P1738" t="str">
        <f t="shared" si="222"/>
        <v>Large Order</v>
      </c>
      <c r="Q1738" t="str">
        <f t="shared" si="223"/>
        <v>Weekday</v>
      </c>
    </row>
    <row r="1739" spans="1:17" x14ac:dyDescent="0.35">
      <c r="A1739" t="s">
        <v>1889</v>
      </c>
      <c r="B1739" s="7">
        <v>45298</v>
      </c>
      <c r="C1739" s="13">
        <f t="shared" si="217"/>
        <v>2024</v>
      </c>
      <c r="D1739" s="7" t="str">
        <f t="shared" si="218"/>
        <v>Jan</v>
      </c>
      <c r="E1739" s="7" t="str">
        <f t="shared" si="219"/>
        <v>Sun</v>
      </c>
      <c r="F1739" t="s">
        <v>83</v>
      </c>
      <c r="G1739" t="s">
        <v>72</v>
      </c>
      <c r="H1739" t="s">
        <v>11</v>
      </c>
      <c r="I1739" s="2" t="str">
        <f t="shared" si="216"/>
        <v>North</v>
      </c>
      <c r="J1739" t="s">
        <v>27</v>
      </c>
      <c r="K1739" t="s">
        <v>36</v>
      </c>
      <c r="L1739">
        <v>14</v>
      </c>
      <c r="M1739">
        <v>120</v>
      </c>
      <c r="N1739">
        <f t="shared" si="220"/>
        <v>1680</v>
      </c>
      <c r="O1739">
        <f t="shared" si="221"/>
        <v>168</v>
      </c>
      <c r="P1739" t="str">
        <f t="shared" si="222"/>
        <v>Large Order</v>
      </c>
      <c r="Q1739" t="str">
        <f t="shared" si="223"/>
        <v>Weekend</v>
      </c>
    </row>
    <row r="1740" spans="1:17" x14ac:dyDescent="0.35">
      <c r="A1740" t="s">
        <v>1890</v>
      </c>
      <c r="B1740" s="7">
        <v>45641</v>
      </c>
      <c r="C1740" s="13">
        <f t="shared" si="217"/>
        <v>2024</v>
      </c>
      <c r="D1740" s="7" t="str">
        <f t="shared" si="218"/>
        <v>Dec</v>
      </c>
      <c r="E1740" s="7" t="str">
        <f t="shared" si="219"/>
        <v>Sun</v>
      </c>
      <c r="F1740" t="s">
        <v>235</v>
      </c>
      <c r="G1740" t="s">
        <v>119</v>
      </c>
      <c r="H1740" t="s">
        <v>17</v>
      </c>
      <c r="I1740" s="2" t="str">
        <f t="shared" si="216"/>
        <v>West</v>
      </c>
      <c r="J1740" t="s">
        <v>12</v>
      </c>
      <c r="K1740" t="s">
        <v>13</v>
      </c>
      <c r="L1740">
        <v>19</v>
      </c>
      <c r="M1740">
        <v>120</v>
      </c>
      <c r="N1740">
        <f t="shared" si="220"/>
        <v>2280</v>
      </c>
      <c r="O1740">
        <f t="shared" si="221"/>
        <v>228</v>
      </c>
      <c r="P1740" t="str">
        <f t="shared" si="222"/>
        <v>Large Order</v>
      </c>
      <c r="Q1740" t="str">
        <f t="shared" si="223"/>
        <v>Weekend</v>
      </c>
    </row>
    <row r="1741" spans="1:17" x14ac:dyDescent="0.35">
      <c r="A1741" t="s">
        <v>1891</v>
      </c>
      <c r="B1741" s="7">
        <v>45426</v>
      </c>
      <c r="C1741" s="13">
        <f t="shared" si="217"/>
        <v>2024</v>
      </c>
      <c r="D1741" s="7" t="str">
        <f t="shared" si="218"/>
        <v>May</v>
      </c>
      <c r="E1741" s="7" t="str">
        <f t="shared" si="219"/>
        <v>Tue</v>
      </c>
      <c r="F1741" t="s">
        <v>133</v>
      </c>
      <c r="G1741" t="s">
        <v>79</v>
      </c>
      <c r="H1741" t="s">
        <v>11</v>
      </c>
      <c r="I1741" s="2" t="str">
        <f t="shared" si="216"/>
        <v>West</v>
      </c>
      <c r="J1741" t="s">
        <v>27</v>
      </c>
      <c r="K1741" t="s">
        <v>36</v>
      </c>
      <c r="L1741">
        <v>10</v>
      </c>
      <c r="M1741">
        <v>120</v>
      </c>
      <c r="N1741">
        <f t="shared" si="220"/>
        <v>1200</v>
      </c>
      <c r="O1741">
        <f t="shared" si="221"/>
        <v>120</v>
      </c>
      <c r="P1741" t="str">
        <f t="shared" si="222"/>
        <v>Large Order</v>
      </c>
      <c r="Q1741" t="str">
        <f t="shared" si="223"/>
        <v>Weekday</v>
      </c>
    </row>
    <row r="1742" spans="1:17" x14ac:dyDescent="0.35">
      <c r="A1742" t="s">
        <v>1892</v>
      </c>
      <c r="B1742" s="7">
        <v>45548</v>
      </c>
      <c r="C1742" s="13">
        <f t="shared" si="217"/>
        <v>2024</v>
      </c>
      <c r="D1742" s="7" t="str">
        <f t="shared" si="218"/>
        <v>Sep</v>
      </c>
      <c r="E1742" s="7" t="str">
        <f t="shared" si="219"/>
        <v>Fri</v>
      </c>
      <c r="F1742" t="s">
        <v>337</v>
      </c>
      <c r="G1742" t="s">
        <v>87</v>
      </c>
      <c r="H1742" t="s">
        <v>17</v>
      </c>
      <c r="I1742" s="2" t="str">
        <f t="shared" si="216"/>
        <v>North</v>
      </c>
      <c r="J1742" t="s">
        <v>27</v>
      </c>
      <c r="K1742" t="s">
        <v>13</v>
      </c>
      <c r="L1742">
        <v>18</v>
      </c>
      <c r="M1742">
        <v>120</v>
      </c>
      <c r="N1742">
        <f t="shared" si="220"/>
        <v>2160</v>
      </c>
      <c r="O1742">
        <f t="shared" si="221"/>
        <v>216</v>
      </c>
      <c r="P1742" t="str">
        <f t="shared" si="222"/>
        <v>Large Order</v>
      </c>
      <c r="Q1742" t="str">
        <f t="shared" si="223"/>
        <v>Weekday</v>
      </c>
    </row>
    <row r="1743" spans="1:17" x14ac:dyDescent="0.35">
      <c r="A1743" t="s">
        <v>1893</v>
      </c>
      <c r="B1743" s="7">
        <v>45370</v>
      </c>
      <c r="C1743" s="13">
        <f t="shared" si="217"/>
        <v>2024</v>
      </c>
      <c r="D1743" s="7" t="str">
        <f t="shared" si="218"/>
        <v>Mar</v>
      </c>
      <c r="E1743" s="7" t="str">
        <f t="shared" si="219"/>
        <v>Tue</v>
      </c>
      <c r="F1743" t="s">
        <v>89</v>
      </c>
      <c r="G1743" t="s">
        <v>10</v>
      </c>
      <c r="H1743" t="s">
        <v>17</v>
      </c>
      <c r="I1743" s="2" t="str">
        <f t="shared" si="216"/>
        <v>Central</v>
      </c>
      <c r="J1743" t="s">
        <v>12</v>
      </c>
      <c r="K1743" t="s">
        <v>36</v>
      </c>
      <c r="L1743">
        <v>7</v>
      </c>
      <c r="M1743">
        <v>120</v>
      </c>
      <c r="N1743">
        <f t="shared" si="220"/>
        <v>840</v>
      </c>
      <c r="O1743">
        <f t="shared" si="221"/>
        <v>84</v>
      </c>
      <c r="P1743" t="str">
        <f t="shared" si="222"/>
        <v>Large Order</v>
      </c>
      <c r="Q1743" t="str">
        <f t="shared" si="223"/>
        <v>Weekday</v>
      </c>
    </row>
    <row r="1744" spans="1:17" x14ac:dyDescent="0.35">
      <c r="A1744" t="s">
        <v>1894</v>
      </c>
      <c r="B1744" s="7">
        <v>45371</v>
      </c>
      <c r="C1744" s="13">
        <f t="shared" si="217"/>
        <v>2024</v>
      </c>
      <c r="D1744" s="7" t="str">
        <f t="shared" si="218"/>
        <v>Mar</v>
      </c>
      <c r="E1744" s="7" t="str">
        <f t="shared" si="219"/>
        <v>Wed</v>
      </c>
      <c r="F1744" t="s">
        <v>312</v>
      </c>
      <c r="G1744" t="s">
        <v>72</v>
      </c>
      <c r="H1744" t="s">
        <v>17</v>
      </c>
      <c r="I1744" s="2" t="str">
        <f t="shared" si="216"/>
        <v>West</v>
      </c>
      <c r="J1744" t="s">
        <v>306</v>
      </c>
      <c r="K1744" t="s">
        <v>13</v>
      </c>
      <c r="L1744">
        <v>10</v>
      </c>
      <c r="M1744">
        <v>120</v>
      </c>
      <c r="N1744">
        <f t="shared" si="220"/>
        <v>1200</v>
      </c>
      <c r="O1744">
        <f t="shared" si="221"/>
        <v>120</v>
      </c>
      <c r="P1744" t="str">
        <f t="shared" si="222"/>
        <v>Large Order</v>
      </c>
      <c r="Q1744" t="str">
        <f t="shared" si="223"/>
        <v>Weekday</v>
      </c>
    </row>
    <row r="1745" spans="1:17" x14ac:dyDescent="0.35">
      <c r="A1745" t="s">
        <v>1895</v>
      </c>
      <c r="B1745" s="7">
        <v>45414</v>
      </c>
      <c r="C1745" s="13">
        <f t="shared" si="217"/>
        <v>2024</v>
      </c>
      <c r="D1745" s="7" t="str">
        <f t="shared" si="218"/>
        <v>May</v>
      </c>
      <c r="E1745" s="7" t="str">
        <f t="shared" si="219"/>
        <v>Thu</v>
      </c>
      <c r="F1745" t="s">
        <v>131</v>
      </c>
      <c r="G1745" t="s">
        <v>197</v>
      </c>
      <c r="H1745" t="s">
        <v>11</v>
      </c>
      <c r="I1745" s="2" t="str">
        <f t="shared" si="216"/>
        <v>South</v>
      </c>
      <c r="J1745" t="s">
        <v>27</v>
      </c>
      <c r="K1745" t="s">
        <v>13</v>
      </c>
      <c r="L1745">
        <v>15</v>
      </c>
      <c r="M1745">
        <v>120</v>
      </c>
      <c r="N1745">
        <f t="shared" si="220"/>
        <v>1800</v>
      </c>
      <c r="O1745">
        <f t="shared" si="221"/>
        <v>180</v>
      </c>
      <c r="P1745" t="str">
        <f t="shared" si="222"/>
        <v>Large Order</v>
      </c>
      <c r="Q1745" t="str">
        <f t="shared" si="223"/>
        <v>Weekday</v>
      </c>
    </row>
    <row r="1746" spans="1:17" x14ac:dyDescent="0.35">
      <c r="A1746" t="s">
        <v>1896</v>
      </c>
      <c r="B1746" s="7">
        <v>45320</v>
      </c>
      <c r="C1746" s="13">
        <f t="shared" si="217"/>
        <v>2024</v>
      </c>
      <c r="D1746" s="7" t="str">
        <f t="shared" si="218"/>
        <v>Jan</v>
      </c>
      <c r="E1746" s="7" t="str">
        <f t="shared" si="219"/>
        <v>Mon</v>
      </c>
      <c r="F1746" t="s">
        <v>147</v>
      </c>
      <c r="G1746" t="s">
        <v>41</v>
      </c>
      <c r="H1746" t="s">
        <v>22</v>
      </c>
      <c r="I1746" s="2" t="str">
        <f t="shared" si="216"/>
        <v>East</v>
      </c>
      <c r="J1746" t="s">
        <v>56</v>
      </c>
      <c r="K1746" t="s">
        <v>13</v>
      </c>
      <c r="L1746">
        <v>1</v>
      </c>
      <c r="M1746">
        <v>120</v>
      </c>
      <c r="N1746">
        <f t="shared" si="220"/>
        <v>120</v>
      </c>
      <c r="O1746">
        <f t="shared" si="221"/>
        <v>12</v>
      </c>
      <c r="P1746" t="str">
        <f t="shared" si="222"/>
        <v>Standard Order</v>
      </c>
      <c r="Q1746" t="str">
        <f t="shared" si="223"/>
        <v>Weekday</v>
      </c>
    </row>
    <row r="1747" spans="1:17" x14ac:dyDescent="0.35">
      <c r="A1747" t="s">
        <v>1897</v>
      </c>
      <c r="B1747" s="7">
        <v>45651</v>
      </c>
      <c r="C1747" s="13">
        <f t="shared" si="217"/>
        <v>2024</v>
      </c>
      <c r="D1747" s="7" t="str">
        <f t="shared" si="218"/>
        <v>Dec</v>
      </c>
      <c r="E1747" s="7" t="str">
        <f t="shared" si="219"/>
        <v>Wed</v>
      </c>
      <c r="F1747" t="s">
        <v>142</v>
      </c>
      <c r="G1747" t="s">
        <v>45</v>
      </c>
      <c r="H1747" t="s">
        <v>17</v>
      </c>
      <c r="I1747" s="2" t="str">
        <f t="shared" si="216"/>
        <v>East</v>
      </c>
      <c r="J1747" t="s">
        <v>42</v>
      </c>
      <c r="K1747" t="s">
        <v>36</v>
      </c>
      <c r="L1747">
        <v>17</v>
      </c>
      <c r="M1747">
        <v>120</v>
      </c>
      <c r="N1747">
        <f t="shared" si="220"/>
        <v>2040</v>
      </c>
      <c r="O1747">
        <f t="shared" si="221"/>
        <v>204</v>
      </c>
      <c r="P1747" t="str">
        <f t="shared" si="222"/>
        <v>Large Order</v>
      </c>
      <c r="Q1747" t="str">
        <f t="shared" si="223"/>
        <v>Weekday</v>
      </c>
    </row>
    <row r="1748" spans="1:17" x14ac:dyDescent="0.35">
      <c r="A1748" t="s">
        <v>1898</v>
      </c>
      <c r="B1748" s="7">
        <v>45424</v>
      </c>
      <c r="C1748" s="13">
        <f t="shared" si="217"/>
        <v>2024</v>
      </c>
      <c r="D1748" s="7" t="str">
        <f t="shared" si="218"/>
        <v>May</v>
      </c>
      <c r="E1748" s="7" t="str">
        <f t="shared" si="219"/>
        <v>Sun</v>
      </c>
      <c r="F1748" t="s">
        <v>30</v>
      </c>
      <c r="G1748" t="s">
        <v>48</v>
      </c>
      <c r="H1748" t="s">
        <v>11</v>
      </c>
      <c r="I1748" s="2" t="str">
        <f t="shared" si="216"/>
        <v>East</v>
      </c>
      <c r="J1748" t="s">
        <v>42</v>
      </c>
      <c r="K1748" t="s">
        <v>13</v>
      </c>
      <c r="L1748">
        <v>1</v>
      </c>
      <c r="M1748">
        <v>120</v>
      </c>
      <c r="N1748">
        <f t="shared" si="220"/>
        <v>120</v>
      </c>
      <c r="O1748">
        <f t="shared" si="221"/>
        <v>12</v>
      </c>
      <c r="P1748" t="str">
        <f t="shared" si="222"/>
        <v>Standard Order</v>
      </c>
      <c r="Q1748" t="str">
        <f t="shared" si="223"/>
        <v>Weekend</v>
      </c>
    </row>
    <row r="1749" spans="1:17" x14ac:dyDescent="0.35">
      <c r="A1749" t="s">
        <v>1899</v>
      </c>
      <c r="B1749" s="7">
        <v>45511</v>
      </c>
      <c r="C1749" s="13">
        <f t="shared" si="217"/>
        <v>2024</v>
      </c>
      <c r="D1749" s="7" t="str">
        <f t="shared" si="218"/>
        <v>Aug</v>
      </c>
      <c r="E1749" s="7" t="str">
        <f t="shared" si="219"/>
        <v>Wed</v>
      </c>
      <c r="F1749" t="s">
        <v>101</v>
      </c>
      <c r="G1749" t="s">
        <v>160</v>
      </c>
      <c r="H1749" t="s">
        <v>11</v>
      </c>
      <c r="I1749" s="2" t="str">
        <f t="shared" si="216"/>
        <v>Central</v>
      </c>
      <c r="J1749" t="s">
        <v>42</v>
      </c>
      <c r="K1749" t="s">
        <v>36</v>
      </c>
      <c r="L1749">
        <v>3</v>
      </c>
      <c r="M1749">
        <v>120</v>
      </c>
      <c r="N1749">
        <f t="shared" si="220"/>
        <v>360</v>
      </c>
      <c r="O1749">
        <f t="shared" si="221"/>
        <v>36</v>
      </c>
      <c r="P1749" t="str">
        <f t="shared" si="222"/>
        <v>Standard Order</v>
      </c>
      <c r="Q1749" t="str">
        <f t="shared" si="223"/>
        <v>Weekday</v>
      </c>
    </row>
    <row r="1750" spans="1:17" x14ac:dyDescent="0.35">
      <c r="A1750" t="s">
        <v>1900</v>
      </c>
      <c r="B1750" s="7">
        <v>45553</v>
      </c>
      <c r="C1750" s="13">
        <f t="shared" si="217"/>
        <v>2024</v>
      </c>
      <c r="D1750" s="7" t="str">
        <f t="shared" si="218"/>
        <v>Sep</v>
      </c>
      <c r="E1750" s="7" t="str">
        <f t="shared" si="219"/>
        <v>Wed</v>
      </c>
      <c r="F1750" t="s">
        <v>83</v>
      </c>
      <c r="G1750" t="s">
        <v>79</v>
      </c>
      <c r="H1750" t="s">
        <v>17</v>
      </c>
      <c r="I1750" s="2" t="str">
        <f t="shared" si="216"/>
        <v>North</v>
      </c>
      <c r="J1750" t="s">
        <v>306</v>
      </c>
      <c r="K1750" t="s">
        <v>28</v>
      </c>
      <c r="L1750">
        <v>12</v>
      </c>
      <c r="M1750">
        <v>120</v>
      </c>
      <c r="N1750">
        <f t="shared" si="220"/>
        <v>1440</v>
      </c>
      <c r="O1750">
        <f t="shared" si="221"/>
        <v>144</v>
      </c>
      <c r="P1750" t="str">
        <f t="shared" si="222"/>
        <v>Large Order</v>
      </c>
      <c r="Q1750" t="str">
        <f t="shared" si="223"/>
        <v>Weekday</v>
      </c>
    </row>
    <row r="1751" spans="1:17" x14ac:dyDescent="0.35">
      <c r="A1751" t="s">
        <v>1901</v>
      </c>
      <c r="B1751" s="7">
        <v>45344</v>
      </c>
      <c r="C1751" s="13">
        <f t="shared" si="217"/>
        <v>2024</v>
      </c>
      <c r="D1751" s="7" t="str">
        <f t="shared" si="218"/>
        <v>Feb</v>
      </c>
      <c r="E1751" s="7" t="str">
        <f t="shared" si="219"/>
        <v>Thu</v>
      </c>
      <c r="F1751" t="s">
        <v>314</v>
      </c>
      <c r="G1751" t="s">
        <v>41</v>
      </c>
      <c r="H1751" t="s">
        <v>22</v>
      </c>
      <c r="I1751" s="2" t="str">
        <f t="shared" si="216"/>
        <v>East</v>
      </c>
      <c r="J1751" t="s">
        <v>12</v>
      </c>
      <c r="K1751" t="s">
        <v>28</v>
      </c>
      <c r="L1751">
        <v>17</v>
      </c>
      <c r="M1751">
        <v>120</v>
      </c>
      <c r="N1751">
        <f t="shared" si="220"/>
        <v>2040</v>
      </c>
      <c r="O1751">
        <f t="shared" si="221"/>
        <v>204</v>
      </c>
      <c r="P1751" t="str">
        <f t="shared" si="222"/>
        <v>Large Order</v>
      </c>
      <c r="Q1751" t="str">
        <f t="shared" si="223"/>
        <v>Weekday</v>
      </c>
    </row>
    <row r="1752" spans="1:17" x14ac:dyDescent="0.35">
      <c r="A1752" t="s">
        <v>1902</v>
      </c>
      <c r="B1752" s="7">
        <v>45298</v>
      </c>
      <c r="C1752" s="13">
        <f t="shared" si="217"/>
        <v>2024</v>
      </c>
      <c r="D1752" s="7" t="str">
        <f t="shared" si="218"/>
        <v>Jan</v>
      </c>
      <c r="E1752" s="7" t="str">
        <f t="shared" si="219"/>
        <v>Sun</v>
      </c>
      <c r="F1752" t="s">
        <v>78</v>
      </c>
      <c r="G1752" t="s">
        <v>79</v>
      </c>
      <c r="H1752" t="s">
        <v>17</v>
      </c>
      <c r="I1752" s="2" t="str">
        <f t="shared" si="216"/>
        <v>West</v>
      </c>
      <c r="J1752" t="s">
        <v>42</v>
      </c>
      <c r="K1752" t="s">
        <v>23</v>
      </c>
      <c r="L1752">
        <v>5</v>
      </c>
      <c r="M1752">
        <v>120</v>
      </c>
      <c r="N1752">
        <f t="shared" si="220"/>
        <v>600</v>
      </c>
      <c r="O1752">
        <f t="shared" si="221"/>
        <v>60</v>
      </c>
      <c r="P1752" t="str">
        <f t="shared" si="222"/>
        <v>Large Order</v>
      </c>
      <c r="Q1752" t="str">
        <f t="shared" si="223"/>
        <v>Weekend</v>
      </c>
    </row>
    <row r="1753" spans="1:17" x14ac:dyDescent="0.35">
      <c r="A1753" t="s">
        <v>1903</v>
      </c>
      <c r="B1753" s="7">
        <v>45310</v>
      </c>
      <c r="C1753" s="13">
        <f t="shared" si="217"/>
        <v>2024</v>
      </c>
      <c r="D1753" s="7" t="str">
        <f t="shared" si="218"/>
        <v>Jan</v>
      </c>
      <c r="E1753" s="7" t="str">
        <f t="shared" si="219"/>
        <v>Fri</v>
      </c>
      <c r="F1753" t="s">
        <v>378</v>
      </c>
      <c r="G1753" t="s">
        <v>62</v>
      </c>
      <c r="H1753" t="s">
        <v>22</v>
      </c>
      <c r="I1753" s="2" t="str">
        <f t="shared" si="216"/>
        <v>East</v>
      </c>
      <c r="J1753" t="s">
        <v>27</v>
      </c>
      <c r="K1753" t="s">
        <v>28</v>
      </c>
      <c r="L1753">
        <v>11</v>
      </c>
      <c r="M1753">
        <v>120</v>
      </c>
      <c r="N1753">
        <f t="shared" si="220"/>
        <v>1320</v>
      </c>
      <c r="O1753">
        <f t="shared" si="221"/>
        <v>132</v>
      </c>
      <c r="P1753" t="str">
        <f t="shared" si="222"/>
        <v>Large Order</v>
      </c>
      <c r="Q1753" t="str">
        <f t="shared" si="223"/>
        <v>Weekday</v>
      </c>
    </row>
    <row r="1754" spans="1:17" x14ac:dyDescent="0.35">
      <c r="A1754" t="s">
        <v>1904</v>
      </c>
      <c r="B1754" s="7">
        <v>45455</v>
      </c>
      <c r="C1754" s="13">
        <f t="shared" si="217"/>
        <v>2024</v>
      </c>
      <c r="D1754" s="7" t="str">
        <f t="shared" si="218"/>
        <v>Jun</v>
      </c>
      <c r="E1754" s="7" t="str">
        <f t="shared" si="219"/>
        <v>Wed</v>
      </c>
      <c r="F1754" t="s">
        <v>101</v>
      </c>
      <c r="G1754" t="s">
        <v>10</v>
      </c>
      <c r="H1754" t="s">
        <v>22</v>
      </c>
      <c r="I1754" s="2" t="str">
        <f t="shared" si="216"/>
        <v>North</v>
      </c>
      <c r="J1754" t="s">
        <v>42</v>
      </c>
      <c r="K1754" t="s">
        <v>13</v>
      </c>
      <c r="L1754">
        <v>17</v>
      </c>
      <c r="M1754">
        <v>120</v>
      </c>
      <c r="N1754">
        <f t="shared" si="220"/>
        <v>2040</v>
      </c>
      <c r="O1754">
        <f t="shared" si="221"/>
        <v>204</v>
      </c>
      <c r="P1754" t="str">
        <f t="shared" si="222"/>
        <v>Large Order</v>
      </c>
      <c r="Q1754" t="str">
        <f t="shared" si="223"/>
        <v>Weekday</v>
      </c>
    </row>
    <row r="1755" spans="1:17" x14ac:dyDescent="0.35">
      <c r="A1755" t="s">
        <v>1905</v>
      </c>
      <c r="B1755" s="7">
        <v>45318</v>
      </c>
      <c r="C1755" s="13">
        <f t="shared" si="217"/>
        <v>2024</v>
      </c>
      <c r="D1755" s="7" t="str">
        <f t="shared" si="218"/>
        <v>Jan</v>
      </c>
      <c r="E1755" s="7" t="str">
        <f t="shared" si="219"/>
        <v>Sat</v>
      </c>
      <c r="F1755" t="s">
        <v>235</v>
      </c>
      <c r="G1755" t="s">
        <v>197</v>
      </c>
      <c r="H1755" t="s">
        <v>22</v>
      </c>
      <c r="I1755" s="2" t="str">
        <f t="shared" si="216"/>
        <v>North</v>
      </c>
      <c r="J1755" t="s">
        <v>12</v>
      </c>
      <c r="K1755" t="s">
        <v>23</v>
      </c>
      <c r="L1755">
        <v>3</v>
      </c>
      <c r="M1755">
        <v>120</v>
      </c>
      <c r="N1755">
        <f t="shared" si="220"/>
        <v>360</v>
      </c>
      <c r="O1755">
        <f t="shared" si="221"/>
        <v>36</v>
      </c>
      <c r="P1755" t="str">
        <f t="shared" si="222"/>
        <v>Standard Order</v>
      </c>
      <c r="Q1755" t="str">
        <f t="shared" si="223"/>
        <v>Weekend</v>
      </c>
    </row>
    <row r="1756" spans="1:17" x14ac:dyDescent="0.35">
      <c r="A1756" t="s">
        <v>1906</v>
      </c>
      <c r="B1756" s="7">
        <v>45436</v>
      </c>
      <c r="C1756" s="13">
        <f t="shared" si="217"/>
        <v>2024</v>
      </c>
      <c r="D1756" s="7" t="str">
        <f t="shared" si="218"/>
        <v>May</v>
      </c>
      <c r="E1756" s="7" t="str">
        <f t="shared" si="219"/>
        <v>Fri</v>
      </c>
      <c r="F1756" t="s">
        <v>420</v>
      </c>
      <c r="G1756" t="s">
        <v>74</v>
      </c>
      <c r="H1756" t="s">
        <v>17</v>
      </c>
      <c r="I1756" s="2" t="str">
        <f t="shared" si="216"/>
        <v>Central</v>
      </c>
      <c r="J1756" t="s">
        <v>12</v>
      </c>
      <c r="K1756" t="s">
        <v>36</v>
      </c>
      <c r="L1756">
        <v>15</v>
      </c>
      <c r="M1756">
        <v>120</v>
      </c>
      <c r="N1756">
        <f t="shared" si="220"/>
        <v>1800</v>
      </c>
      <c r="O1756">
        <f t="shared" si="221"/>
        <v>180</v>
      </c>
      <c r="P1756" t="str">
        <f t="shared" si="222"/>
        <v>Large Order</v>
      </c>
      <c r="Q1756" t="str">
        <f t="shared" si="223"/>
        <v>Weekday</v>
      </c>
    </row>
    <row r="1757" spans="1:17" x14ac:dyDescent="0.35">
      <c r="A1757" t="s">
        <v>1907</v>
      </c>
      <c r="B1757" s="7">
        <v>45394</v>
      </c>
      <c r="C1757" s="13">
        <f t="shared" si="217"/>
        <v>2024</v>
      </c>
      <c r="D1757" s="7" t="str">
        <f t="shared" si="218"/>
        <v>Apr</v>
      </c>
      <c r="E1757" s="7" t="str">
        <f t="shared" si="219"/>
        <v>Fri</v>
      </c>
      <c r="F1757" t="s">
        <v>61</v>
      </c>
      <c r="G1757" t="s">
        <v>59</v>
      </c>
      <c r="H1757" t="s">
        <v>17</v>
      </c>
      <c r="I1757" s="2" t="str">
        <f t="shared" si="216"/>
        <v>Central</v>
      </c>
      <c r="J1757" t="s">
        <v>306</v>
      </c>
      <c r="K1757" t="s">
        <v>28</v>
      </c>
      <c r="L1757">
        <v>15</v>
      </c>
      <c r="M1757">
        <v>120</v>
      </c>
      <c r="N1757">
        <f t="shared" si="220"/>
        <v>1800</v>
      </c>
      <c r="O1757">
        <f t="shared" si="221"/>
        <v>180</v>
      </c>
      <c r="P1757" t="str">
        <f t="shared" si="222"/>
        <v>Large Order</v>
      </c>
      <c r="Q1757" t="str">
        <f t="shared" si="223"/>
        <v>Weekday</v>
      </c>
    </row>
    <row r="1758" spans="1:17" x14ac:dyDescent="0.35">
      <c r="A1758" t="s">
        <v>1908</v>
      </c>
      <c r="B1758" s="7">
        <v>45544</v>
      </c>
      <c r="C1758" s="13">
        <f t="shared" si="217"/>
        <v>2024</v>
      </c>
      <c r="D1758" s="7" t="str">
        <f t="shared" si="218"/>
        <v>Sep</v>
      </c>
      <c r="E1758" s="7" t="str">
        <f t="shared" si="219"/>
        <v>Mon</v>
      </c>
      <c r="F1758" t="s">
        <v>337</v>
      </c>
      <c r="G1758" t="s">
        <v>119</v>
      </c>
      <c r="H1758" t="s">
        <v>11</v>
      </c>
      <c r="I1758" s="2" t="str">
        <f t="shared" si="216"/>
        <v>East</v>
      </c>
      <c r="J1758" t="s">
        <v>306</v>
      </c>
      <c r="K1758" t="s">
        <v>28</v>
      </c>
      <c r="L1758">
        <v>5</v>
      </c>
      <c r="M1758">
        <v>120</v>
      </c>
      <c r="N1758">
        <f t="shared" si="220"/>
        <v>600</v>
      </c>
      <c r="O1758">
        <f t="shared" si="221"/>
        <v>60</v>
      </c>
      <c r="P1758" t="str">
        <f t="shared" si="222"/>
        <v>Large Order</v>
      </c>
      <c r="Q1758" t="str">
        <f t="shared" si="223"/>
        <v>Weekday</v>
      </c>
    </row>
    <row r="1759" spans="1:17" x14ac:dyDescent="0.35">
      <c r="A1759" t="s">
        <v>1909</v>
      </c>
      <c r="B1759" s="7">
        <v>45501</v>
      </c>
      <c r="C1759" s="13">
        <f t="shared" si="217"/>
        <v>2024</v>
      </c>
      <c r="D1759" s="7" t="str">
        <f t="shared" si="218"/>
        <v>Jul</v>
      </c>
      <c r="E1759" s="7" t="str">
        <f t="shared" si="219"/>
        <v>Sun</v>
      </c>
      <c r="F1759" t="s">
        <v>64</v>
      </c>
      <c r="G1759" t="s">
        <v>197</v>
      </c>
      <c r="H1759" t="s">
        <v>22</v>
      </c>
      <c r="I1759" s="2" t="str">
        <f t="shared" si="216"/>
        <v>East</v>
      </c>
      <c r="J1759" t="s">
        <v>42</v>
      </c>
      <c r="K1759" t="s">
        <v>13</v>
      </c>
      <c r="L1759">
        <v>11</v>
      </c>
      <c r="M1759">
        <v>120</v>
      </c>
      <c r="N1759">
        <f t="shared" si="220"/>
        <v>1320</v>
      </c>
      <c r="O1759">
        <f t="shared" si="221"/>
        <v>132</v>
      </c>
      <c r="P1759" t="str">
        <f t="shared" si="222"/>
        <v>Large Order</v>
      </c>
      <c r="Q1759" t="str">
        <f t="shared" si="223"/>
        <v>Weekend</v>
      </c>
    </row>
    <row r="1760" spans="1:17" x14ac:dyDescent="0.35">
      <c r="A1760" t="s">
        <v>1910</v>
      </c>
      <c r="B1760" s="7">
        <v>45628</v>
      </c>
      <c r="C1760" s="13">
        <f t="shared" si="217"/>
        <v>2024</v>
      </c>
      <c r="D1760" s="7" t="str">
        <f t="shared" si="218"/>
        <v>Dec</v>
      </c>
      <c r="E1760" s="7" t="str">
        <f t="shared" si="219"/>
        <v>Mon</v>
      </c>
      <c r="F1760" t="s">
        <v>159</v>
      </c>
      <c r="G1760" t="s">
        <v>84</v>
      </c>
      <c r="H1760" t="s">
        <v>22</v>
      </c>
      <c r="I1760" s="2" t="str">
        <f t="shared" si="216"/>
        <v>South</v>
      </c>
      <c r="J1760" t="s">
        <v>42</v>
      </c>
      <c r="K1760" t="s">
        <v>13</v>
      </c>
      <c r="L1760">
        <v>7</v>
      </c>
      <c r="M1760">
        <v>120</v>
      </c>
      <c r="N1760">
        <f t="shared" si="220"/>
        <v>840</v>
      </c>
      <c r="O1760">
        <f t="shared" si="221"/>
        <v>84</v>
      </c>
      <c r="P1760" t="str">
        <f t="shared" si="222"/>
        <v>Large Order</v>
      </c>
      <c r="Q1760" t="str">
        <f t="shared" si="223"/>
        <v>Weekday</v>
      </c>
    </row>
    <row r="1761" spans="1:17" x14ac:dyDescent="0.35">
      <c r="A1761" t="s">
        <v>1911</v>
      </c>
      <c r="B1761" s="7">
        <v>45413</v>
      </c>
      <c r="C1761" s="13">
        <f t="shared" si="217"/>
        <v>2024</v>
      </c>
      <c r="D1761" s="7" t="str">
        <f t="shared" si="218"/>
        <v>May</v>
      </c>
      <c r="E1761" s="7" t="str">
        <f t="shared" si="219"/>
        <v>Wed</v>
      </c>
      <c r="F1761" t="s">
        <v>572</v>
      </c>
      <c r="G1761" t="s">
        <v>35</v>
      </c>
      <c r="H1761" t="s">
        <v>11</v>
      </c>
      <c r="I1761" s="2" t="str">
        <f t="shared" si="216"/>
        <v>East</v>
      </c>
      <c r="J1761" t="s">
        <v>56</v>
      </c>
      <c r="K1761" t="s">
        <v>32</v>
      </c>
      <c r="L1761">
        <v>3</v>
      </c>
      <c r="M1761">
        <v>120</v>
      </c>
      <c r="N1761">
        <f t="shared" si="220"/>
        <v>360</v>
      </c>
      <c r="O1761">
        <f t="shared" si="221"/>
        <v>36</v>
      </c>
      <c r="P1761" t="str">
        <f t="shared" si="222"/>
        <v>Standard Order</v>
      </c>
      <c r="Q1761" t="str">
        <f t="shared" si="223"/>
        <v>Weekday</v>
      </c>
    </row>
    <row r="1762" spans="1:17" x14ac:dyDescent="0.35">
      <c r="A1762" t="s">
        <v>1912</v>
      </c>
      <c r="B1762" s="7">
        <v>45410</v>
      </c>
      <c r="C1762" s="13">
        <f t="shared" si="217"/>
        <v>2024</v>
      </c>
      <c r="D1762" s="7" t="str">
        <f t="shared" si="218"/>
        <v>Apr</v>
      </c>
      <c r="E1762" s="7" t="str">
        <f t="shared" si="219"/>
        <v>Sun</v>
      </c>
      <c r="F1762" t="s">
        <v>363</v>
      </c>
      <c r="G1762" t="s">
        <v>87</v>
      </c>
      <c r="H1762" t="s">
        <v>22</v>
      </c>
      <c r="I1762" s="2" t="str">
        <f t="shared" si="216"/>
        <v>North</v>
      </c>
      <c r="J1762" t="s">
        <v>42</v>
      </c>
      <c r="K1762" t="s">
        <v>23</v>
      </c>
      <c r="L1762">
        <v>3</v>
      </c>
      <c r="M1762">
        <v>120</v>
      </c>
      <c r="N1762">
        <f t="shared" si="220"/>
        <v>360</v>
      </c>
      <c r="O1762">
        <f t="shared" si="221"/>
        <v>36</v>
      </c>
      <c r="P1762" t="str">
        <f t="shared" si="222"/>
        <v>Standard Order</v>
      </c>
      <c r="Q1762" t="str">
        <f t="shared" si="223"/>
        <v>Weekend</v>
      </c>
    </row>
    <row r="1763" spans="1:17" x14ac:dyDescent="0.35">
      <c r="A1763" t="s">
        <v>1913</v>
      </c>
      <c r="B1763" s="7">
        <v>45550</v>
      </c>
      <c r="C1763" s="13">
        <f t="shared" si="217"/>
        <v>2024</v>
      </c>
      <c r="D1763" s="7" t="str">
        <f t="shared" si="218"/>
        <v>Sep</v>
      </c>
      <c r="E1763" s="7" t="str">
        <f t="shared" si="219"/>
        <v>Sun</v>
      </c>
      <c r="F1763" t="s">
        <v>99</v>
      </c>
      <c r="G1763" t="s">
        <v>21</v>
      </c>
      <c r="H1763" t="s">
        <v>17</v>
      </c>
      <c r="I1763" s="2" t="str">
        <f t="shared" si="216"/>
        <v>East</v>
      </c>
      <c r="J1763" t="s">
        <v>12</v>
      </c>
      <c r="K1763" t="s">
        <v>36</v>
      </c>
      <c r="L1763">
        <v>19</v>
      </c>
      <c r="M1763">
        <v>120</v>
      </c>
      <c r="N1763">
        <f t="shared" si="220"/>
        <v>2280</v>
      </c>
      <c r="O1763">
        <f t="shared" si="221"/>
        <v>228</v>
      </c>
      <c r="P1763" t="str">
        <f t="shared" si="222"/>
        <v>Large Order</v>
      </c>
      <c r="Q1763" t="str">
        <f t="shared" si="223"/>
        <v>Weekend</v>
      </c>
    </row>
    <row r="1764" spans="1:17" x14ac:dyDescent="0.35">
      <c r="A1764" t="s">
        <v>1914</v>
      </c>
      <c r="B1764" s="7">
        <v>45631</v>
      </c>
      <c r="C1764" s="13">
        <f t="shared" si="217"/>
        <v>2024</v>
      </c>
      <c r="D1764" s="7" t="str">
        <f t="shared" si="218"/>
        <v>Dec</v>
      </c>
      <c r="E1764" s="7" t="str">
        <f t="shared" si="219"/>
        <v>Thu</v>
      </c>
      <c r="F1764" t="s">
        <v>34</v>
      </c>
      <c r="G1764" t="s">
        <v>197</v>
      </c>
      <c r="H1764" t="s">
        <v>17</v>
      </c>
      <c r="I1764" s="2" t="str">
        <f t="shared" si="216"/>
        <v>South</v>
      </c>
      <c r="J1764" t="s">
        <v>42</v>
      </c>
      <c r="K1764" t="s">
        <v>32</v>
      </c>
      <c r="L1764">
        <v>13</v>
      </c>
      <c r="M1764">
        <v>120</v>
      </c>
      <c r="N1764">
        <f t="shared" si="220"/>
        <v>1560</v>
      </c>
      <c r="O1764">
        <f t="shared" si="221"/>
        <v>156</v>
      </c>
      <c r="P1764" t="str">
        <f t="shared" si="222"/>
        <v>Large Order</v>
      </c>
      <c r="Q1764" t="str">
        <f t="shared" si="223"/>
        <v>Weekday</v>
      </c>
    </row>
    <row r="1765" spans="1:17" x14ac:dyDescent="0.35">
      <c r="A1765" t="s">
        <v>1915</v>
      </c>
      <c r="B1765" s="7">
        <v>45459</v>
      </c>
      <c r="C1765" s="13">
        <f t="shared" si="217"/>
        <v>2024</v>
      </c>
      <c r="D1765" s="7" t="str">
        <f t="shared" si="218"/>
        <v>Jun</v>
      </c>
      <c r="E1765" s="7" t="str">
        <f t="shared" si="219"/>
        <v>Sun</v>
      </c>
      <c r="F1765" t="s">
        <v>38</v>
      </c>
      <c r="G1765" t="s">
        <v>70</v>
      </c>
      <c r="H1765" t="s">
        <v>17</v>
      </c>
      <c r="I1765" s="2" t="str">
        <f t="shared" si="216"/>
        <v>South</v>
      </c>
      <c r="J1765" t="s">
        <v>56</v>
      </c>
      <c r="K1765" t="s">
        <v>13</v>
      </c>
      <c r="L1765">
        <v>7</v>
      </c>
      <c r="M1765">
        <v>120</v>
      </c>
      <c r="N1765">
        <f t="shared" si="220"/>
        <v>840</v>
      </c>
      <c r="O1765">
        <f t="shared" si="221"/>
        <v>84</v>
      </c>
      <c r="P1765" t="str">
        <f t="shared" si="222"/>
        <v>Large Order</v>
      </c>
      <c r="Q1765" t="str">
        <f t="shared" si="223"/>
        <v>Weekend</v>
      </c>
    </row>
    <row r="1766" spans="1:17" x14ac:dyDescent="0.35">
      <c r="A1766" t="s">
        <v>1916</v>
      </c>
      <c r="B1766" s="7">
        <v>45591</v>
      </c>
      <c r="C1766" s="13">
        <f t="shared" si="217"/>
        <v>2024</v>
      </c>
      <c r="D1766" s="7" t="str">
        <f t="shared" si="218"/>
        <v>Oct</v>
      </c>
      <c r="E1766" s="7" t="str">
        <f t="shared" si="219"/>
        <v>Sat</v>
      </c>
      <c r="F1766" t="s">
        <v>15</v>
      </c>
      <c r="G1766" t="s">
        <v>16</v>
      </c>
      <c r="H1766" t="s">
        <v>11</v>
      </c>
      <c r="I1766" s="2" t="str">
        <f t="shared" si="216"/>
        <v>West</v>
      </c>
      <c r="J1766" t="s">
        <v>56</v>
      </c>
      <c r="K1766" t="s">
        <v>23</v>
      </c>
      <c r="L1766">
        <v>15</v>
      </c>
      <c r="M1766">
        <v>120</v>
      </c>
      <c r="N1766">
        <f t="shared" si="220"/>
        <v>1800</v>
      </c>
      <c r="O1766">
        <f t="shared" si="221"/>
        <v>180</v>
      </c>
      <c r="P1766" t="str">
        <f t="shared" si="222"/>
        <v>Large Order</v>
      </c>
      <c r="Q1766" t="str">
        <f t="shared" si="223"/>
        <v>Weekend</v>
      </c>
    </row>
    <row r="1767" spans="1:17" x14ac:dyDescent="0.35">
      <c r="A1767" t="s">
        <v>1917</v>
      </c>
      <c r="B1767" s="7">
        <v>45353</v>
      </c>
      <c r="C1767" s="13">
        <f t="shared" si="217"/>
        <v>2024</v>
      </c>
      <c r="D1767" s="7" t="str">
        <f t="shared" si="218"/>
        <v>Mar</v>
      </c>
      <c r="E1767" s="7" t="str">
        <f t="shared" si="219"/>
        <v>Sat</v>
      </c>
      <c r="F1767" t="s">
        <v>312</v>
      </c>
      <c r="G1767" t="s">
        <v>48</v>
      </c>
      <c r="H1767" t="s">
        <v>11</v>
      </c>
      <c r="I1767" s="2" t="str">
        <f t="shared" si="216"/>
        <v>East</v>
      </c>
      <c r="J1767" t="s">
        <v>27</v>
      </c>
      <c r="K1767" t="s">
        <v>32</v>
      </c>
      <c r="L1767">
        <v>15</v>
      </c>
      <c r="M1767">
        <v>120</v>
      </c>
      <c r="N1767">
        <f t="shared" si="220"/>
        <v>1800</v>
      </c>
      <c r="O1767">
        <f t="shared" si="221"/>
        <v>180</v>
      </c>
      <c r="P1767" t="str">
        <f t="shared" si="222"/>
        <v>Large Order</v>
      </c>
      <c r="Q1767" t="str">
        <f t="shared" si="223"/>
        <v>Weekend</v>
      </c>
    </row>
    <row r="1768" spans="1:17" x14ac:dyDescent="0.35">
      <c r="A1768" t="s">
        <v>1918</v>
      </c>
      <c r="B1768" s="7">
        <v>45353</v>
      </c>
      <c r="C1768" s="13">
        <f t="shared" si="217"/>
        <v>2024</v>
      </c>
      <c r="D1768" s="7" t="str">
        <f t="shared" si="218"/>
        <v>Mar</v>
      </c>
      <c r="E1768" s="7" t="str">
        <f t="shared" si="219"/>
        <v>Sat</v>
      </c>
      <c r="F1768" t="s">
        <v>203</v>
      </c>
      <c r="G1768" t="s">
        <v>45</v>
      </c>
      <c r="H1768" t="s">
        <v>22</v>
      </c>
      <c r="I1768" s="2" t="str">
        <f t="shared" si="216"/>
        <v>South</v>
      </c>
      <c r="J1768" t="s">
        <v>42</v>
      </c>
      <c r="K1768" t="s">
        <v>36</v>
      </c>
      <c r="L1768">
        <v>2</v>
      </c>
      <c r="M1768">
        <v>120</v>
      </c>
      <c r="N1768">
        <f t="shared" si="220"/>
        <v>240</v>
      </c>
      <c r="O1768">
        <f t="shared" si="221"/>
        <v>24</v>
      </c>
      <c r="P1768" t="str">
        <f t="shared" si="222"/>
        <v>Standard Order</v>
      </c>
      <c r="Q1768" t="str">
        <f t="shared" si="223"/>
        <v>Weekend</v>
      </c>
    </row>
    <row r="1769" spans="1:17" x14ac:dyDescent="0.35">
      <c r="A1769" t="s">
        <v>1919</v>
      </c>
      <c r="B1769" s="7">
        <v>45459</v>
      </c>
      <c r="C1769" s="13">
        <f t="shared" si="217"/>
        <v>2024</v>
      </c>
      <c r="D1769" s="7" t="str">
        <f t="shared" si="218"/>
        <v>Jun</v>
      </c>
      <c r="E1769" s="7" t="str">
        <f t="shared" si="219"/>
        <v>Sun</v>
      </c>
      <c r="F1769" t="s">
        <v>167</v>
      </c>
      <c r="G1769" t="s">
        <v>10</v>
      </c>
      <c r="H1769" t="s">
        <v>22</v>
      </c>
      <c r="I1769" s="2" t="str">
        <f t="shared" si="216"/>
        <v>North</v>
      </c>
      <c r="J1769" t="s">
        <v>56</v>
      </c>
      <c r="K1769" t="s">
        <v>32</v>
      </c>
      <c r="L1769">
        <v>13</v>
      </c>
      <c r="M1769">
        <v>120</v>
      </c>
      <c r="N1769">
        <f t="shared" si="220"/>
        <v>1560</v>
      </c>
      <c r="O1769">
        <f t="shared" si="221"/>
        <v>156</v>
      </c>
      <c r="P1769" t="str">
        <f t="shared" si="222"/>
        <v>Large Order</v>
      </c>
      <c r="Q1769" t="str">
        <f t="shared" si="223"/>
        <v>Weekend</v>
      </c>
    </row>
    <row r="1770" spans="1:17" x14ac:dyDescent="0.35">
      <c r="A1770" t="s">
        <v>1920</v>
      </c>
      <c r="B1770" s="7">
        <v>45638</v>
      </c>
      <c r="C1770" s="13">
        <f t="shared" si="217"/>
        <v>2024</v>
      </c>
      <c r="D1770" s="7" t="str">
        <f t="shared" si="218"/>
        <v>Dec</v>
      </c>
      <c r="E1770" s="7" t="str">
        <f t="shared" si="219"/>
        <v>Thu</v>
      </c>
      <c r="F1770" t="s">
        <v>68</v>
      </c>
      <c r="G1770" t="s">
        <v>26</v>
      </c>
      <c r="H1770" t="s">
        <v>11</v>
      </c>
      <c r="I1770" s="2" t="str">
        <f t="shared" si="216"/>
        <v>North</v>
      </c>
      <c r="J1770" t="s">
        <v>12</v>
      </c>
      <c r="K1770" t="s">
        <v>23</v>
      </c>
      <c r="L1770">
        <v>15</v>
      </c>
      <c r="M1770">
        <v>120</v>
      </c>
      <c r="N1770">
        <f t="shared" si="220"/>
        <v>1800</v>
      </c>
      <c r="O1770">
        <f t="shared" si="221"/>
        <v>180</v>
      </c>
      <c r="P1770" t="str">
        <f t="shared" si="222"/>
        <v>Large Order</v>
      </c>
      <c r="Q1770" t="str">
        <f t="shared" si="223"/>
        <v>Weekday</v>
      </c>
    </row>
    <row r="1771" spans="1:17" x14ac:dyDescent="0.35">
      <c r="A1771" t="s">
        <v>1921</v>
      </c>
      <c r="B1771" s="7">
        <v>45573</v>
      </c>
      <c r="C1771" s="13">
        <f t="shared" si="217"/>
        <v>2024</v>
      </c>
      <c r="D1771" s="7" t="str">
        <f t="shared" si="218"/>
        <v>Oct</v>
      </c>
      <c r="E1771" s="7" t="str">
        <f t="shared" si="219"/>
        <v>Tue</v>
      </c>
      <c r="F1771" t="s">
        <v>78</v>
      </c>
      <c r="G1771" t="s">
        <v>102</v>
      </c>
      <c r="H1771" t="s">
        <v>17</v>
      </c>
      <c r="I1771" s="2" t="str">
        <f t="shared" si="216"/>
        <v>East</v>
      </c>
      <c r="J1771" t="s">
        <v>12</v>
      </c>
      <c r="K1771" t="s">
        <v>28</v>
      </c>
      <c r="L1771">
        <v>4</v>
      </c>
      <c r="M1771">
        <v>120</v>
      </c>
      <c r="N1771">
        <f t="shared" si="220"/>
        <v>480</v>
      </c>
      <c r="O1771">
        <f t="shared" si="221"/>
        <v>48</v>
      </c>
      <c r="P1771" t="str">
        <f t="shared" si="222"/>
        <v>Standard Order</v>
      </c>
      <c r="Q1771" t="str">
        <f t="shared" si="223"/>
        <v>Weekday</v>
      </c>
    </row>
    <row r="1772" spans="1:17" x14ac:dyDescent="0.35">
      <c r="A1772" t="s">
        <v>1922</v>
      </c>
      <c r="B1772" s="7">
        <v>45405</v>
      </c>
      <c r="C1772" s="13">
        <f t="shared" si="217"/>
        <v>2024</v>
      </c>
      <c r="D1772" s="7" t="str">
        <f t="shared" si="218"/>
        <v>Apr</v>
      </c>
      <c r="E1772" s="7" t="str">
        <f t="shared" si="219"/>
        <v>Tue</v>
      </c>
      <c r="F1772" t="s">
        <v>34</v>
      </c>
      <c r="G1772" t="s">
        <v>65</v>
      </c>
      <c r="H1772" t="s">
        <v>17</v>
      </c>
      <c r="I1772" s="2" t="str">
        <f t="shared" si="216"/>
        <v>West</v>
      </c>
      <c r="J1772" t="s">
        <v>42</v>
      </c>
      <c r="K1772" t="s">
        <v>13</v>
      </c>
      <c r="L1772">
        <v>19</v>
      </c>
      <c r="M1772">
        <v>120</v>
      </c>
      <c r="N1772">
        <f t="shared" si="220"/>
        <v>2280</v>
      </c>
      <c r="O1772">
        <f t="shared" si="221"/>
        <v>228</v>
      </c>
      <c r="P1772" t="str">
        <f t="shared" si="222"/>
        <v>Large Order</v>
      </c>
      <c r="Q1772" t="str">
        <f t="shared" si="223"/>
        <v>Weekday</v>
      </c>
    </row>
    <row r="1773" spans="1:17" x14ac:dyDescent="0.35">
      <c r="A1773" t="s">
        <v>1923</v>
      </c>
      <c r="B1773" s="7">
        <v>45330</v>
      </c>
      <c r="C1773" s="13">
        <f t="shared" si="217"/>
        <v>2024</v>
      </c>
      <c r="D1773" s="7" t="str">
        <f t="shared" si="218"/>
        <v>Feb</v>
      </c>
      <c r="E1773" s="7" t="str">
        <f t="shared" si="219"/>
        <v>Thu</v>
      </c>
      <c r="F1773" t="s">
        <v>138</v>
      </c>
      <c r="G1773" t="s">
        <v>10</v>
      </c>
      <c r="H1773" t="s">
        <v>11</v>
      </c>
      <c r="I1773" s="2" t="str">
        <f t="shared" si="216"/>
        <v>North</v>
      </c>
      <c r="J1773" t="s">
        <v>27</v>
      </c>
      <c r="K1773" t="s">
        <v>28</v>
      </c>
      <c r="L1773">
        <v>3</v>
      </c>
      <c r="M1773">
        <v>120</v>
      </c>
      <c r="N1773">
        <f t="shared" si="220"/>
        <v>360</v>
      </c>
      <c r="O1773">
        <f t="shared" si="221"/>
        <v>36</v>
      </c>
      <c r="P1773" t="str">
        <f t="shared" si="222"/>
        <v>Standard Order</v>
      </c>
      <c r="Q1773" t="str">
        <f t="shared" si="223"/>
        <v>Weekday</v>
      </c>
    </row>
    <row r="1774" spans="1:17" x14ac:dyDescent="0.35">
      <c r="A1774" t="s">
        <v>1924</v>
      </c>
      <c r="B1774" s="7">
        <v>45461</v>
      </c>
      <c r="C1774" s="13">
        <f t="shared" si="217"/>
        <v>2024</v>
      </c>
      <c r="D1774" s="7" t="str">
        <f t="shared" si="218"/>
        <v>Jun</v>
      </c>
      <c r="E1774" s="7" t="str">
        <f t="shared" si="219"/>
        <v>Tue</v>
      </c>
      <c r="F1774" t="s">
        <v>114</v>
      </c>
      <c r="G1774" t="s">
        <v>79</v>
      </c>
      <c r="H1774" t="s">
        <v>17</v>
      </c>
      <c r="I1774" s="2" t="str">
        <f t="shared" si="216"/>
        <v>West</v>
      </c>
      <c r="J1774" t="s">
        <v>12</v>
      </c>
      <c r="K1774" t="s">
        <v>28</v>
      </c>
      <c r="L1774">
        <v>19</v>
      </c>
      <c r="M1774">
        <v>120</v>
      </c>
      <c r="N1774">
        <f t="shared" si="220"/>
        <v>2280</v>
      </c>
      <c r="O1774">
        <f t="shared" si="221"/>
        <v>228</v>
      </c>
      <c r="P1774" t="str">
        <f t="shared" si="222"/>
        <v>Large Order</v>
      </c>
      <c r="Q1774" t="str">
        <f t="shared" si="223"/>
        <v>Weekday</v>
      </c>
    </row>
    <row r="1775" spans="1:17" x14ac:dyDescent="0.35">
      <c r="A1775" t="s">
        <v>1925</v>
      </c>
      <c r="B1775" s="7">
        <v>45494</v>
      </c>
      <c r="C1775" s="13">
        <f t="shared" si="217"/>
        <v>2024</v>
      </c>
      <c r="D1775" s="7" t="str">
        <f t="shared" si="218"/>
        <v>Jul</v>
      </c>
      <c r="E1775" s="7" t="str">
        <f t="shared" si="219"/>
        <v>Sun</v>
      </c>
      <c r="F1775" t="s">
        <v>432</v>
      </c>
      <c r="G1775" t="s">
        <v>96</v>
      </c>
      <c r="H1775" t="s">
        <v>17</v>
      </c>
      <c r="I1775" s="2" t="str">
        <f t="shared" si="216"/>
        <v>South</v>
      </c>
      <c r="J1775" t="s">
        <v>27</v>
      </c>
      <c r="K1775" t="s">
        <v>28</v>
      </c>
      <c r="L1775">
        <v>12</v>
      </c>
      <c r="M1775">
        <v>120</v>
      </c>
      <c r="N1775">
        <f t="shared" si="220"/>
        <v>1440</v>
      </c>
      <c r="O1775">
        <f t="shared" si="221"/>
        <v>144</v>
      </c>
      <c r="P1775" t="str">
        <f t="shared" si="222"/>
        <v>Large Order</v>
      </c>
      <c r="Q1775" t="str">
        <f t="shared" si="223"/>
        <v>Weekend</v>
      </c>
    </row>
    <row r="1776" spans="1:17" x14ac:dyDescent="0.35">
      <c r="A1776" t="s">
        <v>1926</v>
      </c>
      <c r="B1776" s="7">
        <v>45387</v>
      </c>
      <c r="C1776" s="13">
        <f t="shared" si="217"/>
        <v>2024</v>
      </c>
      <c r="D1776" s="7" t="str">
        <f t="shared" si="218"/>
        <v>Apr</v>
      </c>
      <c r="E1776" s="7" t="str">
        <f t="shared" si="219"/>
        <v>Fri</v>
      </c>
      <c r="F1776" t="s">
        <v>89</v>
      </c>
      <c r="G1776" t="s">
        <v>26</v>
      </c>
      <c r="H1776" t="s">
        <v>17</v>
      </c>
      <c r="I1776" s="2" t="str">
        <f t="shared" si="216"/>
        <v>West</v>
      </c>
      <c r="J1776" t="s">
        <v>56</v>
      </c>
      <c r="K1776" t="s">
        <v>13</v>
      </c>
      <c r="L1776">
        <v>20</v>
      </c>
      <c r="M1776">
        <v>120</v>
      </c>
      <c r="N1776">
        <f t="shared" si="220"/>
        <v>2400</v>
      </c>
      <c r="O1776">
        <f t="shared" si="221"/>
        <v>240</v>
      </c>
      <c r="P1776" t="str">
        <f t="shared" si="222"/>
        <v>Large Order</v>
      </c>
      <c r="Q1776" t="str">
        <f t="shared" si="223"/>
        <v>Weekday</v>
      </c>
    </row>
    <row r="1777" spans="1:17" x14ac:dyDescent="0.35">
      <c r="A1777" t="s">
        <v>1927</v>
      </c>
      <c r="B1777" s="7">
        <v>45417</v>
      </c>
      <c r="C1777" s="13">
        <f t="shared" si="217"/>
        <v>2024</v>
      </c>
      <c r="D1777" s="7" t="str">
        <f t="shared" si="218"/>
        <v>May</v>
      </c>
      <c r="E1777" s="7" t="str">
        <f t="shared" si="219"/>
        <v>Sun</v>
      </c>
      <c r="F1777" t="s">
        <v>736</v>
      </c>
      <c r="G1777" t="s">
        <v>74</v>
      </c>
      <c r="H1777" t="s">
        <v>17</v>
      </c>
      <c r="I1777" s="2" t="str">
        <f t="shared" si="216"/>
        <v>South</v>
      </c>
      <c r="J1777" t="s">
        <v>27</v>
      </c>
      <c r="K1777" t="s">
        <v>36</v>
      </c>
      <c r="L1777">
        <v>16</v>
      </c>
      <c r="M1777">
        <v>120</v>
      </c>
      <c r="N1777">
        <f t="shared" si="220"/>
        <v>1920</v>
      </c>
      <c r="O1777">
        <f t="shared" si="221"/>
        <v>192</v>
      </c>
      <c r="P1777" t="str">
        <f t="shared" si="222"/>
        <v>Large Order</v>
      </c>
      <c r="Q1777" t="str">
        <f t="shared" si="223"/>
        <v>Weekend</v>
      </c>
    </row>
    <row r="1778" spans="1:17" x14ac:dyDescent="0.35">
      <c r="A1778" t="s">
        <v>1928</v>
      </c>
      <c r="B1778" s="7">
        <v>45435</v>
      </c>
      <c r="C1778" s="13">
        <f t="shared" si="217"/>
        <v>2024</v>
      </c>
      <c r="D1778" s="7" t="str">
        <f t="shared" si="218"/>
        <v>May</v>
      </c>
      <c r="E1778" s="7" t="str">
        <f t="shared" si="219"/>
        <v>Thu</v>
      </c>
      <c r="F1778" t="s">
        <v>53</v>
      </c>
      <c r="G1778" t="s">
        <v>16</v>
      </c>
      <c r="H1778" t="s">
        <v>17</v>
      </c>
      <c r="I1778" s="2" t="str">
        <f t="shared" si="216"/>
        <v>East</v>
      </c>
      <c r="J1778" t="s">
        <v>56</v>
      </c>
      <c r="K1778" t="s">
        <v>36</v>
      </c>
      <c r="L1778">
        <v>8</v>
      </c>
      <c r="M1778">
        <v>120</v>
      </c>
      <c r="N1778">
        <f t="shared" si="220"/>
        <v>960</v>
      </c>
      <c r="O1778">
        <f t="shared" si="221"/>
        <v>96</v>
      </c>
      <c r="P1778" t="str">
        <f t="shared" si="222"/>
        <v>Large Order</v>
      </c>
      <c r="Q1778" t="str">
        <f t="shared" si="223"/>
        <v>Weekday</v>
      </c>
    </row>
    <row r="1779" spans="1:17" x14ac:dyDescent="0.35">
      <c r="A1779" t="s">
        <v>1929</v>
      </c>
      <c r="B1779" s="7">
        <v>45570</v>
      </c>
      <c r="C1779" s="13">
        <f t="shared" si="217"/>
        <v>2024</v>
      </c>
      <c r="D1779" s="7" t="str">
        <f t="shared" si="218"/>
        <v>Oct</v>
      </c>
      <c r="E1779" s="7" t="str">
        <f t="shared" si="219"/>
        <v>Sat</v>
      </c>
      <c r="F1779" t="s">
        <v>138</v>
      </c>
      <c r="G1779" t="s">
        <v>31</v>
      </c>
      <c r="H1779" t="s">
        <v>22</v>
      </c>
      <c r="I1779" s="2" t="str">
        <f t="shared" si="216"/>
        <v>West</v>
      </c>
      <c r="J1779" t="s">
        <v>42</v>
      </c>
      <c r="K1779" t="s">
        <v>23</v>
      </c>
      <c r="L1779">
        <v>18</v>
      </c>
      <c r="M1779">
        <v>120</v>
      </c>
      <c r="N1779">
        <f t="shared" si="220"/>
        <v>2160</v>
      </c>
      <c r="O1779">
        <f t="shared" si="221"/>
        <v>216</v>
      </c>
      <c r="P1779" t="str">
        <f t="shared" si="222"/>
        <v>Large Order</v>
      </c>
      <c r="Q1779" t="str">
        <f t="shared" si="223"/>
        <v>Weekend</v>
      </c>
    </row>
    <row r="1780" spans="1:17" x14ac:dyDescent="0.35">
      <c r="A1780" t="s">
        <v>1930</v>
      </c>
      <c r="B1780" s="7">
        <v>45468</v>
      </c>
      <c r="C1780" s="13">
        <f t="shared" si="217"/>
        <v>2024</v>
      </c>
      <c r="D1780" s="7" t="str">
        <f t="shared" si="218"/>
        <v>Jun</v>
      </c>
      <c r="E1780" s="7" t="str">
        <f t="shared" si="219"/>
        <v>Tue</v>
      </c>
      <c r="F1780" t="s">
        <v>614</v>
      </c>
      <c r="G1780" t="s">
        <v>160</v>
      </c>
      <c r="H1780" t="s">
        <v>17</v>
      </c>
      <c r="I1780" s="2" t="str">
        <f t="shared" si="216"/>
        <v>North</v>
      </c>
      <c r="J1780" t="s">
        <v>27</v>
      </c>
      <c r="K1780" t="s">
        <v>32</v>
      </c>
      <c r="L1780">
        <v>6</v>
      </c>
      <c r="M1780">
        <v>120</v>
      </c>
      <c r="N1780">
        <f t="shared" si="220"/>
        <v>720</v>
      </c>
      <c r="O1780">
        <f t="shared" si="221"/>
        <v>72</v>
      </c>
      <c r="P1780" t="str">
        <f t="shared" si="222"/>
        <v>Large Order</v>
      </c>
      <c r="Q1780" t="str">
        <f t="shared" si="223"/>
        <v>Weekday</v>
      </c>
    </row>
    <row r="1781" spans="1:17" x14ac:dyDescent="0.35">
      <c r="A1781" t="s">
        <v>1931</v>
      </c>
      <c r="B1781" s="7">
        <v>45597</v>
      </c>
      <c r="C1781" s="13">
        <f t="shared" si="217"/>
        <v>2024</v>
      </c>
      <c r="D1781" s="7" t="str">
        <f t="shared" si="218"/>
        <v>Nov</v>
      </c>
      <c r="E1781" s="7" t="str">
        <f t="shared" si="219"/>
        <v>Fri</v>
      </c>
      <c r="F1781" t="s">
        <v>240</v>
      </c>
      <c r="G1781" t="s">
        <v>96</v>
      </c>
      <c r="H1781" t="s">
        <v>17</v>
      </c>
      <c r="I1781" s="2" t="str">
        <f t="shared" si="216"/>
        <v>South</v>
      </c>
      <c r="J1781" t="s">
        <v>12</v>
      </c>
      <c r="K1781" t="s">
        <v>23</v>
      </c>
      <c r="L1781">
        <v>17</v>
      </c>
      <c r="M1781">
        <v>120</v>
      </c>
      <c r="N1781">
        <f t="shared" si="220"/>
        <v>2040</v>
      </c>
      <c r="O1781">
        <f t="shared" si="221"/>
        <v>204</v>
      </c>
      <c r="P1781" t="str">
        <f t="shared" si="222"/>
        <v>Large Order</v>
      </c>
      <c r="Q1781" t="str">
        <f t="shared" si="223"/>
        <v>Weekday</v>
      </c>
    </row>
    <row r="1782" spans="1:17" x14ac:dyDescent="0.35">
      <c r="A1782" t="s">
        <v>1932</v>
      </c>
      <c r="B1782" s="7">
        <v>45591</v>
      </c>
      <c r="C1782" s="13">
        <f t="shared" si="217"/>
        <v>2024</v>
      </c>
      <c r="D1782" s="7" t="str">
        <f t="shared" si="218"/>
        <v>Oct</v>
      </c>
      <c r="E1782" s="7" t="str">
        <f t="shared" si="219"/>
        <v>Sat</v>
      </c>
      <c r="F1782" t="s">
        <v>51</v>
      </c>
      <c r="G1782" t="s">
        <v>45</v>
      </c>
      <c r="H1782" t="s">
        <v>11</v>
      </c>
      <c r="I1782" s="2" t="str">
        <f t="shared" si="216"/>
        <v>West</v>
      </c>
      <c r="J1782" t="s">
        <v>56</v>
      </c>
      <c r="K1782" t="s">
        <v>28</v>
      </c>
      <c r="L1782">
        <v>9</v>
      </c>
      <c r="M1782">
        <v>120</v>
      </c>
      <c r="N1782">
        <f t="shared" si="220"/>
        <v>1080</v>
      </c>
      <c r="O1782">
        <f t="shared" si="221"/>
        <v>108</v>
      </c>
      <c r="P1782" t="str">
        <f t="shared" si="222"/>
        <v>Large Order</v>
      </c>
      <c r="Q1782" t="str">
        <f t="shared" si="223"/>
        <v>Weekend</v>
      </c>
    </row>
    <row r="1783" spans="1:17" x14ac:dyDescent="0.35">
      <c r="A1783" t="s">
        <v>1933</v>
      </c>
      <c r="B1783" s="7">
        <v>45320</v>
      </c>
      <c r="C1783" s="13">
        <f t="shared" si="217"/>
        <v>2024</v>
      </c>
      <c r="D1783" s="7" t="str">
        <f t="shared" si="218"/>
        <v>Jan</v>
      </c>
      <c r="E1783" s="7" t="str">
        <f t="shared" si="219"/>
        <v>Mon</v>
      </c>
      <c r="F1783" t="s">
        <v>332</v>
      </c>
      <c r="G1783" t="s">
        <v>197</v>
      </c>
      <c r="H1783" t="s">
        <v>22</v>
      </c>
      <c r="I1783" s="2" t="str">
        <f t="shared" si="216"/>
        <v>East</v>
      </c>
      <c r="J1783" t="s">
        <v>27</v>
      </c>
      <c r="K1783" t="s">
        <v>32</v>
      </c>
      <c r="L1783">
        <v>6</v>
      </c>
      <c r="M1783">
        <v>120</v>
      </c>
      <c r="N1783">
        <f t="shared" si="220"/>
        <v>720</v>
      </c>
      <c r="O1783">
        <f t="shared" si="221"/>
        <v>72</v>
      </c>
      <c r="P1783" t="str">
        <f t="shared" si="222"/>
        <v>Large Order</v>
      </c>
      <c r="Q1783" t="str">
        <f t="shared" si="223"/>
        <v>Weekday</v>
      </c>
    </row>
    <row r="1784" spans="1:17" x14ac:dyDescent="0.35">
      <c r="A1784" t="s">
        <v>1934</v>
      </c>
      <c r="B1784" s="7">
        <v>45595</v>
      </c>
      <c r="C1784" s="13">
        <f t="shared" si="217"/>
        <v>2024</v>
      </c>
      <c r="D1784" s="7" t="str">
        <f t="shared" si="218"/>
        <v>Oct</v>
      </c>
      <c r="E1784" s="7" t="str">
        <f t="shared" si="219"/>
        <v>Wed</v>
      </c>
      <c r="F1784" t="s">
        <v>38</v>
      </c>
      <c r="G1784" t="s">
        <v>84</v>
      </c>
      <c r="H1784" t="s">
        <v>22</v>
      </c>
      <c r="I1784" s="2" t="str">
        <f t="shared" si="216"/>
        <v>Central</v>
      </c>
      <c r="J1784" t="s">
        <v>42</v>
      </c>
      <c r="K1784" t="s">
        <v>36</v>
      </c>
      <c r="L1784">
        <v>1</v>
      </c>
      <c r="M1784">
        <v>120</v>
      </c>
      <c r="N1784">
        <f t="shared" si="220"/>
        <v>120</v>
      </c>
      <c r="O1784">
        <f t="shared" si="221"/>
        <v>12</v>
      </c>
      <c r="P1784" t="str">
        <f t="shared" si="222"/>
        <v>Standard Order</v>
      </c>
      <c r="Q1784" t="str">
        <f t="shared" si="223"/>
        <v>Weekday</v>
      </c>
    </row>
    <row r="1785" spans="1:17" x14ac:dyDescent="0.35">
      <c r="A1785" t="s">
        <v>1935</v>
      </c>
      <c r="B1785" s="7">
        <v>45472</v>
      </c>
      <c r="C1785" s="13">
        <f t="shared" si="217"/>
        <v>2024</v>
      </c>
      <c r="D1785" s="7" t="str">
        <f t="shared" si="218"/>
        <v>Jun</v>
      </c>
      <c r="E1785" s="7" t="str">
        <f t="shared" si="219"/>
        <v>Sat</v>
      </c>
      <c r="F1785" t="s">
        <v>614</v>
      </c>
      <c r="G1785" t="s">
        <v>59</v>
      </c>
      <c r="H1785" t="s">
        <v>11</v>
      </c>
      <c r="I1785" s="2" t="str">
        <f t="shared" si="216"/>
        <v>North</v>
      </c>
      <c r="J1785" t="s">
        <v>306</v>
      </c>
      <c r="K1785" t="s">
        <v>28</v>
      </c>
      <c r="L1785">
        <v>16</v>
      </c>
      <c r="M1785">
        <v>120</v>
      </c>
      <c r="N1785">
        <f t="shared" si="220"/>
        <v>1920</v>
      </c>
      <c r="O1785">
        <f t="shared" si="221"/>
        <v>192</v>
      </c>
      <c r="P1785" t="str">
        <f t="shared" si="222"/>
        <v>Large Order</v>
      </c>
      <c r="Q1785" t="str">
        <f t="shared" si="223"/>
        <v>Weekend</v>
      </c>
    </row>
    <row r="1786" spans="1:17" x14ac:dyDescent="0.35">
      <c r="A1786" t="s">
        <v>1936</v>
      </c>
      <c r="B1786" s="7">
        <v>45381</v>
      </c>
      <c r="C1786" s="13">
        <f t="shared" si="217"/>
        <v>2024</v>
      </c>
      <c r="D1786" s="7" t="str">
        <f t="shared" si="218"/>
        <v>Mar</v>
      </c>
      <c r="E1786" s="7" t="str">
        <f t="shared" si="219"/>
        <v>Sat</v>
      </c>
      <c r="F1786" t="s">
        <v>374</v>
      </c>
      <c r="G1786" t="s">
        <v>79</v>
      </c>
      <c r="H1786" t="s">
        <v>11</v>
      </c>
      <c r="I1786" s="2" t="str">
        <f t="shared" si="216"/>
        <v>Central</v>
      </c>
      <c r="J1786" t="s">
        <v>12</v>
      </c>
      <c r="K1786" t="s">
        <v>28</v>
      </c>
      <c r="L1786">
        <v>20</v>
      </c>
      <c r="M1786">
        <v>120</v>
      </c>
      <c r="N1786">
        <f t="shared" si="220"/>
        <v>2400</v>
      </c>
      <c r="O1786">
        <f t="shared" si="221"/>
        <v>240</v>
      </c>
      <c r="P1786" t="str">
        <f t="shared" si="222"/>
        <v>Large Order</v>
      </c>
      <c r="Q1786" t="str">
        <f t="shared" si="223"/>
        <v>Weekend</v>
      </c>
    </row>
    <row r="1787" spans="1:17" x14ac:dyDescent="0.35">
      <c r="A1787" t="s">
        <v>1937</v>
      </c>
      <c r="B1787" s="7">
        <v>45561</v>
      </c>
      <c r="C1787" s="13">
        <f t="shared" si="217"/>
        <v>2024</v>
      </c>
      <c r="D1787" s="7" t="str">
        <f t="shared" si="218"/>
        <v>Sep</v>
      </c>
      <c r="E1787" s="7" t="str">
        <f t="shared" si="219"/>
        <v>Thu</v>
      </c>
      <c r="F1787" t="s">
        <v>517</v>
      </c>
      <c r="G1787" t="s">
        <v>96</v>
      </c>
      <c r="H1787" t="s">
        <v>17</v>
      </c>
      <c r="I1787" s="2" t="str">
        <f t="shared" si="216"/>
        <v>South</v>
      </c>
      <c r="J1787" t="s">
        <v>306</v>
      </c>
      <c r="K1787" t="s">
        <v>28</v>
      </c>
      <c r="L1787">
        <v>5</v>
      </c>
      <c r="M1787">
        <v>120</v>
      </c>
      <c r="N1787">
        <f t="shared" si="220"/>
        <v>600</v>
      </c>
      <c r="O1787">
        <f t="shared" si="221"/>
        <v>60</v>
      </c>
      <c r="P1787" t="str">
        <f t="shared" si="222"/>
        <v>Large Order</v>
      </c>
      <c r="Q1787" t="str">
        <f t="shared" si="223"/>
        <v>Weekday</v>
      </c>
    </row>
    <row r="1788" spans="1:17" x14ac:dyDescent="0.35">
      <c r="A1788" t="s">
        <v>1938</v>
      </c>
      <c r="B1788" s="7">
        <v>45382</v>
      </c>
      <c r="C1788" s="13">
        <f t="shared" si="217"/>
        <v>2024</v>
      </c>
      <c r="D1788" s="7" t="str">
        <f t="shared" si="218"/>
        <v>Mar</v>
      </c>
      <c r="E1788" s="7" t="str">
        <f t="shared" si="219"/>
        <v>Sun</v>
      </c>
      <c r="F1788" t="s">
        <v>187</v>
      </c>
      <c r="G1788" t="s">
        <v>79</v>
      </c>
      <c r="H1788" t="s">
        <v>11</v>
      </c>
      <c r="I1788" s="2" t="str">
        <f t="shared" si="216"/>
        <v>West</v>
      </c>
      <c r="J1788" t="s">
        <v>56</v>
      </c>
      <c r="K1788" t="s">
        <v>36</v>
      </c>
      <c r="L1788">
        <v>5</v>
      </c>
      <c r="M1788">
        <v>120</v>
      </c>
      <c r="N1788">
        <f t="shared" si="220"/>
        <v>600</v>
      </c>
      <c r="O1788">
        <f t="shared" si="221"/>
        <v>60</v>
      </c>
      <c r="P1788" t="str">
        <f t="shared" si="222"/>
        <v>Large Order</v>
      </c>
      <c r="Q1788" t="str">
        <f t="shared" si="223"/>
        <v>Weekend</v>
      </c>
    </row>
    <row r="1789" spans="1:17" x14ac:dyDescent="0.35">
      <c r="A1789" t="s">
        <v>1939</v>
      </c>
      <c r="B1789" s="7">
        <v>45561</v>
      </c>
      <c r="C1789" s="13">
        <f t="shared" si="217"/>
        <v>2024</v>
      </c>
      <c r="D1789" s="7" t="str">
        <f t="shared" si="218"/>
        <v>Sep</v>
      </c>
      <c r="E1789" s="7" t="str">
        <f t="shared" si="219"/>
        <v>Thu</v>
      </c>
      <c r="F1789" t="s">
        <v>83</v>
      </c>
      <c r="G1789" t="s">
        <v>10</v>
      </c>
      <c r="H1789" t="s">
        <v>17</v>
      </c>
      <c r="I1789" s="2" t="str">
        <f t="shared" si="216"/>
        <v>West</v>
      </c>
      <c r="J1789" t="s">
        <v>27</v>
      </c>
      <c r="K1789" t="s">
        <v>36</v>
      </c>
      <c r="L1789">
        <v>4</v>
      </c>
      <c r="M1789">
        <v>120</v>
      </c>
      <c r="N1789">
        <f t="shared" si="220"/>
        <v>480</v>
      </c>
      <c r="O1789">
        <f t="shared" si="221"/>
        <v>48</v>
      </c>
      <c r="P1789" t="str">
        <f t="shared" si="222"/>
        <v>Standard Order</v>
      </c>
      <c r="Q1789" t="str">
        <f t="shared" si="223"/>
        <v>Weekday</v>
      </c>
    </row>
    <row r="1790" spans="1:17" x14ac:dyDescent="0.35">
      <c r="A1790" t="s">
        <v>1940</v>
      </c>
      <c r="B1790" s="7">
        <v>45457</v>
      </c>
      <c r="C1790" s="13">
        <f t="shared" si="217"/>
        <v>2024</v>
      </c>
      <c r="D1790" s="7" t="str">
        <f t="shared" si="218"/>
        <v>Jun</v>
      </c>
      <c r="E1790" s="7" t="str">
        <f t="shared" si="219"/>
        <v>Fri</v>
      </c>
      <c r="F1790" t="s">
        <v>99</v>
      </c>
      <c r="G1790" t="s">
        <v>45</v>
      </c>
      <c r="H1790" t="s">
        <v>22</v>
      </c>
      <c r="I1790" s="2" t="str">
        <f t="shared" si="216"/>
        <v>South</v>
      </c>
      <c r="J1790" t="s">
        <v>27</v>
      </c>
      <c r="K1790" t="s">
        <v>23</v>
      </c>
      <c r="L1790">
        <v>11</v>
      </c>
      <c r="M1790">
        <v>120</v>
      </c>
      <c r="N1790">
        <f t="shared" si="220"/>
        <v>1320</v>
      </c>
      <c r="O1790">
        <f t="shared" si="221"/>
        <v>132</v>
      </c>
      <c r="P1790" t="str">
        <f t="shared" si="222"/>
        <v>Large Order</v>
      </c>
      <c r="Q1790" t="str">
        <f t="shared" si="223"/>
        <v>Weekday</v>
      </c>
    </row>
    <row r="1791" spans="1:17" x14ac:dyDescent="0.35">
      <c r="A1791" t="s">
        <v>1941</v>
      </c>
      <c r="B1791" s="7">
        <v>45579</v>
      </c>
      <c r="C1791" s="13">
        <f t="shared" si="217"/>
        <v>2024</v>
      </c>
      <c r="D1791" s="7" t="str">
        <f t="shared" si="218"/>
        <v>Oct</v>
      </c>
      <c r="E1791" s="7" t="str">
        <f t="shared" si="219"/>
        <v>Mon</v>
      </c>
      <c r="F1791" t="s">
        <v>465</v>
      </c>
      <c r="G1791" t="s">
        <v>109</v>
      </c>
      <c r="H1791" t="s">
        <v>17</v>
      </c>
      <c r="I1791" s="2" t="str">
        <f t="shared" si="216"/>
        <v>North</v>
      </c>
      <c r="J1791" t="s">
        <v>56</v>
      </c>
      <c r="K1791" t="s">
        <v>36</v>
      </c>
      <c r="L1791">
        <v>6</v>
      </c>
      <c r="M1791">
        <v>120</v>
      </c>
      <c r="N1791">
        <f t="shared" si="220"/>
        <v>720</v>
      </c>
      <c r="O1791">
        <f t="shared" si="221"/>
        <v>72</v>
      </c>
      <c r="P1791" t="str">
        <f t="shared" si="222"/>
        <v>Large Order</v>
      </c>
      <c r="Q1791" t="str">
        <f t="shared" si="223"/>
        <v>Weekday</v>
      </c>
    </row>
    <row r="1792" spans="1:17" x14ac:dyDescent="0.35">
      <c r="A1792" t="s">
        <v>1942</v>
      </c>
      <c r="B1792" s="7">
        <v>45644</v>
      </c>
      <c r="C1792" s="13">
        <f t="shared" si="217"/>
        <v>2024</v>
      </c>
      <c r="D1792" s="7" t="str">
        <f t="shared" si="218"/>
        <v>Dec</v>
      </c>
      <c r="E1792" s="7" t="str">
        <f t="shared" si="219"/>
        <v>Wed</v>
      </c>
      <c r="F1792" t="s">
        <v>61</v>
      </c>
      <c r="G1792" t="s">
        <v>16</v>
      </c>
      <c r="H1792" t="s">
        <v>11</v>
      </c>
      <c r="I1792" s="2" t="str">
        <f t="shared" si="216"/>
        <v>East</v>
      </c>
      <c r="J1792" t="s">
        <v>12</v>
      </c>
      <c r="K1792" t="s">
        <v>36</v>
      </c>
      <c r="L1792">
        <v>13</v>
      </c>
      <c r="M1792">
        <v>120</v>
      </c>
      <c r="N1792">
        <f t="shared" si="220"/>
        <v>1560</v>
      </c>
      <c r="O1792">
        <f t="shared" si="221"/>
        <v>156</v>
      </c>
      <c r="P1792" t="str">
        <f t="shared" si="222"/>
        <v>Large Order</v>
      </c>
      <c r="Q1792" t="str">
        <f t="shared" si="223"/>
        <v>Weekday</v>
      </c>
    </row>
    <row r="1793" spans="1:17" x14ac:dyDescent="0.35">
      <c r="A1793" t="s">
        <v>1943</v>
      </c>
      <c r="B1793" s="7">
        <v>45582</v>
      </c>
      <c r="C1793" s="13">
        <f t="shared" si="217"/>
        <v>2024</v>
      </c>
      <c r="D1793" s="7" t="str">
        <f t="shared" si="218"/>
        <v>Oct</v>
      </c>
      <c r="E1793" s="7" t="str">
        <f t="shared" si="219"/>
        <v>Thu</v>
      </c>
      <c r="F1793" t="s">
        <v>122</v>
      </c>
      <c r="G1793" t="s">
        <v>45</v>
      </c>
      <c r="H1793" t="s">
        <v>22</v>
      </c>
      <c r="I1793" s="2" t="str">
        <f t="shared" si="216"/>
        <v>North</v>
      </c>
      <c r="J1793" t="s">
        <v>42</v>
      </c>
      <c r="K1793" t="s">
        <v>36</v>
      </c>
      <c r="L1793">
        <v>8</v>
      </c>
      <c r="M1793">
        <v>120</v>
      </c>
      <c r="N1793">
        <f t="shared" si="220"/>
        <v>960</v>
      </c>
      <c r="O1793">
        <f t="shared" si="221"/>
        <v>96</v>
      </c>
      <c r="P1793" t="str">
        <f t="shared" si="222"/>
        <v>Large Order</v>
      </c>
      <c r="Q1793" t="str">
        <f t="shared" si="223"/>
        <v>Weekday</v>
      </c>
    </row>
    <row r="1794" spans="1:17" x14ac:dyDescent="0.35">
      <c r="A1794" t="s">
        <v>1944</v>
      </c>
      <c r="B1794" s="7">
        <v>45345</v>
      </c>
      <c r="C1794" s="13">
        <f t="shared" si="217"/>
        <v>2024</v>
      </c>
      <c r="D1794" s="7" t="str">
        <f t="shared" si="218"/>
        <v>Feb</v>
      </c>
      <c r="E1794" s="7" t="str">
        <f t="shared" si="219"/>
        <v>Fri</v>
      </c>
      <c r="F1794" t="s">
        <v>432</v>
      </c>
      <c r="G1794" t="s">
        <v>16</v>
      </c>
      <c r="H1794" t="s">
        <v>17</v>
      </c>
      <c r="I1794" s="2" t="str">
        <f t="shared" si="216"/>
        <v>East</v>
      </c>
      <c r="J1794" t="s">
        <v>12</v>
      </c>
      <c r="K1794" t="s">
        <v>28</v>
      </c>
      <c r="L1794">
        <v>12</v>
      </c>
      <c r="M1794">
        <v>120</v>
      </c>
      <c r="N1794">
        <f t="shared" si="220"/>
        <v>1440</v>
      </c>
      <c r="O1794">
        <f t="shared" si="221"/>
        <v>144</v>
      </c>
      <c r="P1794" t="str">
        <f t="shared" si="222"/>
        <v>Large Order</v>
      </c>
      <c r="Q1794" t="str">
        <f t="shared" si="223"/>
        <v>Weekday</v>
      </c>
    </row>
    <row r="1795" spans="1:17" x14ac:dyDescent="0.35">
      <c r="A1795" t="s">
        <v>1945</v>
      </c>
      <c r="B1795" s="7">
        <v>45377</v>
      </c>
      <c r="C1795" s="13">
        <f t="shared" si="217"/>
        <v>2024</v>
      </c>
      <c r="D1795" s="7" t="str">
        <f t="shared" si="218"/>
        <v>Mar</v>
      </c>
      <c r="E1795" s="7" t="str">
        <f t="shared" si="219"/>
        <v>Tue</v>
      </c>
      <c r="F1795" t="s">
        <v>541</v>
      </c>
      <c r="G1795" t="s">
        <v>10</v>
      </c>
      <c r="H1795" t="s">
        <v>22</v>
      </c>
      <c r="I1795" s="2" t="str">
        <f t="shared" ref="I1795:I1858" si="224">TRIM(J1796)</f>
        <v>East</v>
      </c>
      <c r="J1795" t="s">
        <v>42</v>
      </c>
      <c r="K1795" t="s">
        <v>23</v>
      </c>
      <c r="L1795">
        <v>1</v>
      </c>
      <c r="M1795">
        <v>120</v>
      </c>
      <c r="N1795">
        <f t="shared" si="220"/>
        <v>120</v>
      </c>
      <c r="O1795">
        <f t="shared" si="221"/>
        <v>12</v>
      </c>
      <c r="P1795" t="str">
        <f t="shared" si="222"/>
        <v>Standard Order</v>
      </c>
      <c r="Q1795" t="str">
        <f t="shared" si="223"/>
        <v>Weekday</v>
      </c>
    </row>
    <row r="1796" spans="1:17" x14ac:dyDescent="0.35">
      <c r="A1796" t="s">
        <v>1946</v>
      </c>
      <c r="B1796" s="7">
        <v>45419</v>
      </c>
      <c r="C1796" s="13">
        <f t="shared" ref="C1796:C1859" si="225">YEAR(B1796)</f>
        <v>2024</v>
      </c>
      <c r="D1796" s="7" t="str">
        <f t="shared" ref="D1796:D1859" si="226">TEXT(B1796,"mmm")</f>
        <v>May</v>
      </c>
      <c r="E1796" s="7" t="str">
        <f t="shared" ref="E1796:E1859" si="227">TEXT(B1796,"ddd")</f>
        <v>Tue</v>
      </c>
      <c r="F1796" t="s">
        <v>465</v>
      </c>
      <c r="G1796" t="s">
        <v>10</v>
      </c>
      <c r="H1796" t="s">
        <v>17</v>
      </c>
      <c r="I1796" s="2" t="str">
        <f t="shared" si="224"/>
        <v>West</v>
      </c>
      <c r="J1796" t="s">
        <v>42</v>
      </c>
      <c r="K1796" t="s">
        <v>13</v>
      </c>
      <c r="L1796">
        <v>1</v>
      </c>
      <c r="M1796">
        <v>120</v>
      </c>
      <c r="N1796">
        <f t="shared" ref="N1796:N1859" si="228">M1796*L1796</f>
        <v>120</v>
      </c>
      <c r="O1796">
        <f t="shared" ref="O1796:O1859" si="229">N1796*0.1</f>
        <v>12</v>
      </c>
      <c r="P1796" t="str">
        <f t="shared" ref="P1796:P1859" si="230">IF(N1796&gt;500,"Large Order","Standard Order")</f>
        <v>Standard Order</v>
      </c>
      <c r="Q1796" t="str">
        <f t="shared" ref="Q1796:Q1859" si="231">IF(OR(TRIM(E1796)="Sat",TRIM(E1796)="Sun"),"Weekend","Weekday")</f>
        <v>Weekday</v>
      </c>
    </row>
    <row r="1797" spans="1:17" x14ac:dyDescent="0.35">
      <c r="A1797" t="s">
        <v>1947</v>
      </c>
      <c r="B1797" s="7">
        <v>45516</v>
      </c>
      <c r="C1797" s="13">
        <f t="shared" si="225"/>
        <v>2024</v>
      </c>
      <c r="D1797" s="7" t="str">
        <f t="shared" si="226"/>
        <v>Aug</v>
      </c>
      <c r="E1797" s="7" t="str">
        <f t="shared" si="227"/>
        <v>Mon</v>
      </c>
      <c r="F1797" t="s">
        <v>388</v>
      </c>
      <c r="G1797" t="s">
        <v>87</v>
      </c>
      <c r="H1797" t="s">
        <v>11</v>
      </c>
      <c r="I1797" s="2" t="str">
        <f t="shared" si="224"/>
        <v>South</v>
      </c>
      <c r="J1797" t="s">
        <v>27</v>
      </c>
      <c r="K1797" t="s">
        <v>23</v>
      </c>
      <c r="L1797">
        <v>13</v>
      </c>
      <c r="M1797">
        <v>120</v>
      </c>
      <c r="N1797">
        <f t="shared" si="228"/>
        <v>1560</v>
      </c>
      <c r="O1797">
        <f t="shared" si="229"/>
        <v>156</v>
      </c>
      <c r="P1797" t="str">
        <f t="shared" si="230"/>
        <v>Large Order</v>
      </c>
      <c r="Q1797" t="str">
        <f t="shared" si="231"/>
        <v>Weekday</v>
      </c>
    </row>
    <row r="1798" spans="1:17" x14ac:dyDescent="0.35">
      <c r="A1798" t="s">
        <v>1948</v>
      </c>
      <c r="B1798" s="7">
        <v>45484</v>
      </c>
      <c r="C1798" s="13">
        <f t="shared" si="225"/>
        <v>2024</v>
      </c>
      <c r="D1798" s="7" t="str">
        <f t="shared" si="226"/>
        <v>Jul</v>
      </c>
      <c r="E1798" s="7" t="str">
        <f t="shared" si="227"/>
        <v>Thu</v>
      </c>
      <c r="F1798" t="s">
        <v>108</v>
      </c>
      <c r="G1798" t="s">
        <v>35</v>
      </c>
      <c r="H1798" t="s">
        <v>22</v>
      </c>
      <c r="I1798" s="2" t="str">
        <f t="shared" si="224"/>
        <v>East</v>
      </c>
      <c r="J1798" t="s">
        <v>56</v>
      </c>
      <c r="K1798" t="s">
        <v>28</v>
      </c>
      <c r="L1798">
        <v>15</v>
      </c>
      <c r="M1798">
        <v>120</v>
      </c>
      <c r="N1798">
        <f t="shared" si="228"/>
        <v>1800</v>
      </c>
      <c r="O1798">
        <f t="shared" si="229"/>
        <v>180</v>
      </c>
      <c r="P1798" t="str">
        <f t="shared" si="230"/>
        <v>Large Order</v>
      </c>
      <c r="Q1798" t="str">
        <f t="shared" si="231"/>
        <v>Weekday</v>
      </c>
    </row>
    <row r="1799" spans="1:17" x14ac:dyDescent="0.35">
      <c r="A1799" t="s">
        <v>1949</v>
      </c>
      <c r="B1799" s="7">
        <v>45309</v>
      </c>
      <c r="C1799" s="13">
        <f t="shared" si="225"/>
        <v>2024</v>
      </c>
      <c r="D1799" s="7" t="str">
        <f t="shared" si="226"/>
        <v>Jan</v>
      </c>
      <c r="E1799" s="7" t="str">
        <f t="shared" si="227"/>
        <v>Thu</v>
      </c>
      <c r="F1799" t="s">
        <v>61</v>
      </c>
      <c r="G1799" t="s">
        <v>96</v>
      </c>
      <c r="H1799" t="s">
        <v>17</v>
      </c>
      <c r="I1799" s="2" t="str">
        <f t="shared" si="224"/>
        <v>Central</v>
      </c>
      <c r="J1799" t="s">
        <v>42</v>
      </c>
      <c r="K1799" t="s">
        <v>13</v>
      </c>
      <c r="L1799">
        <v>3</v>
      </c>
      <c r="M1799">
        <v>120</v>
      </c>
      <c r="N1799">
        <f t="shared" si="228"/>
        <v>360</v>
      </c>
      <c r="O1799">
        <f t="shared" si="229"/>
        <v>36</v>
      </c>
      <c r="P1799" t="str">
        <f t="shared" si="230"/>
        <v>Standard Order</v>
      </c>
      <c r="Q1799" t="str">
        <f t="shared" si="231"/>
        <v>Weekday</v>
      </c>
    </row>
    <row r="1800" spans="1:17" x14ac:dyDescent="0.35">
      <c r="A1800" t="s">
        <v>1950</v>
      </c>
      <c r="B1800" s="7">
        <v>45484</v>
      </c>
      <c r="C1800" s="13">
        <f t="shared" si="225"/>
        <v>2024</v>
      </c>
      <c r="D1800" s="7" t="str">
        <f t="shared" si="226"/>
        <v>Jul</v>
      </c>
      <c r="E1800" s="7" t="str">
        <f t="shared" si="227"/>
        <v>Thu</v>
      </c>
      <c r="F1800" t="s">
        <v>111</v>
      </c>
      <c r="G1800" t="s">
        <v>84</v>
      </c>
      <c r="H1800" t="s">
        <v>11</v>
      </c>
      <c r="I1800" s="2" t="str">
        <f t="shared" si="224"/>
        <v>West</v>
      </c>
      <c r="J1800" t="s">
        <v>306</v>
      </c>
      <c r="K1800" t="s">
        <v>13</v>
      </c>
      <c r="L1800">
        <v>11</v>
      </c>
      <c r="M1800">
        <v>120</v>
      </c>
      <c r="N1800">
        <f t="shared" si="228"/>
        <v>1320</v>
      </c>
      <c r="O1800">
        <f t="shared" si="229"/>
        <v>132</v>
      </c>
      <c r="P1800" t="str">
        <f t="shared" si="230"/>
        <v>Large Order</v>
      </c>
      <c r="Q1800" t="str">
        <f t="shared" si="231"/>
        <v>Weekday</v>
      </c>
    </row>
    <row r="1801" spans="1:17" x14ac:dyDescent="0.35">
      <c r="A1801" t="s">
        <v>1951</v>
      </c>
      <c r="B1801" s="7">
        <v>45606</v>
      </c>
      <c r="C1801" s="13">
        <f t="shared" si="225"/>
        <v>2024</v>
      </c>
      <c r="D1801" s="7" t="str">
        <f t="shared" si="226"/>
        <v>Nov</v>
      </c>
      <c r="E1801" s="7" t="str">
        <f t="shared" si="227"/>
        <v>Sun</v>
      </c>
      <c r="F1801" t="s">
        <v>517</v>
      </c>
      <c r="G1801" t="s">
        <v>62</v>
      </c>
      <c r="H1801" t="s">
        <v>11</v>
      </c>
      <c r="I1801" s="2" t="str">
        <f t="shared" si="224"/>
        <v>South</v>
      </c>
      <c r="J1801" t="s">
        <v>27</v>
      </c>
      <c r="K1801" t="s">
        <v>28</v>
      </c>
      <c r="L1801">
        <v>20</v>
      </c>
      <c r="M1801">
        <v>120</v>
      </c>
      <c r="N1801">
        <f t="shared" si="228"/>
        <v>2400</v>
      </c>
      <c r="O1801">
        <f t="shared" si="229"/>
        <v>240</v>
      </c>
      <c r="P1801" t="str">
        <f t="shared" si="230"/>
        <v>Large Order</v>
      </c>
      <c r="Q1801" t="str">
        <f t="shared" si="231"/>
        <v>Weekend</v>
      </c>
    </row>
    <row r="1802" spans="1:17" x14ac:dyDescent="0.35">
      <c r="A1802" t="s">
        <v>1952</v>
      </c>
      <c r="B1802" s="7">
        <v>45372</v>
      </c>
      <c r="C1802" s="13">
        <f t="shared" si="225"/>
        <v>2024</v>
      </c>
      <c r="D1802" s="7" t="str">
        <f t="shared" si="226"/>
        <v>Mar</v>
      </c>
      <c r="E1802" s="7" t="str">
        <f t="shared" si="227"/>
        <v>Thu</v>
      </c>
      <c r="F1802" t="s">
        <v>9</v>
      </c>
      <c r="G1802" t="s">
        <v>102</v>
      </c>
      <c r="H1802" t="s">
        <v>17</v>
      </c>
      <c r="I1802" s="2" t="str">
        <f t="shared" si="224"/>
        <v>East</v>
      </c>
      <c r="J1802" t="s">
        <v>56</v>
      </c>
      <c r="K1802" t="s">
        <v>28</v>
      </c>
      <c r="L1802">
        <v>14</v>
      </c>
      <c r="M1802">
        <v>120</v>
      </c>
      <c r="N1802">
        <f t="shared" si="228"/>
        <v>1680</v>
      </c>
      <c r="O1802">
        <f t="shared" si="229"/>
        <v>168</v>
      </c>
      <c r="P1802" t="str">
        <f t="shared" si="230"/>
        <v>Large Order</v>
      </c>
      <c r="Q1802" t="str">
        <f t="shared" si="231"/>
        <v>Weekday</v>
      </c>
    </row>
    <row r="1803" spans="1:17" x14ac:dyDescent="0.35">
      <c r="A1803" t="s">
        <v>1953</v>
      </c>
      <c r="B1803" s="7">
        <v>45568</v>
      </c>
      <c r="C1803" s="13">
        <f t="shared" si="225"/>
        <v>2024</v>
      </c>
      <c r="D1803" s="7" t="str">
        <f t="shared" si="226"/>
        <v>Oct</v>
      </c>
      <c r="E1803" s="7" t="str">
        <f t="shared" si="227"/>
        <v>Thu</v>
      </c>
      <c r="F1803" t="s">
        <v>86</v>
      </c>
      <c r="G1803" t="s">
        <v>41</v>
      </c>
      <c r="H1803" t="s">
        <v>17</v>
      </c>
      <c r="I1803" s="2" t="str">
        <f t="shared" si="224"/>
        <v>North</v>
      </c>
      <c r="J1803" t="s">
        <v>42</v>
      </c>
      <c r="K1803" t="s">
        <v>28</v>
      </c>
      <c r="L1803">
        <v>4</v>
      </c>
      <c r="M1803">
        <v>120</v>
      </c>
      <c r="N1803">
        <f t="shared" si="228"/>
        <v>480</v>
      </c>
      <c r="O1803">
        <f t="shared" si="229"/>
        <v>48</v>
      </c>
      <c r="P1803" t="str">
        <f t="shared" si="230"/>
        <v>Standard Order</v>
      </c>
      <c r="Q1803" t="str">
        <f t="shared" si="231"/>
        <v>Weekday</v>
      </c>
    </row>
    <row r="1804" spans="1:17" x14ac:dyDescent="0.35">
      <c r="A1804" t="s">
        <v>1954</v>
      </c>
      <c r="B1804" s="7">
        <v>45584</v>
      </c>
      <c r="C1804" s="13">
        <f t="shared" si="225"/>
        <v>2024</v>
      </c>
      <c r="D1804" s="7" t="str">
        <f t="shared" si="226"/>
        <v>Oct</v>
      </c>
      <c r="E1804" s="7" t="str">
        <f t="shared" si="227"/>
        <v>Sat</v>
      </c>
      <c r="F1804" t="s">
        <v>378</v>
      </c>
      <c r="G1804" t="s">
        <v>35</v>
      </c>
      <c r="H1804" t="s">
        <v>11</v>
      </c>
      <c r="I1804" s="2" t="str">
        <f t="shared" si="224"/>
        <v>West</v>
      </c>
      <c r="J1804" t="s">
        <v>12</v>
      </c>
      <c r="K1804" t="s">
        <v>32</v>
      </c>
      <c r="L1804">
        <v>1</v>
      </c>
      <c r="M1804">
        <v>120</v>
      </c>
      <c r="N1804">
        <f t="shared" si="228"/>
        <v>120</v>
      </c>
      <c r="O1804">
        <f t="shared" si="229"/>
        <v>12</v>
      </c>
      <c r="P1804" t="str">
        <f t="shared" si="230"/>
        <v>Standard Order</v>
      </c>
      <c r="Q1804" t="str">
        <f t="shared" si="231"/>
        <v>Weekend</v>
      </c>
    </row>
    <row r="1805" spans="1:17" x14ac:dyDescent="0.35">
      <c r="A1805" t="s">
        <v>1955</v>
      </c>
      <c r="B1805" s="7">
        <v>45442</v>
      </c>
      <c r="C1805" s="13">
        <f t="shared" si="225"/>
        <v>2024</v>
      </c>
      <c r="D1805" s="7" t="str">
        <f t="shared" si="226"/>
        <v>May</v>
      </c>
      <c r="E1805" s="7" t="str">
        <f t="shared" si="227"/>
        <v>Thu</v>
      </c>
      <c r="F1805" t="s">
        <v>371</v>
      </c>
      <c r="G1805" t="s">
        <v>21</v>
      </c>
      <c r="H1805" t="s">
        <v>22</v>
      </c>
      <c r="I1805" s="2" t="str">
        <f t="shared" si="224"/>
        <v>West</v>
      </c>
      <c r="J1805" t="s">
        <v>27</v>
      </c>
      <c r="K1805" t="s">
        <v>28</v>
      </c>
      <c r="L1805">
        <v>4</v>
      </c>
      <c r="M1805">
        <v>120</v>
      </c>
      <c r="N1805">
        <f t="shared" si="228"/>
        <v>480</v>
      </c>
      <c r="O1805">
        <f t="shared" si="229"/>
        <v>48</v>
      </c>
      <c r="P1805" t="str">
        <f t="shared" si="230"/>
        <v>Standard Order</v>
      </c>
      <c r="Q1805" t="str">
        <f t="shared" si="231"/>
        <v>Weekday</v>
      </c>
    </row>
    <row r="1806" spans="1:17" x14ac:dyDescent="0.35">
      <c r="A1806" t="s">
        <v>1956</v>
      </c>
      <c r="B1806" s="7">
        <v>45379</v>
      </c>
      <c r="C1806" s="13">
        <f t="shared" si="225"/>
        <v>2024</v>
      </c>
      <c r="D1806" s="7" t="str">
        <f t="shared" si="226"/>
        <v>Mar</v>
      </c>
      <c r="E1806" s="7" t="str">
        <f t="shared" si="227"/>
        <v>Thu</v>
      </c>
      <c r="F1806" t="s">
        <v>541</v>
      </c>
      <c r="G1806" t="s">
        <v>74</v>
      </c>
      <c r="H1806" t="s">
        <v>11</v>
      </c>
      <c r="I1806" s="2" t="str">
        <f t="shared" si="224"/>
        <v>North</v>
      </c>
      <c r="J1806" t="s">
        <v>27</v>
      </c>
      <c r="K1806" t="s">
        <v>13</v>
      </c>
      <c r="L1806">
        <v>10</v>
      </c>
      <c r="M1806">
        <v>120</v>
      </c>
      <c r="N1806">
        <f t="shared" si="228"/>
        <v>1200</v>
      </c>
      <c r="O1806">
        <f t="shared" si="229"/>
        <v>120</v>
      </c>
      <c r="P1806" t="str">
        <f t="shared" si="230"/>
        <v>Large Order</v>
      </c>
      <c r="Q1806" t="str">
        <f t="shared" si="231"/>
        <v>Weekday</v>
      </c>
    </row>
    <row r="1807" spans="1:17" x14ac:dyDescent="0.35">
      <c r="A1807" t="s">
        <v>1957</v>
      </c>
      <c r="B1807" s="7">
        <v>45533</v>
      </c>
      <c r="C1807" s="13">
        <f t="shared" si="225"/>
        <v>2024</v>
      </c>
      <c r="D1807" s="7" t="str">
        <f t="shared" si="226"/>
        <v>Aug</v>
      </c>
      <c r="E1807" s="7" t="str">
        <f t="shared" si="227"/>
        <v>Thu</v>
      </c>
      <c r="F1807" t="s">
        <v>374</v>
      </c>
      <c r="G1807" t="s">
        <v>41</v>
      </c>
      <c r="H1807" t="s">
        <v>17</v>
      </c>
      <c r="I1807" s="2" t="str">
        <f t="shared" si="224"/>
        <v>North</v>
      </c>
      <c r="J1807" t="s">
        <v>12</v>
      </c>
      <c r="K1807" t="s">
        <v>36</v>
      </c>
      <c r="L1807">
        <v>13</v>
      </c>
      <c r="M1807">
        <v>120</v>
      </c>
      <c r="N1807">
        <f t="shared" si="228"/>
        <v>1560</v>
      </c>
      <c r="O1807">
        <f t="shared" si="229"/>
        <v>156</v>
      </c>
      <c r="P1807" t="str">
        <f t="shared" si="230"/>
        <v>Large Order</v>
      </c>
      <c r="Q1807" t="str">
        <f t="shared" si="231"/>
        <v>Weekday</v>
      </c>
    </row>
    <row r="1808" spans="1:17" x14ac:dyDescent="0.35">
      <c r="A1808" t="s">
        <v>1958</v>
      </c>
      <c r="B1808" s="7">
        <v>45487</v>
      </c>
      <c r="C1808" s="13">
        <f t="shared" si="225"/>
        <v>2024</v>
      </c>
      <c r="D1808" s="7" t="str">
        <f t="shared" si="226"/>
        <v>Jul</v>
      </c>
      <c r="E1808" s="7" t="str">
        <f t="shared" si="227"/>
        <v>Sun</v>
      </c>
      <c r="F1808" t="s">
        <v>200</v>
      </c>
      <c r="G1808" t="s">
        <v>45</v>
      </c>
      <c r="H1808" t="s">
        <v>17</v>
      </c>
      <c r="I1808" s="2" t="str">
        <f t="shared" si="224"/>
        <v>South</v>
      </c>
      <c r="J1808" t="s">
        <v>12</v>
      </c>
      <c r="K1808" t="s">
        <v>32</v>
      </c>
      <c r="L1808">
        <v>15</v>
      </c>
      <c r="M1808">
        <v>120</v>
      </c>
      <c r="N1808">
        <f t="shared" si="228"/>
        <v>1800</v>
      </c>
      <c r="O1808">
        <f t="shared" si="229"/>
        <v>180</v>
      </c>
      <c r="P1808" t="str">
        <f t="shared" si="230"/>
        <v>Large Order</v>
      </c>
      <c r="Q1808" t="str">
        <f t="shared" si="231"/>
        <v>Weekend</v>
      </c>
    </row>
    <row r="1809" spans="1:17" x14ac:dyDescent="0.35">
      <c r="A1809" t="s">
        <v>1959</v>
      </c>
      <c r="B1809" s="7">
        <v>45407</v>
      </c>
      <c r="C1809" s="13">
        <f t="shared" si="225"/>
        <v>2024</v>
      </c>
      <c r="D1809" s="7" t="str">
        <f t="shared" si="226"/>
        <v>Apr</v>
      </c>
      <c r="E1809" s="7" t="str">
        <f t="shared" si="227"/>
        <v>Thu</v>
      </c>
      <c r="F1809" t="s">
        <v>101</v>
      </c>
      <c r="G1809" t="s">
        <v>59</v>
      </c>
      <c r="H1809" t="s">
        <v>11</v>
      </c>
      <c r="I1809" s="2" t="str">
        <f t="shared" si="224"/>
        <v>South</v>
      </c>
      <c r="J1809" t="s">
        <v>56</v>
      </c>
      <c r="K1809" t="s">
        <v>13</v>
      </c>
      <c r="L1809">
        <v>3</v>
      </c>
      <c r="M1809">
        <v>120</v>
      </c>
      <c r="N1809">
        <f t="shared" si="228"/>
        <v>360</v>
      </c>
      <c r="O1809">
        <f t="shared" si="229"/>
        <v>36</v>
      </c>
      <c r="P1809" t="str">
        <f t="shared" si="230"/>
        <v>Standard Order</v>
      </c>
      <c r="Q1809" t="str">
        <f t="shared" si="231"/>
        <v>Weekday</v>
      </c>
    </row>
    <row r="1810" spans="1:17" x14ac:dyDescent="0.35">
      <c r="A1810" t="s">
        <v>1960</v>
      </c>
      <c r="B1810" s="7">
        <v>45569</v>
      </c>
      <c r="C1810" s="13">
        <f t="shared" si="225"/>
        <v>2024</v>
      </c>
      <c r="D1810" s="7" t="str">
        <f t="shared" si="226"/>
        <v>Oct</v>
      </c>
      <c r="E1810" s="7" t="str">
        <f t="shared" si="227"/>
        <v>Fri</v>
      </c>
      <c r="F1810" t="s">
        <v>408</v>
      </c>
      <c r="G1810" t="s">
        <v>119</v>
      </c>
      <c r="H1810" t="s">
        <v>22</v>
      </c>
      <c r="I1810" s="2" t="str">
        <f t="shared" si="224"/>
        <v>West</v>
      </c>
      <c r="J1810" t="s">
        <v>56</v>
      </c>
      <c r="K1810" t="s">
        <v>36</v>
      </c>
      <c r="L1810">
        <v>2</v>
      </c>
      <c r="M1810">
        <v>120</v>
      </c>
      <c r="N1810">
        <f t="shared" si="228"/>
        <v>240</v>
      </c>
      <c r="O1810">
        <f t="shared" si="229"/>
        <v>24</v>
      </c>
      <c r="P1810" t="str">
        <f t="shared" si="230"/>
        <v>Standard Order</v>
      </c>
      <c r="Q1810" t="str">
        <f t="shared" si="231"/>
        <v>Weekday</v>
      </c>
    </row>
    <row r="1811" spans="1:17" x14ac:dyDescent="0.35">
      <c r="A1811" t="s">
        <v>1961</v>
      </c>
      <c r="B1811" s="7">
        <v>45559</v>
      </c>
      <c r="C1811" s="13">
        <f t="shared" si="225"/>
        <v>2024</v>
      </c>
      <c r="D1811" s="7" t="str">
        <f t="shared" si="226"/>
        <v>Sep</v>
      </c>
      <c r="E1811" s="7" t="str">
        <f t="shared" si="227"/>
        <v>Tue</v>
      </c>
      <c r="F1811" t="s">
        <v>572</v>
      </c>
      <c r="G1811" t="s">
        <v>174</v>
      </c>
      <c r="H1811" t="s">
        <v>22</v>
      </c>
      <c r="I1811" s="2" t="str">
        <f t="shared" si="224"/>
        <v>Central</v>
      </c>
      <c r="J1811" t="s">
        <v>27</v>
      </c>
      <c r="K1811" t="s">
        <v>36</v>
      </c>
      <c r="L1811">
        <v>8</v>
      </c>
      <c r="M1811">
        <v>120</v>
      </c>
      <c r="N1811">
        <f t="shared" si="228"/>
        <v>960</v>
      </c>
      <c r="O1811">
        <f t="shared" si="229"/>
        <v>96</v>
      </c>
      <c r="P1811" t="str">
        <f t="shared" si="230"/>
        <v>Large Order</v>
      </c>
      <c r="Q1811" t="str">
        <f t="shared" si="231"/>
        <v>Weekday</v>
      </c>
    </row>
    <row r="1812" spans="1:17" x14ac:dyDescent="0.35">
      <c r="A1812" t="s">
        <v>1962</v>
      </c>
      <c r="B1812" s="7">
        <v>45332</v>
      </c>
      <c r="C1812" s="13">
        <f t="shared" si="225"/>
        <v>2024</v>
      </c>
      <c r="D1812" s="7" t="str">
        <f t="shared" si="226"/>
        <v>Feb</v>
      </c>
      <c r="E1812" s="7" t="str">
        <f t="shared" si="227"/>
        <v>Sat</v>
      </c>
      <c r="F1812" t="s">
        <v>106</v>
      </c>
      <c r="G1812" t="s">
        <v>62</v>
      </c>
      <c r="H1812" t="s">
        <v>11</v>
      </c>
      <c r="I1812" s="2" t="str">
        <f t="shared" si="224"/>
        <v>West</v>
      </c>
      <c r="J1812" t="s">
        <v>306</v>
      </c>
      <c r="K1812" t="s">
        <v>36</v>
      </c>
      <c r="L1812">
        <v>17</v>
      </c>
      <c r="M1812">
        <v>120</v>
      </c>
      <c r="N1812">
        <f t="shared" si="228"/>
        <v>2040</v>
      </c>
      <c r="O1812">
        <f t="shared" si="229"/>
        <v>204</v>
      </c>
      <c r="P1812" t="str">
        <f t="shared" si="230"/>
        <v>Large Order</v>
      </c>
      <c r="Q1812" t="str">
        <f t="shared" si="231"/>
        <v>Weekend</v>
      </c>
    </row>
    <row r="1813" spans="1:17" x14ac:dyDescent="0.35">
      <c r="A1813" t="s">
        <v>1963</v>
      </c>
      <c r="B1813" s="7">
        <v>45638</v>
      </c>
      <c r="C1813" s="13">
        <f t="shared" si="225"/>
        <v>2024</v>
      </c>
      <c r="D1813" s="7" t="str">
        <f t="shared" si="226"/>
        <v>Dec</v>
      </c>
      <c r="E1813" s="7" t="str">
        <f t="shared" si="227"/>
        <v>Thu</v>
      </c>
      <c r="F1813" t="s">
        <v>381</v>
      </c>
      <c r="G1813" t="s">
        <v>16</v>
      </c>
      <c r="H1813" t="s">
        <v>11</v>
      </c>
      <c r="I1813" s="2" t="str">
        <f t="shared" si="224"/>
        <v>North</v>
      </c>
      <c r="J1813" t="s">
        <v>27</v>
      </c>
      <c r="K1813" t="s">
        <v>28</v>
      </c>
      <c r="L1813">
        <v>6</v>
      </c>
      <c r="M1813">
        <v>120</v>
      </c>
      <c r="N1813">
        <f t="shared" si="228"/>
        <v>720</v>
      </c>
      <c r="O1813">
        <f t="shared" si="229"/>
        <v>72</v>
      </c>
      <c r="P1813" t="str">
        <f t="shared" si="230"/>
        <v>Large Order</v>
      </c>
      <c r="Q1813" t="str">
        <f t="shared" si="231"/>
        <v>Weekday</v>
      </c>
    </row>
    <row r="1814" spans="1:17" x14ac:dyDescent="0.35">
      <c r="A1814" t="s">
        <v>1964</v>
      </c>
      <c r="B1814" s="7">
        <v>45390</v>
      </c>
      <c r="C1814" s="13">
        <f t="shared" si="225"/>
        <v>2024</v>
      </c>
      <c r="D1814" s="7" t="str">
        <f t="shared" si="226"/>
        <v>Apr</v>
      </c>
      <c r="E1814" s="7" t="str">
        <f t="shared" si="227"/>
        <v>Mon</v>
      </c>
      <c r="F1814" t="s">
        <v>34</v>
      </c>
      <c r="G1814" t="s">
        <v>79</v>
      </c>
      <c r="H1814" t="s">
        <v>17</v>
      </c>
      <c r="I1814" s="2" t="str">
        <f t="shared" si="224"/>
        <v>East</v>
      </c>
      <c r="J1814" t="s">
        <v>12</v>
      </c>
      <c r="K1814" t="s">
        <v>23</v>
      </c>
      <c r="L1814">
        <v>7</v>
      </c>
      <c r="M1814">
        <v>120</v>
      </c>
      <c r="N1814">
        <f t="shared" si="228"/>
        <v>840</v>
      </c>
      <c r="O1814">
        <f t="shared" si="229"/>
        <v>84</v>
      </c>
      <c r="P1814" t="str">
        <f t="shared" si="230"/>
        <v>Large Order</v>
      </c>
      <c r="Q1814" t="str">
        <f t="shared" si="231"/>
        <v>Weekday</v>
      </c>
    </row>
    <row r="1815" spans="1:17" x14ac:dyDescent="0.35">
      <c r="A1815" t="s">
        <v>1965</v>
      </c>
      <c r="B1815" s="7">
        <v>45613</v>
      </c>
      <c r="C1815" s="13">
        <f t="shared" si="225"/>
        <v>2024</v>
      </c>
      <c r="D1815" s="7" t="str">
        <f t="shared" si="226"/>
        <v>Nov</v>
      </c>
      <c r="E1815" s="7" t="str">
        <f t="shared" si="227"/>
        <v>Sun</v>
      </c>
      <c r="F1815" t="s">
        <v>167</v>
      </c>
      <c r="G1815" t="s">
        <v>109</v>
      </c>
      <c r="H1815" t="s">
        <v>17</v>
      </c>
      <c r="I1815" s="2" t="str">
        <f t="shared" si="224"/>
        <v>Central</v>
      </c>
      <c r="J1815" t="s">
        <v>42</v>
      </c>
      <c r="K1815" t="s">
        <v>13</v>
      </c>
      <c r="L1815">
        <v>3</v>
      </c>
      <c r="M1815">
        <v>120</v>
      </c>
      <c r="N1815">
        <f t="shared" si="228"/>
        <v>360</v>
      </c>
      <c r="O1815">
        <f t="shared" si="229"/>
        <v>36</v>
      </c>
      <c r="P1815" t="str">
        <f t="shared" si="230"/>
        <v>Standard Order</v>
      </c>
      <c r="Q1815" t="str">
        <f t="shared" si="231"/>
        <v>Weekend</v>
      </c>
    </row>
    <row r="1816" spans="1:17" x14ac:dyDescent="0.35">
      <c r="A1816" t="s">
        <v>1966</v>
      </c>
      <c r="B1816" s="7">
        <v>45495</v>
      </c>
      <c r="C1816" s="13">
        <f t="shared" si="225"/>
        <v>2024</v>
      </c>
      <c r="D1816" s="7" t="str">
        <f t="shared" si="226"/>
        <v>Jul</v>
      </c>
      <c r="E1816" s="7" t="str">
        <f t="shared" si="227"/>
        <v>Mon</v>
      </c>
      <c r="F1816" t="s">
        <v>378</v>
      </c>
      <c r="G1816" t="s">
        <v>72</v>
      </c>
      <c r="H1816" t="s">
        <v>17</v>
      </c>
      <c r="I1816" s="2" t="str">
        <f t="shared" si="224"/>
        <v>North</v>
      </c>
      <c r="J1816" t="s">
        <v>306</v>
      </c>
      <c r="K1816" t="s">
        <v>23</v>
      </c>
      <c r="L1816">
        <v>1</v>
      </c>
      <c r="M1816">
        <v>120</v>
      </c>
      <c r="N1816">
        <f t="shared" si="228"/>
        <v>120</v>
      </c>
      <c r="O1816">
        <f t="shared" si="229"/>
        <v>12</v>
      </c>
      <c r="P1816" t="str">
        <f t="shared" si="230"/>
        <v>Standard Order</v>
      </c>
      <c r="Q1816" t="str">
        <f t="shared" si="231"/>
        <v>Weekday</v>
      </c>
    </row>
    <row r="1817" spans="1:17" x14ac:dyDescent="0.35">
      <c r="A1817" t="s">
        <v>1967</v>
      </c>
      <c r="B1817" s="7">
        <v>45611</v>
      </c>
      <c r="C1817" s="13">
        <f t="shared" si="225"/>
        <v>2024</v>
      </c>
      <c r="D1817" s="7" t="str">
        <f t="shared" si="226"/>
        <v>Nov</v>
      </c>
      <c r="E1817" s="7" t="str">
        <f t="shared" si="227"/>
        <v>Fri</v>
      </c>
      <c r="F1817" t="s">
        <v>449</v>
      </c>
      <c r="G1817" t="s">
        <v>160</v>
      </c>
      <c r="H1817" t="s">
        <v>17</v>
      </c>
      <c r="I1817" s="2" t="str">
        <f t="shared" si="224"/>
        <v>North</v>
      </c>
      <c r="J1817" t="s">
        <v>12</v>
      </c>
      <c r="K1817" t="s">
        <v>23</v>
      </c>
      <c r="L1817">
        <v>5</v>
      </c>
      <c r="M1817">
        <v>120</v>
      </c>
      <c r="N1817">
        <f t="shared" si="228"/>
        <v>600</v>
      </c>
      <c r="O1817">
        <f t="shared" si="229"/>
        <v>60</v>
      </c>
      <c r="P1817" t="str">
        <f t="shared" si="230"/>
        <v>Large Order</v>
      </c>
      <c r="Q1817" t="str">
        <f t="shared" si="231"/>
        <v>Weekday</v>
      </c>
    </row>
    <row r="1818" spans="1:17" x14ac:dyDescent="0.35">
      <c r="A1818" t="s">
        <v>1968</v>
      </c>
      <c r="B1818" s="7">
        <v>45593</v>
      </c>
      <c r="C1818" s="13">
        <f t="shared" si="225"/>
        <v>2024</v>
      </c>
      <c r="D1818" s="7" t="str">
        <f t="shared" si="226"/>
        <v>Oct</v>
      </c>
      <c r="E1818" s="7" t="str">
        <f t="shared" si="227"/>
        <v>Mon</v>
      </c>
      <c r="F1818" t="s">
        <v>361</v>
      </c>
      <c r="G1818" t="s">
        <v>119</v>
      </c>
      <c r="H1818" t="s">
        <v>11</v>
      </c>
      <c r="I1818" s="2" t="str">
        <f t="shared" si="224"/>
        <v>West</v>
      </c>
      <c r="J1818" t="s">
        <v>12</v>
      </c>
      <c r="K1818" t="s">
        <v>36</v>
      </c>
      <c r="L1818">
        <v>4</v>
      </c>
      <c r="M1818">
        <v>120</v>
      </c>
      <c r="N1818">
        <f t="shared" si="228"/>
        <v>480</v>
      </c>
      <c r="O1818">
        <f t="shared" si="229"/>
        <v>48</v>
      </c>
      <c r="P1818" t="str">
        <f t="shared" si="230"/>
        <v>Standard Order</v>
      </c>
      <c r="Q1818" t="str">
        <f t="shared" si="231"/>
        <v>Weekday</v>
      </c>
    </row>
    <row r="1819" spans="1:17" x14ac:dyDescent="0.35">
      <c r="A1819" t="s">
        <v>1969</v>
      </c>
      <c r="B1819" s="7">
        <v>45566</v>
      </c>
      <c r="C1819" s="13">
        <f t="shared" si="225"/>
        <v>2024</v>
      </c>
      <c r="D1819" s="7" t="str">
        <f t="shared" si="226"/>
        <v>Oct</v>
      </c>
      <c r="E1819" s="7" t="str">
        <f t="shared" si="227"/>
        <v>Tue</v>
      </c>
      <c r="F1819" t="s">
        <v>20</v>
      </c>
      <c r="G1819" t="s">
        <v>87</v>
      </c>
      <c r="H1819" t="s">
        <v>17</v>
      </c>
      <c r="I1819" s="2" t="str">
        <f t="shared" si="224"/>
        <v>South</v>
      </c>
      <c r="J1819" t="s">
        <v>27</v>
      </c>
      <c r="K1819" t="s">
        <v>23</v>
      </c>
      <c r="L1819">
        <v>19</v>
      </c>
      <c r="M1819">
        <v>120</v>
      </c>
      <c r="N1819">
        <f t="shared" si="228"/>
        <v>2280</v>
      </c>
      <c r="O1819">
        <f t="shared" si="229"/>
        <v>228</v>
      </c>
      <c r="P1819" t="str">
        <f t="shared" si="230"/>
        <v>Large Order</v>
      </c>
      <c r="Q1819" t="str">
        <f t="shared" si="231"/>
        <v>Weekday</v>
      </c>
    </row>
    <row r="1820" spans="1:17" x14ac:dyDescent="0.35">
      <c r="A1820" t="s">
        <v>1970</v>
      </c>
      <c r="B1820" s="7">
        <v>45311</v>
      </c>
      <c r="C1820" s="13">
        <f t="shared" si="225"/>
        <v>2024</v>
      </c>
      <c r="D1820" s="7" t="str">
        <f t="shared" si="226"/>
        <v>Jan</v>
      </c>
      <c r="E1820" s="7" t="str">
        <f t="shared" si="227"/>
        <v>Sat</v>
      </c>
      <c r="F1820" t="s">
        <v>235</v>
      </c>
      <c r="G1820" t="s">
        <v>26</v>
      </c>
      <c r="H1820" t="s">
        <v>17</v>
      </c>
      <c r="I1820" s="2" t="str">
        <f t="shared" si="224"/>
        <v>South</v>
      </c>
      <c r="J1820" t="s">
        <v>56</v>
      </c>
      <c r="K1820" t="s">
        <v>36</v>
      </c>
      <c r="L1820">
        <v>20</v>
      </c>
      <c r="M1820">
        <v>120</v>
      </c>
      <c r="N1820">
        <f t="shared" si="228"/>
        <v>2400</v>
      </c>
      <c r="O1820">
        <f t="shared" si="229"/>
        <v>240</v>
      </c>
      <c r="P1820" t="str">
        <f t="shared" si="230"/>
        <v>Large Order</v>
      </c>
      <c r="Q1820" t="str">
        <f t="shared" si="231"/>
        <v>Weekend</v>
      </c>
    </row>
    <row r="1821" spans="1:17" x14ac:dyDescent="0.35">
      <c r="A1821" t="s">
        <v>1971</v>
      </c>
      <c r="B1821" s="7">
        <v>45497</v>
      </c>
      <c r="C1821" s="13">
        <f t="shared" si="225"/>
        <v>2024</v>
      </c>
      <c r="D1821" s="7" t="str">
        <f t="shared" si="226"/>
        <v>Jul</v>
      </c>
      <c r="E1821" s="7" t="str">
        <f t="shared" si="227"/>
        <v>Wed</v>
      </c>
      <c r="F1821" t="s">
        <v>122</v>
      </c>
      <c r="G1821" t="s">
        <v>31</v>
      </c>
      <c r="H1821" t="s">
        <v>17</v>
      </c>
      <c r="I1821" s="2" t="str">
        <f t="shared" si="224"/>
        <v>East</v>
      </c>
      <c r="J1821" t="s">
        <v>56</v>
      </c>
      <c r="K1821" t="s">
        <v>13</v>
      </c>
      <c r="L1821">
        <v>16</v>
      </c>
      <c r="M1821">
        <v>120</v>
      </c>
      <c r="N1821">
        <f t="shared" si="228"/>
        <v>1920</v>
      </c>
      <c r="O1821">
        <f t="shared" si="229"/>
        <v>192</v>
      </c>
      <c r="P1821" t="str">
        <f t="shared" si="230"/>
        <v>Large Order</v>
      </c>
      <c r="Q1821" t="str">
        <f t="shared" si="231"/>
        <v>Weekday</v>
      </c>
    </row>
    <row r="1822" spans="1:17" x14ac:dyDescent="0.35">
      <c r="A1822" t="s">
        <v>1972</v>
      </c>
      <c r="B1822" s="7">
        <v>45482</v>
      </c>
      <c r="C1822" s="13">
        <f t="shared" si="225"/>
        <v>2024</v>
      </c>
      <c r="D1822" s="7" t="str">
        <f t="shared" si="226"/>
        <v>Jul</v>
      </c>
      <c r="E1822" s="7" t="str">
        <f t="shared" si="227"/>
        <v>Tue</v>
      </c>
      <c r="F1822" t="s">
        <v>138</v>
      </c>
      <c r="G1822" t="s">
        <v>72</v>
      </c>
      <c r="H1822" t="s">
        <v>17</v>
      </c>
      <c r="I1822" s="2" t="str">
        <f t="shared" si="224"/>
        <v>East</v>
      </c>
      <c r="J1822" t="s">
        <v>42</v>
      </c>
      <c r="K1822" t="s">
        <v>32</v>
      </c>
      <c r="L1822">
        <v>16</v>
      </c>
      <c r="M1822">
        <v>120</v>
      </c>
      <c r="N1822">
        <f t="shared" si="228"/>
        <v>1920</v>
      </c>
      <c r="O1822">
        <f t="shared" si="229"/>
        <v>192</v>
      </c>
      <c r="P1822" t="str">
        <f t="shared" si="230"/>
        <v>Large Order</v>
      </c>
      <c r="Q1822" t="str">
        <f t="shared" si="231"/>
        <v>Weekday</v>
      </c>
    </row>
    <row r="1823" spans="1:17" x14ac:dyDescent="0.35">
      <c r="A1823" t="s">
        <v>1973</v>
      </c>
      <c r="B1823" s="7">
        <v>45642</v>
      </c>
      <c r="C1823" s="13">
        <f t="shared" si="225"/>
        <v>2024</v>
      </c>
      <c r="D1823" s="7" t="str">
        <f t="shared" si="226"/>
        <v>Dec</v>
      </c>
      <c r="E1823" s="7" t="str">
        <f t="shared" si="227"/>
        <v>Mon</v>
      </c>
      <c r="F1823" t="s">
        <v>108</v>
      </c>
      <c r="G1823" t="s">
        <v>197</v>
      </c>
      <c r="H1823" t="s">
        <v>11</v>
      </c>
      <c r="I1823" s="2" t="str">
        <f t="shared" si="224"/>
        <v>South</v>
      </c>
      <c r="J1823" t="s">
        <v>42</v>
      </c>
      <c r="K1823" t="s">
        <v>23</v>
      </c>
      <c r="L1823">
        <v>11</v>
      </c>
      <c r="M1823">
        <v>120</v>
      </c>
      <c r="N1823">
        <f t="shared" si="228"/>
        <v>1320</v>
      </c>
      <c r="O1823">
        <f t="shared" si="229"/>
        <v>132</v>
      </c>
      <c r="P1823" t="str">
        <f t="shared" si="230"/>
        <v>Large Order</v>
      </c>
      <c r="Q1823" t="str">
        <f t="shared" si="231"/>
        <v>Weekday</v>
      </c>
    </row>
    <row r="1824" spans="1:17" x14ac:dyDescent="0.35">
      <c r="A1824" t="s">
        <v>1974</v>
      </c>
      <c r="B1824" s="7">
        <v>45505</v>
      </c>
      <c r="C1824" s="13">
        <f t="shared" si="225"/>
        <v>2024</v>
      </c>
      <c r="D1824" s="7" t="str">
        <f t="shared" si="226"/>
        <v>Aug</v>
      </c>
      <c r="E1824" s="7" t="str">
        <f t="shared" si="227"/>
        <v>Thu</v>
      </c>
      <c r="F1824" t="s">
        <v>493</v>
      </c>
      <c r="G1824" t="s">
        <v>21</v>
      </c>
      <c r="H1824" t="s">
        <v>11</v>
      </c>
      <c r="I1824" s="2" t="str">
        <f t="shared" si="224"/>
        <v>East</v>
      </c>
      <c r="J1824" t="s">
        <v>56</v>
      </c>
      <c r="K1824" t="s">
        <v>23</v>
      </c>
      <c r="L1824">
        <v>7</v>
      </c>
      <c r="M1824">
        <v>120</v>
      </c>
      <c r="N1824">
        <f t="shared" si="228"/>
        <v>840</v>
      </c>
      <c r="O1824">
        <f t="shared" si="229"/>
        <v>84</v>
      </c>
      <c r="P1824" t="str">
        <f t="shared" si="230"/>
        <v>Large Order</v>
      </c>
      <c r="Q1824" t="str">
        <f t="shared" si="231"/>
        <v>Weekday</v>
      </c>
    </row>
    <row r="1825" spans="1:17" x14ac:dyDescent="0.35">
      <c r="A1825" t="s">
        <v>1975</v>
      </c>
      <c r="B1825" s="7">
        <v>45500</v>
      </c>
      <c r="C1825" s="13">
        <f t="shared" si="225"/>
        <v>2024</v>
      </c>
      <c r="D1825" s="7" t="str">
        <f t="shared" si="226"/>
        <v>Jul</v>
      </c>
      <c r="E1825" s="7" t="str">
        <f t="shared" si="227"/>
        <v>Sat</v>
      </c>
      <c r="F1825" t="s">
        <v>304</v>
      </c>
      <c r="G1825" t="s">
        <v>35</v>
      </c>
      <c r="H1825" t="s">
        <v>22</v>
      </c>
      <c r="I1825" s="2" t="str">
        <f t="shared" si="224"/>
        <v>West</v>
      </c>
      <c r="J1825" t="s">
        <v>42</v>
      </c>
      <c r="K1825" t="s">
        <v>13</v>
      </c>
      <c r="L1825">
        <v>17</v>
      </c>
      <c r="M1825">
        <v>120</v>
      </c>
      <c r="N1825">
        <f t="shared" si="228"/>
        <v>2040</v>
      </c>
      <c r="O1825">
        <f t="shared" si="229"/>
        <v>204</v>
      </c>
      <c r="P1825" t="str">
        <f t="shared" si="230"/>
        <v>Large Order</v>
      </c>
      <c r="Q1825" t="str">
        <f t="shared" si="231"/>
        <v>Weekend</v>
      </c>
    </row>
    <row r="1826" spans="1:17" x14ac:dyDescent="0.35">
      <c r="A1826" t="s">
        <v>1976</v>
      </c>
      <c r="B1826" s="7">
        <v>45325</v>
      </c>
      <c r="C1826" s="13">
        <f t="shared" si="225"/>
        <v>2024</v>
      </c>
      <c r="D1826" s="7" t="str">
        <f t="shared" si="226"/>
        <v>Feb</v>
      </c>
      <c r="E1826" s="7" t="str">
        <f t="shared" si="227"/>
        <v>Sat</v>
      </c>
      <c r="F1826" t="s">
        <v>147</v>
      </c>
      <c r="G1826" t="s">
        <v>62</v>
      </c>
      <c r="H1826" t="s">
        <v>22</v>
      </c>
      <c r="I1826" s="2" t="str">
        <f t="shared" si="224"/>
        <v>North</v>
      </c>
      <c r="J1826" t="s">
        <v>27</v>
      </c>
      <c r="K1826" t="s">
        <v>28</v>
      </c>
      <c r="L1826">
        <v>17</v>
      </c>
      <c r="M1826">
        <v>120</v>
      </c>
      <c r="N1826">
        <f t="shared" si="228"/>
        <v>2040</v>
      </c>
      <c r="O1826">
        <f t="shared" si="229"/>
        <v>204</v>
      </c>
      <c r="P1826" t="str">
        <f t="shared" si="230"/>
        <v>Large Order</v>
      </c>
      <c r="Q1826" t="str">
        <f t="shared" si="231"/>
        <v>Weekend</v>
      </c>
    </row>
    <row r="1827" spans="1:17" x14ac:dyDescent="0.35">
      <c r="A1827" t="s">
        <v>1977</v>
      </c>
      <c r="B1827" s="7">
        <v>45306</v>
      </c>
      <c r="C1827" s="13">
        <f t="shared" si="225"/>
        <v>2024</v>
      </c>
      <c r="D1827" s="7" t="str">
        <f t="shared" si="226"/>
        <v>Jan</v>
      </c>
      <c r="E1827" s="7" t="str">
        <f t="shared" si="227"/>
        <v>Mon</v>
      </c>
      <c r="F1827" t="s">
        <v>235</v>
      </c>
      <c r="G1827" t="s">
        <v>65</v>
      </c>
      <c r="H1827" t="s">
        <v>11</v>
      </c>
      <c r="I1827" s="2" t="str">
        <f t="shared" si="224"/>
        <v>East</v>
      </c>
      <c r="J1827" t="s">
        <v>12</v>
      </c>
      <c r="K1827" t="s">
        <v>28</v>
      </c>
      <c r="L1827">
        <v>2</v>
      </c>
      <c r="M1827">
        <v>120</v>
      </c>
      <c r="N1827">
        <f t="shared" si="228"/>
        <v>240</v>
      </c>
      <c r="O1827">
        <f t="shared" si="229"/>
        <v>24</v>
      </c>
      <c r="P1827" t="str">
        <f t="shared" si="230"/>
        <v>Standard Order</v>
      </c>
      <c r="Q1827" t="str">
        <f t="shared" si="231"/>
        <v>Weekday</v>
      </c>
    </row>
    <row r="1828" spans="1:17" x14ac:dyDescent="0.35">
      <c r="A1828" t="s">
        <v>1978</v>
      </c>
      <c r="B1828" s="7">
        <v>45476</v>
      </c>
      <c r="C1828" s="13">
        <f t="shared" si="225"/>
        <v>2024</v>
      </c>
      <c r="D1828" s="7" t="str">
        <f t="shared" si="226"/>
        <v>Jul</v>
      </c>
      <c r="E1828" s="7" t="str">
        <f t="shared" si="227"/>
        <v>Wed</v>
      </c>
      <c r="F1828" t="s">
        <v>369</v>
      </c>
      <c r="G1828" t="s">
        <v>65</v>
      </c>
      <c r="H1828" t="s">
        <v>17</v>
      </c>
      <c r="I1828" s="2" t="str">
        <f t="shared" si="224"/>
        <v>East</v>
      </c>
      <c r="J1828" t="s">
        <v>42</v>
      </c>
      <c r="K1828" t="s">
        <v>23</v>
      </c>
      <c r="L1828">
        <v>17</v>
      </c>
      <c r="M1828">
        <v>120</v>
      </c>
      <c r="N1828">
        <f t="shared" si="228"/>
        <v>2040</v>
      </c>
      <c r="O1828">
        <f t="shared" si="229"/>
        <v>204</v>
      </c>
      <c r="P1828" t="str">
        <f t="shared" si="230"/>
        <v>Large Order</v>
      </c>
      <c r="Q1828" t="str">
        <f t="shared" si="231"/>
        <v>Weekday</v>
      </c>
    </row>
    <row r="1829" spans="1:17" x14ac:dyDescent="0.35">
      <c r="A1829" t="s">
        <v>1979</v>
      </c>
      <c r="B1829" s="7">
        <v>45355</v>
      </c>
      <c r="C1829" s="13">
        <f t="shared" si="225"/>
        <v>2024</v>
      </c>
      <c r="D1829" s="7" t="str">
        <f t="shared" si="226"/>
        <v>Mar</v>
      </c>
      <c r="E1829" s="7" t="str">
        <f t="shared" si="227"/>
        <v>Mon</v>
      </c>
      <c r="F1829" t="s">
        <v>455</v>
      </c>
      <c r="G1829" t="s">
        <v>96</v>
      </c>
      <c r="H1829" t="s">
        <v>11</v>
      </c>
      <c r="I1829" s="2" t="str">
        <f t="shared" si="224"/>
        <v>East</v>
      </c>
      <c r="J1829" t="s">
        <v>42</v>
      </c>
      <c r="K1829" t="s">
        <v>23</v>
      </c>
      <c r="L1829">
        <v>20</v>
      </c>
      <c r="M1829">
        <v>120</v>
      </c>
      <c r="N1829">
        <f t="shared" si="228"/>
        <v>2400</v>
      </c>
      <c r="O1829">
        <f t="shared" si="229"/>
        <v>240</v>
      </c>
      <c r="P1829" t="str">
        <f t="shared" si="230"/>
        <v>Large Order</v>
      </c>
      <c r="Q1829" t="str">
        <f t="shared" si="231"/>
        <v>Weekday</v>
      </c>
    </row>
    <row r="1830" spans="1:17" x14ac:dyDescent="0.35">
      <c r="A1830" t="s">
        <v>1980</v>
      </c>
      <c r="B1830" s="7">
        <v>45534</v>
      </c>
      <c r="C1830" s="13">
        <f t="shared" si="225"/>
        <v>2024</v>
      </c>
      <c r="D1830" s="7" t="str">
        <f t="shared" si="226"/>
        <v>Aug</v>
      </c>
      <c r="E1830" s="7" t="str">
        <f t="shared" si="227"/>
        <v>Fri</v>
      </c>
      <c r="F1830" t="s">
        <v>449</v>
      </c>
      <c r="G1830" t="s">
        <v>174</v>
      </c>
      <c r="H1830" t="s">
        <v>17</v>
      </c>
      <c r="I1830" s="2" t="str">
        <f t="shared" si="224"/>
        <v>West</v>
      </c>
      <c r="J1830" t="s">
        <v>42</v>
      </c>
      <c r="K1830" t="s">
        <v>28</v>
      </c>
      <c r="L1830">
        <v>9</v>
      </c>
      <c r="M1830">
        <v>120</v>
      </c>
      <c r="N1830">
        <f t="shared" si="228"/>
        <v>1080</v>
      </c>
      <c r="O1830">
        <f t="shared" si="229"/>
        <v>108</v>
      </c>
      <c r="P1830" t="str">
        <f t="shared" si="230"/>
        <v>Large Order</v>
      </c>
      <c r="Q1830" t="str">
        <f t="shared" si="231"/>
        <v>Weekday</v>
      </c>
    </row>
    <row r="1831" spans="1:17" x14ac:dyDescent="0.35">
      <c r="A1831" t="s">
        <v>1981</v>
      </c>
      <c r="B1831" s="7">
        <v>45644</v>
      </c>
      <c r="C1831" s="13">
        <f t="shared" si="225"/>
        <v>2024</v>
      </c>
      <c r="D1831" s="7" t="str">
        <f t="shared" si="226"/>
        <v>Dec</v>
      </c>
      <c r="E1831" s="7" t="str">
        <f t="shared" si="227"/>
        <v>Wed</v>
      </c>
      <c r="F1831" t="s">
        <v>203</v>
      </c>
      <c r="G1831" t="s">
        <v>74</v>
      </c>
      <c r="H1831" t="s">
        <v>11</v>
      </c>
      <c r="I1831" s="2" t="str">
        <f t="shared" si="224"/>
        <v>South</v>
      </c>
      <c r="J1831" t="s">
        <v>27</v>
      </c>
      <c r="K1831" t="s">
        <v>13</v>
      </c>
      <c r="L1831">
        <v>6</v>
      </c>
      <c r="M1831">
        <v>120</v>
      </c>
      <c r="N1831">
        <f t="shared" si="228"/>
        <v>720</v>
      </c>
      <c r="O1831">
        <f t="shared" si="229"/>
        <v>72</v>
      </c>
      <c r="P1831" t="str">
        <f t="shared" si="230"/>
        <v>Large Order</v>
      </c>
      <c r="Q1831" t="str">
        <f t="shared" si="231"/>
        <v>Weekday</v>
      </c>
    </row>
    <row r="1832" spans="1:17" x14ac:dyDescent="0.35">
      <c r="A1832" t="s">
        <v>1982</v>
      </c>
      <c r="B1832" s="7">
        <v>45401</v>
      </c>
      <c r="C1832" s="13">
        <f t="shared" si="225"/>
        <v>2024</v>
      </c>
      <c r="D1832" s="7" t="str">
        <f t="shared" si="226"/>
        <v>Apr</v>
      </c>
      <c r="E1832" s="7" t="str">
        <f t="shared" si="227"/>
        <v>Fri</v>
      </c>
      <c r="F1832" t="s">
        <v>240</v>
      </c>
      <c r="G1832" t="s">
        <v>21</v>
      </c>
      <c r="H1832" t="s">
        <v>11</v>
      </c>
      <c r="I1832" s="2" t="str">
        <f t="shared" si="224"/>
        <v>South</v>
      </c>
      <c r="J1832" t="s">
        <v>56</v>
      </c>
      <c r="K1832" t="s">
        <v>32</v>
      </c>
      <c r="L1832">
        <v>14</v>
      </c>
      <c r="M1832">
        <v>120</v>
      </c>
      <c r="N1832">
        <f t="shared" si="228"/>
        <v>1680</v>
      </c>
      <c r="O1832">
        <f t="shared" si="229"/>
        <v>168</v>
      </c>
      <c r="P1832" t="str">
        <f t="shared" si="230"/>
        <v>Large Order</v>
      </c>
      <c r="Q1832" t="str">
        <f t="shared" si="231"/>
        <v>Weekday</v>
      </c>
    </row>
    <row r="1833" spans="1:17" x14ac:dyDescent="0.35">
      <c r="A1833" t="s">
        <v>1983</v>
      </c>
      <c r="B1833" s="7">
        <v>45641</v>
      </c>
      <c r="C1833" s="13">
        <f t="shared" si="225"/>
        <v>2024</v>
      </c>
      <c r="D1833" s="7" t="str">
        <f t="shared" si="226"/>
        <v>Dec</v>
      </c>
      <c r="E1833" s="7" t="str">
        <f t="shared" si="227"/>
        <v>Sun</v>
      </c>
      <c r="F1833" t="s">
        <v>142</v>
      </c>
      <c r="G1833" t="s">
        <v>35</v>
      </c>
      <c r="H1833" t="s">
        <v>11</v>
      </c>
      <c r="I1833" s="2" t="str">
        <f t="shared" si="224"/>
        <v>East</v>
      </c>
      <c r="J1833" t="s">
        <v>56</v>
      </c>
      <c r="K1833" t="s">
        <v>36</v>
      </c>
      <c r="L1833">
        <v>1</v>
      </c>
      <c r="M1833">
        <v>120</v>
      </c>
      <c r="N1833">
        <f t="shared" si="228"/>
        <v>120</v>
      </c>
      <c r="O1833">
        <f t="shared" si="229"/>
        <v>12</v>
      </c>
      <c r="P1833" t="str">
        <f t="shared" si="230"/>
        <v>Standard Order</v>
      </c>
      <c r="Q1833" t="str">
        <f t="shared" si="231"/>
        <v>Weekend</v>
      </c>
    </row>
    <row r="1834" spans="1:17" x14ac:dyDescent="0.35">
      <c r="A1834" t="s">
        <v>1984</v>
      </c>
      <c r="B1834" s="7">
        <v>45603</v>
      </c>
      <c r="C1834" s="13">
        <f t="shared" si="225"/>
        <v>2024</v>
      </c>
      <c r="D1834" s="7" t="str">
        <f t="shared" si="226"/>
        <v>Nov</v>
      </c>
      <c r="E1834" s="7" t="str">
        <f t="shared" si="227"/>
        <v>Thu</v>
      </c>
      <c r="F1834" t="s">
        <v>147</v>
      </c>
      <c r="G1834" t="s">
        <v>62</v>
      </c>
      <c r="H1834" t="s">
        <v>22</v>
      </c>
      <c r="I1834" s="2" t="str">
        <f t="shared" si="224"/>
        <v>East</v>
      </c>
      <c r="J1834" t="s">
        <v>42</v>
      </c>
      <c r="K1834" t="s">
        <v>23</v>
      </c>
      <c r="L1834">
        <v>13</v>
      </c>
      <c r="M1834">
        <v>120</v>
      </c>
      <c r="N1834">
        <f t="shared" si="228"/>
        <v>1560</v>
      </c>
      <c r="O1834">
        <f t="shared" si="229"/>
        <v>156</v>
      </c>
      <c r="P1834" t="str">
        <f t="shared" si="230"/>
        <v>Large Order</v>
      </c>
      <c r="Q1834" t="str">
        <f t="shared" si="231"/>
        <v>Weekday</v>
      </c>
    </row>
    <row r="1835" spans="1:17" x14ac:dyDescent="0.35">
      <c r="A1835" t="s">
        <v>1985</v>
      </c>
      <c r="B1835" s="7">
        <v>45527</v>
      </c>
      <c r="C1835" s="13">
        <f t="shared" si="225"/>
        <v>2024</v>
      </c>
      <c r="D1835" s="7" t="str">
        <f t="shared" si="226"/>
        <v>Aug</v>
      </c>
      <c r="E1835" s="7" t="str">
        <f t="shared" si="227"/>
        <v>Fri</v>
      </c>
      <c r="F1835" t="s">
        <v>230</v>
      </c>
      <c r="G1835" t="s">
        <v>65</v>
      </c>
      <c r="H1835" t="s">
        <v>17</v>
      </c>
      <c r="I1835" s="2" t="str">
        <f t="shared" si="224"/>
        <v>East</v>
      </c>
      <c r="J1835" t="s">
        <v>42</v>
      </c>
      <c r="K1835" t="s">
        <v>36</v>
      </c>
      <c r="L1835">
        <v>20</v>
      </c>
      <c r="M1835">
        <v>120</v>
      </c>
      <c r="N1835">
        <f t="shared" si="228"/>
        <v>2400</v>
      </c>
      <c r="O1835">
        <f t="shared" si="229"/>
        <v>240</v>
      </c>
      <c r="P1835" t="str">
        <f t="shared" si="230"/>
        <v>Large Order</v>
      </c>
      <c r="Q1835" t="str">
        <f t="shared" si="231"/>
        <v>Weekday</v>
      </c>
    </row>
    <row r="1836" spans="1:17" x14ac:dyDescent="0.35">
      <c r="A1836" t="s">
        <v>1986</v>
      </c>
      <c r="B1836" s="7">
        <v>45344</v>
      </c>
      <c r="C1836" s="13">
        <f t="shared" si="225"/>
        <v>2024</v>
      </c>
      <c r="D1836" s="7" t="str">
        <f t="shared" si="226"/>
        <v>Feb</v>
      </c>
      <c r="E1836" s="7" t="str">
        <f t="shared" si="227"/>
        <v>Thu</v>
      </c>
      <c r="F1836" t="s">
        <v>25</v>
      </c>
      <c r="G1836" t="s">
        <v>160</v>
      </c>
      <c r="H1836" t="s">
        <v>22</v>
      </c>
      <c r="I1836" s="2" t="str">
        <f t="shared" si="224"/>
        <v>North</v>
      </c>
      <c r="J1836" t="s">
        <v>42</v>
      </c>
      <c r="K1836" t="s">
        <v>36</v>
      </c>
      <c r="L1836">
        <v>20</v>
      </c>
      <c r="M1836">
        <v>120</v>
      </c>
      <c r="N1836">
        <f t="shared" si="228"/>
        <v>2400</v>
      </c>
      <c r="O1836">
        <f t="shared" si="229"/>
        <v>240</v>
      </c>
      <c r="P1836" t="str">
        <f t="shared" si="230"/>
        <v>Large Order</v>
      </c>
      <c r="Q1836" t="str">
        <f t="shared" si="231"/>
        <v>Weekday</v>
      </c>
    </row>
    <row r="1837" spans="1:17" x14ac:dyDescent="0.35">
      <c r="A1837" t="s">
        <v>1987</v>
      </c>
      <c r="B1837" s="7">
        <v>45444</v>
      </c>
      <c r="C1837" s="13">
        <f t="shared" si="225"/>
        <v>2024</v>
      </c>
      <c r="D1837" s="7" t="str">
        <f t="shared" si="226"/>
        <v>Jun</v>
      </c>
      <c r="E1837" s="7" t="str">
        <f t="shared" si="227"/>
        <v>Sat</v>
      </c>
      <c r="F1837" t="s">
        <v>455</v>
      </c>
      <c r="G1837" t="s">
        <v>102</v>
      </c>
      <c r="H1837" t="s">
        <v>17</v>
      </c>
      <c r="I1837" s="2" t="str">
        <f t="shared" si="224"/>
        <v>East</v>
      </c>
      <c r="J1837" t="s">
        <v>12</v>
      </c>
      <c r="K1837" t="s">
        <v>32</v>
      </c>
      <c r="L1837">
        <v>9</v>
      </c>
      <c r="M1837">
        <v>120</v>
      </c>
      <c r="N1837">
        <f t="shared" si="228"/>
        <v>1080</v>
      </c>
      <c r="O1837">
        <f t="shared" si="229"/>
        <v>108</v>
      </c>
      <c r="P1837" t="str">
        <f t="shared" si="230"/>
        <v>Large Order</v>
      </c>
      <c r="Q1837" t="str">
        <f t="shared" si="231"/>
        <v>Weekend</v>
      </c>
    </row>
    <row r="1838" spans="1:17" x14ac:dyDescent="0.35">
      <c r="A1838" t="s">
        <v>1988</v>
      </c>
      <c r="B1838" s="7">
        <v>45433</v>
      </c>
      <c r="C1838" s="13">
        <f t="shared" si="225"/>
        <v>2024</v>
      </c>
      <c r="D1838" s="7" t="str">
        <f t="shared" si="226"/>
        <v>May</v>
      </c>
      <c r="E1838" s="7" t="str">
        <f t="shared" si="227"/>
        <v>Tue</v>
      </c>
      <c r="F1838" t="s">
        <v>86</v>
      </c>
      <c r="G1838" t="s">
        <v>21</v>
      </c>
      <c r="H1838" t="s">
        <v>22</v>
      </c>
      <c r="I1838" s="2" t="str">
        <f t="shared" si="224"/>
        <v>East</v>
      </c>
      <c r="J1838" t="s">
        <v>42</v>
      </c>
      <c r="K1838" t="s">
        <v>28</v>
      </c>
      <c r="L1838">
        <v>5</v>
      </c>
      <c r="M1838">
        <v>120</v>
      </c>
      <c r="N1838">
        <f t="shared" si="228"/>
        <v>600</v>
      </c>
      <c r="O1838">
        <f t="shared" si="229"/>
        <v>60</v>
      </c>
      <c r="P1838" t="str">
        <f t="shared" si="230"/>
        <v>Large Order</v>
      </c>
      <c r="Q1838" t="str">
        <f t="shared" si="231"/>
        <v>Weekday</v>
      </c>
    </row>
    <row r="1839" spans="1:17" x14ac:dyDescent="0.35">
      <c r="A1839" t="s">
        <v>1989</v>
      </c>
      <c r="B1839" s="7">
        <v>45415</v>
      </c>
      <c r="C1839" s="13">
        <f t="shared" si="225"/>
        <v>2024</v>
      </c>
      <c r="D1839" s="7" t="str">
        <f t="shared" si="226"/>
        <v>May</v>
      </c>
      <c r="E1839" s="7" t="str">
        <f t="shared" si="227"/>
        <v>Fri</v>
      </c>
      <c r="F1839" t="s">
        <v>131</v>
      </c>
      <c r="G1839" t="s">
        <v>109</v>
      </c>
      <c r="H1839" t="s">
        <v>17</v>
      </c>
      <c r="I1839" s="2" t="str">
        <f t="shared" si="224"/>
        <v>West</v>
      </c>
      <c r="J1839" t="s">
        <v>42</v>
      </c>
      <c r="K1839" t="s">
        <v>28</v>
      </c>
      <c r="L1839">
        <v>1</v>
      </c>
      <c r="M1839">
        <v>120</v>
      </c>
      <c r="N1839">
        <f t="shared" si="228"/>
        <v>120</v>
      </c>
      <c r="O1839">
        <f t="shared" si="229"/>
        <v>12</v>
      </c>
      <c r="P1839" t="str">
        <f t="shared" si="230"/>
        <v>Standard Order</v>
      </c>
      <c r="Q1839" t="str">
        <f t="shared" si="231"/>
        <v>Weekday</v>
      </c>
    </row>
    <row r="1840" spans="1:17" x14ac:dyDescent="0.35">
      <c r="A1840" t="s">
        <v>1990</v>
      </c>
      <c r="B1840" s="7">
        <v>45443</v>
      </c>
      <c r="C1840" s="13">
        <f t="shared" si="225"/>
        <v>2024</v>
      </c>
      <c r="D1840" s="7" t="str">
        <f t="shared" si="226"/>
        <v>May</v>
      </c>
      <c r="E1840" s="7" t="str">
        <f t="shared" si="227"/>
        <v>Fri</v>
      </c>
      <c r="F1840" t="s">
        <v>86</v>
      </c>
      <c r="G1840" t="s">
        <v>87</v>
      </c>
      <c r="H1840" t="s">
        <v>17</v>
      </c>
      <c r="I1840" s="2" t="str">
        <f t="shared" si="224"/>
        <v>South</v>
      </c>
      <c r="J1840" t="s">
        <v>27</v>
      </c>
      <c r="K1840" t="s">
        <v>13</v>
      </c>
      <c r="L1840">
        <v>19</v>
      </c>
      <c r="M1840">
        <v>120</v>
      </c>
      <c r="N1840">
        <f t="shared" si="228"/>
        <v>2280</v>
      </c>
      <c r="O1840">
        <f t="shared" si="229"/>
        <v>228</v>
      </c>
      <c r="P1840" t="str">
        <f t="shared" si="230"/>
        <v>Large Order</v>
      </c>
      <c r="Q1840" t="str">
        <f t="shared" si="231"/>
        <v>Weekday</v>
      </c>
    </row>
    <row r="1841" spans="1:17" x14ac:dyDescent="0.35">
      <c r="A1841" t="s">
        <v>1991</v>
      </c>
      <c r="B1841" s="7">
        <v>45584</v>
      </c>
      <c r="C1841" s="13">
        <f t="shared" si="225"/>
        <v>2024</v>
      </c>
      <c r="D1841" s="7" t="str">
        <f t="shared" si="226"/>
        <v>Oct</v>
      </c>
      <c r="E1841" s="7" t="str">
        <f t="shared" si="227"/>
        <v>Sat</v>
      </c>
      <c r="F1841" t="s">
        <v>150</v>
      </c>
      <c r="G1841" t="s">
        <v>72</v>
      </c>
      <c r="H1841" t="s">
        <v>22</v>
      </c>
      <c r="I1841" s="2" t="str">
        <f t="shared" si="224"/>
        <v>South</v>
      </c>
      <c r="J1841" t="s">
        <v>56</v>
      </c>
      <c r="K1841" t="s">
        <v>36</v>
      </c>
      <c r="L1841">
        <v>16</v>
      </c>
      <c r="M1841">
        <v>120</v>
      </c>
      <c r="N1841">
        <f t="shared" si="228"/>
        <v>1920</v>
      </c>
      <c r="O1841">
        <f t="shared" si="229"/>
        <v>192</v>
      </c>
      <c r="P1841" t="str">
        <f t="shared" si="230"/>
        <v>Large Order</v>
      </c>
      <c r="Q1841" t="str">
        <f t="shared" si="231"/>
        <v>Weekend</v>
      </c>
    </row>
    <row r="1842" spans="1:17" x14ac:dyDescent="0.35">
      <c r="A1842" t="s">
        <v>1992</v>
      </c>
      <c r="B1842" s="7">
        <v>45635</v>
      </c>
      <c r="C1842" s="13">
        <f t="shared" si="225"/>
        <v>2024</v>
      </c>
      <c r="D1842" s="7" t="str">
        <f t="shared" si="226"/>
        <v>Dec</v>
      </c>
      <c r="E1842" s="7" t="str">
        <f t="shared" si="227"/>
        <v>Mon</v>
      </c>
      <c r="F1842" t="s">
        <v>182</v>
      </c>
      <c r="G1842" t="s">
        <v>160</v>
      </c>
      <c r="H1842" t="s">
        <v>17</v>
      </c>
      <c r="I1842" s="2" t="str">
        <f t="shared" si="224"/>
        <v>Central</v>
      </c>
      <c r="J1842" t="s">
        <v>56</v>
      </c>
      <c r="K1842" t="s">
        <v>36</v>
      </c>
      <c r="L1842">
        <v>6</v>
      </c>
      <c r="M1842">
        <v>120</v>
      </c>
      <c r="N1842">
        <f t="shared" si="228"/>
        <v>720</v>
      </c>
      <c r="O1842">
        <f t="shared" si="229"/>
        <v>72</v>
      </c>
      <c r="P1842" t="str">
        <f t="shared" si="230"/>
        <v>Large Order</v>
      </c>
      <c r="Q1842" t="str">
        <f t="shared" si="231"/>
        <v>Weekday</v>
      </c>
    </row>
    <row r="1843" spans="1:17" x14ac:dyDescent="0.35">
      <c r="A1843" t="s">
        <v>1993</v>
      </c>
      <c r="B1843" s="7">
        <v>45533</v>
      </c>
      <c r="C1843" s="13">
        <f t="shared" si="225"/>
        <v>2024</v>
      </c>
      <c r="D1843" s="7" t="str">
        <f t="shared" si="226"/>
        <v>Aug</v>
      </c>
      <c r="E1843" s="7" t="str">
        <f t="shared" si="227"/>
        <v>Thu</v>
      </c>
      <c r="F1843" t="s">
        <v>34</v>
      </c>
      <c r="G1843" t="s">
        <v>84</v>
      </c>
      <c r="H1843" t="s">
        <v>17</v>
      </c>
      <c r="I1843" s="2" t="str">
        <f t="shared" si="224"/>
        <v>East</v>
      </c>
      <c r="J1843" t="s">
        <v>306</v>
      </c>
      <c r="K1843" t="s">
        <v>28</v>
      </c>
      <c r="L1843">
        <v>11</v>
      </c>
      <c r="M1843">
        <v>120</v>
      </c>
      <c r="N1843">
        <f t="shared" si="228"/>
        <v>1320</v>
      </c>
      <c r="O1843">
        <f t="shared" si="229"/>
        <v>132</v>
      </c>
      <c r="P1843" t="str">
        <f t="shared" si="230"/>
        <v>Large Order</v>
      </c>
      <c r="Q1843" t="str">
        <f t="shared" si="231"/>
        <v>Weekday</v>
      </c>
    </row>
    <row r="1844" spans="1:17" x14ac:dyDescent="0.35">
      <c r="A1844" t="s">
        <v>1994</v>
      </c>
      <c r="B1844" s="7">
        <v>45405</v>
      </c>
      <c r="C1844" s="13">
        <f t="shared" si="225"/>
        <v>2024</v>
      </c>
      <c r="D1844" s="7" t="str">
        <f t="shared" si="226"/>
        <v>Apr</v>
      </c>
      <c r="E1844" s="7" t="str">
        <f t="shared" si="227"/>
        <v>Tue</v>
      </c>
      <c r="F1844" t="s">
        <v>182</v>
      </c>
      <c r="G1844" t="s">
        <v>197</v>
      </c>
      <c r="H1844" t="s">
        <v>22</v>
      </c>
      <c r="I1844" s="2" t="str">
        <f t="shared" si="224"/>
        <v>West</v>
      </c>
      <c r="J1844" t="s">
        <v>42</v>
      </c>
      <c r="K1844" t="s">
        <v>23</v>
      </c>
      <c r="L1844">
        <v>11</v>
      </c>
      <c r="M1844">
        <v>120</v>
      </c>
      <c r="N1844">
        <f t="shared" si="228"/>
        <v>1320</v>
      </c>
      <c r="O1844">
        <f t="shared" si="229"/>
        <v>132</v>
      </c>
      <c r="P1844" t="str">
        <f t="shared" si="230"/>
        <v>Large Order</v>
      </c>
      <c r="Q1844" t="str">
        <f t="shared" si="231"/>
        <v>Weekday</v>
      </c>
    </row>
    <row r="1845" spans="1:17" x14ac:dyDescent="0.35">
      <c r="A1845" t="s">
        <v>1995</v>
      </c>
      <c r="B1845" s="7">
        <v>45591</v>
      </c>
      <c r="C1845" s="13">
        <f t="shared" si="225"/>
        <v>2024</v>
      </c>
      <c r="D1845" s="7" t="str">
        <f t="shared" si="226"/>
        <v>Oct</v>
      </c>
      <c r="E1845" s="7" t="str">
        <f t="shared" si="227"/>
        <v>Sat</v>
      </c>
      <c r="F1845" t="s">
        <v>61</v>
      </c>
      <c r="G1845" t="s">
        <v>70</v>
      </c>
      <c r="H1845" t="s">
        <v>11</v>
      </c>
      <c r="I1845" s="2" t="str">
        <f t="shared" si="224"/>
        <v>Central</v>
      </c>
      <c r="J1845" t="s">
        <v>27</v>
      </c>
      <c r="K1845" t="s">
        <v>13</v>
      </c>
      <c r="L1845">
        <v>19</v>
      </c>
      <c r="M1845">
        <v>120</v>
      </c>
      <c r="N1845">
        <f t="shared" si="228"/>
        <v>2280</v>
      </c>
      <c r="O1845">
        <f t="shared" si="229"/>
        <v>228</v>
      </c>
      <c r="P1845" t="str">
        <f t="shared" si="230"/>
        <v>Large Order</v>
      </c>
      <c r="Q1845" t="str">
        <f t="shared" si="231"/>
        <v>Weekend</v>
      </c>
    </row>
    <row r="1846" spans="1:17" x14ac:dyDescent="0.35">
      <c r="A1846" t="s">
        <v>1996</v>
      </c>
      <c r="B1846" s="7">
        <v>45609</v>
      </c>
      <c r="C1846" s="13">
        <f t="shared" si="225"/>
        <v>2024</v>
      </c>
      <c r="D1846" s="7" t="str">
        <f t="shared" si="226"/>
        <v>Nov</v>
      </c>
      <c r="E1846" s="7" t="str">
        <f t="shared" si="227"/>
        <v>Wed</v>
      </c>
      <c r="F1846" t="s">
        <v>208</v>
      </c>
      <c r="G1846" t="s">
        <v>35</v>
      </c>
      <c r="H1846" t="s">
        <v>11</v>
      </c>
      <c r="I1846" s="2" t="str">
        <f t="shared" si="224"/>
        <v>South</v>
      </c>
      <c r="J1846" t="s">
        <v>306</v>
      </c>
      <c r="K1846" t="s">
        <v>13</v>
      </c>
      <c r="L1846">
        <v>13</v>
      </c>
      <c r="M1846">
        <v>120</v>
      </c>
      <c r="N1846">
        <f t="shared" si="228"/>
        <v>1560</v>
      </c>
      <c r="O1846">
        <f t="shared" si="229"/>
        <v>156</v>
      </c>
      <c r="P1846" t="str">
        <f t="shared" si="230"/>
        <v>Large Order</v>
      </c>
      <c r="Q1846" t="str">
        <f t="shared" si="231"/>
        <v>Weekday</v>
      </c>
    </row>
    <row r="1847" spans="1:17" x14ac:dyDescent="0.35">
      <c r="A1847" t="s">
        <v>1997</v>
      </c>
      <c r="B1847" s="7">
        <v>45503</v>
      </c>
      <c r="C1847" s="13">
        <f t="shared" si="225"/>
        <v>2024</v>
      </c>
      <c r="D1847" s="7" t="str">
        <f t="shared" si="226"/>
        <v>Jul</v>
      </c>
      <c r="E1847" s="7" t="str">
        <f t="shared" si="227"/>
        <v>Tue</v>
      </c>
      <c r="F1847" t="s">
        <v>9</v>
      </c>
      <c r="G1847" t="s">
        <v>16</v>
      </c>
      <c r="H1847" t="s">
        <v>11</v>
      </c>
      <c r="I1847" s="2" t="str">
        <f t="shared" si="224"/>
        <v>South</v>
      </c>
      <c r="J1847" t="s">
        <v>56</v>
      </c>
      <c r="K1847" t="s">
        <v>32</v>
      </c>
      <c r="L1847">
        <v>14</v>
      </c>
      <c r="M1847">
        <v>120</v>
      </c>
      <c r="N1847">
        <f t="shared" si="228"/>
        <v>1680</v>
      </c>
      <c r="O1847">
        <f t="shared" si="229"/>
        <v>168</v>
      </c>
      <c r="P1847" t="str">
        <f t="shared" si="230"/>
        <v>Large Order</v>
      </c>
      <c r="Q1847" t="str">
        <f t="shared" si="231"/>
        <v>Weekday</v>
      </c>
    </row>
    <row r="1848" spans="1:17" x14ac:dyDescent="0.35">
      <c r="A1848" t="s">
        <v>1998</v>
      </c>
      <c r="B1848" s="7">
        <v>45526</v>
      </c>
      <c r="C1848" s="13">
        <f t="shared" si="225"/>
        <v>2024</v>
      </c>
      <c r="D1848" s="7" t="str">
        <f t="shared" si="226"/>
        <v>Aug</v>
      </c>
      <c r="E1848" s="7" t="str">
        <f t="shared" si="227"/>
        <v>Thu</v>
      </c>
      <c r="F1848" t="s">
        <v>167</v>
      </c>
      <c r="G1848" t="s">
        <v>72</v>
      </c>
      <c r="H1848" t="s">
        <v>22</v>
      </c>
      <c r="I1848" s="2" t="str">
        <f t="shared" si="224"/>
        <v>North</v>
      </c>
      <c r="J1848" t="s">
        <v>56</v>
      </c>
      <c r="K1848" t="s">
        <v>13</v>
      </c>
      <c r="L1848">
        <v>16</v>
      </c>
      <c r="M1848">
        <v>120</v>
      </c>
      <c r="N1848">
        <f t="shared" si="228"/>
        <v>1920</v>
      </c>
      <c r="O1848">
        <f t="shared" si="229"/>
        <v>192</v>
      </c>
      <c r="P1848" t="str">
        <f t="shared" si="230"/>
        <v>Large Order</v>
      </c>
      <c r="Q1848" t="str">
        <f t="shared" si="231"/>
        <v>Weekday</v>
      </c>
    </row>
    <row r="1849" spans="1:17" x14ac:dyDescent="0.35">
      <c r="A1849" t="s">
        <v>1999</v>
      </c>
      <c r="B1849" s="7">
        <v>45382</v>
      </c>
      <c r="C1849" s="13">
        <f t="shared" si="225"/>
        <v>2024</v>
      </c>
      <c r="D1849" s="7" t="str">
        <f t="shared" si="226"/>
        <v>Mar</v>
      </c>
      <c r="E1849" s="7" t="str">
        <f t="shared" si="227"/>
        <v>Sun</v>
      </c>
      <c r="F1849" t="s">
        <v>38</v>
      </c>
      <c r="G1849" t="s">
        <v>21</v>
      </c>
      <c r="H1849" t="s">
        <v>11</v>
      </c>
      <c r="I1849" s="2" t="str">
        <f t="shared" si="224"/>
        <v>West</v>
      </c>
      <c r="J1849" t="s">
        <v>12</v>
      </c>
      <c r="K1849" t="s">
        <v>23</v>
      </c>
      <c r="L1849">
        <v>9</v>
      </c>
      <c r="M1849">
        <v>120</v>
      </c>
      <c r="N1849">
        <f t="shared" si="228"/>
        <v>1080</v>
      </c>
      <c r="O1849">
        <f t="shared" si="229"/>
        <v>108</v>
      </c>
      <c r="P1849" t="str">
        <f t="shared" si="230"/>
        <v>Large Order</v>
      </c>
      <c r="Q1849" t="str">
        <f t="shared" si="231"/>
        <v>Weekend</v>
      </c>
    </row>
    <row r="1850" spans="1:17" x14ac:dyDescent="0.35">
      <c r="A1850" t="s">
        <v>2000</v>
      </c>
      <c r="B1850" s="7">
        <v>45378</v>
      </c>
      <c r="C1850" s="13">
        <f t="shared" si="225"/>
        <v>2024</v>
      </c>
      <c r="D1850" s="7" t="str">
        <f t="shared" si="226"/>
        <v>Mar</v>
      </c>
      <c r="E1850" s="7" t="str">
        <f t="shared" si="227"/>
        <v>Wed</v>
      </c>
      <c r="F1850" t="s">
        <v>314</v>
      </c>
      <c r="G1850" t="s">
        <v>119</v>
      </c>
      <c r="H1850" t="s">
        <v>11</v>
      </c>
      <c r="I1850" s="2" t="str">
        <f t="shared" si="224"/>
        <v>West</v>
      </c>
      <c r="J1850" t="s">
        <v>27</v>
      </c>
      <c r="K1850" t="s">
        <v>13</v>
      </c>
      <c r="L1850">
        <v>5</v>
      </c>
      <c r="M1850">
        <v>120</v>
      </c>
      <c r="N1850">
        <f t="shared" si="228"/>
        <v>600</v>
      </c>
      <c r="O1850">
        <f t="shared" si="229"/>
        <v>60</v>
      </c>
      <c r="P1850" t="str">
        <f t="shared" si="230"/>
        <v>Large Order</v>
      </c>
      <c r="Q1850" t="str">
        <f t="shared" si="231"/>
        <v>Weekday</v>
      </c>
    </row>
    <row r="1851" spans="1:17" x14ac:dyDescent="0.35">
      <c r="A1851" t="s">
        <v>2001</v>
      </c>
      <c r="B1851" s="7">
        <v>45616</v>
      </c>
      <c r="C1851" s="13">
        <f t="shared" si="225"/>
        <v>2024</v>
      </c>
      <c r="D1851" s="7" t="str">
        <f t="shared" si="226"/>
        <v>Nov</v>
      </c>
      <c r="E1851" s="7" t="str">
        <f t="shared" si="227"/>
        <v>Wed</v>
      </c>
      <c r="F1851" t="s">
        <v>309</v>
      </c>
      <c r="G1851" t="s">
        <v>31</v>
      </c>
      <c r="H1851" t="s">
        <v>17</v>
      </c>
      <c r="I1851" s="2" t="str">
        <f t="shared" si="224"/>
        <v>East</v>
      </c>
      <c r="J1851" t="s">
        <v>27</v>
      </c>
      <c r="K1851" t="s">
        <v>23</v>
      </c>
      <c r="L1851">
        <v>1</v>
      </c>
      <c r="M1851">
        <v>120</v>
      </c>
      <c r="N1851">
        <f t="shared" si="228"/>
        <v>120</v>
      </c>
      <c r="O1851">
        <f t="shared" si="229"/>
        <v>12</v>
      </c>
      <c r="P1851" t="str">
        <f t="shared" si="230"/>
        <v>Standard Order</v>
      </c>
      <c r="Q1851" t="str">
        <f t="shared" si="231"/>
        <v>Weekday</v>
      </c>
    </row>
    <row r="1852" spans="1:17" x14ac:dyDescent="0.35">
      <c r="A1852" t="s">
        <v>2002</v>
      </c>
      <c r="B1852" s="7">
        <v>45394</v>
      </c>
      <c r="C1852" s="13">
        <f t="shared" si="225"/>
        <v>2024</v>
      </c>
      <c r="D1852" s="7" t="str">
        <f t="shared" si="226"/>
        <v>Apr</v>
      </c>
      <c r="E1852" s="7" t="str">
        <f t="shared" si="227"/>
        <v>Fri</v>
      </c>
      <c r="F1852" t="s">
        <v>388</v>
      </c>
      <c r="G1852" t="s">
        <v>48</v>
      </c>
      <c r="H1852" t="s">
        <v>11</v>
      </c>
      <c r="I1852" s="2" t="str">
        <f t="shared" si="224"/>
        <v>South</v>
      </c>
      <c r="J1852" t="s">
        <v>42</v>
      </c>
      <c r="K1852" t="s">
        <v>36</v>
      </c>
      <c r="L1852">
        <v>7</v>
      </c>
      <c r="M1852">
        <v>120</v>
      </c>
      <c r="N1852">
        <f t="shared" si="228"/>
        <v>840</v>
      </c>
      <c r="O1852">
        <f t="shared" si="229"/>
        <v>84</v>
      </c>
      <c r="P1852" t="str">
        <f t="shared" si="230"/>
        <v>Large Order</v>
      </c>
      <c r="Q1852" t="str">
        <f t="shared" si="231"/>
        <v>Weekday</v>
      </c>
    </row>
    <row r="1853" spans="1:17" x14ac:dyDescent="0.35">
      <c r="A1853" t="s">
        <v>2003</v>
      </c>
      <c r="B1853" s="7">
        <v>45294</v>
      </c>
      <c r="C1853" s="13">
        <f t="shared" si="225"/>
        <v>2024</v>
      </c>
      <c r="D1853" s="7" t="str">
        <f t="shared" si="226"/>
        <v>Jan</v>
      </c>
      <c r="E1853" s="7" t="str">
        <f t="shared" si="227"/>
        <v>Wed</v>
      </c>
      <c r="F1853" t="s">
        <v>451</v>
      </c>
      <c r="G1853" t="s">
        <v>84</v>
      </c>
      <c r="H1853" t="s">
        <v>11</v>
      </c>
      <c r="I1853" s="2" t="str">
        <f t="shared" si="224"/>
        <v>South</v>
      </c>
      <c r="J1853" t="s">
        <v>56</v>
      </c>
      <c r="K1853" t="s">
        <v>32</v>
      </c>
      <c r="L1853">
        <v>10</v>
      </c>
      <c r="M1853">
        <v>120</v>
      </c>
      <c r="N1853">
        <f t="shared" si="228"/>
        <v>1200</v>
      </c>
      <c r="O1853">
        <f t="shared" si="229"/>
        <v>120</v>
      </c>
      <c r="P1853" t="str">
        <f t="shared" si="230"/>
        <v>Large Order</v>
      </c>
      <c r="Q1853" t="str">
        <f t="shared" si="231"/>
        <v>Weekday</v>
      </c>
    </row>
    <row r="1854" spans="1:17" x14ac:dyDescent="0.35">
      <c r="A1854" t="s">
        <v>2004</v>
      </c>
      <c r="B1854" s="7">
        <v>45488</v>
      </c>
      <c r="C1854" s="13">
        <f t="shared" si="225"/>
        <v>2024</v>
      </c>
      <c r="D1854" s="7" t="str">
        <f t="shared" si="226"/>
        <v>Jul</v>
      </c>
      <c r="E1854" s="7" t="str">
        <f t="shared" si="227"/>
        <v>Mon</v>
      </c>
      <c r="F1854" t="s">
        <v>358</v>
      </c>
      <c r="G1854" t="s">
        <v>59</v>
      </c>
      <c r="H1854" t="s">
        <v>17</v>
      </c>
      <c r="I1854" s="2" t="str">
        <f t="shared" si="224"/>
        <v>Central</v>
      </c>
      <c r="J1854" t="s">
        <v>56</v>
      </c>
      <c r="K1854" t="s">
        <v>13</v>
      </c>
      <c r="L1854">
        <v>2</v>
      </c>
      <c r="M1854">
        <v>120</v>
      </c>
      <c r="N1854">
        <f t="shared" si="228"/>
        <v>240</v>
      </c>
      <c r="O1854">
        <f t="shared" si="229"/>
        <v>24</v>
      </c>
      <c r="P1854" t="str">
        <f t="shared" si="230"/>
        <v>Standard Order</v>
      </c>
      <c r="Q1854" t="str">
        <f t="shared" si="231"/>
        <v>Weekday</v>
      </c>
    </row>
    <row r="1855" spans="1:17" x14ac:dyDescent="0.35">
      <c r="A1855" t="s">
        <v>2005</v>
      </c>
      <c r="B1855" s="7">
        <v>45440</v>
      </c>
      <c r="C1855" s="13">
        <f t="shared" si="225"/>
        <v>2024</v>
      </c>
      <c r="D1855" s="7" t="str">
        <f t="shared" si="226"/>
        <v>May</v>
      </c>
      <c r="E1855" s="7" t="str">
        <f t="shared" si="227"/>
        <v>Tue</v>
      </c>
      <c r="F1855" t="s">
        <v>366</v>
      </c>
      <c r="G1855" t="s">
        <v>84</v>
      </c>
      <c r="H1855" t="s">
        <v>22</v>
      </c>
      <c r="I1855" s="2" t="str">
        <f t="shared" si="224"/>
        <v>East</v>
      </c>
      <c r="J1855" t="s">
        <v>306</v>
      </c>
      <c r="K1855" t="s">
        <v>36</v>
      </c>
      <c r="L1855">
        <v>11</v>
      </c>
      <c r="M1855">
        <v>120</v>
      </c>
      <c r="N1855">
        <f t="shared" si="228"/>
        <v>1320</v>
      </c>
      <c r="O1855">
        <f t="shared" si="229"/>
        <v>132</v>
      </c>
      <c r="P1855" t="str">
        <f t="shared" si="230"/>
        <v>Large Order</v>
      </c>
      <c r="Q1855" t="str">
        <f t="shared" si="231"/>
        <v>Weekday</v>
      </c>
    </row>
    <row r="1856" spans="1:17" x14ac:dyDescent="0.35">
      <c r="A1856" t="s">
        <v>2006</v>
      </c>
      <c r="B1856" s="7">
        <v>45643</v>
      </c>
      <c r="C1856" s="13">
        <f t="shared" si="225"/>
        <v>2024</v>
      </c>
      <c r="D1856" s="7" t="str">
        <f t="shared" si="226"/>
        <v>Dec</v>
      </c>
      <c r="E1856" s="7" t="str">
        <f t="shared" si="227"/>
        <v>Tue</v>
      </c>
      <c r="F1856" t="s">
        <v>99</v>
      </c>
      <c r="G1856" t="s">
        <v>72</v>
      </c>
      <c r="H1856" t="s">
        <v>17</v>
      </c>
      <c r="I1856" s="2" t="str">
        <f t="shared" si="224"/>
        <v>South</v>
      </c>
      <c r="J1856" t="s">
        <v>42</v>
      </c>
      <c r="K1856" t="s">
        <v>28</v>
      </c>
      <c r="L1856">
        <v>6</v>
      </c>
      <c r="M1856">
        <v>120</v>
      </c>
      <c r="N1856">
        <f t="shared" si="228"/>
        <v>720</v>
      </c>
      <c r="O1856">
        <f t="shared" si="229"/>
        <v>72</v>
      </c>
      <c r="P1856" t="str">
        <f t="shared" si="230"/>
        <v>Large Order</v>
      </c>
      <c r="Q1856" t="str">
        <f t="shared" si="231"/>
        <v>Weekday</v>
      </c>
    </row>
    <row r="1857" spans="1:17" x14ac:dyDescent="0.35">
      <c r="A1857" t="s">
        <v>2007</v>
      </c>
      <c r="B1857" s="7">
        <v>45498</v>
      </c>
      <c r="C1857" s="13">
        <f t="shared" si="225"/>
        <v>2024</v>
      </c>
      <c r="D1857" s="7" t="str">
        <f t="shared" si="226"/>
        <v>Jul</v>
      </c>
      <c r="E1857" s="7" t="str">
        <f t="shared" si="227"/>
        <v>Thu</v>
      </c>
      <c r="F1857" t="s">
        <v>138</v>
      </c>
      <c r="G1857" t="s">
        <v>197</v>
      </c>
      <c r="H1857" t="s">
        <v>11</v>
      </c>
      <c r="I1857" s="2" t="str">
        <f t="shared" si="224"/>
        <v>North</v>
      </c>
      <c r="J1857" t="s">
        <v>56</v>
      </c>
      <c r="K1857" t="s">
        <v>28</v>
      </c>
      <c r="L1857">
        <v>1</v>
      </c>
      <c r="M1857">
        <v>120</v>
      </c>
      <c r="N1857">
        <f t="shared" si="228"/>
        <v>120</v>
      </c>
      <c r="O1857">
        <f t="shared" si="229"/>
        <v>12</v>
      </c>
      <c r="P1857" t="str">
        <f t="shared" si="230"/>
        <v>Standard Order</v>
      </c>
      <c r="Q1857" t="str">
        <f t="shared" si="231"/>
        <v>Weekday</v>
      </c>
    </row>
    <row r="1858" spans="1:17" x14ac:dyDescent="0.35">
      <c r="A1858" t="s">
        <v>2008</v>
      </c>
      <c r="B1858" s="7">
        <v>45378</v>
      </c>
      <c r="C1858" s="13">
        <f t="shared" si="225"/>
        <v>2024</v>
      </c>
      <c r="D1858" s="7" t="str">
        <f t="shared" si="226"/>
        <v>Mar</v>
      </c>
      <c r="E1858" s="7" t="str">
        <f t="shared" si="227"/>
        <v>Wed</v>
      </c>
      <c r="F1858" t="s">
        <v>114</v>
      </c>
      <c r="G1858" t="s">
        <v>48</v>
      </c>
      <c r="H1858" t="s">
        <v>22</v>
      </c>
      <c r="I1858" s="2" t="str">
        <f t="shared" si="224"/>
        <v>North</v>
      </c>
      <c r="J1858" t="s">
        <v>12</v>
      </c>
      <c r="K1858" t="s">
        <v>23</v>
      </c>
      <c r="L1858">
        <v>9</v>
      </c>
      <c r="M1858">
        <v>120</v>
      </c>
      <c r="N1858">
        <f t="shared" si="228"/>
        <v>1080</v>
      </c>
      <c r="O1858">
        <f t="shared" si="229"/>
        <v>108</v>
      </c>
      <c r="P1858" t="str">
        <f t="shared" si="230"/>
        <v>Large Order</v>
      </c>
      <c r="Q1858" t="str">
        <f t="shared" si="231"/>
        <v>Weekday</v>
      </c>
    </row>
    <row r="1859" spans="1:17" x14ac:dyDescent="0.35">
      <c r="A1859" t="s">
        <v>2009</v>
      </c>
      <c r="B1859" s="7">
        <v>45611</v>
      </c>
      <c r="C1859" s="13">
        <f t="shared" si="225"/>
        <v>2024</v>
      </c>
      <c r="D1859" s="7" t="str">
        <f t="shared" si="226"/>
        <v>Nov</v>
      </c>
      <c r="E1859" s="7" t="str">
        <f t="shared" si="227"/>
        <v>Fri</v>
      </c>
      <c r="F1859" t="s">
        <v>9</v>
      </c>
      <c r="G1859" t="s">
        <v>109</v>
      </c>
      <c r="H1859" t="s">
        <v>11</v>
      </c>
      <c r="I1859" s="2" t="str">
        <f t="shared" ref="I1859:I1922" si="232">TRIM(J1860)</f>
        <v>Central</v>
      </c>
      <c r="J1859" t="s">
        <v>12</v>
      </c>
      <c r="K1859" t="s">
        <v>13</v>
      </c>
      <c r="L1859">
        <v>2</v>
      </c>
      <c r="M1859">
        <v>120</v>
      </c>
      <c r="N1859">
        <f t="shared" si="228"/>
        <v>240</v>
      </c>
      <c r="O1859">
        <f t="shared" si="229"/>
        <v>24</v>
      </c>
      <c r="P1859" t="str">
        <f t="shared" si="230"/>
        <v>Standard Order</v>
      </c>
      <c r="Q1859" t="str">
        <f t="shared" si="231"/>
        <v>Weekday</v>
      </c>
    </row>
    <row r="1860" spans="1:17" x14ac:dyDescent="0.35">
      <c r="A1860" t="s">
        <v>2010</v>
      </c>
      <c r="B1860" s="7">
        <v>45505</v>
      </c>
      <c r="C1860" s="13">
        <f t="shared" ref="C1860:C1923" si="233">YEAR(B1860)</f>
        <v>2024</v>
      </c>
      <c r="D1860" s="7" t="str">
        <f t="shared" ref="D1860:D1923" si="234">TEXT(B1860,"mmm")</f>
        <v>Aug</v>
      </c>
      <c r="E1860" s="7" t="str">
        <f t="shared" ref="E1860:E1923" si="235">TEXT(B1860,"ddd")</f>
        <v>Thu</v>
      </c>
      <c r="F1860" t="s">
        <v>396</v>
      </c>
      <c r="G1860" t="s">
        <v>31</v>
      </c>
      <c r="H1860" t="s">
        <v>11</v>
      </c>
      <c r="I1860" s="2" t="str">
        <f t="shared" si="232"/>
        <v>North</v>
      </c>
      <c r="J1860" t="s">
        <v>306</v>
      </c>
      <c r="K1860" t="s">
        <v>32</v>
      </c>
      <c r="L1860">
        <v>16</v>
      </c>
      <c r="M1860">
        <v>120</v>
      </c>
      <c r="N1860">
        <f t="shared" ref="N1860:N1923" si="236">M1860*L1860</f>
        <v>1920</v>
      </c>
      <c r="O1860">
        <f t="shared" ref="O1860:O1923" si="237">N1860*0.1</f>
        <v>192</v>
      </c>
      <c r="P1860" t="str">
        <f t="shared" ref="P1860:P1923" si="238">IF(N1860&gt;500,"Large Order","Standard Order")</f>
        <v>Large Order</v>
      </c>
      <c r="Q1860" t="str">
        <f t="shared" ref="Q1860:Q1923" si="239">IF(OR(TRIM(E1860)="Sat",TRIM(E1860)="Sun"),"Weekend","Weekday")</f>
        <v>Weekday</v>
      </c>
    </row>
    <row r="1861" spans="1:17" x14ac:dyDescent="0.35">
      <c r="A1861" t="s">
        <v>2011</v>
      </c>
      <c r="B1861" s="7">
        <v>45397</v>
      </c>
      <c r="C1861" s="13">
        <f t="shared" si="233"/>
        <v>2024</v>
      </c>
      <c r="D1861" s="7" t="str">
        <f t="shared" si="234"/>
        <v>Apr</v>
      </c>
      <c r="E1861" s="7" t="str">
        <f t="shared" si="235"/>
        <v>Mon</v>
      </c>
      <c r="F1861" t="s">
        <v>465</v>
      </c>
      <c r="G1861" t="s">
        <v>41</v>
      </c>
      <c r="H1861" t="s">
        <v>22</v>
      </c>
      <c r="I1861" s="2" t="str">
        <f t="shared" si="232"/>
        <v>Central</v>
      </c>
      <c r="J1861" t="s">
        <v>12</v>
      </c>
      <c r="K1861" t="s">
        <v>32</v>
      </c>
      <c r="L1861">
        <v>14</v>
      </c>
      <c r="M1861">
        <v>120</v>
      </c>
      <c r="N1861">
        <f t="shared" si="236"/>
        <v>1680</v>
      </c>
      <c r="O1861">
        <f t="shared" si="237"/>
        <v>168</v>
      </c>
      <c r="P1861" t="str">
        <f t="shared" si="238"/>
        <v>Large Order</v>
      </c>
      <c r="Q1861" t="str">
        <f t="shared" si="239"/>
        <v>Weekday</v>
      </c>
    </row>
    <row r="1862" spans="1:17" x14ac:dyDescent="0.35">
      <c r="A1862" t="s">
        <v>2012</v>
      </c>
      <c r="B1862" s="7">
        <v>45631</v>
      </c>
      <c r="C1862" s="13">
        <f t="shared" si="233"/>
        <v>2024</v>
      </c>
      <c r="D1862" s="7" t="str">
        <f t="shared" si="234"/>
        <v>Dec</v>
      </c>
      <c r="E1862" s="7" t="str">
        <f t="shared" si="235"/>
        <v>Thu</v>
      </c>
      <c r="F1862" t="s">
        <v>363</v>
      </c>
      <c r="G1862" t="s">
        <v>26</v>
      </c>
      <c r="H1862" t="s">
        <v>22</v>
      </c>
      <c r="I1862" s="2" t="str">
        <f t="shared" si="232"/>
        <v>North</v>
      </c>
      <c r="J1862" t="s">
        <v>306</v>
      </c>
      <c r="K1862" t="s">
        <v>28</v>
      </c>
      <c r="L1862">
        <v>14</v>
      </c>
      <c r="M1862">
        <v>120</v>
      </c>
      <c r="N1862">
        <f t="shared" si="236"/>
        <v>1680</v>
      </c>
      <c r="O1862">
        <f t="shared" si="237"/>
        <v>168</v>
      </c>
      <c r="P1862" t="str">
        <f t="shared" si="238"/>
        <v>Large Order</v>
      </c>
      <c r="Q1862" t="str">
        <f t="shared" si="239"/>
        <v>Weekday</v>
      </c>
    </row>
    <row r="1863" spans="1:17" x14ac:dyDescent="0.35">
      <c r="A1863" t="s">
        <v>2013</v>
      </c>
      <c r="B1863" s="7">
        <v>45345</v>
      </c>
      <c r="C1863" s="13">
        <f t="shared" si="233"/>
        <v>2024</v>
      </c>
      <c r="D1863" s="7" t="str">
        <f t="shared" si="234"/>
        <v>Feb</v>
      </c>
      <c r="E1863" s="7" t="str">
        <f t="shared" si="235"/>
        <v>Fri</v>
      </c>
      <c r="F1863" t="s">
        <v>345</v>
      </c>
      <c r="G1863" t="s">
        <v>84</v>
      </c>
      <c r="H1863" t="s">
        <v>22</v>
      </c>
      <c r="I1863" s="2" t="str">
        <f t="shared" si="232"/>
        <v>East</v>
      </c>
      <c r="J1863" t="s">
        <v>12</v>
      </c>
      <c r="K1863" t="s">
        <v>32</v>
      </c>
      <c r="L1863">
        <v>4</v>
      </c>
      <c r="M1863">
        <v>120</v>
      </c>
      <c r="N1863">
        <f t="shared" si="236"/>
        <v>480</v>
      </c>
      <c r="O1863">
        <f t="shared" si="237"/>
        <v>48</v>
      </c>
      <c r="P1863" t="str">
        <f t="shared" si="238"/>
        <v>Standard Order</v>
      </c>
      <c r="Q1863" t="str">
        <f t="shared" si="239"/>
        <v>Weekday</v>
      </c>
    </row>
    <row r="1864" spans="1:17" x14ac:dyDescent="0.35">
      <c r="A1864" t="s">
        <v>2014</v>
      </c>
      <c r="B1864" s="7">
        <v>45546</v>
      </c>
      <c r="C1864" s="13">
        <f t="shared" si="233"/>
        <v>2024</v>
      </c>
      <c r="D1864" s="7" t="str">
        <f t="shared" si="234"/>
        <v>Sep</v>
      </c>
      <c r="E1864" s="7" t="str">
        <f t="shared" si="235"/>
        <v>Wed</v>
      </c>
      <c r="F1864" t="s">
        <v>104</v>
      </c>
      <c r="G1864" t="s">
        <v>109</v>
      </c>
      <c r="H1864" t="s">
        <v>11</v>
      </c>
      <c r="I1864" s="2" t="str">
        <f t="shared" si="232"/>
        <v>Central</v>
      </c>
      <c r="J1864" t="s">
        <v>42</v>
      </c>
      <c r="K1864" t="s">
        <v>36</v>
      </c>
      <c r="L1864">
        <v>7</v>
      </c>
      <c r="M1864">
        <v>120</v>
      </c>
      <c r="N1864">
        <f t="shared" si="236"/>
        <v>840</v>
      </c>
      <c r="O1864">
        <f t="shared" si="237"/>
        <v>84</v>
      </c>
      <c r="P1864" t="str">
        <f t="shared" si="238"/>
        <v>Large Order</v>
      </c>
      <c r="Q1864" t="str">
        <f t="shared" si="239"/>
        <v>Weekday</v>
      </c>
    </row>
    <row r="1865" spans="1:17" x14ac:dyDescent="0.35">
      <c r="A1865" t="s">
        <v>2015</v>
      </c>
      <c r="B1865" s="7">
        <v>45501</v>
      </c>
      <c r="C1865" s="13">
        <f t="shared" si="233"/>
        <v>2024</v>
      </c>
      <c r="D1865" s="7" t="str">
        <f t="shared" si="234"/>
        <v>Jul</v>
      </c>
      <c r="E1865" s="7" t="str">
        <f t="shared" si="235"/>
        <v>Sun</v>
      </c>
      <c r="F1865" t="s">
        <v>61</v>
      </c>
      <c r="G1865" t="s">
        <v>45</v>
      </c>
      <c r="H1865" t="s">
        <v>11</v>
      </c>
      <c r="I1865" s="2" t="str">
        <f t="shared" si="232"/>
        <v>North</v>
      </c>
      <c r="J1865" t="s">
        <v>306</v>
      </c>
      <c r="K1865" t="s">
        <v>23</v>
      </c>
      <c r="L1865">
        <v>7</v>
      </c>
      <c r="M1865">
        <v>120</v>
      </c>
      <c r="N1865">
        <f t="shared" si="236"/>
        <v>840</v>
      </c>
      <c r="O1865">
        <f t="shared" si="237"/>
        <v>84</v>
      </c>
      <c r="P1865" t="str">
        <f t="shared" si="238"/>
        <v>Large Order</v>
      </c>
      <c r="Q1865" t="str">
        <f t="shared" si="239"/>
        <v>Weekend</v>
      </c>
    </row>
    <row r="1866" spans="1:17" x14ac:dyDescent="0.35">
      <c r="A1866" t="s">
        <v>2016</v>
      </c>
      <c r="B1866" s="7">
        <v>45538</v>
      </c>
      <c r="C1866" s="13">
        <f t="shared" si="233"/>
        <v>2024</v>
      </c>
      <c r="D1866" s="7" t="str">
        <f t="shared" si="234"/>
        <v>Sep</v>
      </c>
      <c r="E1866" s="7" t="str">
        <f t="shared" si="235"/>
        <v>Tue</v>
      </c>
      <c r="F1866" t="s">
        <v>118</v>
      </c>
      <c r="G1866" t="s">
        <v>197</v>
      </c>
      <c r="H1866" t="s">
        <v>11</v>
      </c>
      <c r="I1866" s="2" t="str">
        <f t="shared" si="232"/>
        <v>Central</v>
      </c>
      <c r="J1866" t="s">
        <v>12</v>
      </c>
      <c r="K1866" t="s">
        <v>13</v>
      </c>
      <c r="L1866">
        <v>4</v>
      </c>
      <c r="M1866">
        <v>120</v>
      </c>
      <c r="N1866">
        <f t="shared" si="236"/>
        <v>480</v>
      </c>
      <c r="O1866">
        <f t="shared" si="237"/>
        <v>48</v>
      </c>
      <c r="P1866" t="str">
        <f t="shared" si="238"/>
        <v>Standard Order</v>
      </c>
      <c r="Q1866" t="str">
        <f t="shared" si="239"/>
        <v>Weekday</v>
      </c>
    </row>
    <row r="1867" spans="1:17" x14ac:dyDescent="0.35">
      <c r="A1867" t="s">
        <v>2017</v>
      </c>
      <c r="B1867" s="7">
        <v>45634</v>
      </c>
      <c r="C1867" s="13">
        <f t="shared" si="233"/>
        <v>2024</v>
      </c>
      <c r="D1867" s="7" t="str">
        <f t="shared" si="234"/>
        <v>Dec</v>
      </c>
      <c r="E1867" s="7" t="str">
        <f t="shared" si="235"/>
        <v>Sun</v>
      </c>
      <c r="F1867" t="s">
        <v>432</v>
      </c>
      <c r="G1867" t="s">
        <v>16</v>
      </c>
      <c r="H1867" t="s">
        <v>11</v>
      </c>
      <c r="I1867" s="2" t="str">
        <f t="shared" si="232"/>
        <v>East</v>
      </c>
      <c r="J1867" t="s">
        <v>306</v>
      </c>
      <c r="K1867" t="s">
        <v>13</v>
      </c>
      <c r="L1867">
        <v>4</v>
      </c>
      <c r="M1867">
        <v>120</v>
      </c>
      <c r="N1867">
        <f t="shared" si="236"/>
        <v>480</v>
      </c>
      <c r="O1867">
        <f t="shared" si="237"/>
        <v>48</v>
      </c>
      <c r="P1867" t="str">
        <f t="shared" si="238"/>
        <v>Standard Order</v>
      </c>
      <c r="Q1867" t="str">
        <f t="shared" si="239"/>
        <v>Weekend</v>
      </c>
    </row>
    <row r="1868" spans="1:17" x14ac:dyDescent="0.35">
      <c r="A1868" t="s">
        <v>2018</v>
      </c>
      <c r="B1868" s="7">
        <v>45621</v>
      </c>
      <c r="C1868" s="13">
        <f t="shared" si="233"/>
        <v>2024</v>
      </c>
      <c r="D1868" s="7" t="str">
        <f t="shared" si="234"/>
        <v>Nov</v>
      </c>
      <c r="E1868" s="7" t="str">
        <f t="shared" si="235"/>
        <v>Mon</v>
      </c>
      <c r="F1868" t="s">
        <v>51</v>
      </c>
      <c r="G1868" t="s">
        <v>70</v>
      </c>
      <c r="H1868" t="s">
        <v>17</v>
      </c>
      <c r="I1868" s="2" t="str">
        <f t="shared" si="232"/>
        <v>East</v>
      </c>
      <c r="J1868" t="s">
        <v>42</v>
      </c>
      <c r="K1868" t="s">
        <v>23</v>
      </c>
      <c r="L1868">
        <v>2</v>
      </c>
      <c r="M1868">
        <v>120</v>
      </c>
      <c r="N1868">
        <f t="shared" si="236"/>
        <v>240</v>
      </c>
      <c r="O1868">
        <f t="shared" si="237"/>
        <v>24</v>
      </c>
      <c r="P1868" t="str">
        <f t="shared" si="238"/>
        <v>Standard Order</v>
      </c>
      <c r="Q1868" t="str">
        <f t="shared" si="239"/>
        <v>Weekday</v>
      </c>
    </row>
    <row r="1869" spans="1:17" x14ac:dyDescent="0.35">
      <c r="A1869" t="s">
        <v>2019</v>
      </c>
      <c r="B1869" s="7">
        <v>45381</v>
      </c>
      <c r="C1869" s="13">
        <f t="shared" si="233"/>
        <v>2024</v>
      </c>
      <c r="D1869" s="7" t="str">
        <f t="shared" si="234"/>
        <v>Mar</v>
      </c>
      <c r="E1869" s="7" t="str">
        <f t="shared" si="235"/>
        <v>Sat</v>
      </c>
      <c r="F1869" t="s">
        <v>116</v>
      </c>
      <c r="G1869" t="s">
        <v>74</v>
      </c>
      <c r="H1869" t="s">
        <v>17</v>
      </c>
      <c r="I1869" s="2" t="str">
        <f t="shared" si="232"/>
        <v>South</v>
      </c>
      <c r="J1869" t="s">
        <v>42</v>
      </c>
      <c r="K1869" t="s">
        <v>23</v>
      </c>
      <c r="L1869">
        <v>4</v>
      </c>
      <c r="M1869">
        <v>120</v>
      </c>
      <c r="N1869">
        <f t="shared" si="236"/>
        <v>480</v>
      </c>
      <c r="O1869">
        <f t="shared" si="237"/>
        <v>48</v>
      </c>
      <c r="P1869" t="str">
        <f t="shared" si="238"/>
        <v>Standard Order</v>
      </c>
      <c r="Q1869" t="str">
        <f t="shared" si="239"/>
        <v>Weekend</v>
      </c>
    </row>
    <row r="1870" spans="1:17" x14ac:dyDescent="0.35">
      <c r="A1870" t="s">
        <v>2020</v>
      </c>
      <c r="B1870" s="7">
        <v>45315</v>
      </c>
      <c r="C1870" s="13">
        <f t="shared" si="233"/>
        <v>2024</v>
      </c>
      <c r="D1870" s="7" t="str">
        <f t="shared" si="234"/>
        <v>Jan</v>
      </c>
      <c r="E1870" s="7" t="str">
        <f t="shared" si="235"/>
        <v>Wed</v>
      </c>
      <c r="F1870" t="s">
        <v>142</v>
      </c>
      <c r="G1870" t="s">
        <v>16</v>
      </c>
      <c r="H1870" t="s">
        <v>22</v>
      </c>
      <c r="I1870" s="2" t="str">
        <f t="shared" si="232"/>
        <v>East</v>
      </c>
      <c r="J1870" t="s">
        <v>56</v>
      </c>
      <c r="K1870" t="s">
        <v>32</v>
      </c>
      <c r="L1870">
        <v>12</v>
      </c>
      <c r="M1870">
        <v>120</v>
      </c>
      <c r="N1870">
        <f t="shared" si="236"/>
        <v>1440</v>
      </c>
      <c r="O1870">
        <f t="shared" si="237"/>
        <v>144</v>
      </c>
      <c r="P1870" t="str">
        <f t="shared" si="238"/>
        <v>Large Order</v>
      </c>
      <c r="Q1870" t="str">
        <f t="shared" si="239"/>
        <v>Weekday</v>
      </c>
    </row>
    <row r="1871" spans="1:17" x14ac:dyDescent="0.35">
      <c r="A1871" t="s">
        <v>2021</v>
      </c>
      <c r="B1871" s="7">
        <v>45610</v>
      </c>
      <c r="C1871" s="13">
        <f t="shared" si="233"/>
        <v>2024</v>
      </c>
      <c r="D1871" s="7" t="str">
        <f t="shared" si="234"/>
        <v>Nov</v>
      </c>
      <c r="E1871" s="7" t="str">
        <f t="shared" si="235"/>
        <v>Thu</v>
      </c>
      <c r="F1871" t="s">
        <v>101</v>
      </c>
      <c r="G1871" t="s">
        <v>84</v>
      </c>
      <c r="H1871" t="s">
        <v>11</v>
      </c>
      <c r="I1871" s="2" t="str">
        <f t="shared" si="232"/>
        <v>West</v>
      </c>
      <c r="J1871" t="s">
        <v>42</v>
      </c>
      <c r="K1871" t="s">
        <v>32</v>
      </c>
      <c r="L1871">
        <v>6</v>
      </c>
      <c r="M1871">
        <v>120</v>
      </c>
      <c r="N1871">
        <f t="shared" si="236"/>
        <v>720</v>
      </c>
      <c r="O1871">
        <f t="shared" si="237"/>
        <v>72</v>
      </c>
      <c r="P1871" t="str">
        <f t="shared" si="238"/>
        <v>Large Order</v>
      </c>
      <c r="Q1871" t="str">
        <f t="shared" si="239"/>
        <v>Weekday</v>
      </c>
    </row>
    <row r="1872" spans="1:17" x14ac:dyDescent="0.35">
      <c r="A1872" t="s">
        <v>2022</v>
      </c>
      <c r="B1872" s="7">
        <v>45496</v>
      </c>
      <c r="C1872" s="13">
        <f t="shared" si="233"/>
        <v>2024</v>
      </c>
      <c r="D1872" s="7" t="str">
        <f t="shared" si="234"/>
        <v>Jul</v>
      </c>
      <c r="E1872" s="7" t="str">
        <f t="shared" si="235"/>
        <v>Tue</v>
      </c>
      <c r="F1872" t="s">
        <v>366</v>
      </c>
      <c r="G1872" t="s">
        <v>26</v>
      </c>
      <c r="H1872" t="s">
        <v>17</v>
      </c>
      <c r="I1872" s="2" t="str">
        <f t="shared" si="232"/>
        <v>North</v>
      </c>
      <c r="J1872" t="s">
        <v>27</v>
      </c>
      <c r="K1872" t="s">
        <v>23</v>
      </c>
      <c r="L1872">
        <v>6</v>
      </c>
      <c r="M1872">
        <v>120</v>
      </c>
      <c r="N1872">
        <f t="shared" si="236"/>
        <v>720</v>
      </c>
      <c r="O1872">
        <f t="shared" si="237"/>
        <v>72</v>
      </c>
      <c r="P1872" t="str">
        <f t="shared" si="238"/>
        <v>Large Order</v>
      </c>
      <c r="Q1872" t="str">
        <f t="shared" si="239"/>
        <v>Weekday</v>
      </c>
    </row>
    <row r="1873" spans="1:17" x14ac:dyDescent="0.35">
      <c r="A1873" t="s">
        <v>2023</v>
      </c>
      <c r="B1873" s="7">
        <v>45648</v>
      </c>
      <c r="C1873" s="13">
        <f t="shared" si="233"/>
        <v>2024</v>
      </c>
      <c r="D1873" s="7" t="str">
        <f t="shared" si="234"/>
        <v>Dec</v>
      </c>
      <c r="E1873" s="7" t="str">
        <f t="shared" si="235"/>
        <v>Sun</v>
      </c>
      <c r="F1873" t="s">
        <v>329</v>
      </c>
      <c r="G1873" t="s">
        <v>79</v>
      </c>
      <c r="H1873" t="s">
        <v>11</v>
      </c>
      <c r="I1873" s="2" t="str">
        <f t="shared" si="232"/>
        <v>Central</v>
      </c>
      <c r="J1873" t="s">
        <v>12</v>
      </c>
      <c r="K1873" t="s">
        <v>23</v>
      </c>
      <c r="L1873">
        <v>19</v>
      </c>
      <c r="M1873">
        <v>120</v>
      </c>
      <c r="N1873">
        <f t="shared" si="236"/>
        <v>2280</v>
      </c>
      <c r="O1873">
        <f t="shared" si="237"/>
        <v>228</v>
      </c>
      <c r="P1873" t="str">
        <f t="shared" si="238"/>
        <v>Large Order</v>
      </c>
      <c r="Q1873" t="str">
        <f t="shared" si="239"/>
        <v>Weekend</v>
      </c>
    </row>
    <row r="1874" spans="1:17" x14ac:dyDescent="0.35">
      <c r="A1874" t="s">
        <v>2024</v>
      </c>
      <c r="B1874" s="7">
        <v>45583</v>
      </c>
      <c r="C1874" s="13">
        <f t="shared" si="233"/>
        <v>2024</v>
      </c>
      <c r="D1874" s="7" t="str">
        <f t="shared" si="234"/>
        <v>Oct</v>
      </c>
      <c r="E1874" s="7" t="str">
        <f t="shared" si="235"/>
        <v>Fri</v>
      </c>
      <c r="F1874" t="s">
        <v>422</v>
      </c>
      <c r="G1874" t="s">
        <v>70</v>
      </c>
      <c r="H1874" t="s">
        <v>11</v>
      </c>
      <c r="I1874" s="2" t="str">
        <f t="shared" si="232"/>
        <v>West</v>
      </c>
      <c r="J1874" t="s">
        <v>306</v>
      </c>
      <c r="K1874" t="s">
        <v>23</v>
      </c>
      <c r="L1874">
        <v>12</v>
      </c>
      <c r="M1874">
        <v>120</v>
      </c>
      <c r="N1874">
        <f t="shared" si="236"/>
        <v>1440</v>
      </c>
      <c r="O1874">
        <f t="shared" si="237"/>
        <v>144</v>
      </c>
      <c r="P1874" t="str">
        <f t="shared" si="238"/>
        <v>Large Order</v>
      </c>
      <c r="Q1874" t="str">
        <f t="shared" si="239"/>
        <v>Weekday</v>
      </c>
    </row>
    <row r="1875" spans="1:17" x14ac:dyDescent="0.35">
      <c r="A1875" t="s">
        <v>2025</v>
      </c>
      <c r="B1875" s="7">
        <v>45642</v>
      </c>
      <c r="C1875" s="13">
        <f t="shared" si="233"/>
        <v>2024</v>
      </c>
      <c r="D1875" s="7" t="str">
        <f t="shared" si="234"/>
        <v>Dec</v>
      </c>
      <c r="E1875" s="7" t="str">
        <f t="shared" si="235"/>
        <v>Mon</v>
      </c>
      <c r="F1875" t="s">
        <v>388</v>
      </c>
      <c r="G1875" t="s">
        <v>16</v>
      </c>
      <c r="H1875" t="s">
        <v>17</v>
      </c>
      <c r="I1875" s="2" t="str">
        <f t="shared" si="232"/>
        <v>North</v>
      </c>
      <c r="J1875" t="s">
        <v>27</v>
      </c>
      <c r="K1875" t="s">
        <v>13</v>
      </c>
      <c r="L1875">
        <v>14</v>
      </c>
      <c r="M1875">
        <v>120</v>
      </c>
      <c r="N1875">
        <f t="shared" si="236"/>
        <v>1680</v>
      </c>
      <c r="O1875">
        <f t="shared" si="237"/>
        <v>168</v>
      </c>
      <c r="P1875" t="str">
        <f t="shared" si="238"/>
        <v>Large Order</v>
      </c>
      <c r="Q1875" t="str">
        <f t="shared" si="239"/>
        <v>Weekday</v>
      </c>
    </row>
    <row r="1876" spans="1:17" x14ac:dyDescent="0.35">
      <c r="A1876" t="s">
        <v>2026</v>
      </c>
      <c r="B1876" s="7">
        <v>45324</v>
      </c>
      <c r="C1876" s="13">
        <f t="shared" si="233"/>
        <v>2024</v>
      </c>
      <c r="D1876" s="7" t="str">
        <f t="shared" si="234"/>
        <v>Feb</v>
      </c>
      <c r="E1876" s="7" t="str">
        <f t="shared" si="235"/>
        <v>Fri</v>
      </c>
      <c r="F1876" t="s">
        <v>86</v>
      </c>
      <c r="G1876" t="s">
        <v>21</v>
      </c>
      <c r="H1876" t="s">
        <v>17</v>
      </c>
      <c r="I1876" s="2" t="str">
        <f t="shared" si="232"/>
        <v>Central</v>
      </c>
      <c r="J1876" t="s">
        <v>12</v>
      </c>
      <c r="K1876" t="s">
        <v>36</v>
      </c>
      <c r="L1876">
        <v>19</v>
      </c>
      <c r="M1876">
        <v>120</v>
      </c>
      <c r="N1876">
        <f t="shared" si="236"/>
        <v>2280</v>
      </c>
      <c r="O1876">
        <f t="shared" si="237"/>
        <v>228</v>
      </c>
      <c r="P1876" t="str">
        <f t="shared" si="238"/>
        <v>Large Order</v>
      </c>
      <c r="Q1876" t="str">
        <f t="shared" si="239"/>
        <v>Weekday</v>
      </c>
    </row>
    <row r="1877" spans="1:17" x14ac:dyDescent="0.35">
      <c r="A1877" t="s">
        <v>2027</v>
      </c>
      <c r="B1877" s="7">
        <v>45406</v>
      </c>
      <c r="C1877" s="13">
        <f t="shared" si="233"/>
        <v>2024</v>
      </c>
      <c r="D1877" s="7" t="str">
        <f t="shared" si="234"/>
        <v>Apr</v>
      </c>
      <c r="E1877" s="7" t="str">
        <f t="shared" si="235"/>
        <v>Wed</v>
      </c>
      <c r="F1877" t="s">
        <v>317</v>
      </c>
      <c r="G1877" t="s">
        <v>72</v>
      </c>
      <c r="H1877" t="s">
        <v>22</v>
      </c>
      <c r="I1877" s="2" t="str">
        <f t="shared" si="232"/>
        <v>West</v>
      </c>
      <c r="J1877" t="s">
        <v>306</v>
      </c>
      <c r="K1877" t="s">
        <v>36</v>
      </c>
      <c r="L1877">
        <v>4</v>
      </c>
      <c r="M1877">
        <v>120</v>
      </c>
      <c r="N1877">
        <f t="shared" si="236"/>
        <v>480</v>
      </c>
      <c r="O1877">
        <f t="shared" si="237"/>
        <v>48</v>
      </c>
      <c r="P1877" t="str">
        <f t="shared" si="238"/>
        <v>Standard Order</v>
      </c>
      <c r="Q1877" t="str">
        <f t="shared" si="239"/>
        <v>Weekday</v>
      </c>
    </row>
    <row r="1878" spans="1:17" x14ac:dyDescent="0.35">
      <c r="A1878" t="s">
        <v>2028</v>
      </c>
      <c r="B1878" s="7">
        <v>45419</v>
      </c>
      <c r="C1878" s="13">
        <f t="shared" si="233"/>
        <v>2024</v>
      </c>
      <c r="D1878" s="7" t="str">
        <f t="shared" si="234"/>
        <v>May</v>
      </c>
      <c r="E1878" s="7" t="str">
        <f t="shared" si="235"/>
        <v>Tue</v>
      </c>
      <c r="F1878" t="s">
        <v>517</v>
      </c>
      <c r="G1878" t="s">
        <v>48</v>
      </c>
      <c r="H1878" t="s">
        <v>22</v>
      </c>
      <c r="I1878" s="2" t="str">
        <f t="shared" si="232"/>
        <v>South</v>
      </c>
      <c r="J1878" t="s">
        <v>27</v>
      </c>
      <c r="K1878" t="s">
        <v>28</v>
      </c>
      <c r="L1878">
        <v>18</v>
      </c>
      <c r="M1878">
        <v>120</v>
      </c>
      <c r="N1878">
        <f t="shared" si="236"/>
        <v>2160</v>
      </c>
      <c r="O1878">
        <f t="shared" si="237"/>
        <v>216</v>
      </c>
      <c r="P1878" t="str">
        <f t="shared" si="238"/>
        <v>Large Order</v>
      </c>
      <c r="Q1878" t="str">
        <f t="shared" si="239"/>
        <v>Weekday</v>
      </c>
    </row>
    <row r="1879" spans="1:17" x14ac:dyDescent="0.35">
      <c r="A1879" t="s">
        <v>2029</v>
      </c>
      <c r="B1879" s="7">
        <v>45605</v>
      </c>
      <c r="C1879" s="13">
        <f t="shared" si="233"/>
        <v>2024</v>
      </c>
      <c r="D1879" s="7" t="str">
        <f t="shared" si="234"/>
        <v>Nov</v>
      </c>
      <c r="E1879" s="7" t="str">
        <f t="shared" si="235"/>
        <v>Sat</v>
      </c>
      <c r="F1879" t="s">
        <v>9</v>
      </c>
      <c r="G1879" t="s">
        <v>96</v>
      </c>
      <c r="H1879" t="s">
        <v>22</v>
      </c>
      <c r="I1879" s="2" t="str">
        <f t="shared" si="232"/>
        <v>East</v>
      </c>
      <c r="J1879" t="s">
        <v>56</v>
      </c>
      <c r="K1879" t="s">
        <v>36</v>
      </c>
      <c r="L1879">
        <v>16</v>
      </c>
      <c r="M1879">
        <v>120</v>
      </c>
      <c r="N1879">
        <f t="shared" si="236"/>
        <v>1920</v>
      </c>
      <c r="O1879">
        <f t="shared" si="237"/>
        <v>192</v>
      </c>
      <c r="P1879" t="str">
        <f t="shared" si="238"/>
        <v>Large Order</v>
      </c>
      <c r="Q1879" t="str">
        <f t="shared" si="239"/>
        <v>Weekend</v>
      </c>
    </row>
    <row r="1880" spans="1:17" x14ac:dyDescent="0.35">
      <c r="A1880" t="s">
        <v>2030</v>
      </c>
      <c r="B1880" s="7">
        <v>45376</v>
      </c>
      <c r="C1880" s="13">
        <f t="shared" si="233"/>
        <v>2024</v>
      </c>
      <c r="D1880" s="7" t="str">
        <f t="shared" si="234"/>
        <v>Mar</v>
      </c>
      <c r="E1880" s="7" t="str">
        <f t="shared" si="235"/>
        <v>Mon</v>
      </c>
      <c r="F1880" t="s">
        <v>208</v>
      </c>
      <c r="G1880" t="s">
        <v>119</v>
      </c>
      <c r="H1880" t="s">
        <v>17</v>
      </c>
      <c r="I1880" s="2" t="str">
        <f t="shared" si="232"/>
        <v>West</v>
      </c>
      <c r="J1880" t="s">
        <v>42</v>
      </c>
      <c r="K1880" t="s">
        <v>28</v>
      </c>
      <c r="L1880">
        <v>11</v>
      </c>
      <c r="M1880">
        <v>120</v>
      </c>
      <c r="N1880">
        <f t="shared" si="236"/>
        <v>1320</v>
      </c>
      <c r="O1880">
        <f t="shared" si="237"/>
        <v>132</v>
      </c>
      <c r="P1880" t="str">
        <f t="shared" si="238"/>
        <v>Large Order</v>
      </c>
      <c r="Q1880" t="str">
        <f t="shared" si="239"/>
        <v>Weekday</v>
      </c>
    </row>
    <row r="1881" spans="1:17" x14ac:dyDescent="0.35">
      <c r="A1881" t="s">
        <v>2031</v>
      </c>
      <c r="B1881" s="7">
        <v>45317</v>
      </c>
      <c r="C1881" s="13">
        <f t="shared" si="233"/>
        <v>2024</v>
      </c>
      <c r="D1881" s="7" t="str">
        <f t="shared" si="234"/>
        <v>Jan</v>
      </c>
      <c r="E1881" s="7" t="str">
        <f t="shared" si="235"/>
        <v>Fri</v>
      </c>
      <c r="F1881" t="s">
        <v>358</v>
      </c>
      <c r="G1881" t="s">
        <v>197</v>
      </c>
      <c r="H1881" t="s">
        <v>22</v>
      </c>
      <c r="I1881" s="2" t="str">
        <f t="shared" si="232"/>
        <v>West</v>
      </c>
      <c r="J1881" t="s">
        <v>27</v>
      </c>
      <c r="K1881" t="s">
        <v>23</v>
      </c>
      <c r="L1881">
        <v>8</v>
      </c>
      <c r="M1881">
        <v>120</v>
      </c>
      <c r="N1881">
        <f t="shared" si="236"/>
        <v>960</v>
      </c>
      <c r="O1881">
        <f t="shared" si="237"/>
        <v>96</v>
      </c>
      <c r="P1881" t="str">
        <f t="shared" si="238"/>
        <v>Large Order</v>
      </c>
      <c r="Q1881" t="str">
        <f t="shared" si="239"/>
        <v>Weekday</v>
      </c>
    </row>
    <row r="1882" spans="1:17" x14ac:dyDescent="0.35">
      <c r="A1882" t="s">
        <v>2032</v>
      </c>
      <c r="B1882" s="7">
        <v>45519</v>
      </c>
      <c r="C1882" s="13">
        <f t="shared" si="233"/>
        <v>2024</v>
      </c>
      <c r="D1882" s="7" t="str">
        <f t="shared" si="234"/>
        <v>Aug</v>
      </c>
      <c r="E1882" s="7" t="str">
        <f t="shared" si="235"/>
        <v>Thu</v>
      </c>
      <c r="F1882" t="s">
        <v>314</v>
      </c>
      <c r="G1882" t="s">
        <v>70</v>
      </c>
      <c r="H1882" t="s">
        <v>11</v>
      </c>
      <c r="I1882" s="2" t="str">
        <f t="shared" si="232"/>
        <v>North</v>
      </c>
      <c r="J1882" t="s">
        <v>27</v>
      </c>
      <c r="K1882" t="s">
        <v>23</v>
      </c>
      <c r="L1882">
        <v>11</v>
      </c>
      <c r="M1882">
        <v>120</v>
      </c>
      <c r="N1882">
        <f t="shared" si="236"/>
        <v>1320</v>
      </c>
      <c r="O1882">
        <f t="shared" si="237"/>
        <v>132</v>
      </c>
      <c r="P1882" t="str">
        <f t="shared" si="238"/>
        <v>Large Order</v>
      </c>
      <c r="Q1882" t="str">
        <f t="shared" si="239"/>
        <v>Weekday</v>
      </c>
    </row>
    <row r="1883" spans="1:17" x14ac:dyDescent="0.35">
      <c r="A1883" t="s">
        <v>2033</v>
      </c>
      <c r="B1883" s="7">
        <v>45546</v>
      </c>
      <c r="C1883" s="13">
        <f t="shared" si="233"/>
        <v>2024</v>
      </c>
      <c r="D1883" s="7" t="str">
        <f t="shared" si="234"/>
        <v>Sep</v>
      </c>
      <c r="E1883" s="7" t="str">
        <f t="shared" si="235"/>
        <v>Wed</v>
      </c>
      <c r="F1883" t="s">
        <v>323</v>
      </c>
      <c r="G1883" t="s">
        <v>21</v>
      </c>
      <c r="H1883" t="s">
        <v>11</v>
      </c>
      <c r="I1883" s="2" t="str">
        <f t="shared" si="232"/>
        <v>Central</v>
      </c>
      <c r="J1883" t="s">
        <v>12</v>
      </c>
      <c r="K1883" t="s">
        <v>23</v>
      </c>
      <c r="L1883">
        <v>14</v>
      </c>
      <c r="M1883">
        <v>120</v>
      </c>
      <c r="N1883">
        <f t="shared" si="236"/>
        <v>1680</v>
      </c>
      <c r="O1883">
        <f t="shared" si="237"/>
        <v>168</v>
      </c>
      <c r="P1883" t="str">
        <f t="shared" si="238"/>
        <v>Large Order</v>
      </c>
      <c r="Q1883" t="str">
        <f t="shared" si="239"/>
        <v>Weekday</v>
      </c>
    </row>
    <row r="1884" spans="1:17" x14ac:dyDescent="0.35">
      <c r="A1884" t="s">
        <v>2034</v>
      </c>
      <c r="B1884" s="7">
        <v>45573</v>
      </c>
      <c r="C1884" s="13">
        <f t="shared" si="233"/>
        <v>2024</v>
      </c>
      <c r="D1884" s="7" t="str">
        <f t="shared" si="234"/>
        <v>Oct</v>
      </c>
      <c r="E1884" s="7" t="str">
        <f t="shared" si="235"/>
        <v>Tue</v>
      </c>
      <c r="F1884" t="s">
        <v>25</v>
      </c>
      <c r="G1884" t="s">
        <v>10</v>
      </c>
      <c r="H1884" t="s">
        <v>22</v>
      </c>
      <c r="I1884" s="2" t="str">
        <f t="shared" si="232"/>
        <v>East</v>
      </c>
      <c r="J1884" t="s">
        <v>306</v>
      </c>
      <c r="K1884" t="s">
        <v>32</v>
      </c>
      <c r="L1884">
        <v>17</v>
      </c>
      <c r="M1884">
        <v>120</v>
      </c>
      <c r="N1884">
        <f t="shared" si="236"/>
        <v>2040</v>
      </c>
      <c r="O1884">
        <f t="shared" si="237"/>
        <v>204</v>
      </c>
      <c r="P1884" t="str">
        <f t="shared" si="238"/>
        <v>Large Order</v>
      </c>
      <c r="Q1884" t="str">
        <f t="shared" si="239"/>
        <v>Weekday</v>
      </c>
    </row>
    <row r="1885" spans="1:17" x14ac:dyDescent="0.35">
      <c r="A1885" t="s">
        <v>2035</v>
      </c>
      <c r="B1885" s="7">
        <v>45627</v>
      </c>
      <c r="C1885" s="13">
        <f t="shared" si="233"/>
        <v>2024</v>
      </c>
      <c r="D1885" s="7" t="str">
        <f t="shared" si="234"/>
        <v>Dec</v>
      </c>
      <c r="E1885" s="7" t="str">
        <f t="shared" si="235"/>
        <v>Sun</v>
      </c>
      <c r="F1885" t="s">
        <v>317</v>
      </c>
      <c r="G1885" t="s">
        <v>70</v>
      </c>
      <c r="H1885" t="s">
        <v>17</v>
      </c>
      <c r="I1885" s="2" t="str">
        <f t="shared" si="232"/>
        <v>Central</v>
      </c>
      <c r="J1885" t="s">
        <v>42</v>
      </c>
      <c r="K1885" t="s">
        <v>13</v>
      </c>
      <c r="L1885">
        <v>8</v>
      </c>
      <c r="M1885">
        <v>120</v>
      </c>
      <c r="N1885">
        <f t="shared" si="236"/>
        <v>960</v>
      </c>
      <c r="O1885">
        <f t="shared" si="237"/>
        <v>96</v>
      </c>
      <c r="P1885" t="str">
        <f t="shared" si="238"/>
        <v>Large Order</v>
      </c>
      <c r="Q1885" t="str">
        <f t="shared" si="239"/>
        <v>Weekend</v>
      </c>
    </row>
    <row r="1886" spans="1:17" x14ac:dyDescent="0.35">
      <c r="A1886" t="s">
        <v>2036</v>
      </c>
      <c r="B1886" s="7">
        <v>45461</v>
      </c>
      <c r="C1886" s="13">
        <f t="shared" si="233"/>
        <v>2024</v>
      </c>
      <c r="D1886" s="7" t="str">
        <f t="shared" si="234"/>
        <v>Jun</v>
      </c>
      <c r="E1886" s="7" t="str">
        <f t="shared" si="235"/>
        <v>Tue</v>
      </c>
      <c r="F1886" t="s">
        <v>642</v>
      </c>
      <c r="G1886" t="s">
        <v>119</v>
      </c>
      <c r="H1886" t="s">
        <v>22</v>
      </c>
      <c r="I1886" s="2" t="str">
        <f t="shared" si="232"/>
        <v>South</v>
      </c>
      <c r="J1886" t="s">
        <v>306</v>
      </c>
      <c r="K1886" t="s">
        <v>23</v>
      </c>
      <c r="L1886">
        <v>12</v>
      </c>
      <c r="M1886">
        <v>120</v>
      </c>
      <c r="N1886">
        <f t="shared" si="236"/>
        <v>1440</v>
      </c>
      <c r="O1886">
        <f t="shared" si="237"/>
        <v>144</v>
      </c>
      <c r="P1886" t="str">
        <f t="shared" si="238"/>
        <v>Large Order</v>
      </c>
      <c r="Q1886" t="str">
        <f t="shared" si="239"/>
        <v>Weekday</v>
      </c>
    </row>
    <row r="1887" spans="1:17" x14ac:dyDescent="0.35">
      <c r="A1887" t="s">
        <v>2037</v>
      </c>
      <c r="B1887" s="7">
        <v>45350</v>
      </c>
      <c r="C1887" s="13">
        <f t="shared" si="233"/>
        <v>2024</v>
      </c>
      <c r="D1887" s="7" t="str">
        <f t="shared" si="234"/>
        <v>Feb</v>
      </c>
      <c r="E1887" s="7" t="str">
        <f t="shared" si="235"/>
        <v>Wed</v>
      </c>
      <c r="F1887" t="s">
        <v>108</v>
      </c>
      <c r="G1887" t="s">
        <v>119</v>
      </c>
      <c r="H1887" t="s">
        <v>22</v>
      </c>
      <c r="I1887" s="2" t="str">
        <f t="shared" si="232"/>
        <v>East</v>
      </c>
      <c r="J1887" t="s">
        <v>56</v>
      </c>
      <c r="K1887" t="s">
        <v>13</v>
      </c>
      <c r="L1887">
        <v>11</v>
      </c>
      <c r="M1887">
        <v>120</v>
      </c>
      <c r="N1887">
        <f t="shared" si="236"/>
        <v>1320</v>
      </c>
      <c r="O1887">
        <f t="shared" si="237"/>
        <v>132</v>
      </c>
      <c r="P1887" t="str">
        <f t="shared" si="238"/>
        <v>Large Order</v>
      </c>
      <c r="Q1887" t="str">
        <f t="shared" si="239"/>
        <v>Weekday</v>
      </c>
    </row>
    <row r="1888" spans="1:17" x14ac:dyDescent="0.35">
      <c r="A1888" t="s">
        <v>2038</v>
      </c>
      <c r="B1888" s="7">
        <v>45616</v>
      </c>
      <c r="C1888" s="13">
        <f t="shared" si="233"/>
        <v>2024</v>
      </c>
      <c r="D1888" s="7" t="str">
        <f t="shared" si="234"/>
        <v>Nov</v>
      </c>
      <c r="E1888" s="7" t="str">
        <f t="shared" si="235"/>
        <v>Wed</v>
      </c>
      <c r="F1888" t="s">
        <v>61</v>
      </c>
      <c r="G1888" t="s">
        <v>174</v>
      </c>
      <c r="H1888" t="s">
        <v>22</v>
      </c>
      <c r="I1888" s="2" t="str">
        <f t="shared" si="232"/>
        <v>West</v>
      </c>
      <c r="J1888" t="s">
        <v>42</v>
      </c>
      <c r="K1888" t="s">
        <v>13</v>
      </c>
      <c r="L1888">
        <v>2</v>
      </c>
      <c r="M1888">
        <v>120</v>
      </c>
      <c r="N1888">
        <f t="shared" si="236"/>
        <v>240</v>
      </c>
      <c r="O1888">
        <f t="shared" si="237"/>
        <v>24</v>
      </c>
      <c r="P1888" t="str">
        <f t="shared" si="238"/>
        <v>Standard Order</v>
      </c>
      <c r="Q1888" t="str">
        <f t="shared" si="239"/>
        <v>Weekday</v>
      </c>
    </row>
    <row r="1889" spans="1:17" x14ac:dyDescent="0.35">
      <c r="A1889" t="s">
        <v>2039</v>
      </c>
      <c r="B1889" s="7">
        <v>45544</v>
      </c>
      <c r="C1889" s="13">
        <f t="shared" si="233"/>
        <v>2024</v>
      </c>
      <c r="D1889" s="7" t="str">
        <f t="shared" si="234"/>
        <v>Sep</v>
      </c>
      <c r="E1889" s="7" t="str">
        <f t="shared" si="235"/>
        <v>Mon</v>
      </c>
      <c r="F1889" t="s">
        <v>99</v>
      </c>
      <c r="G1889" t="s">
        <v>62</v>
      </c>
      <c r="H1889" t="s">
        <v>22</v>
      </c>
      <c r="I1889" s="2" t="str">
        <f t="shared" si="232"/>
        <v>West</v>
      </c>
      <c r="J1889" t="s">
        <v>27</v>
      </c>
      <c r="K1889" t="s">
        <v>13</v>
      </c>
      <c r="L1889">
        <v>9</v>
      </c>
      <c r="M1889">
        <v>120</v>
      </c>
      <c r="N1889">
        <f t="shared" si="236"/>
        <v>1080</v>
      </c>
      <c r="O1889">
        <f t="shared" si="237"/>
        <v>108</v>
      </c>
      <c r="P1889" t="str">
        <f t="shared" si="238"/>
        <v>Large Order</v>
      </c>
      <c r="Q1889" t="str">
        <f t="shared" si="239"/>
        <v>Weekday</v>
      </c>
    </row>
    <row r="1890" spans="1:17" x14ac:dyDescent="0.35">
      <c r="A1890" t="s">
        <v>2040</v>
      </c>
      <c r="B1890" s="7">
        <v>45388</v>
      </c>
      <c r="C1890" s="13">
        <f t="shared" si="233"/>
        <v>2024</v>
      </c>
      <c r="D1890" s="7" t="str">
        <f t="shared" si="234"/>
        <v>Apr</v>
      </c>
      <c r="E1890" s="7" t="str">
        <f t="shared" si="235"/>
        <v>Sat</v>
      </c>
      <c r="F1890" t="s">
        <v>114</v>
      </c>
      <c r="G1890" t="s">
        <v>31</v>
      </c>
      <c r="H1890" t="s">
        <v>11</v>
      </c>
      <c r="I1890" s="2" t="str">
        <f t="shared" si="232"/>
        <v>Central</v>
      </c>
      <c r="J1890" t="s">
        <v>27</v>
      </c>
      <c r="K1890" t="s">
        <v>28</v>
      </c>
      <c r="L1890">
        <v>11</v>
      </c>
      <c r="M1890">
        <v>120</v>
      </c>
      <c r="N1890">
        <f t="shared" si="236"/>
        <v>1320</v>
      </c>
      <c r="O1890">
        <f t="shared" si="237"/>
        <v>132</v>
      </c>
      <c r="P1890" t="str">
        <f t="shared" si="238"/>
        <v>Large Order</v>
      </c>
      <c r="Q1890" t="str">
        <f t="shared" si="239"/>
        <v>Weekend</v>
      </c>
    </row>
    <row r="1891" spans="1:17" x14ac:dyDescent="0.35">
      <c r="A1891" t="s">
        <v>2041</v>
      </c>
      <c r="B1891" s="7">
        <v>45504</v>
      </c>
      <c r="C1891" s="13">
        <f t="shared" si="233"/>
        <v>2024</v>
      </c>
      <c r="D1891" s="7" t="str">
        <f t="shared" si="234"/>
        <v>Jul</v>
      </c>
      <c r="E1891" s="7" t="str">
        <f t="shared" si="235"/>
        <v>Wed</v>
      </c>
      <c r="F1891" t="s">
        <v>116</v>
      </c>
      <c r="G1891" t="s">
        <v>21</v>
      </c>
      <c r="H1891" t="s">
        <v>22</v>
      </c>
      <c r="I1891" s="2" t="str">
        <f t="shared" si="232"/>
        <v>North</v>
      </c>
      <c r="J1891" t="s">
        <v>306</v>
      </c>
      <c r="K1891" t="s">
        <v>13</v>
      </c>
      <c r="L1891">
        <v>15</v>
      </c>
      <c r="M1891">
        <v>120</v>
      </c>
      <c r="N1891">
        <f t="shared" si="236"/>
        <v>1800</v>
      </c>
      <c r="O1891">
        <f t="shared" si="237"/>
        <v>180</v>
      </c>
      <c r="P1891" t="str">
        <f t="shared" si="238"/>
        <v>Large Order</v>
      </c>
      <c r="Q1891" t="str">
        <f t="shared" si="239"/>
        <v>Weekday</v>
      </c>
    </row>
    <row r="1892" spans="1:17" x14ac:dyDescent="0.35">
      <c r="A1892" t="s">
        <v>2042</v>
      </c>
      <c r="B1892" s="7">
        <v>45593</v>
      </c>
      <c r="C1892" s="13">
        <f t="shared" si="233"/>
        <v>2024</v>
      </c>
      <c r="D1892" s="7" t="str">
        <f t="shared" si="234"/>
        <v>Oct</v>
      </c>
      <c r="E1892" s="7" t="str">
        <f t="shared" si="235"/>
        <v>Mon</v>
      </c>
      <c r="F1892" t="s">
        <v>358</v>
      </c>
      <c r="G1892" t="s">
        <v>16</v>
      </c>
      <c r="H1892" t="s">
        <v>17</v>
      </c>
      <c r="I1892" s="2" t="str">
        <f t="shared" si="232"/>
        <v>South</v>
      </c>
      <c r="J1892" t="s">
        <v>12</v>
      </c>
      <c r="K1892" t="s">
        <v>36</v>
      </c>
      <c r="L1892">
        <v>2</v>
      </c>
      <c r="M1892">
        <v>120</v>
      </c>
      <c r="N1892">
        <f t="shared" si="236"/>
        <v>240</v>
      </c>
      <c r="O1892">
        <f t="shared" si="237"/>
        <v>24</v>
      </c>
      <c r="P1892" t="str">
        <f t="shared" si="238"/>
        <v>Standard Order</v>
      </c>
      <c r="Q1892" t="str">
        <f t="shared" si="239"/>
        <v>Weekday</v>
      </c>
    </row>
    <row r="1893" spans="1:17" x14ac:dyDescent="0.35">
      <c r="A1893" t="s">
        <v>2043</v>
      </c>
      <c r="B1893" s="7">
        <v>45513</v>
      </c>
      <c r="C1893" s="13">
        <f t="shared" si="233"/>
        <v>2024</v>
      </c>
      <c r="D1893" s="7" t="str">
        <f t="shared" si="234"/>
        <v>Aug</v>
      </c>
      <c r="E1893" s="7" t="str">
        <f t="shared" si="235"/>
        <v>Fri</v>
      </c>
      <c r="F1893" t="s">
        <v>361</v>
      </c>
      <c r="G1893" t="s">
        <v>35</v>
      </c>
      <c r="H1893" t="s">
        <v>22</v>
      </c>
      <c r="I1893" s="2" t="str">
        <f t="shared" si="232"/>
        <v>Central</v>
      </c>
      <c r="J1893" t="s">
        <v>56</v>
      </c>
      <c r="K1893" t="s">
        <v>36</v>
      </c>
      <c r="L1893">
        <v>6</v>
      </c>
      <c r="M1893">
        <v>120</v>
      </c>
      <c r="N1893">
        <f t="shared" si="236"/>
        <v>720</v>
      </c>
      <c r="O1893">
        <f t="shared" si="237"/>
        <v>72</v>
      </c>
      <c r="P1893" t="str">
        <f t="shared" si="238"/>
        <v>Large Order</v>
      </c>
      <c r="Q1893" t="str">
        <f t="shared" si="239"/>
        <v>Weekday</v>
      </c>
    </row>
    <row r="1894" spans="1:17" x14ac:dyDescent="0.35">
      <c r="A1894" t="s">
        <v>2044</v>
      </c>
      <c r="B1894" s="7">
        <v>45357</v>
      </c>
      <c r="C1894" s="13">
        <f t="shared" si="233"/>
        <v>2024</v>
      </c>
      <c r="D1894" s="7" t="str">
        <f t="shared" si="234"/>
        <v>Mar</v>
      </c>
      <c r="E1894" s="7" t="str">
        <f t="shared" si="235"/>
        <v>Wed</v>
      </c>
      <c r="F1894" t="s">
        <v>15</v>
      </c>
      <c r="G1894" t="s">
        <v>31</v>
      </c>
      <c r="H1894" t="s">
        <v>22</v>
      </c>
      <c r="I1894" s="2" t="str">
        <f t="shared" si="232"/>
        <v>South</v>
      </c>
      <c r="J1894" t="s">
        <v>306</v>
      </c>
      <c r="K1894" t="s">
        <v>36</v>
      </c>
      <c r="L1894">
        <v>11</v>
      </c>
      <c r="M1894">
        <v>120</v>
      </c>
      <c r="N1894">
        <f t="shared" si="236"/>
        <v>1320</v>
      </c>
      <c r="O1894">
        <f t="shared" si="237"/>
        <v>132</v>
      </c>
      <c r="P1894" t="str">
        <f t="shared" si="238"/>
        <v>Large Order</v>
      </c>
      <c r="Q1894" t="str">
        <f t="shared" si="239"/>
        <v>Weekday</v>
      </c>
    </row>
    <row r="1895" spans="1:17" x14ac:dyDescent="0.35">
      <c r="A1895" t="s">
        <v>2045</v>
      </c>
      <c r="B1895" s="7">
        <v>45488</v>
      </c>
      <c r="C1895" s="13">
        <f t="shared" si="233"/>
        <v>2024</v>
      </c>
      <c r="D1895" s="7" t="str">
        <f t="shared" si="234"/>
        <v>Jul</v>
      </c>
      <c r="E1895" s="7" t="str">
        <f t="shared" si="235"/>
        <v>Mon</v>
      </c>
      <c r="F1895" t="s">
        <v>572</v>
      </c>
      <c r="G1895" t="s">
        <v>109</v>
      </c>
      <c r="H1895" t="s">
        <v>22</v>
      </c>
      <c r="I1895" s="2" t="str">
        <f t="shared" si="232"/>
        <v>West</v>
      </c>
      <c r="J1895" t="s">
        <v>56</v>
      </c>
      <c r="K1895" t="s">
        <v>32</v>
      </c>
      <c r="L1895">
        <v>13</v>
      </c>
      <c r="M1895">
        <v>120</v>
      </c>
      <c r="N1895">
        <f t="shared" si="236"/>
        <v>1560</v>
      </c>
      <c r="O1895">
        <f t="shared" si="237"/>
        <v>156</v>
      </c>
      <c r="P1895" t="str">
        <f t="shared" si="238"/>
        <v>Large Order</v>
      </c>
      <c r="Q1895" t="str">
        <f t="shared" si="239"/>
        <v>Weekday</v>
      </c>
    </row>
    <row r="1896" spans="1:17" x14ac:dyDescent="0.35">
      <c r="A1896" t="s">
        <v>2046</v>
      </c>
      <c r="B1896" s="7">
        <v>45442</v>
      </c>
      <c r="C1896" s="13">
        <f t="shared" si="233"/>
        <v>2024</v>
      </c>
      <c r="D1896" s="7" t="str">
        <f t="shared" si="234"/>
        <v>May</v>
      </c>
      <c r="E1896" s="7" t="str">
        <f t="shared" si="235"/>
        <v>Thu</v>
      </c>
      <c r="F1896" t="s">
        <v>430</v>
      </c>
      <c r="G1896" t="s">
        <v>16</v>
      </c>
      <c r="H1896" t="s">
        <v>11</v>
      </c>
      <c r="I1896" s="2" t="str">
        <f t="shared" si="232"/>
        <v>Central</v>
      </c>
      <c r="J1896" t="s">
        <v>27</v>
      </c>
      <c r="K1896" t="s">
        <v>36</v>
      </c>
      <c r="L1896">
        <v>17</v>
      </c>
      <c r="M1896">
        <v>120</v>
      </c>
      <c r="N1896">
        <f t="shared" si="236"/>
        <v>2040</v>
      </c>
      <c r="O1896">
        <f t="shared" si="237"/>
        <v>204</v>
      </c>
      <c r="P1896" t="str">
        <f t="shared" si="238"/>
        <v>Large Order</v>
      </c>
      <c r="Q1896" t="str">
        <f t="shared" si="239"/>
        <v>Weekday</v>
      </c>
    </row>
    <row r="1897" spans="1:17" x14ac:dyDescent="0.35">
      <c r="A1897" t="s">
        <v>2047</v>
      </c>
      <c r="B1897" s="7">
        <v>45651</v>
      </c>
      <c r="C1897" s="13">
        <f t="shared" si="233"/>
        <v>2024</v>
      </c>
      <c r="D1897" s="7" t="str">
        <f t="shared" si="234"/>
        <v>Dec</v>
      </c>
      <c r="E1897" s="7" t="str">
        <f t="shared" si="235"/>
        <v>Wed</v>
      </c>
      <c r="F1897" t="s">
        <v>378</v>
      </c>
      <c r="G1897" t="s">
        <v>72</v>
      </c>
      <c r="H1897" t="s">
        <v>22</v>
      </c>
      <c r="I1897" s="2" t="str">
        <f t="shared" si="232"/>
        <v>South</v>
      </c>
      <c r="J1897" t="s">
        <v>306</v>
      </c>
      <c r="K1897" t="s">
        <v>28</v>
      </c>
      <c r="L1897">
        <v>7</v>
      </c>
      <c r="M1897">
        <v>120</v>
      </c>
      <c r="N1897">
        <f t="shared" si="236"/>
        <v>840</v>
      </c>
      <c r="O1897">
        <f t="shared" si="237"/>
        <v>84</v>
      </c>
      <c r="P1897" t="str">
        <f t="shared" si="238"/>
        <v>Large Order</v>
      </c>
      <c r="Q1897" t="str">
        <f t="shared" si="239"/>
        <v>Weekday</v>
      </c>
    </row>
    <row r="1898" spans="1:17" x14ac:dyDescent="0.35">
      <c r="A1898" t="s">
        <v>2048</v>
      </c>
      <c r="B1898" s="7">
        <v>45440</v>
      </c>
      <c r="C1898" s="13">
        <f t="shared" si="233"/>
        <v>2024</v>
      </c>
      <c r="D1898" s="7" t="str">
        <f t="shared" si="234"/>
        <v>May</v>
      </c>
      <c r="E1898" s="7" t="str">
        <f t="shared" si="235"/>
        <v>Tue</v>
      </c>
      <c r="F1898" t="s">
        <v>455</v>
      </c>
      <c r="G1898" t="s">
        <v>48</v>
      </c>
      <c r="H1898" t="s">
        <v>22</v>
      </c>
      <c r="I1898" s="2" t="str">
        <f t="shared" si="232"/>
        <v>East</v>
      </c>
      <c r="J1898" t="s">
        <v>56</v>
      </c>
      <c r="K1898" t="s">
        <v>28</v>
      </c>
      <c r="L1898">
        <v>17</v>
      </c>
      <c r="M1898">
        <v>120</v>
      </c>
      <c r="N1898">
        <f t="shared" si="236"/>
        <v>2040</v>
      </c>
      <c r="O1898">
        <f t="shared" si="237"/>
        <v>204</v>
      </c>
      <c r="P1898" t="str">
        <f t="shared" si="238"/>
        <v>Large Order</v>
      </c>
      <c r="Q1898" t="str">
        <f t="shared" si="239"/>
        <v>Weekday</v>
      </c>
    </row>
    <row r="1899" spans="1:17" x14ac:dyDescent="0.35">
      <c r="A1899" t="s">
        <v>2049</v>
      </c>
      <c r="B1899" s="7">
        <v>45618</v>
      </c>
      <c r="C1899" s="13">
        <f t="shared" si="233"/>
        <v>2024</v>
      </c>
      <c r="D1899" s="7" t="str">
        <f t="shared" si="234"/>
        <v>Nov</v>
      </c>
      <c r="E1899" s="7" t="str">
        <f t="shared" si="235"/>
        <v>Fri</v>
      </c>
      <c r="F1899" t="s">
        <v>187</v>
      </c>
      <c r="G1899" t="s">
        <v>62</v>
      </c>
      <c r="H1899" t="s">
        <v>11</v>
      </c>
      <c r="I1899" s="2" t="str">
        <f t="shared" si="232"/>
        <v>Central</v>
      </c>
      <c r="J1899" t="s">
        <v>42</v>
      </c>
      <c r="K1899" t="s">
        <v>36</v>
      </c>
      <c r="L1899">
        <v>16</v>
      </c>
      <c r="M1899">
        <v>120</v>
      </c>
      <c r="N1899">
        <f t="shared" si="236"/>
        <v>1920</v>
      </c>
      <c r="O1899">
        <f t="shared" si="237"/>
        <v>192</v>
      </c>
      <c r="P1899" t="str">
        <f t="shared" si="238"/>
        <v>Large Order</v>
      </c>
      <c r="Q1899" t="str">
        <f t="shared" si="239"/>
        <v>Weekday</v>
      </c>
    </row>
    <row r="1900" spans="1:17" x14ac:dyDescent="0.35">
      <c r="A1900" t="s">
        <v>2050</v>
      </c>
      <c r="B1900" s="7">
        <v>45633</v>
      </c>
      <c r="C1900" s="13">
        <f t="shared" si="233"/>
        <v>2024</v>
      </c>
      <c r="D1900" s="7" t="str">
        <f t="shared" si="234"/>
        <v>Dec</v>
      </c>
      <c r="E1900" s="7" t="str">
        <f t="shared" si="235"/>
        <v>Sat</v>
      </c>
      <c r="F1900" t="s">
        <v>369</v>
      </c>
      <c r="G1900" t="s">
        <v>87</v>
      </c>
      <c r="H1900" t="s">
        <v>22</v>
      </c>
      <c r="I1900" s="2" t="str">
        <f t="shared" si="232"/>
        <v>South</v>
      </c>
      <c r="J1900" t="s">
        <v>306</v>
      </c>
      <c r="K1900" t="s">
        <v>32</v>
      </c>
      <c r="L1900">
        <v>14</v>
      </c>
      <c r="M1900">
        <v>120</v>
      </c>
      <c r="N1900">
        <f t="shared" si="236"/>
        <v>1680</v>
      </c>
      <c r="O1900">
        <f t="shared" si="237"/>
        <v>168</v>
      </c>
      <c r="P1900" t="str">
        <f t="shared" si="238"/>
        <v>Large Order</v>
      </c>
      <c r="Q1900" t="str">
        <f t="shared" si="239"/>
        <v>Weekend</v>
      </c>
    </row>
    <row r="1901" spans="1:17" x14ac:dyDescent="0.35">
      <c r="A1901" t="s">
        <v>2051</v>
      </c>
      <c r="B1901" s="7">
        <v>45559</v>
      </c>
      <c r="C1901" s="13">
        <f t="shared" si="233"/>
        <v>2024</v>
      </c>
      <c r="D1901" s="7" t="str">
        <f t="shared" si="234"/>
        <v>Sep</v>
      </c>
      <c r="E1901" s="7" t="str">
        <f t="shared" si="235"/>
        <v>Tue</v>
      </c>
      <c r="F1901" t="s">
        <v>15</v>
      </c>
      <c r="G1901" t="s">
        <v>96</v>
      </c>
      <c r="H1901" t="s">
        <v>17</v>
      </c>
      <c r="I1901" s="2" t="str">
        <f t="shared" si="232"/>
        <v>South</v>
      </c>
      <c r="J1901" t="s">
        <v>56</v>
      </c>
      <c r="K1901" t="s">
        <v>13</v>
      </c>
      <c r="L1901">
        <v>2</v>
      </c>
      <c r="M1901">
        <v>120</v>
      </c>
      <c r="N1901">
        <f t="shared" si="236"/>
        <v>240</v>
      </c>
      <c r="O1901">
        <f t="shared" si="237"/>
        <v>24</v>
      </c>
      <c r="P1901" t="str">
        <f t="shared" si="238"/>
        <v>Standard Order</v>
      </c>
      <c r="Q1901" t="str">
        <f t="shared" si="239"/>
        <v>Weekday</v>
      </c>
    </row>
    <row r="1902" spans="1:17" x14ac:dyDescent="0.35">
      <c r="A1902" t="s">
        <v>2052</v>
      </c>
      <c r="B1902" s="7">
        <v>45374</v>
      </c>
      <c r="C1902" s="13">
        <f t="shared" si="233"/>
        <v>2024</v>
      </c>
      <c r="D1902" s="7" t="str">
        <f t="shared" si="234"/>
        <v>Mar</v>
      </c>
      <c r="E1902" s="7" t="str">
        <f t="shared" si="235"/>
        <v>Sat</v>
      </c>
      <c r="F1902" t="s">
        <v>55</v>
      </c>
      <c r="G1902" t="s">
        <v>41</v>
      </c>
      <c r="H1902" t="s">
        <v>17</v>
      </c>
      <c r="I1902" s="2" t="str">
        <f t="shared" si="232"/>
        <v>North</v>
      </c>
      <c r="J1902" t="s">
        <v>56</v>
      </c>
      <c r="K1902" t="s">
        <v>13</v>
      </c>
      <c r="L1902">
        <v>10</v>
      </c>
      <c r="M1902">
        <v>120</v>
      </c>
      <c r="N1902">
        <f t="shared" si="236"/>
        <v>1200</v>
      </c>
      <c r="O1902">
        <f t="shared" si="237"/>
        <v>120</v>
      </c>
      <c r="P1902" t="str">
        <f t="shared" si="238"/>
        <v>Large Order</v>
      </c>
      <c r="Q1902" t="str">
        <f t="shared" si="239"/>
        <v>Weekend</v>
      </c>
    </row>
    <row r="1903" spans="1:17" x14ac:dyDescent="0.35">
      <c r="A1903" t="s">
        <v>2053</v>
      </c>
      <c r="B1903" s="7">
        <v>45569</v>
      </c>
      <c r="C1903" s="13">
        <f t="shared" si="233"/>
        <v>2024</v>
      </c>
      <c r="D1903" s="7" t="str">
        <f t="shared" si="234"/>
        <v>Oct</v>
      </c>
      <c r="E1903" s="7" t="str">
        <f t="shared" si="235"/>
        <v>Fri</v>
      </c>
      <c r="F1903" t="s">
        <v>122</v>
      </c>
      <c r="G1903" t="s">
        <v>48</v>
      </c>
      <c r="H1903" t="s">
        <v>17</v>
      </c>
      <c r="I1903" s="2" t="str">
        <f t="shared" si="232"/>
        <v>Central</v>
      </c>
      <c r="J1903" t="s">
        <v>12</v>
      </c>
      <c r="K1903" t="s">
        <v>36</v>
      </c>
      <c r="L1903">
        <v>18</v>
      </c>
      <c r="M1903">
        <v>120</v>
      </c>
      <c r="N1903">
        <f t="shared" si="236"/>
        <v>2160</v>
      </c>
      <c r="O1903">
        <f t="shared" si="237"/>
        <v>216</v>
      </c>
      <c r="P1903" t="str">
        <f t="shared" si="238"/>
        <v>Large Order</v>
      </c>
      <c r="Q1903" t="str">
        <f t="shared" si="239"/>
        <v>Weekday</v>
      </c>
    </row>
    <row r="1904" spans="1:17" x14ac:dyDescent="0.35">
      <c r="A1904" t="s">
        <v>2054</v>
      </c>
      <c r="B1904" s="7">
        <v>45623</v>
      </c>
      <c r="C1904" s="13">
        <f t="shared" si="233"/>
        <v>2024</v>
      </c>
      <c r="D1904" s="7" t="str">
        <f t="shared" si="234"/>
        <v>Nov</v>
      </c>
      <c r="E1904" s="7" t="str">
        <f t="shared" si="235"/>
        <v>Wed</v>
      </c>
      <c r="F1904" t="s">
        <v>642</v>
      </c>
      <c r="G1904" t="s">
        <v>31</v>
      </c>
      <c r="H1904" t="s">
        <v>11</v>
      </c>
      <c r="I1904" s="2" t="str">
        <f t="shared" si="232"/>
        <v>Central</v>
      </c>
      <c r="J1904" t="s">
        <v>306</v>
      </c>
      <c r="K1904" t="s">
        <v>32</v>
      </c>
      <c r="L1904">
        <v>2</v>
      </c>
      <c r="M1904">
        <v>120</v>
      </c>
      <c r="N1904">
        <f t="shared" si="236"/>
        <v>240</v>
      </c>
      <c r="O1904">
        <f t="shared" si="237"/>
        <v>24</v>
      </c>
      <c r="P1904" t="str">
        <f t="shared" si="238"/>
        <v>Standard Order</v>
      </c>
      <c r="Q1904" t="str">
        <f t="shared" si="239"/>
        <v>Weekday</v>
      </c>
    </row>
    <row r="1905" spans="1:17" x14ac:dyDescent="0.35">
      <c r="A1905" t="s">
        <v>2055</v>
      </c>
      <c r="B1905" s="7">
        <v>45490</v>
      </c>
      <c r="C1905" s="13">
        <f t="shared" si="233"/>
        <v>2024</v>
      </c>
      <c r="D1905" s="7" t="str">
        <f t="shared" si="234"/>
        <v>Jul</v>
      </c>
      <c r="E1905" s="7" t="str">
        <f t="shared" si="235"/>
        <v>Wed</v>
      </c>
      <c r="F1905" t="s">
        <v>572</v>
      </c>
      <c r="G1905" t="s">
        <v>41</v>
      </c>
      <c r="H1905" t="s">
        <v>17</v>
      </c>
      <c r="I1905" s="2" t="str">
        <f t="shared" si="232"/>
        <v>South</v>
      </c>
      <c r="J1905" t="s">
        <v>306</v>
      </c>
      <c r="K1905" t="s">
        <v>13</v>
      </c>
      <c r="L1905">
        <v>1</v>
      </c>
      <c r="M1905">
        <v>120</v>
      </c>
      <c r="N1905">
        <f t="shared" si="236"/>
        <v>120</v>
      </c>
      <c r="O1905">
        <f t="shared" si="237"/>
        <v>12</v>
      </c>
      <c r="P1905" t="str">
        <f t="shared" si="238"/>
        <v>Standard Order</v>
      </c>
      <c r="Q1905" t="str">
        <f t="shared" si="239"/>
        <v>Weekday</v>
      </c>
    </row>
    <row r="1906" spans="1:17" x14ac:dyDescent="0.35">
      <c r="A1906" t="s">
        <v>2056</v>
      </c>
      <c r="B1906" s="7">
        <v>45395</v>
      </c>
      <c r="C1906" s="13">
        <f t="shared" si="233"/>
        <v>2024</v>
      </c>
      <c r="D1906" s="7" t="str">
        <f t="shared" si="234"/>
        <v>Apr</v>
      </c>
      <c r="E1906" s="7" t="str">
        <f t="shared" si="235"/>
        <v>Sat</v>
      </c>
      <c r="F1906" t="s">
        <v>381</v>
      </c>
      <c r="G1906" t="s">
        <v>119</v>
      </c>
      <c r="H1906" t="s">
        <v>17</v>
      </c>
      <c r="I1906" s="2" t="str">
        <f t="shared" si="232"/>
        <v>South</v>
      </c>
      <c r="J1906" t="s">
        <v>56</v>
      </c>
      <c r="K1906" t="s">
        <v>32</v>
      </c>
      <c r="L1906">
        <v>19</v>
      </c>
      <c r="M1906">
        <v>120</v>
      </c>
      <c r="N1906">
        <f t="shared" si="236"/>
        <v>2280</v>
      </c>
      <c r="O1906">
        <f t="shared" si="237"/>
        <v>228</v>
      </c>
      <c r="P1906" t="str">
        <f t="shared" si="238"/>
        <v>Large Order</v>
      </c>
      <c r="Q1906" t="str">
        <f t="shared" si="239"/>
        <v>Weekend</v>
      </c>
    </row>
    <row r="1907" spans="1:17" x14ac:dyDescent="0.35">
      <c r="A1907" t="s">
        <v>2057</v>
      </c>
      <c r="B1907" s="7">
        <v>45600</v>
      </c>
      <c r="C1907" s="13">
        <f t="shared" si="233"/>
        <v>2024</v>
      </c>
      <c r="D1907" s="7" t="str">
        <f t="shared" si="234"/>
        <v>Nov</v>
      </c>
      <c r="E1907" s="7" t="str">
        <f t="shared" si="235"/>
        <v>Mon</v>
      </c>
      <c r="F1907" t="s">
        <v>104</v>
      </c>
      <c r="G1907" t="s">
        <v>119</v>
      </c>
      <c r="H1907" t="s">
        <v>22</v>
      </c>
      <c r="I1907" s="2" t="str">
        <f t="shared" si="232"/>
        <v>Central</v>
      </c>
      <c r="J1907" t="s">
        <v>56</v>
      </c>
      <c r="K1907" t="s">
        <v>32</v>
      </c>
      <c r="L1907">
        <v>15</v>
      </c>
      <c r="M1907">
        <v>120</v>
      </c>
      <c r="N1907">
        <f t="shared" si="236"/>
        <v>1800</v>
      </c>
      <c r="O1907">
        <f t="shared" si="237"/>
        <v>180</v>
      </c>
      <c r="P1907" t="str">
        <f t="shared" si="238"/>
        <v>Large Order</v>
      </c>
      <c r="Q1907" t="str">
        <f t="shared" si="239"/>
        <v>Weekday</v>
      </c>
    </row>
    <row r="1908" spans="1:17" x14ac:dyDescent="0.35">
      <c r="A1908" t="s">
        <v>2058</v>
      </c>
      <c r="B1908" s="7">
        <v>45641</v>
      </c>
      <c r="C1908" s="13">
        <f t="shared" si="233"/>
        <v>2024</v>
      </c>
      <c r="D1908" s="7" t="str">
        <f t="shared" si="234"/>
        <v>Dec</v>
      </c>
      <c r="E1908" s="7" t="str">
        <f t="shared" si="235"/>
        <v>Sun</v>
      </c>
      <c r="F1908" t="s">
        <v>208</v>
      </c>
      <c r="G1908" t="s">
        <v>45</v>
      </c>
      <c r="H1908" t="s">
        <v>11</v>
      </c>
      <c r="I1908" s="2" t="str">
        <f t="shared" si="232"/>
        <v>South</v>
      </c>
      <c r="J1908" t="s">
        <v>306</v>
      </c>
      <c r="K1908" t="s">
        <v>13</v>
      </c>
      <c r="L1908">
        <v>13</v>
      </c>
      <c r="M1908">
        <v>120</v>
      </c>
      <c r="N1908">
        <f t="shared" si="236"/>
        <v>1560</v>
      </c>
      <c r="O1908">
        <f t="shared" si="237"/>
        <v>156</v>
      </c>
      <c r="P1908" t="str">
        <f t="shared" si="238"/>
        <v>Large Order</v>
      </c>
      <c r="Q1908" t="str">
        <f t="shared" si="239"/>
        <v>Weekend</v>
      </c>
    </row>
    <row r="1909" spans="1:17" x14ac:dyDescent="0.35">
      <c r="A1909" t="s">
        <v>2059</v>
      </c>
      <c r="B1909" s="7">
        <v>45434</v>
      </c>
      <c r="C1909" s="13">
        <f t="shared" si="233"/>
        <v>2024</v>
      </c>
      <c r="D1909" s="7" t="str">
        <f t="shared" si="234"/>
        <v>May</v>
      </c>
      <c r="E1909" s="7" t="str">
        <f t="shared" si="235"/>
        <v>Wed</v>
      </c>
      <c r="F1909" t="s">
        <v>642</v>
      </c>
      <c r="G1909" t="s">
        <v>26</v>
      </c>
      <c r="H1909" t="s">
        <v>11</v>
      </c>
      <c r="I1909" s="2" t="str">
        <f t="shared" si="232"/>
        <v>South</v>
      </c>
      <c r="J1909" t="s">
        <v>56</v>
      </c>
      <c r="K1909" t="s">
        <v>36</v>
      </c>
      <c r="L1909">
        <v>9</v>
      </c>
      <c r="M1909">
        <v>120</v>
      </c>
      <c r="N1909">
        <f t="shared" si="236"/>
        <v>1080</v>
      </c>
      <c r="O1909">
        <f t="shared" si="237"/>
        <v>108</v>
      </c>
      <c r="P1909" t="str">
        <f t="shared" si="238"/>
        <v>Large Order</v>
      </c>
      <c r="Q1909" t="str">
        <f t="shared" si="239"/>
        <v>Weekday</v>
      </c>
    </row>
    <row r="1910" spans="1:17" x14ac:dyDescent="0.35">
      <c r="A1910" t="s">
        <v>2060</v>
      </c>
      <c r="B1910" s="7">
        <v>45530</v>
      </c>
      <c r="C1910" s="13">
        <f t="shared" si="233"/>
        <v>2024</v>
      </c>
      <c r="D1910" s="7" t="str">
        <f t="shared" si="234"/>
        <v>Aug</v>
      </c>
      <c r="E1910" s="7" t="str">
        <f t="shared" si="235"/>
        <v>Mon</v>
      </c>
      <c r="F1910" t="s">
        <v>369</v>
      </c>
      <c r="G1910" t="s">
        <v>16</v>
      </c>
      <c r="H1910" t="s">
        <v>11</v>
      </c>
      <c r="I1910" s="2" t="str">
        <f t="shared" si="232"/>
        <v>West</v>
      </c>
      <c r="J1910" t="s">
        <v>56</v>
      </c>
      <c r="K1910" t="s">
        <v>32</v>
      </c>
      <c r="L1910">
        <v>20</v>
      </c>
      <c r="M1910">
        <v>120</v>
      </c>
      <c r="N1910">
        <f t="shared" si="236"/>
        <v>2400</v>
      </c>
      <c r="O1910">
        <f t="shared" si="237"/>
        <v>240</v>
      </c>
      <c r="P1910" t="str">
        <f t="shared" si="238"/>
        <v>Large Order</v>
      </c>
      <c r="Q1910" t="str">
        <f t="shared" si="239"/>
        <v>Weekday</v>
      </c>
    </row>
    <row r="1911" spans="1:17" x14ac:dyDescent="0.35">
      <c r="A1911" t="s">
        <v>2061</v>
      </c>
      <c r="B1911" s="7">
        <v>45612</v>
      </c>
      <c r="C1911" s="13">
        <f t="shared" si="233"/>
        <v>2024</v>
      </c>
      <c r="D1911" s="7" t="str">
        <f t="shared" si="234"/>
        <v>Nov</v>
      </c>
      <c r="E1911" s="7" t="str">
        <f t="shared" si="235"/>
        <v>Sat</v>
      </c>
      <c r="F1911" t="s">
        <v>594</v>
      </c>
      <c r="G1911" t="s">
        <v>41</v>
      </c>
      <c r="H1911" t="s">
        <v>17</v>
      </c>
      <c r="I1911" s="2" t="str">
        <f t="shared" si="232"/>
        <v>South</v>
      </c>
      <c r="J1911" t="s">
        <v>27</v>
      </c>
      <c r="K1911" t="s">
        <v>36</v>
      </c>
      <c r="L1911">
        <v>18</v>
      </c>
      <c r="M1911">
        <v>120</v>
      </c>
      <c r="N1911">
        <f t="shared" si="236"/>
        <v>2160</v>
      </c>
      <c r="O1911">
        <f t="shared" si="237"/>
        <v>216</v>
      </c>
      <c r="P1911" t="str">
        <f t="shared" si="238"/>
        <v>Large Order</v>
      </c>
      <c r="Q1911" t="str">
        <f t="shared" si="239"/>
        <v>Weekend</v>
      </c>
    </row>
    <row r="1912" spans="1:17" x14ac:dyDescent="0.35">
      <c r="A1912" t="s">
        <v>2062</v>
      </c>
      <c r="B1912" s="7">
        <v>45654</v>
      </c>
      <c r="C1912" s="13">
        <f t="shared" si="233"/>
        <v>2024</v>
      </c>
      <c r="D1912" s="7" t="str">
        <f t="shared" si="234"/>
        <v>Dec</v>
      </c>
      <c r="E1912" s="7" t="str">
        <f t="shared" si="235"/>
        <v>Sat</v>
      </c>
      <c r="F1912" t="s">
        <v>38</v>
      </c>
      <c r="G1912" t="s">
        <v>160</v>
      </c>
      <c r="H1912" t="s">
        <v>11</v>
      </c>
      <c r="I1912" s="2" t="str">
        <f t="shared" si="232"/>
        <v>West</v>
      </c>
      <c r="J1912" t="s">
        <v>56</v>
      </c>
      <c r="K1912" t="s">
        <v>36</v>
      </c>
      <c r="L1912">
        <v>3</v>
      </c>
      <c r="M1912">
        <v>120</v>
      </c>
      <c r="N1912">
        <f t="shared" si="236"/>
        <v>360</v>
      </c>
      <c r="O1912">
        <f t="shared" si="237"/>
        <v>36</v>
      </c>
      <c r="P1912" t="str">
        <f t="shared" si="238"/>
        <v>Standard Order</v>
      </c>
      <c r="Q1912" t="str">
        <f t="shared" si="239"/>
        <v>Weekend</v>
      </c>
    </row>
    <row r="1913" spans="1:17" x14ac:dyDescent="0.35">
      <c r="A1913" t="s">
        <v>2063</v>
      </c>
      <c r="B1913" s="7">
        <v>45373</v>
      </c>
      <c r="C1913" s="13">
        <f t="shared" si="233"/>
        <v>2024</v>
      </c>
      <c r="D1913" s="7" t="str">
        <f t="shared" si="234"/>
        <v>Mar</v>
      </c>
      <c r="E1913" s="7" t="str">
        <f t="shared" si="235"/>
        <v>Fri</v>
      </c>
      <c r="F1913" t="s">
        <v>572</v>
      </c>
      <c r="G1913" t="s">
        <v>174</v>
      </c>
      <c r="H1913" t="s">
        <v>22</v>
      </c>
      <c r="I1913" s="2" t="str">
        <f t="shared" si="232"/>
        <v>East</v>
      </c>
      <c r="J1913" t="s">
        <v>27</v>
      </c>
      <c r="K1913" t="s">
        <v>13</v>
      </c>
      <c r="L1913">
        <v>12</v>
      </c>
      <c r="M1913">
        <v>120</v>
      </c>
      <c r="N1913">
        <f t="shared" si="236"/>
        <v>1440</v>
      </c>
      <c r="O1913">
        <f t="shared" si="237"/>
        <v>144</v>
      </c>
      <c r="P1913" t="str">
        <f t="shared" si="238"/>
        <v>Large Order</v>
      </c>
      <c r="Q1913" t="str">
        <f t="shared" si="239"/>
        <v>Weekday</v>
      </c>
    </row>
    <row r="1914" spans="1:17" x14ac:dyDescent="0.35">
      <c r="A1914" t="s">
        <v>2064</v>
      </c>
      <c r="B1914" s="7">
        <v>45401</v>
      </c>
      <c r="C1914" s="13">
        <f t="shared" si="233"/>
        <v>2024</v>
      </c>
      <c r="D1914" s="7" t="str">
        <f t="shared" si="234"/>
        <v>Apr</v>
      </c>
      <c r="E1914" s="7" t="str">
        <f t="shared" si="235"/>
        <v>Fri</v>
      </c>
      <c r="F1914" t="s">
        <v>371</v>
      </c>
      <c r="G1914" t="s">
        <v>72</v>
      </c>
      <c r="H1914" t="s">
        <v>17</v>
      </c>
      <c r="I1914" s="2" t="str">
        <f t="shared" si="232"/>
        <v>North</v>
      </c>
      <c r="J1914" t="s">
        <v>42</v>
      </c>
      <c r="K1914" t="s">
        <v>32</v>
      </c>
      <c r="L1914">
        <v>7</v>
      </c>
      <c r="M1914">
        <v>120</v>
      </c>
      <c r="N1914">
        <f t="shared" si="236"/>
        <v>840</v>
      </c>
      <c r="O1914">
        <f t="shared" si="237"/>
        <v>84</v>
      </c>
      <c r="P1914" t="str">
        <f t="shared" si="238"/>
        <v>Large Order</v>
      </c>
      <c r="Q1914" t="str">
        <f t="shared" si="239"/>
        <v>Weekday</v>
      </c>
    </row>
    <row r="1915" spans="1:17" x14ac:dyDescent="0.35">
      <c r="A1915" t="s">
        <v>2065</v>
      </c>
      <c r="B1915" s="7">
        <v>45608</v>
      </c>
      <c r="C1915" s="13">
        <f t="shared" si="233"/>
        <v>2024</v>
      </c>
      <c r="D1915" s="7" t="str">
        <f t="shared" si="234"/>
        <v>Nov</v>
      </c>
      <c r="E1915" s="7" t="str">
        <f t="shared" si="235"/>
        <v>Tue</v>
      </c>
      <c r="F1915" t="s">
        <v>339</v>
      </c>
      <c r="G1915" t="s">
        <v>35</v>
      </c>
      <c r="H1915" t="s">
        <v>22</v>
      </c>
      <c r="I1915" s="2" t="str">
        <f t="shared" si="232"/>
        <v>North</v>
      </c>
      <c r="J1915" t="s">
        <v>12</v>
      </c>
      <c r="K1915" t="s">
        <v>13</v>
      </c>
      <c r="L1915">
        <v>12</v>
      </c>
      <c r="M1915">
        <v>120</v>
      </c>
      <c r="N1915">
        <f t="shared" si="236"/>
        <v>1440</v>
      </c>
      <c r="O1915">
        <f t="shared" si="237"/>
        <v>144</v>
      </c>
      <c r="P1915" t="str">
        <f t="shared" si="238"/>
        <v>Large Order</v>
      </c>
      <c r="Q1915" t="str">
        <f t="shared" si="239"/>
        <v>Weekday</v>
      </c>
    </row>
    <row r="1916" spans="1:17" x14ac:dyDescent="0.35">
      <c r="A1916" t="s">
        <v>2066</v>
      </c>
      <c r="B1916" s="7">
        <v>45620</v>
      </c>
      <c r="C1916" s="13">
        <f t="shared" si="233"/>
        <v>2024</v>
      </c>
      <c r="D1916" s="7" t="str">
        <f t="shared" si="234"/>
        <v>Nov</v>
      </c>
      <c r="E1916" s="7" t="str">
        <f t="shared" si="235"/>
        <v>Sun</v>
      </c>
      <c r="F1916" t="s">
        <v>594</v>
      </c>
      <c r="G1916" t="s">
        <v>109</v>
      </c>
      <c r="H1916" t="s">
        <v>11</v>
      </c>
      <c r="I1916" s="2" t="str">
        <f t="shared" si="232"/>
        <v>East</v>
      </c>
      <c r="J1916" t="s">
        <v>12</v>
      </c>
      <c r="K1916" t="s">
        <v>32</v>
      </c>
      <c r="L1916">
        <v>13</v>
      </c>
      <c r="M1916">
        <v>120</v>
      </c>
      <c r="N1916">
        <f t="shared" si="236"/>
        <v>1560</v>
      </c>
      <c r="O1916">
        <f t="shared" si="237"/>
        <v>156</v>
      </c>
      <c r="P1916" t="str">
        <f t="shared" si="238"/>
        <v>Large Order</v>
      </c>
      <c r="Q1916" t="str">
        <f t="shared" si="239"/>
        <v>Weekend</v>
      </c>
    </row>
    <row r="1917" spans="1:17" x14ac:dyDescent="0.35">
      <c r="A1917" t="s">
        <v>2067</v>
      </c>
      <c r="B1917" s="7">
        <v>45350</v>
      </c>
      <c r="C1917" s="13">
        <f t="shared" si="233"/>
        <v>2024</v>
      </c>
      <c r="D1917" s="7" t="str">
        <f t="shared" si="234"/>
        <v>Feb</v>
      </c>
      <c r="E1917" s="7" t="str">
        <f t="shared" si="235"/>
        <v>Wed</v>
      </c>
      <c r="F1917" t="s">
        <v>53</v>
      </c>
      <c r="G1917" t="s">
        <v>26</v>
      </c>
      <c r="H1917" t="s">
        <v>22</v>
      </c>
      <c r="I1917" s="2" t="str">
        <f t="shared" si="232"/>
        <v>West</v>
      </c>
      <c r="J1917" t="s">
        <v>42</v>
      </c>
      <c r="K1917" t="s">
        <v>13</v>
      </c>
      <c r="L1917">
        <v>17</v>
      </c>
      <c r="M1917">
        <v>120</v>
      </c>
      <c r="N1917">
        <f t="shared" si="236"/>
        <v>2040</v>
      </c>
      <c r="O1917">
        <f t="shared" si="237"/>
        <v>204</v>
      </c>
      <c r="P1917" t="str">
        <f t="shared" si="238"/>
        <v>Large Order</v>
      </c>
      <c r="Q1917" t="str">
        <f t="shared" si="239"/>
        <v>Weekday</v>
      </c>
    </row>
    <row r="1918" spans="1:17" x14ac:dyDescent="0.35">
      <c r="A1918" t="s">
        <v>2068</v>
      </c>
      <c r="B1918" s="7">
        <v>45483</v>
      </c>
      <c r="C1918" s="13">
        <f t="shared" si="233"/>
        <v>2024</v>
      </c>
      <c r="D1918" s="7" t="str">
        <f t="shared" si="234"/>
        <v>Jul</v>
      </c>
      <c r="E1918" s="7" t="str">
        <f t="shared" si="235"/>
        <v>Wed</v>
      </c>
      <c r="F1918" t="s">
        <v>345</v>
      </c>
      <c r="G1918" t="s">
        <v>160</v>
      </c>
      <c r="H1918" t="s">
        <v>17</v>
      </c>
      <c r="I1918" s="2" t="str">
        <f t="shared" si="232"/>
        <v>North</v>
      </c>
      <c r="J1918" t="s">
        <v>27</v>
      </c>
      <c r="K1918" t="s">
        <v>13</v>
      </c>
      <c r="L1918">
        <v>10</v>
      </c>
      <c r="M1918">
        <v>120</v>
      </c>
      <c r="N1918">
        <f t="shared" si="236"/>
        <v>1200</v>
      </c>
      <c r="O1918">
        <f t="shared" si="237"/>
        <v>120</v>
      </c>
      <c r="P1918" t="str">
        <f t="shared" si="238"/>
        <v>Large Order</v>
      </c>
      <c r="Q1918" t="str">
        <f t="shared" si="239"/>
        <v>Weekday</v>
      </c>
    </row>
    <row r="1919" spans="1:17" x14ac:dyDescent="0.35">
      <c r="A1919" t="s">
        <v>2069</v>
      </c>
      <c r="B1919" s="7">
        <v>45390</v>
      </c>
      <c r="C1919" s="13">
        <f t="shared" si="233"/>
        <v>2024</v>
      </c>
      <c r="D1919" s="7" t="str">
        <f t="shared" si="234"/>
        <v>Apr</v>
      </c>
      <c r="E1919" s="7" t="str">
        <f t="shared" si="235"/>
        <v>Mon</v>
      </c>
      <c r="F1919" t="s">
        <v>187</v>
      </c>
      <c r="G1919" t="s">
        <v>160</v>
      </c>
      <c r="H1919" t="s">
        <v>11</v>
      </c>
      <c r="I1919" s="2" t="str">
        <f t="shared" si="232"/>
        <v>South</v>
      </c>
      <c r="J1919" t="s">
        <v>12</v>
      </c>
      <c r="K1919" t="s">
        <v>28</v>
      </c>
      <c r="L1919">
        <v>18</v>
      </c>
      <c r="M1919">
        <v>120</v>
      </c>
      <c r="N1919">
        <f t="shared" si="236"/>
        <v>2160</v>
      </c>
      <c r="O1919">
        <f t="shared" si="237"/>
        <v>216</v>
      </c>
      <c r="P1919" t="str">
        <f t="shared" si="238"/>
        <v>Large Order</v>
      </c>
      <c r="Q1919" t="str">
        <f t="shared" si="239"/>
        <v>Weekday</v>
      </c>
    </row>
    <row r="1920" spans="1:17" x14ac:dyDescent="0.35">
      <c r="A1920" t="s">
        <v>2070</v>
      </c>
      <c r="B1920" s="7">
        <v>45612</v>
      </c>
      <c r="C1920" s="13">
        <f t="shared" si="233"/>
        <v>2024</v>
      </c>
      <c r="D1920" s="7" t="str">
        <f t="shared" si="234"/>
        <v>Nov</v>
      </c>
      <c r="E1920" s="7" t="str">
        <f t="shared" si="235"/>
        <v>Sat</v>
      </c>
      <c r="F1920" t="s">
        <v>58</v>
      </c>
      <c r="G1920" t="s">
        <v>65</v>
      </c>
      <c r="H1920" t="s">
        <v>22</v>
      </c>
      <c r="I1920" s="2" t="str">
        <f t="shared" si="232"/>
        <v>North</v>
      </c>
      <c r="J1920" t="s">
        <v>56</v>
      </c>
      <c r="K1920" t="s">
        <v>23</v>
      </c>
      <c r="L1920">
        <v>4</v>
      </c>
      <c r="M1920">
        <v>120</v>
      </c>
      <c r="N1920">
        <f t="shared" si="236"/>
        <v>480</v>
      </c>
      <c r="O1920">
        <f t="shared" si="237"/>
        <v>48</v>
      </c>
      <c r="P1920" t="str">
        <f t="shared" si="238"/>
        <v>Standard Order</v>
      </c>
      <c r="Q1920" t="str">
        <f t="shared" si="239"/>
        <v>Weekend</v>
      </c>
    </row>
    <row r="1921" spans="1:17" x14ac:dyDescent="0.35">
      <c r="A1921" t="s">
        <v>2071</v>
      </c>
      <c r="B1921" s="7">
        <v>45651</v>
      </c>
      <c r="C1921" s="13">
        <f t="shared" si="233"/>
        <v>2024</v>
      </c>
      <c r="D1921" s="7" t="str">
        <f t="shared" si="234"/>
        <v>Dec</v>
      </c>
      <c r="E1921" s="7" t="str">
        <f t="shared" si="235"/>
        <v>Wed</v>
      </c>
      <c r="F1921" t="s">
        <v>304</v>
      </c>
      <c r="G1921" t="s">
        <v>119</v>
      </c>
      <c r="H1921" t="s">
        <v>17</v>
      </c>
      <c r="I1921" s="2" t="str">
        <f t="shared" si="232"/>
        <v>North</v>
      </c>
      <c r="J1921" t="s">
        <v>12</v>
      </c>
      <c r="K1921" t="s">
        <v>28</v>
      </c>
      <c r="L1921">
        <v>1</v>
      </c>
      <c r="M1921">
        <v>120</v>
      </c>
      <c r="N1921">
        <f t="shared" si="236"/>
        <v>120</v>
      </c>
      <c r="O1921">
        <f t="shared" si="237"/>
        <v>12</v>
      </c>
      <c r="P1921" t="str">
        <f t="shared" si="238"/>
        <v>Standard Order</v>
      </c>
      <c r="Q1921" t="str">
        <f t="shared" si="239"/>
        <v>Weekday</v>
      </c>
    </row>
    <row r="1922" spans="1:17" x14ac:dyDescent="0.35">
      <c r="A1922" t="s">
        <v>2072</v>
      </c>
      <c r="B1922" s="7">
        <v>45461</v>
      </c>
      <c r="C1922" s="13">
        <f t="shared" si="233"/>
        <v>2024</v>
      </c>
      <c r="D1922" s="7" t="str">
        <f t="shared" si="234"/>
        <v>Jun</v>
      </c>
      <c r="E1922" s="7" t="str">
        <f t="shared" si="235"/>
        <v>Tue</v>
      </c>
      <c r="F1922" t="s">
        <v>122</v>
      </c>
      <c r="G1922" t="s">
        <v>10</v>
      </c>
      <c r="H1922" t="s">
        <v>11</v>
      </c>
      <c r="I1922" s="2" t="str">
        <f t="shared" si="232"/>
        <v>West</v>
      </c>
      <c r="J1922" t="s">
        <v>12</v>
      </c>
      <c r="K1922" t="s">
        <v>28</v>
      </c>
      <c r="L1922">
        <v>9</v>
      </c>
      <c r="M1922">
        <v>120</v>
      </c>
      <c r="N1922">
        <f t="shared" si="236"/>
        <v>1080</v>
      </c>
      <c r="O1922">
        <f t="shared" si="237"/>
        <v>108</v>
      </c>
      <c r="P1922" t="str">
        <f t="shared" si="238"/>
        <v>Large Order</v>
      </c>
      <c r="Q1922" t="str">
        <f t="shared" si="239"/>
        <v>Weekday</v>
      </c>
    </row>
    <row r="1923" spans="1:17" x14ac:dyDescent="0.35">
      <c r="A1923" t="s">
        <v>2073</v>
      </c>
      <c r="B1923" s="7">
        <v>45586</v>
      </c>
      <c r="C1923" s="13">
        <f t="shared" si="233"/>
        <v>2024</v>
      </c>
      <c r="D1923" s="7" t="str">
        <f t="shared" si="234"/>
        <v>Oct</v>
      </c>
      <c r="E1923" s="7" t="str">
        <f t="shared" si="235"/>
        <v>Mon</v>
      </c>
      <c r="F1923" t="s">
        <v>51</v>
      </c>
      <c r="G1923" t="s">
        <v>26</v>
      </c>
      <c r="H1923" t="s">
        <v>17</v>
      </c>
      <c r="I1923" s="2" t="str">
        <f t="shared" ref="I1923:I1986" si="240">TRIM(J1924)</f>
        <v>Central</v>
      </c>
      <c r="J1923" t="s">
        <v>27</v>
      </c>
      <c r="K1923" t="s">
        <v>23</v>
      </c>
      <c r="L1923">
        <v>13</v>
      </c>
      <c r="M1923">
        <v>120</v>
      </c>
      <c r="N1923">
        <f t="shared" si="236"/>
        <v>1560</v>
      </c>
      <c r="O1923">
        <f t="shared" si="237"/>
        <v>156</v>
      </c>
      <c r="P1923" t="str">
        <f t="shared" si="238"/>
        <v>Large Order</v>
      </c>
      <c r="Q1923" t="str">
        <f t="shared" si="239"/>
        <v>Weekday</v>
      </c>
    </row>
    <row r="1924" spans="1:17" x14ac:dyDescent="0.35">
      <c r="A1924" t="s">
        <v>2074</v>
      </c>
      <c r="B1924" s="7">
        <v>45300</v>
      </c>
      <c r="C1924" s="13">
        <f t="shared" ref="C1924:C1987" si="241">YEAR(B1924)</f>
        <v>2024</v>
      </c>
      <c r="D1924" s="7" t="str">
        <f t="shared" ref="D1924:D1987" si="242">TEXT(B1924,"mmm")</f>
        <v>Jan</v>
      </c>
      <c r="E1924" s="7" t="str">
        <f t="shared" ref="E1924:E1987" si="243">TEXT(B1924,"ddd")</f>
        <v>Tue</v>
      </c>
      <c r="F1924" t="s">
        <v>53</v>
      </c>
      <c r="G1924" t="s">
        <v>41</v>
      </c>
      <c r="H1924" t="s">
        <v>11</v>
      </c>
      <c r="I1924" s="2" t="str">
        <f t="shared" si="240"/>
        <v>East</v>
      </c>
      <c r="J1924" t="s">
        <v>306</v>
      </c>
      <c r="K1924" t="s">
        <v>13</v>
      </c>
      <c r="L1924">
        <v>20</v>
      </c>
      <c r="M1924">
        <v>120</v>
      </c>
      <c r="N1924">
        <f t="shared" ref="N1924:N1987" si="244">M1924*L1924</f>
        <v>2400</v>
      </c>
      <c r="O1924">
        <f t="shared" ref="O1924:O1987" si="245">N1924*0.1</f>
        <v>240</v>
      </c>
      <c r="P1924" t="str">
        <f t="shared" ref="P1924:P1987" si="246">IF(N1924&gt;500,"Large Order","Standard Order")</f>
        <v>Large Order</v>
      </c>
      <c r="Q1924" t="str">
        <f t="shared" ref="Q1924:Q1987" si="247">IF(OR(TRIM(E1924)="Sat",TRIM(E1924)="Sun"),"Weekend","Weekday")</f>
        <v>Weekday</v>
      </c>
    </row>
    <row r="1925" spans="1:17" x14ac:dyDescent="0.35">
      <c r="A1925" t="s">
        <v>2075</v>
      </c>
      <c r="B1925" s="7">
        <v>45591</v>
      </c>
      <c r="C1925" s="13">
        <f t="shared" si="241"/>
        <v>2024</v>
      </c>
      <c r="D1925" s="7" t="str">
        <f t="shared" si="242"/>
        <v>Oct</v>
      </c>
      <c r="E1925" s="7" t="str">
        <f t="shared" si="243"/>
        <v>Sat</v>
      </c>
      <c r="F1925" t="s">
        <v>116</v>
      </c>
      <c r="G1925" t="s">
        <v>62</v>
      </c>
      <c r="H1925" t="s">
        <v>11</v>
      </c>
      <c r="I1925" s="2" t="str">
        <f t="shared" si="240"/>
        <v>East</v>
      </c>
      <c r="J1925" t="s">
        <v>42</v>
      </c>
      <c r="K1925" t="s">
        <v>36</v>
      </c>
      <c r="L1925">
        <v>4</v>
      </c>
      <c r="M1925">
        <v>120</v>
      </c>
      <c r="N1925">
        <f t="shared" si="244"/>
        <v>480</v>
      </c>
      <c r="O1925">
        <f t="shared" si="245"/>
        <v>48</v>
      </c>
      <c r="P1925" t="str">
        <f t="shared" si="246"/>
        <v>Standard Order</v>
      </c>
      <c r="Q1925" t="str">
        <f t="shared" si="247"/>
        <v>Weekend</v>
      </c>
    </row>
    <row r="1926" spans="1:17" x14ac:dyDescent="0.35">
      <c r="A1926" t="s">
        <v>2076</v>
      </c>
      <c r="B1926" s="7">
        <v>45643</v>
      </c>
      <c r="C1926" s="13">
        <f t="shared" si="241"/>
        <v>2024</v>
      </c>
      <c r="D1926" s="7" t="str">
        <f t="shared" si="242"/>
        <v>Dec</v>
      </c>
      <c r="E1926" s="7" t="str">
        <f t="shared" si="243"/>
        <v>Tue</v>
      </c>
      <c r="F1926" t="s">
        <v>68</v>
      </c>
      <c r="G1926" t="s">
        <v>109</v>
      </c>
      <c r="H1926" t="s">
        <v>11</v>
      </c>
      <c r="I1926" s="2" t="str">
        <f t="shared" si="240"/>
        <v>Central</v>
      </c>
      <c r="J1926" t="s">
        <v>42</v>
      </c>
      <c r="K1926" t="s">
        <v>23</v>
      </c>
      <c r="L1926">
        <v>13</v>
      </c>
      <c r="M1926">
        <v>120</v>
      </c>
      <c r="N1926">
        <f t="shared" si="244"/>
        <v>1560</v>
      </c>
      <c r="O1926">
        <f t="shared" si="245"/>
        <v>156</v>
      </c>
      <c r="P1926" t="str">
        <f t="shared" si="246"/>
        <v>Large Order</v>
      </c>
      <c r="Q1926" t="str">
        <f t="shared" si="247"/>
        <v>Weekday</v>
      </c>
    </row>
    <row r="1927" spans="1:17" x14ac:dyDescent="0.35">
      <c r="A1927" t="s">
        <v>2077</v>
      </c>
      <c r="B1927" s="7">
        <v>45630</v>
      </c>
      <c r="C1927" s="13">
        <f t="shared" si="241"/>
        <v>2024</v>
      </c>
      <c r="D1927" s="7" t="str">
        <f t="shared" si="242"/>
        <v>Dec</v>
      </c>
      <c r="E1927" s="7" t="str">
        <f t="shared" si="243"/>
        <v>Wed</v>
      </c>
      <c r="F1927" t="s">
        <v>64</v>
      </c>
      <c r="G1927" t="s">
        <v>35</v>
      </c>
      <c r="H1927" t="s">
        <v>11</v>
      </c>
      <c r="I1927" s="2" t="str">
        <f t="shared" si="240"/>
        <v>East</v>
      </c>
      <c r="J1927" t="s">
        <v>306</v>
      </c>
      <c r="K1927" t="s">
        <v>28</v>
      </c>
      <c r="L1927">
        <v>5</v>
      </c>
      <c r="M1927">
        <v>120</v>
      </c>
      <c r="N1927">
        <f t="shared" si="244"/>
        <v>600</v>
      </c>
      <c r="O1927">
        <f t="shared" si="245"/>
        <v>60</v>
      </c>
      <c r="P1927" t="str">
        <f t="shared" si="246"/>
        <v>Large Order</v>
      </c>
      <c r="Q1927" t="str">
        <f t="shared" si="247"/>
        <v>Weekday</v>
      </c>
    </row>
    <row r="1928" spans="1:17" x14ac:dyDescent="0.35">
      <c r="A1928" t="s">
        <v>2078</v>
      </c>
      <c r="B1928" s="7">
        <v>45571</v>
      </c>
      <c r="C1928" s="13">
        <f t="shared" si="241"/>
        <v>2024</v>
      </c>
      <c r="D1928" s="7" t="str">
        <f t="shared" si="242"/>
        <v>Oct</v>
      </c>
      <c r="E1928" s="7" t="str">
        <f t="shared" si="243"/>
        <v>Sun</v>
      </c>
      <c r="F1928" t="s">
        <v>61</v>
      </c>
      <c r="G1928" t="s">
        <v>21</v>
      </c>
      <c r="H1928" t="s">
        <v>11</v>
      </c>
      <c r="I1928" s="2" t="str">
        <f t="shared" si="240"/>
        <v>North</v>
      </c>
      <c r="J1928" t="s">
        <v>42</v>
      </c>
      <c r="K1928" t="s">
        <v>32</v>
      </c>
      <c r="L1928">
        <v>1</v>
      </c>
      <c r="M1928">
        <v>120</v>
      </c>
      <c r="N1928">
        <f t="shared" si="244"/>
        <v>120</v>
      </c>
      <c r="O1928">
        <f t="shared" si="245"/>
        <v>12</v>
      </c>
      <c r="P1928" t="str">
        <f t="shared" si="246"/>
        <v>Standard Order</v>
      </c>
      <c r="Q1928" t="str">
        <f t="shared" si="247"/>
        <v>Weekend</v>
      </c>
    </row>
    <row r="1929" spans="1:17" x14ac:dyDescent="0.35">
      <c r="A1929" t="s">
        <v>2079</v>
      </c>
      <c r="B1929" s="7">
        <v>45576</v>
      </c>
      <c r="C1929" s="13">
        <f t="shared" si="241"/>
        <v>2024</v>
      </c>
      <c r="D1929" s="7" t="str">
        <f t="shared" si="242"/>
        <v>Oct</v>
      </c>
      <c r="E1929" s="7" t="str">
        <f t="shared" si="243"/>
        <v>Fri</v>
      </c>
      <c r="F1929" t="s">
        <v>167</v>
      </c>
      <c r="G1929" t="s">
        <v>102</v>
      </c>
      <c r="H1929" t="s">
        <v>11</v>
      </c>
      <c r="I1929" s="2" t="str">
        <f t="shared" si="240"/>
        <v>East</v>
      </c>
      <c r="J1929" t="s">
        <v>12</v>
      </c>
      <c r="K1929" t="s">
        <v>36</v>
      </c>
      <c r="L1929">
        <v>20</v>
      </c>
      <c r="M1929">
        <v>120</v>
      </c>
      <c r="N1929">
        <f t="shared" si="244"/>
        <v>2400</v>
      </c>
      <c r="O1929">
        <f t="shared" si="245"/>
        <v>240</v>
      </c>
      <c r="P1929" t="str">
        <f t="shared" si="246"/>
        <v>Large Order</v>
      </c>
      <c r="Q1929" t="str">
        <f t="shared" si="247"/>
        <v>Weekday</v>
      </c>
    </row>
    <row r="1930" spans="1:17" x14ac:dyDescent="0.35">
      <c r="A1930" t="s">
        <v>2080</v>
      </c>
      <c r="B1930" s="7">
        <v>45572</v>
      </c>
      <c r="C1930" s="13">
        <f t="shared" si="241"/>
        <v>2024</v>
      </c>
      <c r="D1930" s="7" t="str">
        <f t="shared" si="242"/>
        <v>Oct</v>
      </c>
      <c r="E1930" s="7" t="str">
        <f t="shared" si="243"/>
        <v>Mon</v>
      </c>
      <c r="F1930" t="s">
        <v>81</v>
      </c>
      <c r="G1930" t="s">
        <v>74</v>
      </c>
      <c r="H1930" t="s">
        <v>11</v>
      </c>
      <c r="I1930" s="2" t="str">
        <f t="shared" si="240"/>
        <v>South</v>
      </c>
      <c r="J1930" t="s">
        <v>42</v>
      </c>
      <c r="K1930" t="s">
        <v>28</v>
      </c>
      <c r="L1930">
        <v>14</v>
      </c>
      <c r="M1930">
        <v>120</v>
      </c>
      <c r="N1930">
        <f t="shared" si="244"/>
        <v>1680</v>
      </c>
      <c r="O1930">
        <f t="shared" si="245"/>
        <v>168</v>
      </c>
      <c r="P1930" t="str">
        <f t="shared" si="246"/>
        <v>Large Order</v>
      </c>
      <c r="Q1930" t="str">
        <f t="shared" si="247"/>
        <v>Weekday</v>
      </c>
    </row>
    <row r="1931" spans="1:17" x14ac:dyDescent="0.35">
      <c r="A1931" t="s">
        <v>2081</v>
      </c>
      <c r="B1931" s="7">
        <v>45554</v>
      </c>
      <c r="C1931" s="13">
        <f t="shared" si="241"/>
        <v>2024</v>
      </c>
      <c r="D1931" s="7" t="str">
        <f t="shared" si="242"/>
        <v>Sep</v>
      </c>
      <c r="E1931" s="7" t="str">
        <f t="shared" si="243"/>
        <v>Thu</v>
      </c>
      <c r="F1931" t="s">
        <v>167</v>
      </c>
      <c r="G1931" t="s">
        <v>45</v>
      </c>
      <c r="H1931" t="s">
        <v>11</v>
      </c>
      <c r="I1931" s="2" t="str">
        <f t="shared" si="240"/>
        <v>Central</v>
      </c>
      <c r="J1931" t="s">
        <v>56</v>
      </c>
      <c r="K1931" t="s">
        <v>36</v>
      </c>
      <c r="L1931">
        <v>9</v>
      </c>
      <c r="M1931">
        <v>120</v>
      </c>
      <c r="N1931">
        <f t="shared" si="244"/>
        <v>1080</v>
      </c>
      <c r="O1931">
        <f t="shared" si="245"/>
        <v>108</v>
      </c>
      <c r="P1931" t="str">
        <f t="shared" si="246"/>
        <v>Large Order</v>
      </c>
      <c r="Q1931" t="str">
        <f t="shared" si="247"/>
        <v>Weekday</v>
      </c>
    </row>
    <row r="1932" spans="1:17" x14ac:dyDescent="0.35">
      <c r="A1932" t="s">
        <v>2082</v>
      </c>
      <c r="B1932" s="7">
        <v>45384</v>
      </c>
      <c r="C1932" s="13">
        <f t="shared" si="241"/>
        <v>2024</v>
      </c>
      <c r="D1932" s="7" t="str">
        <f t="shared" si="242"/>
        <v>Apr</v>
      </c>
      <c r="E1932" s="7" t="str">
        <f t="shared" si="243"/>
        <v>Tue</v>
      </c>
      <c r="F1932" t="s">
        <v>317</v>
      </c>
      <c r="G1932" t="s">
        <v>59</v>
      </c>
      <c r="H1932" t="s">
        <v>11</v>
      </c>
      <c r="I1932" s="2" t="str">
        <f t="shared" si="240"/>
        <v>South</v>
      </c>
      <c r="J1932" t="s">
        <v>306</v>
      </c>
      <c r="K1932" t="s">
        <v>23</v>
      </c>
      <c r="L1932">
        <v>18</v>
      </c>
      <c r="M1932">
        <v>120</v>
      </c>
      <c r="N1932">
        <f t="shared" si="244"/>
        <v>2160</v>
      </c>
      <c r="O1932">
        <f t="shared" si="245"/>
        <v>216</v>
      </c>
      <c r="P1932" t="str">
        <f t="shared" si="246"/>
        <v>Large Order</v>
      </c>
      <c r="Q1932" t="str">
        <f t="shared" si="247"/>
        <v>Weekday</v>
      </c>
    </row>
    <row r="1933" spans="1:17" x14ac:dyDescent="0.35">
      <c r="A1933" t="s">
        <v>2083</v>
      </c>
      <c r="B1933" s="7">
        <v>45635</v>
      </c>
      <c r="C1933" s="13">
        <f t="shared" si="241"/>
        <v>2024</v>
      </c>
      <c r="D1933" s="7" t="str">
        <f t="shared" si="242"/>
        <v>Dec</v>
      </c>
      <c r="E1933" s="7" t="str">
        <f t="shared" si="243"/>
        <v>Mon</v>
      </c>
      <c r="F1933" t="s">
        <v>58</v>
      </c>
      <c r="G1933" t="s">
        <v>26</v>
      </c>
      <c r="H1933" t="s">
        <v>11</v>
      </c>
      <c r="I1933" s="2" t="str">
        <f t="shared" si="240"/>
        <v>South</v>
      </c>
      <c r="J1933" t="s">
        <v>56</v>
      </c>
      <c r="K1933" t="s">
        <v>36</v>
      </c>
      <c r="L1933">
        <v>16</v>
      </c>
      <c r="M1933">
        <v>120</v>
      </c>
      <c r="N1933">
        <f t="shared" si="244"/>
        <v>1920</v>
      </c>
      <c r="O1933">
        <f t="shared" si="245"/>
        <v>192</v>
      </c>
      <c r="P1933" t="str">
        <f t="shared" si="246"/>
        <v>Large Order</v>
      </c>
      <c r="Q1933" t="str">
        <f t="shared" si="247"/>
        <v>Weekday</v>
      </c>
    </row>
    <row r="1934" spans="1:17" x14ac:dyDescent="0.35">
      <c r="A1934" t="s">
        <v>2084</v>
      </c>
      <c r="B1934" s="7">
        <v>45474</v>
      </c>
      <c r="C1934" s="13">
        <f t="shared" si="241"/>
        <v>2024</v>
      </c>
      <c r="D1934" s="7" t="str">
        <f t="shared" si="242"/>
        <v>Jul</v>
      </c>
      <c r="E1934" s="7" t="str">
        <f t="shared" si="243"/>
        <v>Mon</v>
      </c>
      <c r="F1934" t="s">
        <v>34</v>
      </c>
      <c r="G1934" t="s">
        <v>41</v>
      </c>
      <c r="H1934" t="s">
        <v>22</v>
      </c>
      <c r="I1934" s="2" t="str">
        <f t="shared" si="240"/>
        <v>East</v>
      </c>
      <c r="J1934" t="s">
        <v>56</v>
      </c>
      <c r="K1934" t="s">
        <v>13</v>
      </c>
      <c r="L1934">
        <v>10</v>
      </c>
      <c r="M1934">
        <v>120</v>
      </c>
      <c r="N1934">
        <f t="shared" si="244"/>
        <v>1200</v>
      </c>
      <c r="O1934">
        <f t="shared" si="245"/>
        <v>120</v>
      </c>
      <c r="P1934" t="str">
        <f t="shared" si="246"/>
        <v>Large Order</v>
      </c>
      <c r="Q1934" t="str">
        <f t="shared" si="247"/>
        <v>Weekday</v>
      </c>
    </row>
    <row r="1935" spans="1:17" x14ac:dyDescent="0.35">
      <c r="A1935" t="s">
        <v>2085</v>
      </c>
      <c r="B1935" s="7">
        <v>45391</v>
      </c>
      <c r="C1935" s="13">
        <f t="shared" si="241"/>
        <v>2024</v>
      </c>
      <c r="D1935" s="7" t="str">
        <f t="shared" si="242"/>
        <v>Apr</v>
      </c>
      <c r="E1935" s="7" t="str">
        <f t="shared" si="243"/>
        <v>Tue</v>
      </c>
      <c r="F1935" t="s">
        <v>38</v>
      </c>
      <c r="G1935" t="s">
        <v>35</v>
      </c>
      <c r="H1935" t="s">
        <v>17</v>
      </c>
      <c r="I1935" s="2" t="str">
        <f t="shared" si="240"/>
        <v>East</v>
      </c>
      <c r="J1935" t="s">
        <v>42</v>
      </c>
      <c r="K1935" t="s">
        <v>36</v>
      </c>
      <c r="L1935">
        <v>10</v>
      </c>
      <c r="M1935">
        <v>120</v>
      </c>
      <c r="N1935">
        <f t="shared" si="244"/>
        <v>1200</v>
      </c>
      <c r="O1935">
        <f t="shared" si="245"/>
        <v>120</v>
      </c>
      <c r="P1935" t="str">
        <f t="shared" si="246"/>
        <v>Large Order</v>
      </c>
      <c r="Q1935" t="str">
        <f t="shared" si="247"/>
        <v>Weekday</v>
      </c>
    </row>
    <row r="1936" spans="1:17" x14ac:dyDescent="0.35">
      <c r="A1936" t="s">
        <v>2086</v>
      </c>
      <c r="B1936" s="7">
        <v>45370</v>
      </c>
      <c r="C1936" s="13">
        <f t="shared" si="241"/>
        <v>2024</v>
      </c>
      <c r="D1936" s="7" t="str">
        <f t="shared" si="242"/>
        <v>Mar</v>
      </c>
      <c r="E1936" s="7" t="str">
        <f t="shared" si="243"/>
        <v>Tue</v>
      </c>
      <c r="F1936" t="s">
        <v>614</v>
      </c>
      <c r="G1936" t="s">
        <v>59</v>
      </c>
      <c r="H1936" t="s">
        <v>17</v>
      </c>
      <c r="I1936" s="2" t="str">
        <f t="shared" si="240"/>
        <v>West</v>
      </c>
      <c r="J1936" t="s">
        <v>42</v>
      </c>
      <c r="K1936" t="s">
        <v>23</v>
      </c>
      <c r="L1936">
        <v>6</v>
      </c>
      <c r="M1936">
        <v>120</v>
      </c>
      <c r="N1936">
        <f t="shared" si="244"/>
        <v>720</v>
      </c>
      <c r="O1936">
        <f t="shared" si="245"/>
        <v>72</v>
      </c>
      <c r="P1936" t="str">
        <f t="shared" si="246"/>
        <v>Large Order</v>
      </c>
      <c r="Q1936" t="str">
        <f t="shared" si="247"/>
        <v>Weekday</v>
      </c>
    </row>
    <row r="1937" spans="1:17" x14ac:dyDescent="0.35">
      <c r="A1937" t="s">
        <v>2087</v>
      </c>
      <c r="B1937" s="7">
        <v>45418</v>
      </c>
      <c r="C1937" s="13">
        <f t="shared" si="241"/>
        <v>2024</v>
      </c>
      <c r="D1937" s="7" t="str">
        <f t="shared" si="242"/>
        <v>May</v>
      </c>
      <c r="E1937" s="7" t="str">
        <f t="shared" si="243"/>
        <v>Mon</v>
      </c>
      <c r="F1937" t="s">
        <v>728</v>
      </c>
      <c r="G1937" t="s">
        <v>197</v>
      </c>
      <c r="H1937" t="s">
        <v>22</v>
      </c>
      <c r="I1937" s="2" t="str">
        <f t="shared" si="240"/>
        <v>East</v>
      </c>
      <c r="J1937" t="s">
        <v>27</v>
      </c>
      <c r="K1937" t="s">
        <v>32</v>
      </c>
      <c r="L1937">
        <v>12</v>
      </c>
      <c r="M1937">
        <v>120</v>
      </c>
      <c r="N1937">
        <f t="shared" si="244"/>
        <v>1440</v>
      </c>
      <c r="O1937">
        <f t="shared" si="245"/>
        <v>144</v>
      </c>
      <c r="P1937" t="str">
        <f t="shared" si="246"/>
        <v>Large Order</v>
      </c>
      <c r="Q1937" t="str">
        <f t="shared" si="247"/>
        <v>Weekday</v>
      </c>
    </row>
    <row r="1938" spans="1:17" x14ac:dyDescent="0.35">
      <c r="A1938" t="s">
        <v>2088</v>
      </c>
      <c r="B1938" s="7">
        <v>45461</v>
      </c>
      <c r="C1938" s="13">
        <f t="shared" si="241"/>
        <v>2024</v>
      </c>
      <c r="D1938" s="7" t="str">
        <f t="shared" si="242"/>
        <v>Jun</v>
      </c>
      <c r="E1938" s="7" t="str">
        <f t="shared" si="243"/>
        <v>Tue</v>
      </c>
      <c r="F1938" t="s">
        <v>517</v>
      </c>
      <c r="G1938" t="s">
        <v>70</v>
      </c>
      <c r="H1938" t="s">
        <v>17</v>
      </c>
      <c r="I1938" s="2" t="str">
        <f t="shared" si="240"/>
        <v>East</v>
      </c>
      <c r="J1938" t="s">
        <v>42</v>
      </c>
      <c r="K1938" t="s">
        <v>32</v>
      </c>
      <c r="L1938">
        <v>16</v>
      </c>
      <c r="M1938">
        <v>120</v>
      </c>
      <c r="N1938">
        <f t="shared" si="244"/>
        <v>1920</v>
      </c>
      <c r="O1938">
        <f t="shared" si="245"/>
        <v>192</v>
      </c>
      <c r="P1938" t="str">
        <f t="shared" si="246"/>
        <v>Large Order</v>
      </c>
      <c r="Q1938" t="str">
        <f t="shared" si="247"/>
        <v>Weekday</v>
      </c>
    </row>
    <row r="1939" spans="1:17" x14ac:dyDescent="0.35">
      <c r="A1939" t="s">
        <v>2089</v>
      </c>
      <c r="B1939" s="7">
        <v>45381</v>
      </c>
      <c r="C1939" s="13">
        <f t="shared" si="241"/>
        <v>2024</v>
      </c>
      <c r="D1939" s="7" t="str">
        <f t="shared" si="242"/>
        <v>Mar</v>
      </c>
      <c r="E1939" s="7" t="str">
        <f t="shared" si="243"/>
        <v>Sat</v>
      </c>
      <c r="F1939" t="s">
        <v>736</v>
      </c>
      <c r="G1939" t="s">
        <v>109</v>
      </c>
      <c r="H1939" t="s">
        <v>11</v>
      </c>
      <c r="I1939" s="2" t="str">
        <f t="shared" si="240"/>
        <v>North</v>
      </c>
      <c r="J1939" t="s">
        <v>42</v>
      </c>
      <c r="K1939" t="s">
        <v>28</v>
      </c>
      <c r="L1939">
        <v>18</v>
      </c>
      <c r="M1939">
        <v>120</v>
      </c>
      <c r="N1939">
        <f t="shared" si="244"/>
        <v>2160</v>
      </c>
      <c r="O1939">
        <f t="shared" si="245"/>
        <v>216</v>
      </c>
      <c r="P1939" t="str">
        <f t="shared" si="246"/>
        <v>Large Order</v>
      </c>
      <c r="Q1939" t="str">
        <f t="shared" si="247"/>
        <v>Weekend</v>
      </c>
    </row>
    <row r="1940" spans="1:17" x14ac:dyDescent="0.35">
      <c r="A1940" t="s">
        <v>2090</v>
      </c>
      <c r="B1940" s="7">
        <v>45612</v>
      </c>
      <c r="C1940" s="13">
        <f t="shared" si="241"/>
        <v>2024</v>
      </c>
      <c r="D1940" s="7" t="str">
        <f t="shared" si="242"/>
        <v>Nov</v>
      </c>
      <c r="E1940" s="7" t="str">
        <f t="shared" si="243"/>
        <v>Sat</v>
      </c>
      <c r="F1940" t="s">
        <v>208</v>
      </c>
      <c r="G1940" t="s">
        <v>84</v>
      </c>
      <c r="H1940" t="s">
        <v>11</v>
      </c>
      <c r="I1940" s="2" t="str">
        <f t="shared" si="240"/>
        <v>South</v>
      </c>
      <c r="J1940" t="s">
        <v>12</v>
      </c>
      <c r="K1940" t="s">
        <v>36</v>
      </c>
      <c r="L1940">
        <v>1</v>
      </c>
      <c r="M1940">
        <v>120</v>
      </c>
      <c r="N1940">
        <f t="shared" si="244"/>
        <v>120</v>
      </c>
      <c r="O1940">
        <f t="shared" si="245"/>
        <v>12</v>
      </c>
      <c r="P1940" t="str">
        <f t="shared" si="246"/>
        <v>Standard Order</v>
      </c>
      <c r="Q1940" t="str">
        <f t="shared" si="247"/>
        <v>Weekend</v>
      </c>
    </row>
    <row r="1941" spans="1:17" x14ac:dyDescent="0.35">
      <c r="A1941" t="s">
        <v>2091</v>
      </c>
      <c r="B1941" s="7">
        <v>45588</v>
      </c>
      <c r="C1941" s="13">
        <f t="shared" si="241"/>
        <v>2024</v>
      </c>
      <c r="D1941" s="7" t="str">
        <f t="shared" si="242"/>
        <v>Oct</v>
      </c>
      <c r="E1941" s="7" t="str">
        <f t="shared" si="243"/>
        <v>Wed</v>
      </c>
      <c r="F1941" t="s">
        <v>341</v>
      </c>
      <c r="G1941" t="s">
        <v>119</v>
      </c>
      <c r="H1941" t="s">
        <v>22</v>
      </c>
      <c r="I1941" s="2" t="str">
        <f t="shared" si="240"/>
        <v>East</v>
      </c>
      <c r="J1941" t="s">
        <v>56</v>
      </c>
      <c r="K1941" t="s">
        <v>13</v>
      </c>
      <c r="L1941">
        <v>18</v>
      </c>
      <c r="M1941">
        <v>120</v>
      </c>
      <c r="N1941">
        <f t="shared" si="244"/>
        <v>2160</v>
      </c>
      <c r="O1941">
        <f t="shared" si="245"/>
        <v>216</v>
      </c>
      <c r="P1941" t="str">
        <f t="shared" si="246"/>
        <v>Large Order</v>
      </c>
      <c r="Q1941" t="str">
        <f t="shared" si="247"/>
        <v>Weekday</v>
      </c>
    </row>
    <row r="1942" spans="1:17" x14ac:dyDescent="0.35">
      <c r="A1942" t="s">
        <v>2092</v>
      </c>
      <c r="B1942" s="7">
        <v>45568</v>
      </c>
      <c r="C1942" s="13">
        <f t="shared" si="241"/>
        <v>2024</v>
      </c>
      <c r="D1942" s="7" t="str">
        <f t="shared" si="242"/>
        <v>Oct</v>
      </c>
      <c r="E1942" s="7" t="str">
        <f t="shared" si="243"/>
        <v>Thu</v>
      </c>
      <c r="F1942" t="s">
        <v>553</v>
      </c>
      <c r="G1942" t="s">
        <v>21</v>
      </c>
      <c r="H1942" t="s">
        <v>11</v>
      </c>
      <c r="I1942" s="2" t="str">
        <f t="shared" si="240"/>
        <v>West</v>
      </c>
      <c r="J1942" t="s">
        <v>42</v>
      </c>
      <c r="K1942" t="s">
        <v>23</v>
      </c>
      <c r="L1942">
        <v>8</v>
      </c>
      <c r="M1942">
        <v>120</v>
      </c>
      <c r="N1942">
        <f t="shared" si="244"/>
        <v>960</v>
      </c>
      <c r="O1942">
        <f t="shared" si="245"/>
        <v>96</v>
      </c>
      <c r="P1942" t="str">
        <f t="shared" si="246"/>
        <v>Large Order</v>
      </c>
      <c r="Q1942" t="str">
        <f t="shared" si="247"/>
        <v>Weekday</v>
      </c>
    </row>
    <row r="1943" spans="1:17" x14ac:dyDescent="0.35">
      <c r="A1943" t="s">
        <v>2093</v>
      </c>
      <c r="B1943" s="7">
        <v>45593</v>
      </c>
      <c r="C1943" s="13">
        <f t="shared" si="241"/>
        <v>2024</v>
      </c>
      <c r="D1943" s="7" t="str">
        <f t="shared" si="242"/>
        <v>Oct</v>
      </c>
      <c r="E1943" s="7" t="str">
        <f t="shared" si="243"/>
        <v>Mon</v>
      </c>
      <c r="F1943" t="s">
        <v>388</v>
      </c>
      <c r="G1943" t="s">
        <v>74</v>
      </c>
      <c r="H1943" t="s">
        <v>11</v>
      </c>
      <c r="I1943" s="2" t="str">
        <f t="shared" si="240"/>
        <v>South</v>
      </c>
      <c r="J1943" t="s">
        <v>27</v>
      </c>
      <c r="K1943" t="s">
        <v>36</v>
      </c>
      <c r="L1943">
        <v>17</v>
      </c>
      <c r="M1943">
        <v>120</v>
      </c>
      <c r="N1943">
        <f t="shared" si="244"/>
        <v>2040</v>
      </c>
      <c r="O1943">
        <f t="shared" si="245"/>
        <v>204</v>
      </c>
      <c r="P1943" t="str">
        <f t="shared" si="246"/>
        <v>Large Order</v>
      </c>
      <c r="Q1943" t="str">
        <f t="shared" si="247"/>
        <v>Weekday</v>
      </c>
    </row>
    <row r="1944" spans="1:17" x14ac:dyDescent="0.35">
      <c r="A1944" t="s">
        <v>2094</v>
      </c>
      <c r="B1944" s="7">
        <v>45478</v>
      </c>
      <c r="C1944" s="13">
        <f t="shared" si="241"/>
        <v>2024</v>
      </c>
      <c r="D1944" s="7" t="str">
        <f t="shared" si="242"/>
        <v>Jul</v>
      </c>
      <c r="E1944" s="7" t="str">
        <f t="shared" si="243"/>
        <v>Fri</v>
      </c>
      <c r="F1944" t="s">
        <v>358</v>
      </c>
      <c r="G1944" t="s">
        <v>96</v>
      </c>
      <c r="H1944" t="s">
        <v>22</v>
      </c>
      <c r="I1944" s="2" t="str">
        <f t="shared" si="240"/>
        <v>Central</v>
      </c>
      <c r="J1944" t="s">
        <v>56</v>
      </c>
      <c r="K1944" t="s">
        <v>36</v>
      </c>
      <c r="L1944">
        <v>6</v>
      </c>
      <c r="M1944">
        <v>120</v>
      </c>
      <c r="N1944">
        <f t="shared" si="244"/>
        <v>720</v>
      </c>
      <c r="O1944">
        <f t="shared" si="245"/>
        <v>72</v>
      </c>
      <c r="P1944" t="str">
        <f t="shared" si="246"/>
        <v>Large Order</v>
      </c>
      <c r="Q1944" t="str">
        <f t="shared" si="247"/>
        <v>Weekday</v>
      </c>
    </row>
    <row r="1945" spans="1:17" x14ac:dyDescent="0.35">
      <c r="A1945" t="s">
        <v>2095</v>
      </c>
      <c r="B1945" s="7">
        <v>45363</v>
      </c>
      <c r="C1945" s="13">
        <f t="shared" si="241"/>
        <v>2024</v>
      </c>
      <c r="D1945" s="7" t="str">
        <f t="shared" si="242"/>
        <v>Mar</v>
      </c>
      <c r="E1945" s="7" t="str">
        <f t="shared" si="243"/>
        <v>Tue</v>
      </c>
      <c r="F1945" t="s">
        <v>430</v>
      </c>
      <c r="G1945" t="s">
        <v>45</v>
      </c>
      <c r="H1945" t="s">
        <v>11</v>
      </c>
      <c r="I1945" s="2" t="str">
        <f t="shared" si="240"/>
        <v>West</v>
      </c>
      <c r="J1945" t="s">
        <v>306</v>
      </c>
      <c r="K1945" t="s">
        <v>36</v>
      </c>
      <c r="L1945">
        <v>5</v>
      </c>
      <c r="M1945">
        <v>120</v>
      </c>
      <c r="N1945">
        <f t="shared" si="244"/>
        <v>600</v>
      </c>
      <c r="O1945">
        <f t="shared" si="245"/>
        <v>60</v>
      </c>
      <c r="P1945" t="str">
        <f t="shared" si="246"/>
        <v>Large Order</v>
      </c>
      <c r="Q1945" t="str">
        <f t="shared" si="247"/>
        <v>Weekday</v>
      </c>
    </row>
    <row r="1946" spans="1:17" x14ac:dyDescent="0.35">
      <c r="A1946" t="s">
        <v>2096</v>
      </c>
      <c r="B1946" s="7">
        <v>45539</v>
      </c>
      <c r="C1946" s="13">
        <f t="shared" si="241"/>
        <v>2024</v>
      </c>
      <c r="D1946" s="7" t="str">
        <f t="shared" si="242"/>
        <v>Sep</v>
      </c>
      <c r="E1946" s="7" t="str">
        <f t="shared" si="243"/>
        <v>Wed</v>
      </c>
      <c r="F1946" t="s">
        <v>182</v>
      </c>
      <c r="G1946" t="s">
        <v>79</v>
      </c>
      <c r="H1946" t="s">
        <v>11</v>
      </c>
      <c r="I1946" s="2" t="str">
        <f t="shared" si="240"/>
        <v>Central</v>
      </c>
      <c r="J1946" t="s">
        <v>27</v>
      </c>
      <c r="K1946" t="s">
        <v>28</v>
      </c>
      <c r="L1946">
        <v>3</v>
      </c>
      <c r="M1946">
        <v>120</v>
      </c>
      <c r="N1946">
        <f t="shared" si="244"/>
        <v>360</v>
      </c>
      <c r="O1946">
        <f t="shared" si="245"/>
        <v>36</v>
      </c>
      <c r="P1946" t="str">
        <f t="shared" si="246"/>
        <v>Standard Order</v>
      </c>
      <c r="Q1946" t="str">
        <f t="shared" si="247"/>
        <v>Weekday</v>
      </c>
    </row>
    <row r="1947" spans="1:17" x14ac:dyDescent="0.35">
      <c r="A1947" t="s">
        <v>2097</v>
      </c>
      <c r="B1947" s="7">
        <v>45411</v>
      </c>
      <c r="C1947" s="13">
        <f t="shared" si="241"/>
        <v>2024</v>
      </c>
      <c r="D1947" s="7" t="str">
        <f t="shared" si="242"/>
        <v>Apr</v>
      </c>
      <c r="E1947" s="7" t="str">
        <f t="shared" si="243"/>
        <v>Mon</v>
      </c>
      <c r="F1947" t="s">
        <v>116</v>
      </c>
      <c r="G1947" t="s">
        <v>41</v>
      </c>
      <c r="H1947" t="s">
        <v>11</v>
      </c>
      <c r="I1947" s="2" t="str">
        <f t="shared" si="240"/>
        <v>East</v>
      </c>
      <c r="J1947" t="s">
        <v>306</v>
      </c>
      <c r="K1947" t="s">
        <v>32</v>
      </c>
      <c r="L1947">
        <v>13</v>
      </c>
      <c r="M1947">
        <v>120</v>
      </c>
      <c r="N1947">
        <f t="shared" si="244"/>
        <v>1560</v>
      </c>
      <c r="O1947">
        <f t="shared" si="245"/>
        <v>156</v>
      </c>
      <c r="P1947" t="str">
        <f t="shared" si="246"/>
        <v>Large Order</v>
      </c>
      <c r="Q1947" t="str">
        <f t="shared" si="247"/>
        <v>Weekday</v>
      </c>
    </row>
    <row r="1948" spans="1:17" x14ac:dyDescent="0.35">
      <c r="A1948" t="s">
        <v>2098</v>
      </c>
      <c r="B1948" s="7">
        <v>45524</v>
      </c>
      <c r="C1948" s="13">
        <f t="shared" si="241"/>
        <v>2024</v>
      </c>
      <c r="D1948" s="7" t="str">
        <f t="shared" si="242"/>
        <v>Aug</v>
      </c>
      <c r="E1948" s="7" t="str">
        <f t="shared" si="243"/>
        <v>Tue</v>
      </c>
      <c r="F1948" t="s">
        <v>116</v>
      </c>
      <c r="G1948" t="s">
        <v>79</v>
      </c>
      <c r="H1948" t="s">
        <v>22</v>
      </c>
      <c r="I1948" s="2" t="str">
        <f t="shared" si="240"/>
        <v>Central</v>
      </c>
      <c r="J1948" t="s">
        <v>42</v>
      </c>
      <c r="K1948" t="s">
        <v>13</v>
      </c>
      <c r="L1948">
        <v>17</v>
      </c>
      <c r="M1948">
        <v>120</v>
      </c>
      <c r="N1948">
        <f t="shared" si="244"/>
        <v>2040</v>
      </c>
      <c r="O1948">
        <f t="shared" si="245"/>
        <v>204</v>
      </c>
      <c r="P1948" t="str">
        <f t="shared" si="246"/>
        <v>Large Order</v>
      </c>
      <c r="Q1948" t="str">
        <f t="shared" si="247"/>
        <v>Weekday</v>
      </c>
    </row>
    <row r="1949" spans="1:17" x14ac:dyDescent="0.35">
      <c r="A1949" t="s">
        <v>2099</v>
      </c>
      <c r="B1949" s="7">
        <v>45432</v>
      </c>
      <c r="C1949" s="13">
        <f t="shared" si="241"/>
        <v>2024</v>
      </c>
      <c r="D1949" s="7" t="str">
        <f t="shared" si="242"/>
        <v>May</v>
      </c>
      <c r="E1949" s="7" t="str">
        <f t="shared" si="243"/>
        <v>Mon</v>
      </c>
      <c r="F1949" t="s">
        <v>304</v>
      </c>
      <c r="G1949" t="s">
        <v>26</v>
      </c>
      <c r="H1949" t="s">
        <v>22</v>
      </c>
      <c r="I1949" s="2" t="str">
        <f t="shared" si="240"/>
        <v>North</v>
      </c>
      <c r="J1949" t="s">
        <v>306</v>
      </c>
      <c r="K1949" t="s">
        <v>36</v>
      </c>
      <c r="L1949">
        <v>6</v>
      </c>
      <c r="M1949">
        <v>120</v>
      </c>
      <c r="N1949">
        <f t="shared" si="244"/>
        <v>720</v>
      </c>
      <c r="O1949">
        <f t="shared" si="245"/>
        <v>72</v>
      </c>
      <c r="P1949" t="str">
        <f t="shared" si="246"/>
        <v>Large Order</v>
      </c>
      <c r="Q1949" t="str">
        <f t="shared" si="247"/>
        <v>Weekday</v>
      </c>
    </row>
    <row r="1950" spans="1:17" x14ac:dyDescent="0.35">
      <c r="A1950" t="s">
        <v>2100</v>
      </c>
      <c r="B1950" s="7">
        <v>45485</v>
      </c>
      <c r="C1950" s="13">
        <f t="shared" si="241"/>
        <v>2024</v>
      </c>
      <c r="D1950" s="7" t="str">
        <f t="shared" si="242"/>
        <v>Jul</v>
      </c>
      <c r="E1950" s="7" t="str">
        <f t="shared" si="243"/>
        <v>Fri</v>
      </c>
      <c r="F1950" t="s">
        <v>83</v>
      </c>
      <c r="G1950" t="s">
        <v>59</v>
      </c>
      <c r="H1950" t="s">
        <v>22</v>
      </c>
      <c r="I1950" s="2" t="str">
        <f t="shared" si="240"/>
        <v>East</v>
      </c>
      <c r="J1950" t="s">
        <v>12</v>
      </c>
      <c r="K1950" t="s">
        <v>36</v>
      </c>
      <c r="L1950">
        <v>9</v>
      </c>
      <c r="M1950">
        <v>120</v>
      </c>
      <c r="N1950">
        <f t="shared" si="244"/>
        <v>1080</v>
      </c>
      <c r="O1950">
        <f t="shared" si="245"/>
        <v>108</v>
      </c>
      <c r="P1950" t="str">
        <f t="shared" si="246"/>
        <v>Large Order</v>
      </c>
      <c r="Q1950" t="str">
        <f t="shared" si="247"/>
        <v>Weekday</v>
      </c>
    </row>
    <row r="1951" spans="1:17" x14ac:dyDescent="0.35">
      <c r="A1951" t="s">
        <v>2101</v>
      </c>
      <c r="B1951" s="7">
        <v>45406</v>
      </c>
      <c r="C1951" s="13">
        <f t="shared" si="241"/>
        <v>2024</v>
      </c>
      <c r="D1951" s="7" t="str">
        <f t="shared" si="242"/>
        <v>Apr</v>
      </c>
      <c r="E1951" s="7" t="str">
        <f t="shared" si="243"/>
        <v>Wed</v>
      </c>
      <c r="F1951" t="s">
        <v>363</v>
      </c>
      <c r="G1951" t="s">
        <v>31</v>
      </c>
      <c r="H1951" t="s">
        <v>17</v>
      </c>
      <c r="I1951" s="2" t="str">
        <f t="shared" si="240"/>
        <v>South</v>
      </c>
      <c r="J1951" t="s">
        <v>42</v>
      </c>
      <c r="K1951" t="s">
        <v>23</v>
      </c>
      <c r="L1951">
        <v>16</v>
      </c>
      <c r="M1951">
        <v>120</v>
      </c>
      <c r="N1951">
        <f t="shared" si="244"/>
        <v>1920</v>
      </c>
      <c r="O1951">
        <f t="shared" si="245"/>
        <v>192</v>
      </c>
      <c r="P1951" t="str">
        <f t="shared" si="246"/>
        <v>Large Order</v>
      </c>
      <c r="Q1951" t="str">
        <f t="shared" si="247"/>
        <v>Weekday</v>
      </c>
    </row>
    <row r="1952" spans="1:17" x14ac:dyDescent="0.35">
      <c r="A1952" t="s">
        <v>2102</v>
      </c>
      <c r="B1952" s="7">
        <v>45295</v>
      </c>
      <c r="C1952" s="13">
        <f t="shared" si="241"/>
        <v>2024</v>
      </c>
      <c r="D1952" s="7" t="str">
        <f t="shared" si="242"/>
        <v>Jan</v>
      </c>
      <c r="E1952" s="7" t="str">
        <f t="shared" si="243"/>
        <v>Thu</v>
      </c>
      <c r="F1952" t="s">
        <v>358</v>
      </c>
      <c r="G1952" t="s">
        <v>16</v>
      </c>
      <c r="H1952" t="s">
        <v>17</v>
      </c>
      <c r="I1952" s="2" t="str">
        <f t="shared" si="240"/>
        <v>South</v>
      </c>
      <c r="J1952" t="s">
        <v>56</v>
      </c>
      <c r="K1952" t="s">
        <v>28</v>
      </c>
      <c r="L1952">
        <v>3</v>
      </c>
      <c r="M1952">
        <v>120</v>
      </c>
      <c r="N1952">
        <f t="shared" si="244"/>
        <v>360</v>
      </c>
      <c r="O1952">
        <f t="shared" si="245"/>
        <v>36</v>
      </c>
      <c r="P1952" t="str">
        <f t="shared" si="246"/>
        <v>Standard Order</v>
      </c>
      <c r="Q1952" t="str">
        <f t="shared" si="247"/>
        <v>Weekday</v>
      </c>
    </row>
    <row r="1953" spans="1:17" x14ac:dyDescent="0.35">
      <c r="A1953" t="s">
        <v>2103</v>
      </c>
      <c r="B1953" s="7">
        <v>45435</v>
      </c>
      <c r="C1953" s="13">
        <f t="shared" si="241"/>
        <v>2024</v>
      </c>
      <c r="D1953" s="7" t="str">
        <f t="shared" si="242"/>
        <v>May</v>
      </c>
      <c r="E1953" s="7" t="str">
        <f t="shared" si="243"/>
        <v>Thu</v>
      </c>
      <c r="F1953" t="s">
        <v>133</v>
      </c>
      <c r="G1953" t="s">
        <v>16</v>
      </c>
      <c r="H1953" t="s">
        <v>11</v>
      </c>
      <c r="I1953" s="2" t="str">
        <f t="shared" si="240"/>
        <v>East</v>
      </c>
      <c r="J1953" t="s">
        <v>56</v>
      </c>
      <c r="K1953" t="s">
        <v>32</v>
      </c>
      <c r="L1953">
        <v>20</v>
      </c>
      <c r="M1953">
        <v>120</v>
      </c>
      <c r="N1953">
        <f t="shared" si="244"/>
        <v>2400</v>
      </c>
      <c r="O1953">
        <f t="shared" si="245"/>
        <v>240</v>
      </c>
      <c r="P1953" t="str">
        <f t="shared" si="246"/>
        <v>Large Order</v>
      </c>
      <c r="Q1953" t="str">
        <f t="shared" si="247"/>
        <v>Weekday</v>
      </c>
    </row>
    <row r="1954" spans="1:17" x14ac:dyDescent="0.35">
      <c r="A1954" t="s">
        <v>2104</v>
      </c>
      <c r="B1954" s="7">
        <v>45352</v>
      </c>
      <c r="C1954" s="13">
        <f t="shared" si="241"/>
        <v>2024</v>
      </c>
      <c r="D1954" s="7" t="str">
        <f t="shared" si="242"/>
        <v>Mar</v>
      </c>
      <c r="E1954" s="7" t="str">
        <f t="shared" si="243"/>
        <v>Fri</v>
      </c>
      <c r="F1954" t="s">
        <v>371</v>
      </c>
      <c r="G1954" t="s">
        <v>197</v>
      </c>
      <c r="H1954" t="s">
        <v>17</v>
      </c>
      <c r="I1954" s="2" t="str">
        <f t="shared" si="240"/>
        <v>West</v>
      </c>
      <c r="J1954" t="s">
        <v>42</v>
      </c>
      <c r="K1954" t="s">
        <v>13</v>
      </c>
      <c r="L1954">
        <v>16</v>
      </c>
      <c r="M1954">
        <v>120</v>
      </c>
      <c r="N1954">
        <f t="shared" si="244"/>
        <v>1920</v>
      </c>
      <c r="O1954">
        <f t="shared" si="245"/>
        <v>192</v>
      </c>
      <c r="P1954" t="str">
        <f t="shared" si="246"/>
        <v>Large Order</v>
      </c>
      <c r="Q1954" t="str">
        <f t="shared" si="247"/>
        <v>Weekday</v>
      </c>
    </row>
    <row r="1955" spans="1:17" x14ac:dyDescent="0.35">
      <c r="A1955" t="s">
        <v>2105</v>
      </c>
      <c r="B1955" s="7">
        <v>45537</v>
      </c>
      <c r="C1955" s="13">
        <f t="shared" si="241"/>
        <v>2024</v>
      </c>
      <c r="D1955" s="7" t="str">
        <f t="shared" si="242"/>
        <v>Sep</v>
      </c>
      <c r="E1955" s="7" t="str">
        <f t="shared" si="243"/>
        <v>Mon</v>
      </c>
      <c r="F1955" t="s">
        <v>95</v>
      </c>
      <c r="G1955" t="s">
        <v>59</v>
      </c>
      <c r="H1955" t="s">
        <v>11</v>
      </c>
      <c r="I1955" s="2" t="str">
        <f t="shared" si="240"/>
        <v>Central</v>
      </c>
      <c r="J1955" t="s">
        <v>27</v>
      </c>
      <c r="K1955" t="s">
        <v>13</v>
      </c>
      <c r="L1955">
        <v>8</v>
      </c>
      <c r="M1955">
        <v>120</v>
      </c>
      <c r="N1955">
        <f t="shared" si="244"/>
        <v>960</v>
      </c>
      <c r="O1955">
        <f t="shared" si="245"/>
        <v>96</v>
      </c>
      <c r="P1955" t="str">
        <f t="shared" si="246"/>
        <v>Large Order</v>
      </c>
      <c r="Q1955" t="str">
        <f t="shared" si="247"/>
        <v>Weekday</v>
      </c>
    </row>
    <row r="1956" spans="1:17" x14ac:dyDescent="0.35">
      <c r="A1956" t="s">
        <v>2106</v>
      </c>
      <c r="B1956" s="7">
        <v>45585</v>
      </c>
      <c r="C1956" s="13">
        <f t="shared" si="241"/>
        <v>2024</v>
      </c>
      <c r="D1956" s="7" t="str">
        <f t="shared" si="242"/>
        <v>Oct</v>
      </c>
      <c r="E1956" s="7" t="str">
        <f t="shared" si="243"/>
        <v>Sun</v>
      </c>
      <c r="F1956" t="s">
        <v>449</v>
      </c>
      <c r="G1956" t="s">
        <v>45</v>
      </c>
      <c r="H1956" t="s">
        <v>11</v>
      </c>
      <c r="I1956" s="2" t="str">
        <f t="shared" si="240"/>
        <v>West</v>
      </c>
      <c r="J1956" t="s">
        <v>306</v>
      </c>
      <c r="K1956" t="s">
        <v>13</v>
      </c>
      <c r="L1956">
        <v>19</v>
      </c>
      <c r="M1956">
        <v>120</v>
      </c>
      <c r="N1956">
        <f t="shared" si="244"/>
        <v>2280</v>
      </c>
      <c r="O1956">
        <f t="shared" si="245"/>
        <v>228</v>
      </c>
      <c r="P1956" t="str">
        <f t="shared" si="246"/>
        <v>Large Order</v>
      </c>
      <c r="Q1956" t="str">
        <f t="shared" si="247"/>
        <v>Weekend</v>
      </c>
    </row>
    <row r="1957" spans="1:17" x14ac:dyDescent="0.35">
      <c r="A1957" t="s">
        <v>2107</v>
      </c>
      <c r="B1957" s="7">
        <v>45377</v>
      </c>
      <c r="C1957" s="13">
        <f t="shared" si="241"/>
        <v>2024</v>
      </c>
      <c r="D1957" s="7" t="str">
        <f t="shared" si="242"/>
        <v>Mar</v>
      </c>
      <c r="E1957" s="7" t="str">
        <f t="shared" si="243"/>
        <v>Tue</v>
      </c>
      <c r="F1957" t="s">
        <v>86</v>
      </c>
      <c r="G1957" t="s">
        <v>45</v>
      </c>
      <c r="H1957" t="s">
        <v>22</v>
      </c>
      <c r="I1957" s="2" t="str">
        <f t="shared" si="240"/>
        <v>West</v>
      </c>
      <c r="J1957" t="s">
        <v>27</v>
      </c>
      <c r="K1957" t="s">
        <v>36</v>
      </c>
      <c r="L1957">
        <v>19</v>
      </c>
      <c r="M1957">
        <v>120</v>
      </c>
      <c r="N1957">
        <f t="shared" si="244"/>
        <v>2280</v>
      </c>
      <c r="O1957">
        <f t="shared" si="245"/>
        <v>228</v>
      </c>
      <c r="P1957" t="str">
        <f t="shared" si="246"/>
        <v>Large Order</v>
      </c>
      <c r="Q1957" t="str">
        <f t="shared" si="247"/>
        <v>Weekday</v>
      </c>
    </row>
    <row r="1958" spans="1:17" x14ac:dyDescent="0.35">
      <c r="A1958" t="s">
        <v>2108</v>
      </c>
      <c r="B1958" s="7">
        <v>45630</v>
      </c>
      <c r="C1958" s="13">
        <f t="shared" si="241"/>
        <v>2024</v>
      </c>
      <c r="D1958" s="7" t="str">
        <f t="shared" si="242"/>
        <v>Dec</v>
      </c>
      <c r="E1958" s="7" t="str">
        <f t="shared" si="243"/>
        <v>Wed</v>
      </c>
      <c r="F1958" t="s">
        <v>55</v>
      </c>
      <c r="G1958" t="s">
        <v>10</v>
      </c>
      <c r="H1958" t="s">
        <v>11</v>
      </c>
      <c r="I1958" s="2" t="str">
        <f t="shared" si="240"/>
        <v>South</v>
      </c>
      <c r="J1958" t="s">
        <v>27</v>
      </c>
      <c r="K1958" t="s">
        <v>36</v>
      </c>
      <c r="L1958">
        <v>16</v>
      </c>
      <c r="M1958">
        <v>120</v>
      </c>
      <c r="N1958">
        <f t="shared" si="244"/>
        <v>1920</v>
      </c>
      <c r="O1958">
        <f t="shared" si="245"/>
        <v>192</v>
      </c>
      <c r="P1958" t="str">
        <f t="shared" si="246"/>
        <v>Large Order</v>
      </c>
      <c r="Q1958" t="str">
        <f t="shared" si="247"/>
        <v>Weekday</v>
      </c>
    </row>
    <row r="1959" spans="1:17" x14ac:dyDescent="0.35">
      <c r="A1959" t="s">
        <v>2109</v>
      </c>
      <c r="B1959" s="7">
        <v>45379</v>
      </c>
      <c r="C1959" s="13">
        <f t="shared" si="241"/>
        <v>2024</v>
      </c>
      <c r="D1959" s="7" t="str">
        <f t="shared" si="242"/>
        <v>Mar</v>
      </c>
      <c r="E1959" s="7" t="str">
        <f t="shared" si="243"/>
        <v>Thu</v>
      </c>
      <c r="F1959" t="s">
        <v>240</v>
      </c>
      <c r="G1959" t="s">
        <v>87</v>
      </c>
      <c r="H1959" t="s">
        <v>22</v>
      </c>
      <c r="I1959" s="2" t="str">
        <f t="shared" si="240"/>
        <v>East</v>
      </c>
      <c r="J1959" t="s">
        <v>56</v>
      </c>
      <c r="K1959" t="s">
        <v>36</v>
      </c>
      <c r="L1959">
        <v>6</v>
      </c>
      <c r="M1959">
        <v>120</v>
      </c>
      <c r="N1959">
        <f t="shared" si="244"/>
        <v>720</v>
      </c>
      <c r="O1959">
        <f t="shared" si="245"/>
        <v>72</v>
      </c>
      <c r="P1959" t="str">
        <f t="shared" si="246"/>
        <v>Large Order</v>
      </c>
      <c r="Q1959" t="str">
        <f t="shared" si="247"/>
        <v>Weekday</v>
      </c>
    </row>
    <row r="1960" spans="1:17" x14ac:dyDescent="0.35">
      <c r="A1960" t="s">
        <v>2110</v>
      </c>
      <c r="B1960" s="7">
        <v>45553</v>
      </c>
      <c r="C1960" s="13">
        <f t="shared" si="241"/>
        <v>2024</v>
      </c>
      <c r="D1960" s="7" t="str">
        <f t="shared" si="242"/>
        <v>Sep</v>
      </c>
      <c r="E1960" s="7" t="str">
        <f t="shared" si="243"/>
        <v>Wed</v>
      </c>
      <c r="F1960" t="s">
        <v>86</v>
      </c>
      <c r="G1960" t="s">
        <v>45</v>
      </c>
      <c r="H1960" t="s">
        <v>22</v>
      </c>
      <c r="I1960" s="2" t="str">
        <f t="shared" si="240"/>
        <v>North</v>
      </c>
      <c r="J1960" t="s">
        <v>42</v>
      </c>
      <c r="K1960" t="s">
        <v>23</v>
      </c>
      <c r="L1960">
        <v>20</v>
      </c>
      <c r="M1960">
        <v>120</v>
      </c>
      <c r="N1960">
        <f t="shared" si="244"/>
        <v>2400</v>
      </c>
      <c r="O1960">
        <f t="shared" si="245"/>
        <v>240</v>
      </c>
      <c r="P1960" t="str">
        <f t="shared" si="246"/>
        <v>Large Order</v>
      </c>
      <c r="Q1960" t="str">
        <f t="shared" si="247"/>
        <v>Weekday</v>
      </c>
    </row>
    <row r="1961" spans="1:17" x14ac:dyDescent="0.35">
      <c r="A1961" t="s">
        <v>2111</v>
      </c>
      <c r="B1961" s="7">
        <v>45409</v>
      </c>
      <c r="C1961" s="13">
        <f t="shared" si="241"/>
        <v>2024</v>
      </c>
      <c r="D1961" s="7" t="str">
        <f t="shared" si="242"/>
        <v>Apr</v>
      </c>
      <c r="E1961" s="7" t="str">
        <f t="shared" si="243"/>
        <v>Sat</v>
      </c>
      <c r="F1961" t="s">
        <v>159</v>
      </c>
      <c r="G1961" t="s">
        <v>31</v>
      </c>
      <c r="H1961" t="s">
        <v>11</v>
      </c>
      <c r="I1961" s="2" t="str">
        <f t="shared" si="240"/>
        <v>Central</v>
      </c>
      <c r="J1961" t="s">
        <v>12</v>
      </c>
      <c r="K1961" t="s">
        <v>13</v>
      </c>
      <c r="L1961">
        <v>7</v>
      </c>
      <c r="M1961">
        <v>120</v>
      </c>
      <c r="N1961">
        <f t="shared" si="244"/>
        <v>840</v>
      </c>
      <c r="O1961">
        <f t="shared" si="245"/>
        <v>84</v>
      </c>
      <c r="P1961" t="str">
        <f t="shared" si="246"/>
        <v>Large Order</v>
      </c>
      <c r="Q1961" t="str">
        <f t="shared" si="247"/>
        <v>Weekend</v>
      </c>
    </row>
    <row r="1962" spans="1:17" x14ac:dyDescent="0.35">
      <c r="A1962" t="s">
        <v>2112</v>
      </c>
      <c r="B1962" s="7">
        <v>45550</v>
      </c>
      <c r="C1962" s="13">
        <f t="shared" si="241"/>
        <v>2024</v>
      </c>
      <c r="D1962" s="7" t="str">
        <f t="shared" si="242"/>
        <v>Sep</v>
      </c>
      <c r="E1962" s="7" t="str">
        <f t="shared" si="243"/>
        <v>Sun</v>
      </c>
      <c r="F1962" t="s">
        <v>455</v>
      </c>
      <c r="G1962" t="s">
        <v>87</v>
      </c>
      <c r="H1962" t="s">
        <v>11</v>
      </c>
      <c r="I1962" s="2" t="str">
        <f t="shared" si="240"/>
        <v>Central</v>
      </c>
      <c r="J1962" t="s">
        <v>306</v>
      </c>
      <c r="K1962" t="s">
        <v>13</v>
      </c>
      <c r="L1962">
        <v>6</v>
      </c>
      <c r="M1962">
        <v>120</v>
      </c>
      <c r="N1962">
        <f t="shared" si="244"/>
        <v>720</v>
      </c>
      <c r="O1962">
        <f t="shared" si="245"/>
        <v>72</v>
      </c>
      <c r="P1962" t="str">
        <f t="shared" si="246"/>
        <v>Large Order</v>
      </c>
      <c r="Q1962" t="str">
        <f t="shared" si="247"/>
        <v>Weekend</v>
      </c>
    </row>
    <row r="1963" spans="1:17" x14ac:dyDescent="0.35">
      <c r="A1963" t="s">
        <v>2113</v>
      </c>
      <c r="B1963" s="7">
        <v>45606</v>
      </c>
      <c r="C1963" s="13">
        <f t="shared" si="241"/>
        <v>2024</v>
      </c>
      <c r="D1963" s="7" t="str">
        <f t="shared" si="242"/>
        <v>Nov</v>
      </c>
      <c r="E1963" s="7" t="str">
        <f t="shared" si="243"/>
        <v>Sun</v>
      </c>
      <c r="F1963" t="s">
        <v>327</v>
      </c>
      <c r="G1963" t="s">
        <v>79</v>
      </c>
      <c r="H1963" t="s">
        <v>22</v>
      </c>
      <c r="I1963" s="2" t="str">
        <f t="shared" si="240"/>
        <v>West</v>
      </c>
      <c r="J1963" t="s">
        <v>306</v>
      </c>
      <c r="K1963" t="s">
        <v>13</v>
      </c>
      <c r="L1963">
        <v>3</v>
      </c>
      <c r="M1963">
        <v>120</v>
      </c>
      <c r="N1963">
        <f t="shared" si="244"/>
        <v>360</v>
      </c>
      <c r="O1963">
        <f t="shared" si="245"/>
        <v>36</v>
      </c>
      <c r="P1963" t="str">
        <f t="shared" si="246"/>
        <v>Standard Order</v>
      </c>
      <c r="Q1963" t="str">
        <f t="shared" si="247"/>
        <v>Weekend</v>
      </c>
    </row>
    <row r="1964" spans="1:17" x14ac:dyDescent="0.35">
      <c r="A1964" t="s">
        <v>2114</v>
      </c>
      <c r="B1964" s="7">
        <v>45358</v>
      </c>
      <c r="C1964" s="13">
        <f t="shared" si="241"/>
        <v>2024</v>
      </c>
      <c r="D1964" s="7" t="str">
        <f t="shared" si="242"/>
        <v>Mar</v>
      </c>
      <c r="E1964" s="7" t="str">
        <f t="shared" si="243"/>
        <v>Thu</v>
      </c>
      <c r="F1964" t="s">
        <v>493</v>
      </c>
      <c r="G1964" t="s">
        <v>174</v>
      </c>
      <c r="H1964" t="s">
        <v>11</v>
      </c>
      <c r="I1964" s="2" t="str">
        <f t="shared" si="240"/>
        <v>South</v>
      </c>
      <c r="J1964" t="s">
        <v>27</v>
      </c>
      <c r="K1964" t="s">
        <v>36</v>
      </c>
      <c r="L1964">
        <v>14</v>
      </c>
      <c r="M1964">
        <v>120</v>
      </c>
      <c r="N1964">
        <f t="shared" si="244"/>
        <v>1680</v>
      </c>
      <c r="O1964">
        <f t="shared" si="245"/>
        <v>168</v>
      </c>
      <c r="P1964" t="str">
        <f t="shared" si="246"/>
        <v>Large Order</v>
      </c>
      <c r="Q1964" t="str">
        <f t="shared" si="247"/>
        <v>Weekday</v>
      </c>
    </row>
    <row r="1965" spans="1:17" x14ac:dyDescent="0.35">
      <c r="A1965" t="s">
        <v>2115</v>
      </c>
      <c r="B1965" s="7">
        <v>45314</v>
      </c>
      <c r="C1965" s="13">
        <f t="shared" si="241"/>
        <v>2024</v>
      </c>
      <c r="D1965" s="7" t="str">
        <f t="shared" si="242"/>
        <v>Jan</v>
      </c>
      <c r="E1965" s="7" t="str">
        <f t="shared" si="243"/>
        <v>Tue</v>
      </c>
      <c r="F1965" t="s">
        <v>424</v>
      </c>
      <c r="G1965" t="s">
        <v>160</v>
      </c>
      <c r="H1965" t="s">
        <v>17</v>
      </c>
      <c r="I1965" s="2" t="str">
        <f t="shared" si="240"/>
        <v>South</v>
      </c>
      <c r="J1965" t="s">
        <v>56</v>
      </c>
      <c r="K1965" t="s">
        <v>23</v>
      </c>
      <c r="L1965">
        <v>13</v>
      </c>
      <c r="M1965">
        <v>120</v>
      </c>
      <c r="N1965">
        <f t="shared" si="244"/>
        <v>1560</v>
      </c>
      <c r="O1965">
        <f t="shared" si="245"/>
        <v>156</v>
      </c>
      <c r="P1965" t="str">
        <f t="shared" si="246"/>
        <v>Large Order</v>
      </c>
      <c r="Q1965" t="str">
        <f t="shared" si="247"/>
        <v>Weekday</v>
      </c>
    </row>
    <row r="1966" spans="1:17" x14ac:dyDescent="0.35">
      <c r="A1966" t="s">
        <v>2116</v>
      </c>
      <c r="B1966" s="7">
        <v>45648</v>
      </c>
      <c r="C1966" s="13">
        <f t="shared" si="241"/>
        <v>2024</v>
      </c>
      <c r="D1966" s="7" t="str">
        <f t="shared" si="242"/>
        <v>Dec</v>
      </c>
      <c r="E1966" s="7" t="str">
        <f t="shared" si="243"/>
        <v>Sun</v>
      </c>
      <c r="F1966" t="s">
        <v>314</v>
      </c>
      <c r="G1966" t="s">
        <v>102</v>
      </c>
      <c r="H1966" t="s">
        <v>17</v>
      </c>
      <c r="I1966" s="2" t="str">
        <f t="shared" si="240"/>
        <v>West</v>
      </c>
      <c r="J1966" t="s">
        <v>56</v>
      </c>
      <c r="K1966" t="s">
        <v>32</v>
      </c>
      <c r="L1966">
        <v>16</v>
      </c>
      <c r="M1966">
        <v>120</v>
      </c>
      <c r="N1966">
        <f t="shared" si="244"/>
        <v>1920</v>
      </c>
      <c r="O1966">
        <f t="shared" si="245"/>
        <v>192</v>
      </c>
      <c r="P1966" t="str">
        <f t="shared" si="246"/>
        <v>Large Order</v>
      </c>
      <c r="Q1966" t="str">
        <f t="shared" si="247"/>
        <v>Weekend</v>
      </c>
    </row>
    <row r="1967" spans="1:17" x14ac:dyDescent="0.35">
      <c r="A1967" t="s">
        <v>2117</v>
      </c>
      <c r="B1967" s="7">
        <v>45334</v>
      </c>
      <c r="C1967" s="13">
        <f t="shared" si="241"/>
        <v>2024</v>
      </c>
      <c r="D1967" s="7" t="str">
        <f t="shared" si="242"/>
        <v>Feb</v>
      </c>
      <c r="E1967" s="7" t="str">
        <f t="shared" si="243"/>
        <v>Mon</v>
      </c>
      <c r="F1967" t="s">
        <v>55</v>
      </c>
      <c r="G1967" t="s">
        <v>109</v>
      </c>
      <c r="H1967" t="s">
        <v>22</v>
      </c>
      <c r="I1967" s="2" t="str">
        <f t="shared" si="240"/>
        <v>Central</v>
      </c>
      <c r="J1967" t="s">
        <v>27</v>
      </c>
      <c r="K1967" t="s">
        <v>32</v>
      </c>
      <c r="L1967">
        <v>7</v>
      </c>
      <c r="M1967">
        <v>120</v>
      </c>
      <c r="N1967">
        <f t="shared" si="244"/>
        <v>840</v>
      </c>
      <c r="O1967">
        <f t="shared" si="245"/>
        <v>84</v>
      </c>
      <c r="P1967" t="str">
        <f t="shared" si="246"/>
        <v>Large Order</v>
      </c>
      <c r="Q1967" t="str">
        <f t="shared" si="247"/>
        <v>Weekday</v>
      </c>
    </row>
    <row r="1968" spans="1:17" x14ac:dyDescent="0.35">
      <c r="A1968" t="s">
        <v>2118</v>
      </c>
      <c r="B1968" s="7">
        <v>45295</v>
      </c>
      <c r="C1968" s="13">
        <f t="shared" si="241"/>
        <v>2024</v>
      </c>
      <c r="D1968" s="7" t="str">
        <f t="shared" si="242"/>
        <v>Jan</v>
      </c>
      <c r="E1968" s="7" t="str">
        <f t="shared" si="243"/>
        <v>Thu</v>
      </c>
      <c r="F1968" t="s">
        <v>314</v>
      </c>
      <c r="G1968" t="s">
        <v>160</v>
      </c>
      <c r="H1968" t="s">
        <v>11</v>
      </c>
      <c r="I1968" s="2" t="str">
        <f t="shared" si="240"/>
        <v>North</v>
      </c>
      <c r="J1968" t="s">
        <v>306</v>
      </c>
      <c r="K1968" t="s">
        <v>13</v>
      </c>
      <c r="L1968">
        <v>13</v>
      </c>
      <c r="M1968">
        <v>120</v>
      </c>
      <c r="N1968">
        <f t="shared" si="244"/>
        <v>1560</v>
      </c>
      <c r="O1968">
        <f t="shared" si="245"/>
        <v>156</v>
      </c>
      <c r="P1968" t="str">
        <f t="shared" si="246"/>
        <v>Large Order</v>
      </c>
      <c r="Q1968" t="str">
        <f t="shared" si="247"/>
        <v>Weekday</v>
      </c>
    </row>
    <row r="1969" spans="1:17" x14ac:dyDescent="0.35">
      <c r="A1969" t="s">
        <v>2119</v>
      </c>
      <c r="B1969" s="7">
        <v>45644</v>
      </c>
      <c r="C1969" s="13">
        <f t="shared" si="241"/>
        <v>2024</v>
      </c>
      <c r="D1969" s="7" t="str">
        <f t="shared" si="242"/>
        <v>Dec</v>
      </c>
      <c r="E1969" s="7" t="str">
        <f t="shared" si="243"/>
        <v>Wed</v>
      </c>
      <c r="F1969" t="s">
        <v>38</v>
      </c>
      <c r="G1969" t="s">
        <v>87</v>
      </c>
      <c r="H1969" t="s">
        <v>17</v>
      </c>
      <c r="I1969" s="2" t="str">
        <f t="shared" si="240"/>
        <v>Central</v>
      </c>
      <c r="J1969" t="s">
        <v>12</v>
      </c>
      <c r="K1969" t="s">
        <v>28</v>
      </c>
      <c r="L1969">
        <v>14</v>
      </c>
      <c r="M1969">
        <v>120</v>
      </c>
      <c r="N1969">
        <f t="shared" si="244"/>
        <v>1680</v>
      </c>
      <c r="O1969">
        <f t="shared" si="245"/>
        <v>168</v>
      </c>
      <c r="P1969" t="str">
        <f t="shared" si="246"/>
        <v>Large Order</v>
      </c>
      <c r="Q1969" t="str">
        <f t="shared" si="247"/>
        <v>Weekday</v>
      </c>
    </row>
    <row r="1970" spans="1:17" x14ac:dyDescent="0.35">
      <c r="A1970" t="s">
        <v>2120</v>
      </c>
      <c r="B1970" s="7">
        <v>45421</v>
      </c>
      <c r="C1970" s="13">
        <f t="shared" si="241"/>
        <v>2024</v>
      </c>
      <c r="D1970" s="7" t="str">
        <f t="shared" si="242"/>
        <v>May</v>
      </c>
      <c r="E1970" s="7" t="str">
        <f t="shared" si="243"/>
        <v>Thu</v>
      </c>
      <c r="F1970" t="s">
        <v>86</v>
      </c>
      <c r="G1970" t="s">
        <v>174</v>
      </c>
      <c r="H1970" t="s">
        <v>17</v>
      </c>
      <c r="I1970" s="2" t="str">
        <f t="shared" si="240"/>
        <v>West</v>
      </c>
      <c r="J1970" t="s">
        <v>306</v>
      </c>
      <c r="K1970" t="s">
        <v>32</v>
      </c>
      <c r="L1970">
        <v>20</v>
      </c>
      <c r="M1970">
        <v>120</v>
      </c>
      <c r="N1970">
        <f t="shared" si="244"/>
        <v>2400</v>
      </c>
      <c r="O1970">
        <f t="shared" si="245"/>
        <v>240</v>
      </c>
      <c r="P1970" t="str">
        <f t="shared" si="246"/>
        <v>Large Order</v>
      </c>
      <c r="Q1970" t="str">
        <f t="shared" si="247"/>
        <v>Weekday</v>
      </c>
    </row>
    <row r="1971" spans="1:17" x14ac:dyDescent="0.35">
      <c r="A1971" t="s">
        <v>2121</v>
      </c>
      <c r="B1971" s="7">
        <v>45640</v>
      </c>
      <c r="C1971" s="13">
        <f t="shared" si="241"/>
        <v>2024</v>
      </c>
      <c r="D1971" s="7" t="str">
        <f t="shared" si="242"/>
        <v>Dec</v>
      </c>
      <c r="E1971" s="7" t="str">
        <f t="shared" si="243"/>
        <v>Sat</v>
      </c>
      <c r="F1971" t="s">
        <v>106</v>
      </c>
      <c r="G1971" t="s">
        <v>119</v>
      </c>
      <c r="H1971" t="s">
        <v>11</v>
      </c>
      <c r="I1971" s="2" t="str">
        <f t="shared" si="240"/>
        <v>East</v>
      </c>
      <c r="J1971" t="s">
        <v>27</v>
      </c>
      <c r="K1971" t="s">
        <v>36</v>
      </c>
      <c r="L1971">
        <v>18</v>
      </c>
      <c r="M1971">
        <v>120</v>
      </c>
      <c r="N1971">
        <f t="shared" si="244"/>
        <v>2160</v>
      </c>
      <c r="O1971">
        <f t="shared" si="245"/>
        <v>216</v>
      </c>
      <c r="P1971" t="str">
        <f t="shared" si="246"/>
        <v>Large Order</v>
      </c>
      <c r="Q1971" t="str">
        <f t="shared" si="247"/>
        <v>Weekend</v>
      </c>
    </row>
    <row r="1972" spans="1:17" x14ac:dyDescent="0.35">
      <c r="A1972" t="s">
        <v>2122</v>
      </c>
      <c r="B1972" s="7">
        <v>45481</v>
      </c>
      <c r="C1972" s="13">
        <f t="shared" si="241"/>
        <v>2024</v>
      </c>
      <c r="D1972" s="7" t="str">
        <f t="shared" si="242"/>
        <v>Jul</v>
      </c>
      <c r="E1972" s="7" t="str">
        <f t="shared" si="243"/>
        <v>Mon</v>
      </c>
      <c r="F1972" t="s">
        <v>642</v>
      </c>
      <c r="G1972" t="s">
        <v>174</v>
      </c>
      <c r="H1972" t="s">
        <v>17</v>
      </c>
      <c r="I1972" s="2" t="str">
        <f t="shared" si="240"/>
        <v>North</v>
      </c>
      <c r="J1972" t="s">
        <v>42</v>
      </c>
      <c r="K1972" t="s">
        <v>32</v>
      </c>
      <c r="L1972">
        <v>19</v>
      </c>
      <c r="M1972">
        <v>120</v>
      </c>
      <c r="N1972">
        <f t="shared" si="244"/>
        <v>2280</v>
      </c>
      <c r="O1972">
        <f t="shared" si="245"/>
        <v>228</v>
      </c>
      <c r="P1972" t="str">
        <f t="shared" si="246"/>
        <v>Large Order</v>
      </c>
      <c r="Q1972" t="str">
        <f t="shared" si="247"/>
        <v>Weekday</v>
      </c>
    </row>
    <row r="1973" spans="1:17" x14ac:dyDescent="0.35">
      <c r="A1973" t="s">
        <v>2123</v>
      </c>
      <c r="B1973" s="7">
        <v>45653</v>
      </c>
      <c r="C1973" s="13">
        <f t="shared" si="241"/>
        <v>2024</v>
      </c>
      <c r="D1973" s="7" t="str">
        <f t="shared" si="242"/>
        <v>Dec</v>
      </c>
      <c r="E1973" s="7" t="str">
        <f t="shared" si="243"/>
        <v>Fri</v>
      </c>
      <c r="F1973" t="s">
        <v>106</v>
      </c>
      <c r="G1973" t="s">
        <v>84</v>
      </c>
      <c r="H1973" t="s">
        <v>11</v>
      </c>
      <c r="I1973" s="2" t="str">
        <f t="shared" si="240"/>
        <v>West</v>
      </c>
      <c r="J1973" t="s">
        <v>12</v>
      </c>
      <c r="K1973" t="s">
        <v>28</v>
      </c>
      <c r="L1973">
        <v>15</v>
      </c>
      <c r="M1973">
        <v>120</v>
      </c>
      <c r="N1973">
        <f t="shared" si="244"/>
        <v>1800</v>
      </c>
      <c r="O1973">
        <f t="shared" si="245"/>
        <v>180</v>
      </c>
      <c r="P1973" t="str">
        <f t="shared" si="246"/>
        <v>Large Order</v>
      </c>
      <c r="Q1973" t="str">
        <f t="shared" si="247"/>
        <v>Weekday</v>
      </c>
    </row>
    <row r="1974" spans="1:17" x14ac:dyDescent="0.35">
      <c r="A1974" t="s">
        <v>2124</v>
      </c>
      <c r="B1974" s="7">
        <v>45374</v>
      </c>
      <c r="C1974" s="13">
        <f t="shared" si="241"/>
        <v>2024</v>
      </c>
      <c r="D1974" s="7" t="str">
        <f t="shared" si="242"/>
        <v>Mar</v>
      </c>
      <c r="E1974" s="7" t="str">
        <f t="shared" si="243"/>
        <v>Sat</v>
      </c>
      <c r="F1974" t="s">
        <v>108</v>
      </c>
      <c r="G1974" t="s">
        <v>65</v>
      </c>
      <c r="H1974" t="s">
        <v>22</v>
      </c>
      <c r="I1974" s="2" t="str">
        <f t="shared" si="240"/>
        <v>West</v>
      </c>
      <c r="J1974" t="s">
        <v>27</v>
      </c>
      <c r="K1974" t="s">
        <v>32</v>
      </c>
      <c r="L1974">
        <v>18</v>
      </c>
      <c r="M1974">
        <v>120</v>
      </c>
      <c r="N1974">
        <f t="shared" si="244"/>
        <v>2160</v>
      </c>
      <c r="O1974">
        <f t="shared" si="245"/>
        <v>216</v>
      </c>
      <c r="P1974" t="str">
        <f t="shared" si="246"/>
        <v>Large Order</v>
      </c>
      <c r="Q1974" t="str">
        <f t="shared" si="247"/>
        <v>Weekend</v>
      </c>
    </row>
    <row r="1975" spans="1:17" x14ac:dyDescent="0.35">
      <c r="A1975" t="s">
        <v>2125</v>
      </c>
      <c r="B1975" s="7">
        <v>45642</v>
      </c>
      <c r="C1975" s="13">
        <f t="shared" si="241"/>
        <v>2024</v>
      </c>
      <c r="D1975" s="7" t="str">
        <f t="shared" si="242"/>
        <v>Dec</v>
      </c>
      <c r="E1975" s="7" t="str">
        <f t="shared" si="243"/>
        <v>Mon</v>
      </c>
      <c r="F1975" t="s">
        <v>369</v>
      </c>
      <c r="G1975" t="s">
        <v>79</v>
      </c>
      <c r="H1975" t="s">
        <v>11</v>
      </c>
      <c r="I1975" s="2" t="str">
        <f t="shared" si="240"/>
        <v>North</v>
      </c>
      <c r="J1975" t="s">
        <v>27</v>
      </c>
      <c r="K1975" t="s">
        <v>13</v>
      </c>
      <c r="L1975">
        <v>3</v>
      </c>
      <c r="M1975">
        <v>120</v>
      </c>
      <c r="N1975">
        <f t="shared" si="244"/>
        <v>360</v>
      </c>
      <c r="O1975">
        <f t="shared" si="245"/>
        <v>36</v>
      </c>
      <c r="P1975" t="str">
        <f t="shared" si="246"/>
        <v>Standard Order</v>
      </c>
      <c r="Q1975" t="str">
        <f t="shared" si="247"/>
        <v>Weekday</v>
      </c>
    </row>
    <row r="1976" spans="1:17" x14ac:dyDescent="0.35">
      <c r="A1976" t="s">
        <v>2126</v>
      </c>
      <c r="B1976" s="7">
        <v>45533</v>
      </c>
      <c r="C1976" s="13">
        <f t="shared" si="241"/>
        <v>2024</v>
      </c>
      <c r="D1976" s="7" t="str">
        <f t="shared" si="242"/>
        <v>Aug</v>
      </c>
      <c r="E1976" s="7" t="str">
        <f t="shared" si="243"/>
        <v>Thu</v>
      </c>
      <c r="F1976" t="s">
        <v>327</v>
      </c>
      <c r="G1976" t="s">
        <v>87</v>
      </c>
      <c r="H1976" t="s">
        <v>11</v>
      </c>
      <c r="I1976" s="2" t="str">
        <f t="shared" si="240"/>
        <v>West</v>
      </c>
      <c r="J1976" t="s">
        <v>12</v>
      </c>
      <c r="K1976" t="s">
        <v>32</v>
      </c>
      <c r="L1976">
        <v>8</v>
      </c>
      <c r="M1976">
        <v>120</v>
      </c>
      <c r="N1976">
        <f t="shared" si="244"/>
        <v>960</v>
      </c>
      <c r="O1976">
        <f t="shared" si="245"/>
        <v>96</v>
      </c>
      <c r="P1976" t="str">
        <f t="shared" si="246"/>
        <v>Large Order</v>
      </c>
      <c r="Q1976" t="str">
        <f t="shared" si="247"/>
        <v>Weekday</v>
      </c>
    </row>
    <row r="1977" spans="1:17" x14ac:dyDescent="0.35">
      <c r="A1977" t="s">
        <v>2127</v>
      </c>
      <c r="B1977" s="7">
        <v>45603</v>
      </c>
      <c r="C1977" s="13">
        <f t="shared" si="241"/>
        <v>2024</v>
      </c>
      <c r="D1977" s="7" t="str">
        <f t="shared" si="242"/>
        <v>Nov</v>
      </c>
      <c r="E1977" s="7" t="str">
        <f t="shared" si="243"/>
        <v>Thu</v>
      </c>
      <c r="F1977" t="s">
        <v>122</v>
      </c>
      <c r="G1977" t="s">
        <v>84</v>
      </c>
      <c r="H1977" t="s">
        <v>17</v>
      </c>
      <c r="I1977" s="2" t="str">
        <f t="shared" si="240"/>
        <v>West</v>
      </c>
      <c r="J1977" t="s">
        <v>27</v>
      </c>
      <c r="K1977" t="s">
        <v>36</v>
      </c>
      <c r="L1977">
        <v>17</v>
      </c>
      <c r="M1977">
        <v>120</v>
      </c>
      <c r="N1977">
        <f t="shared" si="244"/>
        <v>2040</v>
      </c>
      <c r="O1977">
        <f t="shared" si="245"/>
        <v>204</v>
      </c>
      <c r="P1977" t="str">
        <f t="shared" si="246"/>
        <v>Large Order</v>
      </c>
      <c r="Q1977" t="str">
        <f t="shared" si="247"/>
        <v>Weekday</v>
      </c>
    </row>
    <row r="1978" spans="1:17" x14ac:dyDescent="0.35">
      <c r="A1978" t="s">
        <v>2128</v>
      </c>
      <c r="B1978" s="7">
        <v>45597</v>
      </c>
      <c r="C1978" s="13">
        <f t="shared" si="241"/>
        <v>2024</v>
      </c>
      <c r="D1978" s="7" t="str">
        <f t="shared" si="242"/>
        <v>Nov</v>
      </c>
      <c r="E1978" s="7" t="str">
        <f t="shared" si="243"/>
        <v>Fri</v>
      </c>
      <c r="F1978" t="s">
        <v>131</v>
      </c>
      <c r="G1978" t="s">
        <v>119</v>
      </c>
      <c r="H1978" t="s">
        <v>11</v>
      </c>
      <c r="I1978" s="2" t="str">
        <f t="shared" si="240"/>
        <v>North</v>
      </c>
      <c r="J1978" t="s">
        <v>27</v>
      </c>
      <c r="K1978" t="s">
        <v>23</v>
      </c>
      <c r="L1978">
        <v>1</v>
      </c>
      <c r="M1978">
        <v>120</v>
      </c>
      <c r="N1978">
        <f t="shared" si="244"/>
        <v>120</v>
      </c>
      <c r="O1978">
        <f t="shared" si="245"/>
        <v>12</v>
      </c>
      <c r="P1978" t="str">
        <f t="shared" si="246"/>
        <v>Standard Order</v>
      </c>
      <c r="Q1978" t="str">
        <f t="shared" si="247"/>
        <v>Weekday</v>
      </c>
    </row>
    <row r="1979" spans="1:17" x14ac:dyDescent="0.35">
      <c r="A1979" t="s">
        <v>2129</v>
      </c>
      <c r="B1979" s="7">
        <v>45628</v>
      </c>
      <c r="C1979" s="13">
        <f t="shared" si="241"/>
        <v>2024</v>
      </c>
      <c r="D1979" s="7" t="str">
        <f t="shared" si="242"/>
        <v>Dec</v>
      </c>
      <c r="E1979" s="7" t="str">
        <f t="shared" si="243"/>
        <v>Mon</v>
      </c>
      <c r="F1979" t="s">
        <v>363</v>
      </c>
      <c r="G1979" t="s">
        <v>74</v>
      </c>
      <c r="H1979" t="s">
        <v>11</v>
      </c>
      <c r="I1979" s="2" t="str">
        <f t="shared" si="240"/>
        <v>North</v>
      </c>
      <c r="J1979" t="s">
        <v>12</v>
      </c>
      <c r="K1979" t="s">
        <v>36</v>
      </c>
      <c r="L1979">
        <v>17</v>
      </c>
      <c r="M1979">
        <v>120</v>
      </c>
      <c r="N1979">
        <f t="shared" si="244"/>
        <v>2040</v>
      </c>
      <c r="O1979">
        <f t="shared" si="245"/>
        <v>204</v>
      </c>
      <c r="P1979" t="str">
        <f t="shared" si="246"/>
        <v>Large Order</v>
      </c>
      <c r="Q1979" t="str">
        <f t="shared" si="247"/>
        <v>Weekday</v>
      </c>
    </row>
    <row r="1980" spans="1:17" x14ac:dyDescent="0.35">
      <c r="A1980" t="s">
        <v>2130</v>
      </c>
      <c r="B1980" s="7">
        <v>45410</v>
      </c>
      <c r="C1980" s="13">
        <f t="shared" si="241"/>
        <v>2024</v>
      </c>
      <c r="D1980" s="7" t="str">
        <f t="shared" si="242"/>
        <v>Apr</v>
      </c>
      <c r="E1980" s="7" t="str">
        <f t="shared" si="243"/>
        <v>Sun</v>
      </c>
      <c r="F1980" t="s">
        <v>594</v>
      </c>
      <c r="G1980" t="s">
        <v>45</v>
      </c>
      <c r="H1980" t="s">
        <v>22</v>
      </c>
      <c r="I1980" s="2" t="str">
        <f t="shared" si="240"/>
        <v>East</v>
      </c>
      <c r="J1980" t="s">
        <v>12</v>
      </c>
      <c r="K1980" t="s">
        <v>32</v>
      </c>
      <c r="L1980">
        <v>8</v>
      </c>
      <c r="M1980">
        <v>120</v>
      </c>
      <c r="N1980">
        <f t="shared" si="244"/>
        <v>960</v>
      </c>
      <c r="O1980">
        <f t="shared" si="245"/>
        <v>96</v>
      </c>
      <c r="P1980" t="str">
        <f t="shared" si="246"/>
        <v>Large Order</v>
      </c>
      <c r="Q1980" t="str">
        <f t="shared" si="247"/>
        <v>Weekend</v>
      </c>
    </row>
    <row r="1981" spans="1:17" x14ac:dyDescent="0.35">
      <c r="A1981" t="s">
        <v>2131</v>
      </c>
      <c r="B1981" s="7">
        <v>45372</v>
      </c>
      <c r="C1981" s="13">
        <f t="shared" si="241"/>
        <v>2024</v>
      </c>
      <c r="D1981" s="7" t="str">
        <f t="shared" si="242"/>
        <v>Mar</v>
      </c>
      <c r="E1981" s="7" t="str">
        <f t="shared" si="243"/>
        <v>Thu</v>
      </c>
      <c r="F1981" t="s">
        <v>203</v>
      </c>
      <c r="G1981" t="s">
        <v>26</v>
      </c>
      <c r="H1981" t="s">
        <v>17</v>
      </c>
      <c r="I1981" s="2" t="str">
        <f t="shared" si="240"/>
        <v>North</v>
      </c>
      <c r="J1981" t="s">
        <v>42</v>
      </c>
      <c r="K1981" t="s">
        <v>23</v>
      </c>
      <c r="L1981">
        <v>13</v>
      </c>
      <c r="M1981">
        <v>120</v>
      </c>
      <c r="N1981">
        <f t="shared" si="244"/>
        <v>1560</v>
      </c>
      <c r="O1981">
        <f t="shared" si="245"/>
        <v>156</v>
      </c>
      <c r="P1981" t="str">
        <f t="shared" si="246"/>
        <v>Large Order</v>
      </c>
      <c r="Q1981" t="str">
        <f t="shared" si="247"/>
        <v>Weekday</v>
      </c>
    </row>
    <row r="1982" spans="1:17" x14ac:dyDescent="0.35">
      <c r="A1982" t="s">
        <v>2132</v>
      </c>
      <c r="B1982" s="7">
        <v>45557</v>
      </c>
      <c r="C1982" s="13">
        <f t="shared" si="241"/>
        <v>2024</v>
      </c>
      <c r="D1982" s="7" t="str">
        <f t="shared" si="242"/>
        <v>Sep</v>
      </c>
      <c r="E1982" s="7" t="str">
        <f t="shared" si="243"/>
        <v>Sun</v>
      </c>
      <c r="F1982" t="s">
        <v>142</v>
      </c>
      <c r="G1982" t="s">
        <v>84</v>
      </c>
      <c r="H1982" t="s">
        <v>22</v>
      </c>
      <c r="I1982" s="2" t="str">
        <f t="shared" si="240"/>
        <v>East</v>
      </c>
      <c r="J1982" t="s">
        <v>12</v>
      </c>
      <c r="K1982" t="s">
        <v>13</v>
      </c>
      <c r="L1982">
        <v>18</v>
      </c>
      <c r="M1982">
        <v>120</v>
      </c>
      <c r="N1982">
        <f t="shared" si="244"/>
        <v>2160</v>
      </c>
      <c r="O1982">
        <f t="shared" si="245"/>
        <v>216</v>
      </c>
      <c r="P1982" t="str">
        <f t="shared" si="246"/>
        <v>Large Order</v>
      </c>
      <c r="Q1982" t="str">
        <f t="shared" si="247"/>
        <v>Weekend</v>
      </c>
    </row>
    <row r="1983" spans="1:17" x14ac:dyDescent="0.35">
      <c r="A1983" t="s">
        <v>2133</v>
      </c>
      <c r="B1983" s="7">
        <v>45578</v>
      </c>
      <c r="C1983" s="13">
        <f t="shared" si="241"/>
        <v>2024</v>
      </c>
      <c r="D1983" s="7" t="str">
        <f t="shared" si="242"/>
        <v>Oct</v>
      </c>
      <c r="E1983" s="7" t="str">
        <f t="shared" si="243"/>
        <v>Sun</v>
      </c>
      <c r="F1983" t="s">
        <v>361</v>
      </c>
      <c r="G1983" t="s">
        <v>48</v>
      </c>
      <c r="H1983" t="s">
        <v>17</v>
      </c>
      <c r="I1983" s="2" t="str">
        <f t="shared" si="240"/>
        <v>East</v>
      </c>
      <c r="J1983" t="s">
        <v>42</v>
      </c>
      <c r="K1983" t="s">
        <v>28</v>
      </c>
      <c r="L1983">
        <v>20</v>
      </c>
      <c r="M1983">
        <v>120</v>
      </c>
      <c r="N1983">
        <f t="shared" si="244"/>
        <v>2400</v>
      </c>
      <c r="O1983">
        <f t="shared" si="245"/>
        <v>240</v>
      </c>
      <c r="P1983" t="str">
        <f t="shared" si="246"/>
        <v>Large Order</v>
      </c>
      <c r="Q1983" t="str">
        <f t="shared" si="247"/>
        <v>Weekend</v>
      </c>
    </row>
    <row r="1984" spans="1:17" x14ac:dyDescent="0.35">
      <c r="A1984" t="s">
        <v>2134</v>
      </c>
      <c r="B1984" s="7">
        <v>45524</v>
      </c>
      <c r="C1984" s="13">
        <f t="shared" si="241"/>
        <v>2024</v>
      </c>
      <c r="D1984" s="7" t="str">
        <f t="shared" si="242"/>
        <v>Aug</v>
      </c>
      <c r="E1984" s="7" t="str">
        <f t="shared" si="243"/>
        <v>Tue</v>
      </c>
      <c r="F1984" t="s">
        <v>341</v>
      </c>
      <c r="G1984" t="s">
        <v>59</v>
      </c>
      <c r="H1984" t="s">
        <v>11</v>
      </c>
      <c r="I1984" s="2" t="str">
        <f t="shared" si="240"/>
        <v>East</v>
      </c>
      <c r="J1984" t="s">
        <v>42</v>
      </c>
      <c r="K1984" t="s">
        <v>28</v>
      </c>
      <c r="L1984">
        <v>14</v>
      </c>
      <c r="M1984">
        <v>120</v>
      </c>
      <c r="N1984">
        <f t="shared" si="244"/>
        <v>1680</v>
      </c>
      <c r="O1984">
        <f t="shared" si="245"/>
        <v>168</v>
      </c>
      <c r="P1984" t="str">
        <f t="shared" si="246"/>
        <v>Large Order</v>
      </c>
      <c r="Q1984" t="str">
        <f t="shared" si="247"/>
        <v>Weekday</v>
      </c>
    </row>
    <row r="1985" spans="1:17" x14ac:dyDescent="0.35">
      <c r="A1985" t="s">
        <v>2135</v>
      </c>
      <c r="B1985" s="7">
        <v>45578</v>
      </c>
      <c r="C1985" s="13">
        <f t="shared" si="241"/>
        <v>2024</v>
      </c>
      <c r="D1985" s="7" t="str">
        <f t="shared" si="242"/>
        <v>Oct</v>
      </c>
      <c r="E1985" s="7" t="str">
        <f t="shared" si="243"/>
        <v>Sun</v>
      </c>
      <c r="F1985" t="s">
        <v>208</v>
      </c>
      <c r="G1985" t="s">
        <v>160</v>
      </c>
      <c r="H1985" t="s">
        <v>17</v>
      </c>
      <c r="I1985" s="2" t="str">
        <f t="shared" si="240"/>
        <v>West</v>
      </c>
      <c r="J1985" t="s">
        <v>42</v>
      </c>
      <c r="K1985" t="s">
        <v>13</v>
      </c>
      <c r="L1985">
        <v>17</v>
      </c>
      <c r="M1985">
        <v>120</v>
      </c>
      <c r="N1985">
        <f t="shared" si="244"/>
        <v>2040</v>
      </c>
      <c r="O1985">
        <f t="shared" si="245"/>
        <v>204</v>
      </c>
      <c r="P1985" t="str">
        <f t="shared" si="246"/>
        <v>Large Order</v>
      </c>
      <c r="Q1985" t="str">
        <f t="shared" si="247"/>
        <v>Weekend</v>
      </c>
    </row>
    <row r="1986" spans="1:17" x14ac:dyDescent="0.35">
      <c r="A1986" t="s">
        <v>2136</v>
      </c>
      <c r="B1986" s="7">
        <v>45567</v>
      </c>
      <c r="C1986" s="13">
        <f t="shared" si="241"/>
        <v>2024</v>
      </c>
      <c r="D1986" s="7" t="str">
        <f t="shared" si="242"/>
        <v>Oct</v>
      </c>
      <c r="E1986" s="7" t="str">
        <f t="shared" si="243"/>
        <v>Wed</v>
      </c>
      <c r="F1986" t="s">
        <v>314</v>
      </c>
      <c r="G1986" t="s">
        <v>26</v>
      </c>
      <c r="H1986" t="s">
        <v>22</v>
      </c>
      <c r="I1986" s="2" t="str">
        <f t="shared" si="240"/>
        <v>West</v>
      </c>
      <c r="J1986" t="s">
        <v>27</v>
      </c>
      <c r="K1986" t="s">
        <v>23</v>
      </c>
      <c r="L1986">
        <v>19</v>
      </c>
      <c r="M1986">
        <v>120</v>
      </c>
      <c r="N1986">
        <f t="shared" si="244"/>
        <v>2280</v>
      </c>
      <c r="O1986">
        <f t="shared" si="245"/>
        <v>228</v>
      </c>
      <c r="P1986" t="str">
        <f t="shared" si="246"/>
        <v>Large Order</v>
      </c>
      <c r="Q1986" t="str">
        <f t="shared" si="247"/>
        <v>Weekday</v>
      </c>
    </row>
    <row r="1987" spans="1:17" x14ac:dyDescent="0.35">
      <c r="A1987" t="s">
        <v>2137</v>
      </c>
      <c r="B1987" s="7">
        <v>45416</v>
      </c>
      <c r="C1987" s="13">
        <f t="shared" si="241"/>
        <v>2024</v>
      </c>
      <c r="D1987" s="7" t="str">
        <f t="shared" si="242"/>
        <v>May</v>
      </c>
      <c r="E1987" s="7" t="str">
        <f t="shared" si="243"/>
        <v>Sat</v>
      </c>
      <c r="F1987" t="s">
        <v>664</v>
      </c>
      <c r="G1987" t="s">
        <v>72</v>
      </c>
      <c r="H1987" t="s">
        <v>17</v>
      </c>
      <c r="I1987" s="2" t="str">
        <f t="shared" ref="I1987:I2050" si="248">TRIM(J1988)</f>
        <v>South</v>
      </c>
      <c r="J1987" t="s">
        <v>27</v>
      </c>
      <c r="K1987" t="s">
        <v>36</v>
      </c>
      <c r="L1987">
        <v>1</v>
      </c>
      <c r="M1987">
        <v>120</v>
      </c>
      <c r="N1987">
        <f t="shared" si="244"/>
        <v>120</v>
      </c>
      <c r="O1987">
        <f t="shared" si="245"/>
        <v>12</v>
      </c>
      <c r="P1987" t="str">
        <f t="shared" si="246"/>
        <v>Standard Order</v>
      </c>
      <c r="Q1987" t="str">
        <f t="shared" si="247"/>
        <v>Weekend</v>
      </c>
    </row>
    <row r="1988" spans="1:17" x14ac:dyDescent="0.35">
      <c r="A1988" t="s">
        <v>2138</v>
      </c>
      <c r="B1988" s="7">
        <v>45424</v>
      </c>
      <c r="C1988" s="13">
        <f t="shared" ref="C1988:C2051" si="249">YEAR(B1988)</f>
        <v>2024</v>
      </c>
      <c r="D1988" s="7" t="str">
        <f t="shared" ref="D1988:D2051" si="250">TEXT(B1988,"mmm")</f>
        <v>May</v>
      </c>
      <c r="E1988" s="7" t="str">
        <f t="shared" ref="E1988:E2051" si="251">TEXT(B1988,"ddd")</f>
        <v>Sun</v>
      </c>
      <c r="F1988" t="s">
        <v>58</v>
      </c>
      <c r="G1988" t="s">
        <v>31</v>
      </c>
      <c r="H1988" t="s">
        <v>22</v>
      </c>
      <c r="I1988" s="2" t="str">
        <f t="shared" si="248"/>
        <v>East</v>
      </c>
      <c r="J1988" t="s">
        <v>56</v>
      </c>
      <c r="K1988" t="s">
        <v>28</v>
      </c>
      <c r="L1988">
        <v>11</v>
      </c>
      <c r="M1988">
        <v>120</v>
      </c>
      <c r="N1988">
        <f t="shared" ref="N1988:N2051" si="252">M1988*L1988</f>
        <v>1320</v>
      </c>
      <c r="O1988">
        <f t="shared" ref="O1988:O2051" si="253">N1988*0.1</f>
        <v>132</v>
      </c>
      <c r="P1988" t="str">
        <f t="shared" ref="P1988:P2051" si="254">IF(N1988&gt;500,"Large Order","Standard Order")</f>
        <v>Large Order</v>
      </c>
      <c r="Q1988" t="str">
        <f t="shared" ref="Q1988:Q2051" si="255">IF(OR(TRIM(E1988)="Sat",TRIM(E1988)="Sun"),"Weekend","Weekday")</f>
        <v>Weekend</v>
      </c>
    </row>
    <row r="1989" spans="1:17" x14ac:dyDescent="0.35">
      <c r="A1989" t="s">
        <v>2139</v>
      </c>
      <c r="B1989" s="7">
        <v>45472</v>
      </c>
      <c r="C1989" s="13">
        <f t="shared" si="249"/>
        <v>2024</v>
      </c>
      <c r="D1989" s="7" t="str">
        <f t="shared" si="250"/>
        <v>Jun</v>
      </c>
      <c r="E1989" s="7" t="str">
        <f t="shared" si="251"/>
        <v>Sat</v>
      </c>
      <c r="F1989" t="s">
        <v>363</v>
      </c>
      <c r="G1989" t="s">
        <v>174</v>
      </c>
      <c r="H1989" t="s">
        <v>11</v>
      </c>
      <c r="I1989" s="2" t="str">
        <f t="shared" si="248"/>
        <v>Central</v>
      </c>
      <c r="J1989" t="s">
        <v>42</v>
      </c>
      <c r="K1989" t="s">
        <v>28</v>
      </c>
      <c r="L1989">
        <v>10</v>
      </c>
      <c r="M1989">
        <v>120</v>
      </c>
      <c r="N1989">
        <f t="shared" si="252"/>
        <v>1200</v>
      </c>
      <c r="O1989">
        <f t="shared" si="253"/>
        <v>120</v>
      </c>
      <c r="P1989" t="str">
        <f t="shared" si="254"/>
        <v>Large Order</v>
      </c>
      <c r="Q1989" t="str">
        <f t="shared" si="255"/>
        <v>Weekend</v>
      </c>
    </row>
    <row r="1990" spans="1:17" x14ac:dyDescent="0.35">
      <c r="A1990" t="s">
        <v>2140</v>
      </c>
      <c r="B1990" s="7">
        <v>45636</v>
      </c>
      <c r="C1990" s="13">
        <f t="shared" si="249"/>
        <v>2024</v>
      </c>
      <c r="D1990" s="7" t="str">
        <f t="shared" si="250"/>
        <v>Dec</v>
      </c>
      <c r="E1990" s="7" t="str">
        <f t="shared" si="251"/>
        <v>Tue</v>
      </c>
      <c r="F1990" t="s">
        <v>323</v>
      </c>
      <c r="G1990" t="s">
        <v>72</v>
      </c>
      <c r="H1990" t="s">
        <v>11</v>
      </c>
      <c r="I1990" s="2" t="str">
        <f t="shared" si="248"/>
        <v>South</v>
      </c>
      <c r="J1990" t="s">
        <v>306</v>
      </c>
      <c r="K1990" t="s">
        <v>28</v>
      </c>
      <c r="L1990">
        <v>16</v>
      </c>
      <c r="M1990">
        <v>120</v>
      </c>
      <c r="N1990">
        <f t="shared" si="252"/>
        <v>1920</v>
      </c>
      <c r="O1990">
        <f t="shared" si="253"/>
        <v>192</v>
      </c>
      <c r="P1990" t="str">
        <f t="shared" si="254"/>
        <v>Large Order</v>
      </c>
      <c r="Q1990" t="str">
        <f t="shared" si="255"/>
        <v>Weekday</v>
      </c>
    </row>
    <row r="1991" spans="1:17" x14ac:dyDescent="0.35">
      <c r="A1991" t="s">
        <v>2141</v>
      </c>
      <c r="B1991" s="7">
        <v>45403</v>
      </c>
      <c r="C1991" s="13">
        <f t="shared" si="249"/>
        <v>2024</v>
      </c>
      <c r="D1991" s="7" t="str">
        <f t="shared" si="250"/>
        <v>Apr</v>
      </c>
      <c r="E1991" s="7" t="str">
        <f t="shared" si="251"/>
        <v>Sun</v>
      </c>
      <c r="F1991" t="s">
        <v>314</v>
      </c>
      <c r="G1991" t="s">
        <v>26</v>
      </c>
      <c r="H1991" t="s">
        <v>11</v>
      </c>
      <c r="I1991" s="2" t="str">
        <f t="shared" si="248"/>
        <v>South</v>
      </c>
      <c r="J1991" t="s">
        <v>56</v>
      </c>
      <c r="K1991" t="s">
        <v>23</v>
      </c>
      <c r="L1991">
        <v>7</v>
      </c>
      <c r="M1991">
        <v>120</v>
      </c>
      <c r="N1991">
        <f t="shared" si="252"/>
        <v>840</v>
      </c>
      <c r="O1991">
        <f t="shared" si="253"/>
        <v>84</v>
      </c>
      <c r="P1991" t="str">
        <f t="shared" si="254"/>
        <v>Large Order</v>
      </c>
      <c r="Q1991" t="str">
        <f t="shared" si="255"/>
        <v>Weekend</v>
      </c>
    </row>
    <row r="1992" spans="1:17" x14ac:dyDescent="0.35">
      <c r="A1992" t="s">
        <v>2142</v>
      </c>
      <c r="B1992" s="7">
        <v>45415</v>
      </c>
      <c r="C1992" s="13">
        <f t="shared" si="249"/>
        <v>2024</v>
      </c>
      <c r="D1992" s="7" t="str">
        <f t="shared" si="250"/>
        <v>May</v>
      </c>
      <c r="E1992" s="7" t="str">
        <f t="shared" si="251"/>
        <v>Fri</v>
      </c>
      <c r="F1992" t="s">
        <v>86</v>
      </c>
      <c r="G1992" t="s">
        <v>65</v>
      </c>
      <c r="H1992" t="s">
        <v>11</v>
      </c>
      <c r="I1992" s="2" t="str">
        <f t="shared" si="248"/>
        <v>West</v>
      </c>
      <c r="J1992" t="s">
        <v>56</v>
      </c>
      <c r="K1992" t="s">
        <v>28</v>
      </c>
      <c r="L1992">
        <v>20</v>
      </c>
      <c r="M1992">
        <v>120</v>
      </c>
      <c r="N1992">
        <f t="shared" si="252"/>
        <v>2400</v>
      </c>
      <c r="O1992">
        <f t="shared" si="253"/>
        <v>240</v>
      </c>
      <c r="P1992" t="str">
        <f t="shared" si="254"/>
        <v>Large Order</v>
      </c>
      <c r="Q1992" t="str">
        <f t="shared" si="255"/>
        <v>Weekday</v>
      </c>
    </row>
    <row r="1993" spans="1:17" x14ac:dyDescent="0.35">
      <c r="A1993" t="s">
        <v>2143</v>
      </c>
      <c r="B1993" s="7">
        <v>45346</v>
      </c>
      <c r="C1993" s="13">
        <f t="shared" si="249"/>
        <v>2024</v>
      </c>
      <c r="D1993" s="7" t="str">
        <f t="shared" si="250"/>
        <v>Feb</v>
      </c>
      <c r="E1993" s="7" t="str">
        <f t="shared" si="251"/>
        <v>Sat</v>
      </c>
      <c r="F1993" t="s">
        <v>114</v>
      </c>
      <c r="G1993" t="s">
        <v>10</v>
      </c>
      <c r="H1993" t="s">
        <v>22</v>
      </c>
      <c r="I1993" s="2" t="str">
        <f t="shared" si="248"/>
        <v>Central</v>
      </c>
      <c r="J1993" t="s">
        <v>27</v>
      </c>
      <c r="K1993" t="s">
        <v>36</v>
      </c>
      <c r="L1993">
        <v>1</v>
      </c>
      <c r="M1993">
        <v>120</v>
      </c>
      <c r="N1993">
        <f t="shared" si="252"/>
        <v>120</v>
      </c>
      <c r="O1993">
        <f t="shared" si="253"/>
        <v>12</v>
      </c>
      <c r="P1993" t="str">
        <f t="shared" si="254"/>
        <v>Standard Order</v>
      </c>
      <c r="Q1993" t="str">
        <f t="shared" si="255"/>
        <v>Weekend</v>
      </c>
    </row>
    <row r="1994" spans="1:17" x14ac:dyDescent="0.35">
      <c r="A1994" t="s">
        <v>2144</v>
      </c>
      <c r="B1994" s="7">
        <v>45569</v>
      </c>
      <c r="C1994" s="13">
        <f t="shared" si="249"/>
        <v>2024</v>
      </c>
      <c r="D1994" s="7" t="str">
        <f t="shared" si="250"/>
        <v>Oct</v>
      </c>
      <c r="E1994" s="7" t="str">
        <f t="shared" si="251"/>
        <v>Fri</v>
      </c>
      <c r="F1994" t="s">
        <v>116</v>
      </c>
      <c r="G1994" t="s">
        <v>35</v>
      </c>
      <c r="H1994" t="s">
        <v>17</v>
      </c>
      <c r="I1994" s="2" t="str">
        <f t="shared" si="248"/>
        <v>Central</v>
      </c>
      <c r="J1994" t="s">
        <v>306</v>
      </c>
      <c r="K1994" t="s">
        <v>32</v>
      </c>
      <c r="L1994">
        <v>16</v>
      </c>
      <c r="M1994">
        <v>120</v>
      </c>
      <c r="N1994">
        <f t="shared" si="252"/>
        <v>1920</v>
      </c>
      <c r="O1994">
        <f t="shared" si="253"/>
        <v>192</v>
      </c>
      <c r="P1994" t="str">
        <f t="shared" si="254"/>
        <v>Large Order</v>
      </c>
      <c r="Q1994" t="str">
        <f t="shared" si="255"/>
        <v>Weekday</v>
      </c>
    </row>
    <row r="1995" spans="1:17" x14ac:dyDescent="0.35">
      <c r="A1995" t="s">
        <v>2145</v>
      </c>
      <c r="B1995" s="7">
        <v>45586</v>
      </c>
      <c r="C1995" s="13">
        <f t="shared" si="249"/>
        <v>2024</v>
      </c>
      <c r="D1995" s="7" t="str">
        <f t="shared" si="250"/>
        <v>Oct</v>
      </c>
      <c r="E1995" s="7" t="str">
        <f t="shared" si="251"/>
        <v>Mon</v>
      </c>
      <c r="F1995" t="s">
        <v>89</v>
      </c>
      <c r="G1995" t="s">
        <v>35</v>
      </c>
      <c r="H1995" t="s">
        <v>11</v>
      </c>
      <c r="I1995" s="2" t="str">
        <f t="shared" si="248"/>
        <v>West</v>
      </c>
      <c r="J1995" t="s">
        <v>306</v>
      </c>
      <c r="K1995" t="s">
        <v>32</v>
      </c>
      <c r="L1995">
        <v>13</v>
      </c>
      <c r="M1995">
        <v>120</v>
      </c>
      <c r="N1995">
        <f t="shared" si="252"/>
        <v>1560</v>
      </c>
      <c r="O1995">
        <f t="shared" si="253"/>
        <v>156</v>
      </c>
      <c r="P1995" t="str">
        <f t="shared" si="254"/>
        <v>Large Order</v>
      </c>
      <c r="Q1995" t="str">
        <f t="shared" si="255"/>
        <v>Weekday</v>
      </c>
    </row>
    <row r="1996" spans="1:17" x14ac:dyDescent="0.35">
      <c r="A1996" t="s">
        <v>2146</v>
      </c>
      <c r="B1996" s="7">
        <v>45587</v>
      </c>
      <c r="C1996" s="13">
        <f t="shared" si="249"/>
        <v>2024</v>
      </c>
      <c r="D1996" s="7" t="str">
        <f t="shared" si="250"/>
        <v>Oct</v>
      </c>
      <c r="E1996" s="7" t="str">
        <f t="shared" si="251"/>
        <v>Tue</v>
      </c>
      <c r="F1996" t="s">
        <v>34</v>
      </c>
      <c r="G1996" t="s">
        <v>79</v>
      </c>
      <c r="H1996" t="s">
        <v>22</v>
      </c>
      <c r="I1996" s="2" t="str">
        <f t="shared" si="248"/>
        <v>West</v>
      </c>
      <c r="J1996" t="s">
        <v>27</v>
      </c>
      <c r="K1996" t="s">
        <v>23</v>
      </c>
      <c r="L1996">
        <v>18</v>
      </c>
      <c r="M1996">
        <v>120</v>
      </c>
      <c r="N1996">
        <f t="shared" si="252"/>
        <v>2160</v>
      </c>
      <c r="O1996">
        <f t="shared" si="253"/>
        <v>216</v>
      </c>
      <c r="P1996" t="str">
        <f t="shared" si="254"/>
        <v>Large Order</v>
      </c>
      <c r="Q1996" t="str">
        <f t="shared" si="255"/>
        <v>Weekday</v>
      </c>
    </row>
    <row r="1997" spans="1:17" x14ac:dyDescent="0.35">
      <c r="A1997" t="s">
        <v>2147</v>
      </c>
      <c r="B1997" s="7">
        <v>45469</v>
      </c>
      <c r="C1997" s="13">
        <f t="shared" si="249"/>
        <v>2024</v>
      </c>
      <c r="D1997" s="7" t="str">
        <f t="shared" si="250"/>
        <v>Jun</v>
      </c>
      <c r="E1997" s="7" t="str">
        <f t="shared" si="251"/>
        <v>Wed</v>
      </c>
      <c r="F1997" t="s">
        <v>106</v>
      </c>
      <c r="G1997" t="s">
        <v>41</v>
      </c>
      <c r="H1997" t="s">
        <v>11</v>
      </c>
      <c r="I1997" s="2" t="str">
        <f t="shared" si="248"/>
        <v>South</v>
      </c>
      <c r="J1997" t="s">
        <v>27</v>
      </c>
      <c r="K1997" t="s">
        <v>13</v>
      </c>
      <c r="L1997">
        <v>17</v>
      </c>
      <c r="M1997">
        <v>120</v>
      </c>
      <c r="N1997">
        <f t="shared" si="252"/>
        <v>2040</v>
      </c>
      <c r="O1997">
        <f t="shared" si="253"/>
        <v>204</v>
      </c>
      <c r="P1997" t="str">
        <f t="shared" si="254"/>
        <v>Large Order</v>
      </c>
      <c r="Q1997" t="str">
        <f t="shared" si="255"/>
        <v>Weekday</v>
      </c>
    </row>
    <row r="1998" spans="1:17" x14ac:dyDescent="0.35">
      <c r="A1998" t="s">
        <v>2148</v>
      </c>
      <c r="B1998" s="7">
        <v>45644</v>
      </c>
      <c r="C1998" s="13">
        <f t="shared" si="249"/>
        <v>2024</v>
      </c>
      <c r="D1998" s="7" t="str">
        <f t="shared" si="250"/>
        <v>Dec</v>
      </c>
      <c r="E1998" s="7" t="str">
        <f t="shared" si="251"/>
        <v>Wed</v>
      </c>
      <c r="F1998" t="s">
        <v>142</v>
      </c>
      <c r="G1998" t="s">
        <v>96</v>
      </c>
      <c r="H1998" t="s">
        <v>22</v>
      </c>
      <c r="I1998" s="2" t="str">
        <f t="shared" si="248"/>
        <v>Central</v>
      </c>
      <c r="J1998" t="s">
        <v>56</v>
      </c>
      <c r="K1998" t="s">
        <v>23</v>
      </c>
      <c r="L1998">
        <v>19</v>
      </c>
      <c r="M1998">
        <v>120</v>
      </c>
      <c r="N1998">
        <f t="shared" si="252"/>
        <v>2280</v>
      </c>
      <c r="O1998">
        <f t="shared" si="253"/>
        <v>228</v>
      </c>
      <c r="P1998" t="str">
        <f t="shared" si="254"/>
        <v>Large Order</v>
      </c>
      <c r="Q1998" t="str">
        <f t="shared" si="255"/>
        <v>Weekday</v>
      </c>
    </row>
    <row r="1999" spans="1:17" x14ac:dyDescent="0.35">
      <c r="A1999" t="s">
        <v>2149</v>
      </c>
      <c r="B1999" s="7">
        <v>45477</v>
      </c>
      <c r="C1999" s="13">
        <f t="shared" si="249"/>
        <v>2024</v>
      </c>
      <c r="D1999" s="7" t="str">
        <f t="shared" si="250"/>
        <v>Jul</v>
      </c>
      <c r="E1999" s="7" t="str">
        <f t="shared" si="251"/>
        <v>Thu</v>
      </c>
      <c r="F1999" t="s">
        <v>594</v>
      </c>
      <c r="G1999" t="s">
        <v>26</v>
      </c>
      <c r="H1999" t="s">
        <v>11</v>
      </c>
      <c r="I1999" s="2" t="str">
        <f t="shared" si="248"/>
        <v>West</v>
      </c>
      <c r="J1999" t="s">
        <v>306</v>
      </c>
      <c r="K1999" t="s">
        <v>32</v>
      </c>
      <c r="L1999">
        <v>8</v>
      </c>
      <c r="M1999">
        <v>120</v>
      </c>
      <c r="N1999">
        <f t="shared" si="252"/>
        <v>960</v>
      </c>
      <c r="O1999">
        <f t="shared" si="253"/>
        <v>96</v>
      </c>
      <c r="P1999" t="str">
        <f t="shared" si="254"/>
        <v>Large Order</v>
      </c>
      <c r="Q1999" t="str">
        <f t="shared" si="255"/>
        <v>Weekday</v>
      </c>
    </row>
    <row r="2000" spans="1:17" x14ac:dyDescent="0.35">
      <c r="A2000" t="s">
        <v>2150</v>
      </c>
      <c r="B2000" s="7">
        <v>45605</v>
      </c>
      <c r="C2000" s="13">
        <f t="shared" si="249"/>
        <v>2024</v>
      </c>
      <c r="D2000" s="7" t="str">
        <f t="shared" si="250"/>
        <v>Nov</v>
      </c>
      <c r="E2000" s="7" t="str">
        <f t="shared" si="251"/>
        <v>Sat</v>
      </c>
      <c r="F2000" t="s">
        <v>47</v>
      </c>
      <c r="G2000" t="s">
        <v>48</v>
      </c>
      <c r="H2000" t="s">
        <v>11</v>
      </c>
      <c r="I2000" s="2" t="str">
        <f t="shared" si="248"/>
        <v>West</v>
      </c>
      <c r="J2000" t="s">
        <v>27</v>
      </c>
      <c r="K2000" t="s">
        <v>23</v>
      </c>
      <c r="L2000">
        <v>7</v>
      </c>
      <c r="M2000">
        <v>120</v>
      </c>
      <c r="N2000">
        <f t="shared" si="252"/>
        <v>840</v>
      </c>
      <c r="O2000">
        <f t="shared" si="253"/>
        <v>84</v>
      </c>
      <c r="P2000" t="str">
        <f t="shared" si="254"/>
        <v>Large Order</v>
      </c>
      <c r="Q2000" t="str">
        <f t="shared" si="255"/>
        <v>Weekend</v>
      </c>
    </row>
    <row r="2001" spans="1:17" x14ac:dyDescent="0.35">
      <c r="A2001" t="s">
        <v>2151</v>
      </c>
      <c r="B2001" s="7">
        <v>45482</v>
      </c>
      <c r="C2001" s="13">
        <f t="shared" si="249"/>
        <v>2024</v>
      </c>
      <c r="D2001" s="7" t="str">
        <f t="shared" si="250"/>
        <v>Jul</v>
      </c>
      <c r="E2001" s="7" t="str">
        <f t="shared" si="251"/>
        <v>Tue</v>
      </c>
      <c r="F2001" t="s">
        <v>83</v>
      </c>
      <c r="G2001" t="s">
        <v>31</v>
      </c>
      <c r="H2001" t="s">
        <v>17</v>
      </c>
      <c r="I2001" s="2" t="str">
        <f t="shared" si="248"/>
        <v>East</v>
      </c>
      <c r="J2001" t="s">
        <v>27</v>
      </c>
      <c r="K2001" t="s">
        <v>28</v>
      </c>
      <c r="L2001">
        <v>19</v>
      </c>
      <c r="M2001">
        <v>120</v>
      </c>
      <c r="N2001">
        <f t="shared" si="252"/>
        <v>2280</v>
      </c>
      <c r="O2001">
        <f t="shared" si="253"/>
        <v>228</v>
      </c>
      <c r="P2001" t="str">
        <f t="shared" si="254"/>
        <v>Large Order</v>
      </c>
      <c r="Q2001" t="str">
        <f t="shared" si="255"/>
        <v>Weekday</v>
      </c>
    </row>
    <row r="2002" spans="1:17" x14ac:dyDescent="0.35">
      <c r="A2002" t="s">
        <v>2152</v>
      </c>
      <c r="B2002" s="7">
        <v>45586</v>
      </c>
      <c r="C2002" s="13">
        <f t="shared" si="249"/>
        <v>2024</v>
      </c>
      <c r="D2002" s="7" t="str">
        <f t="shared" si="250"/>
        <v>Oct</v>
      </c>
      <c r="E2002" s="7" t="str">
        <f t="shared" si="251"/>
        <v>Mon</v>
      </c>
      <c r="F2002" t="s">
        <v>455</v>
      </c>
      <c r="G2002" t="s">
        <v>197</v>
      </c>
      <c r="H2002" t="s">
        <v>11</v>
      </c>
      <c r="I2002" s="2" t="str">
        <f t="shared" si="248"/>
        <v>South</v>
      </c>
      <c r="J2002" t="s">
        <v>42</v>
      </c>
      <c r="K2002" t="s">
        <v>28</v>
      </c>
      <c r="L2002">
        <v>18</v>
      </c>
      <c r="M2002">
        <v>120</v>
      </c>
      <c r="N2002">
        <f t="shared" si="252"/>
        <v>2160</v>
      </c>
      <c r="O2002">
        <f t="shared" si="253"/>
        <v>216</v>
      </c>
      <c r="P2002" t="str">
        <f t="shared" si="254"/>
        <v>Large Order</v>
      </c>
      <c r="Q2002" t="str">
        <f t="shared" si="255"/>
        <v>Weekday</v>
      </c>
    </row>
    <row r="2003" spans="1:17" x14ac:dyDescent="0.35">
      <c r="A2003" t="s">
        <v>2153</v>
      </c>
      <c r="B2003" s="7">
        <v>45487</v>
      </c>
      <c r="C2003" s="13">
        <f t="shared" si="249"/>
        <v>2024</v>
      </c>
      <c r="D2003" s="7" t="str">
        <f t="shared" si="250"/>
        <v>Jul</v>
      </c>
      <c r="E2003" s="7" t="str">
        <f t="shared" si="251"/>
        <v>Sun</v>
      </c>
      <c r="F2003" t="s">
        <v>104</v>
      </c>
      <c r="G2003" t="s">
        <v>16</v>
      </c>
      <c r="H2003" t="s">
        <v>22</v>
      </c>
      <c r="I2003" s="2" t="str">
        <f t="shared" si="248"/>
        <v>Central</v>
      </c>
      <c r="J2003" t="s">
        <v>56</v>
      </c>
      <c r="K2003" t="s">
        <v>23</v>
      </c>
      <c r="L2003">
        <v>1</v>
      </c>
      <c r="M2003">
        <v>120</v>
      </c>
      <c r="N2003">
        <f t="shared" si="252"/>
        <v>120</v>
      </c>
      <c r="O2003">
        <f t="shared" si="253"/>
        <v>12</v>
      </c>
      <c r="P2003" t="str">
        <f t="shared" si="254"/>
        <v>Standard Order</v>
      </c>
      <c r="Q2003" t="str">
        <f t="shared" si="255"/>
        <v>Weekend</v>
      </c>
    </row>
    <row r="2004" spans="1:17" x14ac:dyDescent="0.35">
      <c r="A2004" t="s">
        <v>2154</v>
      </c>
      <c r="B2004" s="7">
        <v>45547</v>
      </c>
      <c r="C2004" s="13">
        <f t="shared" si="249"/>
        <v>2024</v>
      </c>
      <c r="D2004" s="7" t="str">
        <f t="shared" si="250"/>
        <v>Sep</v>
      </c>
      <c r="E2004" s="7" t="str">
        <f t="shared" si="251"/>
        <v>Thu</v>
      </c>
      <c r="F2004" t="s">
        <v>99</v>
      </c>
      <c r="G2004" t="s">
        <v>21</v>
      </c>
      <c r="H2004" t="s">
        <v>22</v>
      </c>
      <c r="I2004" s="2" t="str">
        <f t="shared" si="248"/>
        <v>North</v>
      </c>
      <c r="J2004" t="s">
        <v>306</v>
      </c>
      <c r="K2004" t="s">
        <v>32</v>
      </c>
      <c r="L2004">
        <v>16</v>
      </c>
      <c r="M2004">
        <v>120</v>
      </c>
      <c r="N2004">
        <f t="shared" si="252"/>
        <v>1920</v>
      </c>
      <c r="O2004">
        <f t="shared" si="253"/>
        <v>192</v>
      </c>
      <c r="P2004" t="str">
        <f t="shared" si="254"/>
        <v>Large Order</v>
      </c>
      <c r="Q2004" t="str">
        <f t="shared" si="255"/>
        <v>Weekday</v>
      </c>
    </row>
    <row r="2005" spans="1:17" x14ac:dyDescent="0.35">
      <c r="A2005" t="s">
        <v>2155</v>
      </c>
      <c r="B2005" s="7">
        <v>45579</v>
      </c>
      <c r="C2005" s="13">
        <f t="shared" si="249"/>
        <v>2024</v>
      </c>
      <c r="D2005" s="7" t="str">
        <f t="shared" si="250"/>
        <v>Oct</v>
      </c>
      <c r="E2005" s="7" t="str">
        <f t="shared" si="251"/>
        <v>Mon</v>
      </c>
      <c r="F2005" t="s">
        <v>614</v>
      </c>
      <c r="G2005" t="s">
        <v>79</v>
      </c>
      <c r="H2005" t="s">
        <v>17</v>
      </c>
      <c r="I2005" s="2" t="str">
        <f t="shared" si="248"/>
        <v>West</v>
      </c>
      <c r="J2005" t="s">
        <v>12</v>
      </c>
      <c r="K2005" t="s">
        <v>28</v>
      </c>
      <c r="L2005">
        <v>2</v>
      </c>
      <c r="M2005">
        <v>120</v>
      </c>
      <c r="N2005">
        <f t="shared" si="252"/>
        <v>240</v>
      </c>
      <c r="O2005">
        <f t="shared" si="253"/>
        <v>24</v>
      </c>
      <c r="P2005" t="str">
        <f t="shared" si="254"/>
        <v>Standard Order</v>
      </c>
      <c r="Q2005" t="str">
        <f t="shared" si="255"/>
        <v>Weekday</v>
      </c>
    </row>
    <row r="2006" spans="1:17" x14ac:dyDescent="0.35">
      <c r="A2006" t="s">
        <v>2156</v>
      </c>
      <c r="B2006" s="7">
        <v>45422</v>
      </c>
      <c r="C2006" s="13">
        <f t="shared" si="249"/>
        <v>2024</v>
      </c>
      <c r="D2006" s="7" t="str">
        <f t="shared" si="250"/>
        <v>May</v>
      </c>
      <c r="E2006" s="7" t="str">
        <f t="shared" si="251"/>
        <v>Fri</v>
      </c>
      <c r="F2006" t="s">
        <v>553</v>
      </c>
      <c r="G2006" t="s">
        <v>21</v>
      </c>
      <c r="H2006" t="s">
        <v>11</v>
      </c>
      <c r="I2006" s="2" t="str">
        <f t="shared" si="248"/>
        <v>North</v>
      </c>
      <c r="J2006" t="s">
        <v>27</v>
      </c>
      <c r="K2006" t="s">
        <v>32</v>
      </c>
      <c r="L2006">
        <v>9</v>
      </c>
      <c r="M2006">
        <v>120</v>
      </c>
      <c r="N2006">
        <f t="shared" si="252"/>
        <v>1080</v>
      </c>
      <c r="O2006">
        <f t="shared" si="253"/>
        <v>108</v>
      </c>
      <c r="P2006" t="str">
        <f t="shared" si="254"/>
        <v>Large Order</v>
      </c>
      <c r="Q2006" t="str">
        <f t="shared" si="255"/>
        <v>Weekday</v>
      </c>
    </row>
    <row r="2007" spans="1:17" x14ac:dyDescent="0.35">
      <c r="A2007" t="s">
        <v>2157</v>
      </c>
      <c r="B2007" s="7">
        <v>45578</v>
      </c>
      <c r="C2007" s="13">
        <f t="shared" si="249"/>
        <v>2024</v>
      </c>
      <c r="D2007" s="7" t="str">
        <f t="shared" si="250"/>
        <v>Oct</v>
      </c>
      <c r="E2007" s="7" t="str">
        <f t="shared" si="251"/>
        <v>Sun</v>
      </c>
      <c r="F2007" t="s">
        <v>642</v>
      </c>
      <c r="G2007" t="s">
        <v>26</v>
      </c>
      <c r="H2007" t="s">
        <v>17</v>
      </c>
      <c r="I2007" s="2" t="str">
        <f t="shared" si="248"/>
        <v>Central</v>
      </c>
      <c r="J2007" t="s">
        <v>12</v>
      </c>
      <c r="K2007" t="s">
        <v>23</v>
      </c>
      <c r="L2007">
        <v>4</v>
      </c>
      <c r="M2007">
        <v>120</v>
      </c>
      <c r="N2007">
        <f t="shared" si="252"/>
        <v>480</v>
      </c>
      <c r="O2007">
        <f t="shared" si="253"/>
        <v>48</v>
      </c>
      <c r="P2007" t="str">
        <f t="shared" si="254"/>
        <v>Standard Order</v>
      </c>
      <c r="Q2007" t="str">
        <f t="shared" si="255"/>
        <v>Weekend</v>
      </c>
    </row>
    <row r="2008" spans="1:17" x14ac:dyDescent="0.35">
      <c r="A2008" t="s">
        <v>2158</v>
      </c>
      <c r="B2008" s="7">
        <v>45639</v>
      </c>
      <c r="C2008" s="13">
        <f t="shared" si="249"/>
        <v>2024</v>
      </c>
      <c r="D2008" s="7" t="str">
        <f t="shared" si="250"/>
        <v>Dec</v>
      </c>
      <c r="E2008" s="7" t="str">
        <f t="shared" si="251"/>
        <v>Fri</v>
      </c>
      <c r="F2008" t="s">
        <v>493</v>
      </c>
      <c r="G2008" t="s">
        <v>65</v>
      </c>
      <c r="H2008" t="s">
        <v>22</v>
      </c>
      <c r="I2008" s="2" t="str">
        <f t="shared" si="248"/>
        <v>Central</v>
      </c>
      <c r="J2008" t="s">
        <v>306</v>
      </c>
      <c r="K2008" t="s">
        <v>36</v>
      </c>
      <c r="L2008">
        <v>6</v>
      </c>
      <c r="M2008">
        <v>120</v>
      </c>
      <c r="N2008">
        <f t="shared" si="252"/>
        <v>720</v>
      </c>
      <c r="O2008">
        <f t="shared" si="253"/>
        <v>72</v>
      </c>
      <c r="P2008" t="str">
        <f t="shared" si="254"/>
        <v>Large Order</v>
      </c>
      <c r="Q2008" t="str">
        <f t="shared" si="255"/>
        <v>Weekday</v>
      </c>
    </row>
    <row r="2009" spans="1:17" x14ac:dyDescent="0.35">
      <c r="A2009" t="s">
        <v>2159</v>
      </c>
      <c r="B2009" s="7">
        <v>45437</v>
      </c>
      <c r="C2009" s="13">
        <f t="shared" si="249"/>
        <v>2024</v>
      </c>
      <c r="D2009" s="7" t="str">
        <f t="shared" si="250"/>
        <v>May</v>
      </c>
      <c r="E2009" s="7" t="str">
        <f t="shared" si="251"/>
        <v>Sat</v>
      </c>
      <c r="F2009" t="s">
        <v>182</v>
      </c>
      <c r="G2009" t="s">
        <v>72</v>
      </c>
      <c r="H2009" t="s">
        <v>22</v>
      </c>
      <c r="I2009" s="2" t="str">
        <f t="shared" si="248"/>
        <v>South</v>
      </c>
      <c r="J2009" t="s">
        <v>306</v>
      </c>
      <c r="K2009" t="s">
        <v>23</v>
      </c>
      <c r="L2009">
        <v>15</v>
      </c>
      <c r="M2009">
        <v>120</v>
      </c>
      <c r="N2009">
        <f t="shared" si="252"/>
        <v>1800</v>
      </c>
      <c r="O2009">
        <f t="shared" si="253"/>
        <v>180</v>
      </c>
      <c r="P2009" t="str">
        <f t="shared" si="254"/>
        <v>Large Order</v>
      </c>
      <c r="Q2009" t="str">
        <f t="shared" si="255"/>
        <v>Weekend</v>
      </c>
    </row>
    <row r="2010" spans="1:17" x14ac:dyDescent="0.35">
      <c r="A2010" t="s">
        <v>2160</v>
      </c>
      <c r="B2010" s="7">
        <v>45487</v>
      </c>
      <c r="C2010" s="13">
        <f t="shared" si="249"/>
        <v>2024</v>
      </c>
      <c r="D2010" s="7" t="str">
        <f t="shared" si="250"/>
        <v>Jul</v>
      </c>
      <c r="E2010" s="7" t="str">
        <f t="shared" si="251"/>
        <v>Sun</v>
      </c>
      <c r="F2010" t="s">
        <v>594</v>
      </c>
      <c r="G2010" t="s">
        <v>74</v>
      </c>
      <c r="H2010" t="s">
        <v>17</v>
      </c>
      <c r="I2010" s="2" t="str">
        <f t="shared" si="248"/>
        <v>North</v>
      </c>
      <c r="J2010" t="s">
        <v>56</v>
      </c>
      <c r="K2010" t="s">
        <v>28</v>
      </c>
      <c r="L2010">
        <v>11</v>
      </c>
      <c r="M2010">
        <v>120</v>
      </c>
      <c r="N2010">
        <f t="shared" si="252"/>
        <v>1320</v>
      </c>
      <c r="O2010">
        <f t="shared" si="253"/>
        <v>132</v>
      </c>
      <c r="P2010" t="str">
        <f t="shared" si="254"/>
        <v>Large Order</v>
      </c>
      <c r="Q2010" t="str">
        <f t="shared" si="255"/>
        <v>Weekend</v>
      </c>
    </row>
    <row r="2011" spans="1:17" x14ac:dyDescent="0.35">
      <c r="A2011" t="s">
        <v>2161</v>
      </c>
      <c r="B2011" s="7">
        <v>45605</v>
      </c>
      <c r="C2011" s="13">
        <f t="shared" si="249"/>
        <v>2024</v>
      </c>
      <c r="D2011" s="7" t="str">
        <f t="shared" si="250"/>
        <v>Nov</v>
      </c>
      <c r="E2011" s="7" t="str">
        <f t="shared" si="251"/>
        <v>Sat</v>
      </c>
      <c r="F2011" t="s">
        <v>314</v>
      </c>
      <c r="G2011" t="s">
        <v>31</v>
      </c>
      <c r="H2011" t="s">
        <v>11</v>
      </c>
      <c r="I2011" s="2" t="str">
        <f t="shared" si="248"/>
        <v>East</v>
      </c>
      <c r="J2011" t="s">
        <v>12</v>
      </c>
      <c r="K2011" t="s">
        <v>28</v>
      </c>
      <c r="L2011">
        <v>11</v>
      </c>
      <c r="M2011">
        <v>120</v>
      </c>
      <c r="N2011">
        <f t="shared" si="252"/>
        <v>1320</v>
      </c>
      <c r="O2011">
        <f t="shared" si="253"/>
        <v>132</v>
      </c>
      <c r="P2011" t="str">
        <f t="shared" si="254"/>
        <v>Large Order</v>
      </c>
      <c r="Q2011" t="str">
        <f t="shared" si="255"/>
        <v>Weekend</v>
      </c>
    </row>
    <row r="2012" spans="1:17" x14ac:dyDescent="0.35">
      <c r="A2012" t="s">
        <v>2162</v>
      </c>
      <c r="B2012" s="7">
        <v>45454</v>
      </c>
      <c r="C2012" s="13">
        <f t="shared" si="249"/>
        <v>2024</v>
      </c>
      <c r="D2012" s="7" t="str">
        <f t="shared" si="250"/>
        <v>Jun</v>
      </c>
      <c r="E2012" s="7" t="str">
        <f t="shared" si="251"/>
        <v>Tue</v>
      </c>
      <c r="F2012" t="s">
        <v>350</v>
      </c>
      <c r="G2012" t="s">
        <v>74</v>
      </c>
      <c r="H2012" t="s">
        <v>22</v>
      </c>
      <c r="I2012" s="2" t="str">
        <f t="shared" si="248"/>
        <v>Central</v>
      </c>
      <c r="J2012" t="s">
        <v>42</v>
      </c>
      <c r="K2012" t="s">
        <v>36</v>
      </c>
      <c r="L2012">
        <v>13</v>
      </c>
      <c r="M2012">
        <v>120</v>
      </c>
      <c r="N2012">
        <f t="shared" si="252"/>
        <v>1560</v>
      </c>
      <c r="O2012">
        <f t="shared" si="253"/>
        <v>156</v>
      </c>
      <c r="P2012" t="str">
        <f t="shared" si="254"/>
        <v>Large Order</v>
      </c>
      <c r="Q2012" t="str">
        <f t="shared" si="255"/>
        <v>Weekday</v>
      </c>
    </row>
    <row r="2013" spans="1:17" x14ac:dyDescent="0.35">
      <c r="A2013" t="s">
        <v>2163</v>
      </c>
      <c r="B2013" s="7">
        <v>45519</v>
      </c>
      <c r="C2013" s="13">
        <f t="shared" si="249"/>
        <v>2024</v>
      </c>
      <c r="D2013" s="7" t="str">
        <f t="shared" si="250"/>
        <v>Aug</v>
      </c>
      <c r="E2013" s="7" t="str">
        <f t="shared" si="251"/>
        <v>Thu</v>
      </c>
      <c r="F2013" t="s">
        <v>420</v>
      </c>
      <c r="G2013" t="s">
        <v>48</v>
      </c>
      <c r="H2013" t="s">
        <v>22</v>
      </c>
      <c r="I2013" s="2" t="str">
        <f t="shared" si="248"/>
        <v>South</v>
      </c>
      <c r="J2013" t="s">
        <v>306</v>
      </c>
      <c r="K2013" t="s">
        <v>36</v>
      </c>
      <c r="L2013">
        <v>15</v>
      </c>
      <c r="M2013">
        <v>120</v>
      </c>
      <c r="N2013">
        <f t="shared" si="252"/>
        <v>1800</v>
      </c>
      <c r="O2013">
        <f t="shared" si="253"/>
        <v>180</v>
      </c>
      <c r="P2013" t="str">
        <f t="shared" si="254"/>
        <v>Large Order</v>
      </c>
      <c r="Q2013" t="str">
        <f t="shared" si="255"/>
        <v>Weekday</v>
      </c>
    </row>
    <row r="2014" spans="1:17" x14ac:dyDescent="0.35">
      <c r="A2014" t="s">
        <v>2164</v>
      </c>
      <c r="B2014" s="7">
        <v>45386</v>
      </c>
      <c r="C2014" s="13">
        <f t="shared" si="249"/>
        <v>2024</v>
      </c>
      <c r="D2014" s="7" t="str">
        <f t="shared" si="250"/>
        <v>Apr</v>
      </c>
      <c r="E2014" s="7" t="str">
        <f t="shared" si="251"/>
        <v>Thu</v>
      </c>
      <c r="F2014" t="s">
        <v>138</v>
      </c>
      <c r="G2014" t="s">
        <v>16</v>
      </c>
      <c r="H2014" t="s">
        <v>22</v>
      </c>
      <c r="I2014" s="2" t="str">
        <f t="shared" si="248"/>
        <v>West</v>
      </c>
      <c r="J2014" t="s">
        <v>56</v>
      </c>
      <c r="K2014" t="s">
        <v>32</v>
      </c>
      <c r="L2014">
        <v>3</v>
      </c>
      <c r="M2014">
        <v>120</v>
      </c>
      <c r="N2014">
        <f t="shared" si="252"/>
        <v>360</v>
      </c>
      <c r="O2014">
        <f t="shared" si="253"/>
        <v>36</v>
      </c>
      <c r="P2014" t="str">
        <f t="shared" si="254"/>
        <v>Standard Order</v>
      </c>
      <c r="Q2014" t="str">
        <f t="shared" si="255"/>
        <v>Weekday</v>
      </c>
    </row>
    <row r="2015" spans="1:17" x14ac:dyDescent="0.35">
      <c r="A2015" t="s">
        <v>2165</v>
      </c>
      <c r="B2015" s="7">
        <v>45495</v>
      </c>
      <c r="C2015" s="13">
        <f t="shared" si="249"/>
        <v>2024</v>
      </c>
      <c r="D2015" s="7" t="str">
        <f t="shared" si="250"/>
        <v>Jul</v>
      </c>
      <c r="E2015" s="7" t="str">
        <f t="shared" si="251"/>
        <v>Mon</v>
      </c>
      <c r="F2015" t="s">
        <v>15</v>
      </c>
      <c r="G2015" t="s">
        <v>102</v>
      </c>
      <c r="H2015" t="s">
        <v>11</v>
      </c>
      <c r="I2015" s="2" t="str">
        <f t="shared" si="248"/>
        <v>North</v>
      </c>
      <c r="J2015" t="s">
        <v>27</v>
      </c>
      <c r="K2015" t="s">
        <v>36</v>
      </c>
      <c r="L2015">
        <v>2</v>
      </c>
      <c r="M2015">
        <v>120</v>
      </c>
      <c r="N2015">
        <f t="shared" si="252"/>
        <v>240</v>
      </c>
      <c r="O2015">
        <f t="shared" si="253"/>
        <v>24</v>
      </c>
      <c r="P2015" t="str">
        <f t="shared" si="254"/>
        <v>Standard Order</v>
      </c>
      <c r="Q2015" t="str">
        <f t="shared" si="255"/>
        <v>Weekday</v>
      </c>
    </row>
    <row r="2016" spans="1:17" x14ac:dyDescent="0.35">
      <c r="A2016" t="s">
        <v>2166</v>
      </c>
      <c r="B2016" s="7">
        <v>45495</v>
      </c>
      <c r="C2016" s="13">
        <f t="shared" si="249"/>
        <v>2024</v>
      </c>
      <c r="D2016" s="7" t="str">
        <f t="shared" si="250"/>
        <v>Jul</v>
      </c>
      <c r="E2016" s="7" t="str">
        <f t="shared" si="251"/>
        <v>Mon</v>
      </c>
      <c r="F2016" t="s">
        <v>339</v>
      </c>
      <c r="G2016" t="s">
        <v>119</v>
      </c>
      <c r="H2016" t="s">
        <v>11</v>
      </c>
      <c r="I2016" s="2" t="str">
        <f t="shared" si="248"/>
        <v>South</v>
      </c>
      <c r="J2016" t="s">
        <v>12</v>
      </c>
      <c r="K2016" t="s">
        <v>32</v>
      </c>
      <c r="L2016">
        <v>20</v>
      </c>
      <c r="M2016">
        <v>120</v>
      </c>
      <c r="N2016">
        <f t="shared" si="252"/>
        <v>2400</v>
      </c>
      <c r="O2016">
        <f t="shared" si="253"/>
        <v>240</v>
      </c>
      <c r="P2016" t="str">
        <f t="shared" si="254"/>
        <v>Large Order</v>
      </c>
      <c r="Q2016" t="str">
        <f t="shared" si="255"/>
        <v>Weekday</v>
      </c>
    </row>
    <row r="2017" spans="1:17" x14ac:dyDescent="0.35">
      <c r="A2017" t="s">
        <v>2167</v>
      </c>
      <c r="B2017" s="7">
        <v>45627</v>
      </c>
      <c r="C2017" s="13">
        <f t="shared" si="249"/>
        <v>2024</v>
      </c>
      <c r="D2017" s="7" t="str">
        <f t="shared" si="250"/>
        <v>Dec</v>
      </c>
      <c r="E2017" s="7" t="str">
        <f t="shared" si="251"/>
        <v>Sun</v>
      </c>
      <c r="F2017" t="s">
        <v>53</v>
      </c>
      <c r="G2017" t="s">
        <v>74</v>
      </c>
      <c r="H2017" t="s">
        <v>11</v>
      </c>
      <c r="I2017" s="2" t="str">
        <f t="shared" si="248"/>
        <v>North</v>
      </c>
      <c r="J2017" t="s">
        <v>56</v>
      </c>
      <c r="K2017" t="s">
        <v>32</v>
      </c>
      <c r="L2017">
        <v>15</v>
      </c>
      <c r="M2017">
        <v>120</v>
      </c>
      <c r="N2017">
        <f t="shared" si="252"/>
        <v>1800</v>
      </c>
      <c r="O2017">
        <f t="shared" si="253"/>
        <v>180</v>
      </c>
      <c r="P2017" t="str">
        <f t="shared" si="254"/>
        <v>Large Order</v>
      </c>
      <c r="Q2017" t="str">
        <f t="shared" si="255"/>
        <v>Weekend</v>
      </c>
    </row>
    <row r="2018" spans="1:17" x14ac:dyDescent="0.35">
      <c r="A2018" t="s">
        <v>2168</v>
      </c>
      <c r="B2018" s="7">
        <v>45359</v>
      </c>
      <c r="C2018" s="13">
        <f t="shared" si="249"/>
        <v>2024</v>
      </c>
      <c r="D2018" s="7" t="str">
        <f t="shared" si="250"/>
        <v>Mar</v>
      </c>
      <c r="E2018" s="7" t="str">
        <f t="shared" si="251"/>
        <v>Fri</v>
      </c>
      <c r="F2018" t="s">
        <v>339</v>
      </c>
      <c r="G2018" t="s">
        <v>45</v>
      </c>
      <c r="H2018" t="s">
        <v>11</v>
      </c>
      <c r="I2018" s="2" t="str">
        <f t="shared" si="248"/>
        <v>West</v>
      </c>
      <c r="J2018" t="s">
        <v>12</v>
      </c>
      <c r="K2018" t="s">
        <v>32</v>
      </c>
      <c r="L2018">
        <v>11</v>
      </c>
      <c r="M2018">
        <v>120</v>
      </c>
      <c r="N2018">
        <f t="shared" si="252"/>
        <v>1320</v>
      </c>
      <c r="O2018">
        <f t="shared" si="253"/>
        <v>132</v>
      </c>
      <c r="P2018" t="str">
        <f t="shared" si="254"/>
        <v>Large Order</v>
      </c>
      <c r="Q2018" t="str">
        <f t="shared" si="255"/>
        <v>Weekday</v>
      </c>
    </row>
    <row r="2019" spans="1:17" x14ac:dyDescent="0.35">
      <c r="A2019" t="s">
        <v>2169</v>
      </c>
      <c r="B2019" s="7">
        <v>45531</v>
      </c>
      <c r="C2019" s="13">
        <f t="shared" si="249"/>
        <v>2024</v>
      </c>
      <c r="D2019" s="7" t="str">
        <f t="shared" si="250"/>
        <v>Aug</v>
      </c>
      <c r="E2019" s="7" t="str">
        <f t="shared" si="251"/>
        <v>Tue</v>
      </c>
      <c r="F2019" t="s">
        <v>591</v>
      </c>
      <c r="G2019" t="s">
        <v>26</v>
      </c>
      <c r="H2019" t="s">
        <v>22</v>
      </c>
      <c r="I2019" s="2" t="str">
        <f t="shared" si="248"/>
        <v>Central</v>
      </c>
      <c r="J2019" t="s">
        <v>27</v>
      </c>
      <c r="K2019" t="s">
        <v>28</v>
      </c>
      <c r="L2019">
        <v>18</v>
      </c>
      <c r="M2019">
        <v>120</v>
      </c>
      <c r="N2019">
        <f t="shared" si="252"/>
        <v>2160</v>
      </c>
      <c r="O2019">
        <f t="shared" si="253"/>
        <v>216</v>
      </c>
      <c r="P2019" t="str">
        <f t="shared" si="254"/>
        <v>Large Order</v>
      </c>
      <c r="Q2019" t="str">
        <f t="shared" si="255"/>
        <v>Weekday</v>
      </c>
    </row>
    <row r="2020" spans="1:17" x14ac:dyDescent="0.35">
      <c r="A2020" t="s">
        <v>2170</v>
      </c>
      <c r="B2020" s="7">
        <v>45597</v>
      </c>
      <c r="C2020" s="13">
        <f t="shared" si="249"/>
        <v>2024</v>
      </c>
      <c r="D2020" s="7" t="str">
        <f t="shared" si="250"/>
        <v>Nov</v>
      </c>
      <c r="E2020" s="7" t="str">
        <f t="shared" si="251"/>
        <v>Fri</v>
      </c>
      <c r="F2020" t="s">
        <v>366</v>
      </c>
      <c r="G2020" t="s">
        <v>21</v>
      </c>
      <c r="H2020" t="s">
        <v>22</v>
      </c>
      <c r="I2020" s="2" t="str">
        <f t="shared" si="248"/>
        <v>Central</v>
      </c>
      <c r="J2020" t="s">
        <v>306</v>
      </c>
      <c r="K2020" t="s">
        <v>23</v>
      </c>
      <c r="L2020">
        <v>17</v>
      </c>
      <c r="M2020">
        <v>120</v>
      </c>
      <c r="N2020">
        <f t="shared" si="252"/>
        <v>2040</v>
      </c>
      <c r="O2020">
        <f t="shared" si="253"/>
        <v>204</v>
      </c>
      <c r="P2020" t="str">
        <f t="shared" si="254"/>
        <v>Large Order</v>
      </c>
      <c r="Q2020" t="str">
        <f t="shared" si="255"/>
        <v>Weekday</v>
      </c>
    </row>
    <row r="2021" spans="1:17" x14ac:dyDescent="0.35">
      <c r="A2021" t="s">
        <v>2171</v>
      </c>
      <c r="B2021" s="7">
        <v>45565</v>
      </c>
      <c r="C2021" s="13">
        <f t="shared" si="249"/>
        <v>2024</v>
      </c>
      <c r="D2021" s="7" t="str">
        <f t="shared" si="250"/>
        <v>Sep</v>
      </c>
      <c r="E2021" s="7" t="str">
        <f t="shared" si="251"/>
        <v>Mon</v>
      </c>
      <c r="F2021" t="s">
        <v>147</v>
      </c>
      <c r="G2021" t="s">
        <v>48</v>
      </c>
      <c r="H2021" t="s">
        <v>17</v>
      </c>
      <c r="I2021" s="2" t="str">
        <f t="shared" si="248"/>
        <v>East</v>
      </c>
      <c r="J2021" t="s">
        <v>306</v>
      </c>
      <c r="K2021" t="s">
        <v>28</v>
      </c>
      <c r="L2021">
        <v>3</v>
      </c>
      <c r="M2021">
        <v>120</v>
      </c>
      <c r="N2021">
        <f t="shared" si="252"/>
        <v>360</v>
      </c>
      <c r="O2021">
        <f t="shared" si="253"/>
        <v>36</v>
      </c>
      <c r="P2021" t="str">
        <f t="shared" si="254"/>
        <v>Standard Order</v>
      </c>
      <c r="Q2021" t="str">
        <f t="shared" si="255"/>
        <v>Weekday</v>
      </c>
    </row>
    <row r="2022" spans="1:17" x14ac:dyDescent="0.35">
      <c r="A2022" t="s">
        <v>2172</v>
      </c>
      <c r="B2022" s="7">
        <v>45479</v>
      </c>
      <c r="C2022" s="13">
        <f t="shared" si="249"/>
        <v>2024</v>
      </c>
      <c r="D2022" s="7" t="str">
        <f t="shared" si="250"/>
        <v>Jul</v>
      </c>
      <c r="E2022" s="7" t="str">
        <f t="shared" si="251"/>
        <v>Sat</v>
      </c>
      <c r="F2022" t="s">
        <v>408</v>
      </c>
      <c r="G2022" t="s">
        <v>26</v>
      </c>
      <c r="H2022" t="s">
        <v>11</v>
      </c>
      <c r="I2022" s="2" t="str">
        <f t="shared" si="248"/>
        <v>Central</v>
      </c>
      <c r="J2022" t="s">
        <v>42</v>
      </c>
      <c r="K2022" t="s">
        <v>13</v>
      </c>
      <c r="L2022">
        <v>1</v>
      </c>
      <c r="M2022">
        <v>120</v>
      </c>
      <c r="N2022">
        <f t="shared" si="252"/>
        <v>120</v>
      </c>
      <c r="O2022">
        <f t="shared" si="253"/>
        <v>12</v>
      </c>
      <c r="P2022" t="str">
        <f t="shared" si="254"/>
        <v>Standard Order</v>
      </c>
      <c r="Q2022" t="str">
        <f t="shared" si="255"/>
        <v>Weekend</v>
      </c>
    </row>
    <row r="2023" spans="1:17" x14ac:dyDescent="0.35">
      <c r="A2023" t="s">
        <v>2173</v>
      </c>
      <c r="B2023" s="7">
        <v>45361</v>
      </c>
      <c r="C2023" s="13">
        <f t="shared" si="249"/>
        <v>2024</v>
      </c>
      <c r="D2023" s="7" t="str">
        <f t="shared" si="250"/>
        <v>Mar</v>
      </c>
      <c r="E2023" s="7" t="str">
        <f t="shared" si="251"/>
        <v>Sun</v>
      </c>
      <c r="F2023" t="s">
        <v>20</v>
      </c>
      <c r="G2023" t="s">
        <v>74</v>
      </c>
      <c r="H2023" t="s">
        <v>17</v>
      </c>
      <c r="I2023" s="2" t="str">
        <f t="shared" si="248"/>
        <v>East</v>
      </c>
      <c r="J2023" t="s">
        <v>306</v>
      </c>
      <c r="K2023" t="s">
        <v>13</v>
      </c>
      <c r="L2023">
        <v>16</v>
      </c>
      <c r="M2023">
        <v>120</v>
      </c>
      <c r="N2023">
        <f t="shared" si="252"/>
        <v>1920</v>
      </c>
      <c r="O2023">
        <f t="shared" si="253"/>
        <v>192</v>
      </c>
      <c r="P2023" t="str">
        <f t="shared" si="254"/>
        <v>Large Order</v>
      </c>
      <c r="Q2023" t="str">
        <f t="shared" si="255"/>
        <v>Weekend</v>
      </c>
    </row>
    <row r="2024" spans="1:17" x14ac:dyDescent="0.35">
      <c r="A2024" t="s">
        <v>2174</v>
      </c>
      <c r="B2024" s="7">
        <v>45536</v>
      </c>
      <c r="C2024" s="13">
        <f t="shared" si="249"/>
        <v>2024</v>
      </c>
      <c r="D2024" s="7" t="str">
        <f t="shared" si="250"/>
        <v>Sep</v>
      </c>
      <c r="E2024" s="7" t="str">
        <f t="shared" si="251"/>
        <v>Sun</v>
      </c>
      <c r="F2024" t="s">
        <v>68</v>
      </c>
      <c r="G2024" t="s">
        <v>96</v>
      </c>
      <c r="H2024" t="s">
        <v>17</v>
      </c>
      <c r="I2024" s="2" t="str">
        <f t="shared" si="248"/>
        <v>Central</v>
      </c>
      <c r="J2024" t="s">
        <v>42</v>
      </c>
      <c r="K2024" t="s">
        <v>36</v>
      </c>
      <c r="L2024">
        <v>8</v>
      </c>
      <c r="M2024">
        <v>120</v>
      </c>
      <c r="N2024">
        <f t="shared" si="252"/>
        <v>960</v>
      </c>
      <c r="O2024">
        <f t="shared" si="253"/>
        <v>96</v>
      </c>
      <c r="P2024" t="str">
        <f t="shared" si="254"/>
        <v>Large Order</v>
      </c>
      <c r="Q2024" t="str">
        <f t="shared" si="255"/>
        <v>Weekend</v>
      </c>
    </row>
    <row r="2025" spans="1:17" x14ac:dyDescent="0.35">
      <c r="A2025" t="s">
        <v>2175</v>
      </c>
      <c r="B2025" s="7">
        <v>45572</v>
      </c>
      <c r="C2025" s="13">
        <f t="shared" si="249"/>
        <v>2024</v>
      </c>
      <c r="D2025" s="7" t="str">
        <f t="shared" si="250"/>
        <v>Oct</v>
      </c>
      <c r="E2025" s="7" t="str">
        <f t="shared" si="251"/>
        <v>Mon</v>
      </c>
      <c r="F2025" t="s">
        <v>200</v>
      </c>
      <c r="G2025" t="s">
        <v>65</v>
      </c>
      <c r="H2025" t="s">
        <v>17</v>
      </c>
      <c r="I2025" s="2" t="str">
        <f t="shared" si="248"/>
        <v>East</v>
      </c>
      <c r="J2025" t="s">
        <v>306</v>
      </c>
      <c r="K2025" t="s">
        <v>23</v>
      </c>
      <c r="L2025">
        <v>13</v>
      </c>
      <c r="M2025">
        <v>120</v>
      </c>
      <c r="N2025">
        <f t="shared" si="252"/>
        <v>1560</v>
      </c>
      <c r="O2025">
        <f t="shared" si="253"/>
        <v>156</v>
      </c>
      <c r="P2025" t="str">
        <f t="shared" si="254"/>
        <v>Large Order</v>
      </c>
      <c r="Q2025" t="str">
        <f t="shared" si="255"/>
        <v>Weekday</v>
      </c>
    </row>
    <row r="2026" spans="1:17" x14ac:dyDescent="0.35">
      <c r="A2026" t="s">
        <v>2176</v>
      </c>
      <c r="B2026" s="7">
        <v>45622</v>
      </c>
      <c r="C2026" s="13">
        <f t="shared" si="249"/>
        <v>2024</v>
      </c>
      <c r="D2026" s="7" t="str">
        <f t="shared" si="250"/>
        <v>Nov</v>
      </c>
      <c r="E2026" s="7" t="str">
        <f t="shared" si="251"/>
        <v>Tue</v>
      </c>
      <c r="F2026" t="s">
        <v>53</v>
      </c>
      <c r="G2026" t="s">
        <v>31</v>
      </c>
      <c r="H2026" t="s">
        <v>11</v>
      </c>
      <c r="I2026" s="2" t="str">
        <f t="shared" si="248"/>
        <v>East</v>
      </c>
      <c r="J2026" t="s">
        <v>42</v>
      </c>
      <c r="K2026" t="s">
        <v>13</v>
      </c>
      <c r="L2026">
        <v>14</v>
      </c>
      <c r="M2026">
        <v>120</v>
      </c>
      <c r="N2026">
        <f t="shared" si="252"/>
        <v>1680</v>
      </c>
      <c r="O2026">
        <f t="shared" si="253"/>
        <v>168</v>
      </c>
      <c r="P2026" t="str">
        <f t="shared" si="254"/>
        <v>Large Order</v>
      </c>
      <c r="Q2026" t="str">
        <f t="shared" si="255"/>
        <v>Weekday</v>
      </c>
    </row>
    <row r="2027" spans="1:17" x14ac:dyDescent="0.35">
      <c r="A2027" t="s">
        <v>2177</v>
      </c>
      <c r="B2027" s="7">
        <v>45556</v>
      </c>
      <c r="C2027" s="13">
        <f t="shared" si="249"/>
        <v>2024</v>
      </c>
      <c r="D2027" s="7" t="str">
        <f t="shared" si="250"/>
        <v>Sep</v>
      </c>
      <c r="E2027" s="7" t="str">
        <f t="shared" si="251"/>
        <v>Sat</v>
      </c>
      <c r="F2027" t="s">
        <v>332</v>
      </c>
      <c r="G2027" t="s">
        <v>109</v>
      </c>
      <c r="H2027" t="s">
        <v>22</v>
      </c>
      <c r="I2027" s="2" t="str">
        <f t="shared" si="248"/>
        <v>South</v>
      </c>
      <c r="J2027" t="s">
        <v>42</v>
      </c>
      <c r="K2027" t="s">
        <v>32</v>
      </c>
      <c r="L2027">
        <v>18</v>
      </c>
      <c r="M2027">
        <v>120</v>
      </c>
      <c r="N2027">
        <f t="shared" si="252"/>
        <v>2160</v>
      </c>
      <c r="O2027">
        <f t="shared" si="253"/>
        <v>216</v>
      </c>
      <c r="P2027" t="str">
        <f t="shared" si="254"/>
        <v>Large Order</v>
      </c>
      <c r="Q2027" t="str">
        <f t="shared" si="255"/>
        <v>Weekend</v>
      </c>
    </row>
    <row r="2028" spans="1:17" x14ac:dyDescent="0.35">
      <c r="A2028" t="s">
        <v>2178</v>
      </c>
      <c r="B2028" s="7">
        <v>45503</v>
      </c>
      <c r="C2028" s="13">
        <f t="shared" si="249"/>
        <v>2024</v>
      </c>
      <c r="D2028" s="7" t="str">
        <f t="shared" si="250"/>
        <v>Jul</v>
      </c>
      <c r="E2028" s="7" t="str">
        <f t="shared" si="251"/>
        <v>Tue</v>
      </c>
      <c r="F2028" t="s">
        <v>150</v>
      </c>
      <c r="G2028" t="s">
        <v>10</v>
      </c>
      <c r="H2028" t="s">
        <v>11</v>
      </c>
      <c r="I2028" s="2" t="str">
        <f t="shared" si="248"/>
        <v>Central</v>
      </c>
      <c r="J2028" t="s">
        <v>56</v>
      </c>
      <c r="K2028" t="s">
        <v>32</v>
      </c>
      <c r="L2028">
        <v>4</v>
      </c>
      <c r="M2028">
        <v>120</v>
      </c>
      <c r="N2028">
        <f t="shared" si="252"/>
        <v>480</v>
      </c>
      <c r="O2028">
        <f t="shared" si="253"/>
        <v>48</v>
      </c>
      <c r="P2028" t="str">
        <f t="shared" si="254"/>
        <v>Standard Order</v>
      </c>
      <c r="Q2028" t="str">
        <f t="shared" si="255"/>
        <v>Weekday</v>
      </c>
    </row>
    <row r="2029" spans="1:17" x14ac:dyDescent="0.35">
      <c r="A2029" t="s">
        <v>2179</v>
      </c>
      <c r="B2029" s="7">
        <v>45608</v>
      </c>
      <c r="C2029" s="13">
        <f t="shared" si="249"/>
        <v>2024</v>
      </c>
      <c r="D2029" s="7" t="str">
        <f t="shared" si="250"/>
        <v>Nov</v>
      </c>
      <c r="E2029" s="7" t="str">
        <f t="shared" si="251"/>
        <v>Tue</v>
      </c>
      <c r="F2029" t="s">
        <v>430</v>
      </c>
      <c r="G2029" t="s">
        <v>26</v>
      </c>
      <c r="H2029" t="s">
        <v>22</v>
      </c>
      <c r="I2029" s="2" t="str">
        <f t="shared" si="248"/>
        <v>South</v>
      </c>
      <c r="J2029" t="s">
        <v>306</v>
      </c>
      <c r="K2029" t="s">
        <v>23</v>
      </c>
      <c r="L2029">
        <v>7</v>
      </c>
      <c r="M2029">
        <v>120</v>
      </c>
      <c r="N2029">
        <f t="shared" si="252"/>
        <v>840</v>
      </c>
      <c r="O2029">
        <f t="shared" si="253"/>
        <v>84</v>
      </c>
      <c r="P2029" t="str">
        <f t="shared" si="254"/>
        <v>Large Order</v>
      </c>
      <c r="Q2029" t="str">
        <f t="shared" si="255"/>
        <v>Weekday</v>
      </c>
    </row>
    <row r="2030" spans="1:17" x14ac:dyDescent="0.35">
      <c r="A2030" t="s">
        <v>2180</v>
      </c>
      <c r="B2030" s="7">
        <v>45369</v>
      </c>
      <c r="C2030" s="13">
        <f t="shared" si="249"/>
        <v>2024</v>
      </c>
      <c r="D2030" s="7" t="str">
        <f t="shared" si="250"/>
        <v>Mar</v>
      </c>
      <c r="E2030" s="7" t="str">
        <f t="shared" si="251"/>
        <v>Mon</v>
      </c>
      <c r="F2030" t="s">
        <v>9</v>
      </c>
      <c r="G2030" t="s">
        <v>174</v>
      </c>
      <c r="H2030" t="s">
        <v>11</v>
      </c>
      <c r="I2030" s="2" t="str">
        <f t="shared" si="248"/>
        <v>North</v>
      </c>
      <c r="J2030" t="s">
        <v>56</v>
      </c>
      <c r="K2030" t="s">
        <v>13</v>
      </c>
      <c r="L2030">
        <v>10</v>
      </c>
      <c r="M2030">
        <v>120</v>
      </c>
      <c r="N2030">
        <f t="shared" si="252"/>
        <v>1200</v>
      </c>
      <c r="O2030">
        <f t="shared" si="253"/>
        <v>120</v>
      </c>
      <c r="P2030" t="str">
        <f t="shared" si="254"/>
        <v>Large Order</v>
      </c>
      <c r="Q2030" t="str">
        <f t="shared" si="255"/>
        <v>Weekday</v>
      </c>
    </row>
    <row r="2031" spans="1:17" x14ac:dyDescent="0.35">
      <c r="A2031" t="s">
        <v>2181</v>
      </c>
      <c r="B2031" s="7">
        <v>45516</v>
      </c>
      <c r="C2031" s="13">
        <f t="shared" si="249"/>
        <v>2024</v>
      </c>
      <c r="D2031" s="7" t="str">
        <f t="shared" si="250"/>
        <v>Aug</v>
      </c>
      <c r="E2031" s="7" t="str">
        <f t="shared" si="251"/>
        <v>Mon</v>
      </c>
      <c r="F2031" t="s">
        <v>388</v>
      </c>
      <c r="G2031" t="s">
        <v>96</v>
      </c>
      <c r="H2031" t="s">
        <v>11</v>
      </c>
      <c r="I2031" s="2" t="str">
        <f t="shared" si="248"/>
        <v>East</v>
      </c>
      <c r="J2031" t="s">
        <v>12</v>
      </c>
      <c r="K2031" t="s">
        <v>28</v>
      </c>
      <c r="L2031">
        <v>1</v>
      </c>
      <c r="M2031">
        <v>120</v>
      </c>
      <c r="N2031">
        <f t="shared" si="252"/>
        <v>120</v>
      </c>
      <c r="O2031">
        <f t="shared" si="253"/>
        <v>12</v>
      </c>
      <c r="P2031" t="str">
        <f t="shared" si="254"/>
        <v>Standard Order</v>
      </c>
      <c r="Q2031" t="str">
        <f t="shared" si="255"/>
        <v>Weekday</v>
      </c>
    </row>
    <row r="2032" spans="1:17" x14ac:dyDescent="0.35">
      <c r="A2032" t="s">
        <v>2182</v>
      </c>
      <c r="B2032" s="7">
        <v>45467</v>
      </c>
      <c r="C2032" s="13">
        <f t="shared" si="249"/>
        <v>2024</v>
      </c>
      <c r="D2032" s="7" t="str">
        <f t="shared" si="250"/>
        <v>Jun</v>
      </c>
      <c r="E2032" s="7" t="str">
        <f t="shared" si="251"/>
        <v>Mon</v>
      </c>
      <c r="F2032" t="s">
        <v>572</v>
      </c>
      <c r="G2032" t="s">
        <v>74</v>
      </c>
      <c r="H2032" t="s">
        <v>17</v>
      </c>
      <c r="I2032" s="2" t="str">
        <f t="shared" si="248"/>
        <v>North</v>
      </c>
      <c r="J2032" t="s">
        <v>42</v>
      </c>
      <c r="K2032" t="s">
        <v>23</v>
      </c>
      <c r="L2032">
        <v>2</v>
      </c>
      <c r="M2032">
        <v>120</v>
      </c>
      <c r="N2032">
        <f t="shared" si="252"/>
        <v>240</v>
      </c>
      <c r="O2032">
        <f t="shared" si="253"/>
        <v>24</v>
      </c>
      <c r="P2032" t="str">
        <f t="shared" si="254"/>
        <v>Standard Order</v>
      </c>
      <c r="Q2032" t="str">
        <f t="shared" si="255"/>
        <v>Weekday</v>
      </c>
    </row>
    <row r="2033" spans="1:17" x14ac:dyDescent="0.35">
      <c r="A2033" t="s">
        <v>2183</v>
      </c>
      <c r="B2033" s="7">
        <v>45366</v>
      </c>
      <c r="C2033" s="13">
        <f t="shared" si="249"/>
        <v>2024</v>
      </c>
      <c r="D2033" s="7" t="str">
        <f t="shared" si="250"/>
        <v>Mar</v>
      </c>
      <c r="E2033" s="7" t="str">
        <f t="shared" si="251"/>
        <v>Fri</v>
      </c>
      <c r="F2033" t="s">
        <v>131</v>
      </c>
      <c r="G2033" t="s">
        <v>26</v>
      </c>
      <c r="H2033" t="s">
        <v>17</v>
      </c>
      <c r="I2033" s="2" t="str">
        <f t="shared" si="248"/>
        <v>South</v>
      </c>
      <c r="J2033" t="s">
        <v>12</v>
      </c>
      <c r="K2033" t="s">
        <v>36</v>
      </c>
      <c r="L2033">
        <v>16</v>
      </c>
      <c r="M2033">
        <v>120</v>
      </c>
      <c r="N2033">
        <f t="shared" si="252"/>
        <v>1920</v>
      </c>
      <c r="O2033">
        <f t="shared" si="253"/>
        <v>192</v>
      </c>
      <c r="P2033" t="str">
        <f t="shared" si="254"/>
        <v>Large Order</v>
      </c>
      <c r="Q2033" t="str">
        <f t="shared" si="255"/>
        <v>Weekday</v>
      </c>
    </row>
    <row r="2034" spans="1:17" x14ac:dyDescent="0.35">
      <c r="A2034" t="s">
        <v>2184</v>
      </c>
      <c r="B2034" s="7">
        <v>45420</v>
      </c>
      <c r="C2034" s="13">
        <f t="shared" si="249"/>
        <v>2024</v>
      </c>
      <c r="D2034" s="7" t="str">
        <f t="shared" si="250"/>
        <v>May</v>
      </c>
      <c r="E2034" s="7" t="str">
        <f t="shared" si="251"/>
        <v>Wed</v>
      </c>
      <c r="F2034" t="s">
        <v>159</v>
      </c>
      <c r="G2034" t="s">
        <v>96</v>
      </c>
      <c r="H2034" t="s">
        <v>11</v>
      </c>
      <c r="I2034" s="2" t="str">
        <f t="shared" si="248"/>
        <v>North</v>
      </c>
      <c r="J2034" t="s">
        <v>56</v>
      </c>
      <c r="K2034" t="s">
        <v>23</v>
      </c>
      <c r="L2034">
        <v>15</v>
      </c>
      <c r="M2034">
        <v>120</v>
      </c>
      <c r="N2034">
        <f t="shared" si="252"/>
        <v>1800</v>
      </c>
      <c r="O2034">
        <f t="shared" si="253"/>
        <v>180</v>
      </c>
      <c r="P2034" t="str">
        <f t="shared" si="254"/>
        <v>Large Order</v>
      </c>
      <c r="Q2034" t="str">
        <f t="shared" si="255"/>
        <v>Weekday</v>
      </c>
    </row>
    <row r="2035" spans="1:17" x14ac:dyDescent="0.35">
      <c r="A2035" t="s">
        <v>2185</v>
      </c>
      <c r="B2035" s="7">
        <v>45309</v>
      </c>
      <c r="C2035" s="13">
        <f t="shared" si="249"/>
        <v>2024</v>
      </c>
      <c r="D2035" s="7" t="str">
        <f t="shared" si="250"/>
        <v>Jan</v>
      </c>
      <c r="E2035" s="7" t="str">
        <f t="shared" si="251"/>
        <v>Thu</v>
      </c>
      <c r="F2035" t="s">
        <v>104</v>
      </c>
      <c r="G2035" t="s">
        <v>70</v>
      </c>
      <c r="H2035" t="s">
        <v>22</v>
      </c>
      <c r="I2035" s="2" t="str">
        <f t="shared" si="248"/>
        <v>North</v>
      </c>
      <c r="J2035" t="s">
        <v>12</v>
      </c>
      <c r="K2035" t="s">
        <v>36</v>
      </c>
      <c r="L2035">
        <v>7</v>
      </c>
      <c r="M2035">
        <v>120</v>
      </c>
      <c r="N2035">
        <f t="shared" si="252"/>
        <v>840</v>
      </c>
      <c r="O2035">
        <f t="shared" si="253"/>
        <v>84</v>
      </c>
      <c r="P2035" t="str">
        <f t="shared" si="254"/>
        <v>Large Order</v>
      </c>
      <c r="Q2035" t="str">
        <f t="shared" si="255"/>
        <v>Weekday</v>
      </c>
    </row>
    <row r="2036" spans="1:17" x14ac:dyDescent="0.35">
      <c r="A2036" t="s">
        <v>2186</v>
      </c>
      <c r="B2036" s="7">
        <v>45640</v>
      </c>
      <c r="C2036" s="13">
        <f t="shared" si="249"/>
        <v>2024</v>
      </c>
      <c r="D2036" s="7" t="str">
        <f t="shared" si="250"/>
        <v>Dec</v>
      </c>
      <c r="E2036" s="7" t="str">
        <f t="shared" si="251"/>
        <v>Sat</v>
      </c>
      <c r="F2036" t="s">
        <v>147</v>
      </c>
      <c r="G2036" t="s">
        <v>72</v>
      </c>
      <c r="H2036" t="s">
        <v>11</v>
      </c>
      <c r="I2036" s="2" t="str">
        <f t="shared" si="248"/>
        <v>East</v>
      </c>
      <c r="J2036" t="s">
        <v>12</v>
      </c>
      <c r="K2036" t="s">
        <v>36</v>
      </c>
      <c r="L2036">
        <v>17</v>
      </c>
      <c r="M2036">
        <v>120</v>
      </c>
      <c r="N2036">
        <f t="shared" si="252"/>
        <v>2040</v>
      </c>
      <c r="O2036">
        <f t="shared" si="253"/>
        <v>204</v>
      </c>
      <c r="P2036" t="str">
        <f t="shared" si="254"/>
        <v>Large Order</v>
      </c>
      <c r="Q2036" t="str">
        <f t="shared" si="255"/>
        <v>Weekend</v>
      </c>
    </row>
    <row r="2037" spans="1:17" x14ac:dyDescent="0.35">
      <c r="A2037" t="s">
        <v>2187</v>
      </c>
      <c r="B2037" s="7">
        <v>45538</v>
      </c>
      <c r="C2037" s="13">
        <f t="shared" si="249"/>
        <v>2024</v>
      </c>
      <c r="D2037" s="7" t="str">
        <f t="shared" si="250"/>
        <v>Sep</v>
      </c>
      <c r="E2037" s="7" t="str">
        <f t="shared" si="251"/>
        <v>Tue</v>
      </c>
      <c r="F2037" t="s">
        <v>541</v>
      </c>
      <c r="G2037" t="s">
        <v>74</v>
      </c>
      <c r="H2037" t="s">
        <v>11</v>
      </c>
      <c r="I2037" s="2" t="str">
        <f t="shared" si="248"/>
        <v>North</v>
      </c>
      <c r="J2037" t="s">
        <v>42</v>
      </c>
      <c r="K2037" t="s">
        <v>13</v>
      </c>
      <c r="L2037">
        <v>7</v>
      </c>
      <c r="M2037">
        <v>120</v>
      </c>
      <c r="N2037">
        <f t="shared" si="252"/>
        <v>840</v>
      </c>
      <c r="O2037">
        <f t="shared" si="253"/>
        <v>84</v>
      </c>
      <c r="P2037" t="str">
        <f t="shared" si="254"/>
        <v>Large Order</v>
      </c>
      <c r="Q2037" t="str">
        <f t="shared" si="255"/>
        <v>Weekday</v>
      </c>
    </row>
    <row r="2038" spans="1:17" x14ac:dyDescent="0.35">
      <c r="A2038" t="s">
        <v>2188</v>
      </c>
      <c r="B2038" s="7">
        <v>45412</v>
      </c>
      <c r="C2038" s="13">
        <f t="shared" si="249"/>
        <v>2024</v>
      </c>
      <c r="D2038" s="7" t="str">
        <f t="shared" si="250"/>
        <v>Apr</v>
      </c>
      <c r="E2038" s="7" t="str">
        <f t="shared" si="251"/>
        <v>Tue</v>
      </c>
      <c r="F2038" t="s">
        <v>541</v>
      </c>
      <c r="G2038" t="s">
        <v>87</v>
      </c>
      <c r="H2038" t="s">
        <v>17</v>
      </c>
      <c r="I2038" s="2" t="str">
        <f t="shared" si="248"/>
        <v>Central</v>
      </c>
      <c r="J2038" t="s">
        <v>12</v>
      </c>
      <c r="K2038" t="s">
        <v>28</v>
      </c>
      <c r="L2038">
        <v>9</v>
      </c>
      <c r="M2038">
        <v>120</v>
      </c>
      <c r="N2038">
        <f t="shared" si="252"/>
        <v>1080</v>
      </c>
      <c r="O2038">
        <f t="shared" si="253"/>
        <v>108</v>
      </c>
      <c r="P2038" t="str">
        <f t="shared" si="254"/>
        <v>Large Order</v>
      </c>
      <c r="Q2038" t="str">
        <f t="shared" si="255"/>
        <v>Weekday</v>
      </c>
    </row>
    <row r="2039" spans="1:17" x14ac:dyDescent="0.35">
      <c r="A2039" t="s">
        <v>2189</v>
      </c>
      <c r="B2039" s="7">
        <v>45494</v>
      </c>
      <c r="C2039" s="13">
        <f t="shared" si="249"/>
        <v>2024</v>
      </c>
      <c r="D2039" s="7" t="str">
        <f t="shared" si="250"/>
        <v>Jul</v>
      </c>
      <c r="E2039" s="7" t="str">
        <f t="shared" si="251"/>
        <v>Sun</v>
      </c>
      <c r="F2039" t="s">
        <v>78</v>
      </c>
      <c r="G2039" t="s">
        <v>96</v>
      </c>
      <c r="H2039" t="s">
        <v>11</v>
      </c>
      <c r="I2039" s="2" t="str">
        <f t="shared" si="248"/>
        <v>North</v>
      </c>
      <c r="J2039" t="s">
        <v>306</v>
      </c>
      <c r="K2039" t="s">
        <v>23</v>
      </c>
      <c r="L2039">
        <v>20</v>
      </c>
      <c r="M2039">
        <v>120</v>
      </c>
      <c r="N2039">
        <f t="shared" si="252"/>
        <v>2400</v>
      </c>
      <c r="O2039">
        <f t="shared" si="253"/>
        <v>240</v>
      </c>
      <c r="P2039" t="str">
        <f t="shared" si="254"/>
        <v>Large Order</v>
      </c>
      <c r="Q2039" t="str">
        <f t="shared" si="255"/>
        <v>Weekend</v>
      </c>
    </row>
    <row r="2040" spans="1:17" x14ac:dyDescent="0.35">
      <c r="A2040" t="s">
        <v>2190</v>
      </c>
      <c r="B2040" s="7">
        <v>45337</v>
      </c>
      <c r="C2040" s="13">
        <f t="shared" si="249"/>
        <v>2024</v>
      </c>
      <c r="D2040" s="7" t="str">
        <f t="shared" si="250"/>
        <v>Feb</v>
      </c>
      <c r="E2040" s="7" t="str">
        <f t="shared" si="251"/>
        <v>Thu</v>
      </c>
      <c r="F2040" t="s">
        <v>78</v>
      </c>
      <c r="G2040" t="s">
        <v>45</v>
      </c>
      <c r="H2040" t="s">
        <v>17</v>
      </c>
      <c r="I2040" s="2" t="str">
        <f t="shared" si="248"/>
        <v>South</v>
      </c>
      <c r="J2040" t="s">
        <v>12</v>
      </c>
      <c r="K2040" t="s">
        <v>36</v>
      </c>
      <c r="L2040">
        <v>11</v>
      </c>
      <c r="M2040">
        <v>120</v>
      </c>
      <c r="N2040">
        <f t="shared" si="252"/>
        <v>1320</v>
      </c>
      <c r="O2040">
        <f t="shared" si="253"/>
        <v>132</v>
      </c>
      <c r="P2040" t="str">
        <f t="shared" si="254"/>
        <v>Large Order</v>
      </c>
      <c r="Q2040" t="str">
        <f t="shared" si="255"/>
        <v>Weekday</v>
      </c>
    </row>
    <row r="2041" spans="1:17" x14ac:dyDescent="0.35">
      <c r="A2041" t="s">
        <v>2191</v>
      </c>
      <c r="B2041" s="7">
        <v>45612</v>
      </c>
      <c r="C2041" s="13">
        <f t="shared" si="249"/>
        <v>2024</v>
      </c>
      <c r="D2041" s="7" t="str">
        <f t="shared" si="250"/>
        <v>Nov</v>
      </c>
      <c r="E2041" s="7" t="str">
        <f t="shared" si="251"/>
        <v>Sat</v>
      </c>
      <c r="F2041" t="s">
        <v>131</v>
      </c>
      <c r="G2041" t="s">
        <v>79</v>
      </c>
      <c r="H2041" t="s">
        <v>17</v>
      </c>
      <c r="I2041" s="2" t="str">
        <f t="shared" si="248"/>
        <v>East</v>
      </c>
      <c r="J2041" t="s">
        <v>56</v>
      </c>
      <c r="K2041" t="s">
        <v>36</v>
      </c>
      <c r="L2041">
        <v>4</v>
      </c>
      <c r="M2041">
        <v>120</v>
      </c>
      <c r="N2041">
        <f t="shared" si="252"/>
        <v>480</v>
      </c>
      <c r="O2041">
        <f t="shared" si="253"/>
        <v>48</v>
      </c>
      <c r="P2041" t="str">
        <f t="shared" si="254"/>
        <v>Standard Order</v>
      </c>
      <c r="Q2041" t="str">
        <f t="shared" si="255"/>
        <v>Weekend</v>
      </c>
    </row>
    <row r="2042" spans="1:17" x14ac:dyDescent="0.35">
      <c r="A2042" t="s">
        <v>2192</v>
      </c>
      <c r="B2042" s="7">
        <v>45411</v>
      </c>
      <c r="C2042" s="13">
        <f t="shared" si="249"/>
        <v>2024</v>
      </c>
      <c r="D2042" s="7" t="str">
        <f t="shared" si="250"/>
        <v>Apr</v>
      </c>
      <c r="E2042" s="7" t="str">
        <f t="shared" si="251"/>
        <v>Mon</v>
      </c>
      <c r="F2042" t="s">
        <v>38</v>
      </c>
      <c r="G2042" t="s">
        <v>174</v>
      </c>
      <c r="H2042" t="s">
        <v>22</v>
      </c>
      <c r="I2042" s="2" t="str">
        <f t="shared" si="248"/>
        <v>East</v>
      </c>
      <c r="J2042" t="s">
        <v>42</v>
      </c>
      <c r="K2042" t="s">
        <v>23</v>
      </c>
      <c r="L2042">
        <v>7</v>
      </c>
      <c r="M2042">
        <v>120</v>
      </c>
      <c r="N2042">
        <f t="shared" si="252"/>
        <v>840</v>
      </c>
      <c r="O2042">
        <f t="shared" si="253"/>
        <v>84</v>
      </c>
      <c r="P2042" t="str">
        <f t="shared" si="254"/>
        <v>Large Order</v>
      </c>
      <c r="Q2042" t="str">
        <f t="shared" si="255"/>
        <v>Weekday</v>
      </c>
    </row>
    <row r="2043" spans="1:17" x14ac:dyDescent="0.35">
      <c r="A2043" t="s">
        <v>2193</v>
      </c>
      <c r="B2043" s="7">
        <v>45485</v>
      </c>
      <c r="C2043" s="13">
        <f t="shared" si="249"/>
        <v>2024</v>
      </c>
      <c r="D2043" s="7" t="str">
        <f t="shared" si="250"/>
        <v>Jul</v>
      </c>
      <c r="E2043" s="7" t="str">
        <f t="shared" si="251"/>
        <v>Fri</v>
      </c>
      <c r="F2043" t="s">
        <v>182</v>
      </c>
      <c r="G2043" t="s">
        <v>84</v>
      </c>
      <c r="H2043" t="s">
        <v>11</v>
      </c>
      <c r="I2043" s="2" t="str">
        <f t="shared" si="248"/>
        <v>West</v>
      </c>
      <c r="J2043" t="s">
        <v>42</v>
      </c>
      <c r="K2043" t="s">
        <v>13</v>
      </c>
      <c r="L2043">
        <v>16</v>
      </c>
      <c r="M2043">
        <v>120</v>
      </c>
      <c r="N2043">
        <f t="shared" si="252"/>
        <v>1920</v>
      </c>
      <c r="O2043">
        <f t="shared" si="253"/>
        <v>192</v>
      </c>
      <c r="P2043" t="str">
        <f t="shared" si="254"/>
        <v>Large Order</v>
      </c>
      <c r="Q2043" t="str">
        <f t="shared" si="255"/>
        <v>Weekday</v>
      </c>
    </row>
    <row r="2044" spans="1:17" x14ac:dyDescent="0.35">
      <c r="A2044" t="s">
        <v>2194</v>
      </c>
      <c r="B2044" s="7">
        <v>45578</v>
      </c>
      <c r="C2044" s="13">
        <f t="shared" si="249"/>
        <v>2024</v>
      </c>
      <c r="D2044" s="7" t="str">
        <f t="shared" si="250"/>
        <v>Oct</v>
      </c>
      <c r="E2044" s="7" t="str">
        <f t="shared" si="251"/>
        <v>Sun</v>
      </c>
      <c r="F2044" t="s">
        <v>61</v>
      </c>
      <c r="G2044" t="s">
        <v>174</v>
      </c>
      <c r="H2044" t="s">
        <v>22</v>
      </c>
      <c r="I2044" s="2" t="str">
        <f t="shared" si="248"/>
        <v>East</v>
      </c>
      <c r="J2044" t="s">
        <v>27</v>
      </c>
      <c r="K2044" t="s">
        <v>28</v>
      </c>
      <c r="L2044">
        <v>19</v>
      </c>
      <c r="M2044">
        <v>120</v>
      </c>
      <c r="N2044">
        <f t="shared" si="252"/>
        <v>2280</v>
      </c>
      <c r="O2044">
        <f t="shared" si="253"/>
        <v>228</v>
      </c>
      <c r="P2044" t="str">
        <f t="shared" si="254"/>
        <v>Large Order</v>
      </c>
      <c r="Q2044" t="str">
        <f t="shared" si="255"/>
        <v>Weekend</v>
      </c>
    </row>
    <row r="2045" spans="1:17" x14ac:dyDescent="0.35">
      <c r="A2045" t="s">
        <v>2195</v>
      </c>
      <c r="B2045" s="7">
        <v>45470</v>
      </c>
      <c r="C2045" s="13">
        <f t="shared" si="249"/>
        <v>2024</v>
      </c>
      <c r="D2045" s="7" t="str">
        <f t="shared" si="250"/>
        <v>Jun</v>
      </c>
      <c r="E2045" s="7" t="str">
        <f t="shared" si="251"/>
        <v>Thu</v>
      </c>
      <c r="F2045" t="s">
        <v>187</v>
      </c>
      <c r="G2045" t="s">
        <v>84</v>
      </c>
      <c r="H2045" t="s">
        <v>17</v>
      </c>
      <c r="I2045" s="2" t="str">
        <f t="shared" si="248"/>
        <v>East</v>
      </c>
      <c r="J2045" t="s">
        <v>42</v>
      </c>
      <c r="K2045" t="s">
        <v>36</v>
      </c>
      <c r="L2045">
        <v>18</v>
      </c>
      <c r="M2045">
        <v>120</v>
      </c>
      <c r="N2045">
        <f t="shared" si="252"/>
        <v>2160</v>
      </c>
      <c r="O2045">
        <f t="shared" si="253"/>
        <v>216</v>
      </c>
      <c r="P2045" t="str">
        <f t="shared" si="254"/>
        <v>Large Order</v>
      </c>
      <c r="Q2045" t="str">
        <f t="shared" si="255"/>
        <v>Weekday</v>
      </c>
    </row>
    <row r="2046" spans="1:17" x14ac:dyDescent="0.35">
      <c r="A2046" t="s">
        <v>2196</v>
      </c>
      <c r="B2046" s="7">
        <v>45563</v>
      </c>
      <c r="C2046" s="13">
        <f t="shared" si="249"/>
        <v>2024</v>
      </c>
      <c r="D2046" s="7" t="str">
        <f t="shared" si="250"/>
        <v>Sep</v>
      </c>
      <c r="E2046" s="7" t="str">
        <f t="shared" si="251"/>
        <v>Sat</v>
      </c>
      <c r="F2046" t="s">
        <v>125</v>
      </c>
      <c r="G2046" t="s">
        <v>70</v>
      </c>
      <c r="H2046" t="s">
        <v>17</v>
      </c>
      <c r="I2046" s="2" t="str">
        <f t="shared" si="248"/>
        <v>South</v>
      </c>
      <c r="J2046" t="s">
        <v>42</v>
      </c>
      <c r="K2046" t="s">
        <v>36</v>
      </c>
      <c r="L2046">
        <v>12</v>
      </c>
      <c r="M2046">
        <v>120</v>
      </c>
      <c r="N2046">
        <f t="shared" si="252"/>
        <v>1440</v>
      </c>
      <c r="O2046">
        <f t="shared" si="253"/>
        <v>144</v>
      </c>
      <c r="P2046" t="str">
        <f t="shared" si="254"/>
        <v>Large Order</v>
      </c>
      <c r="Q2046" t="str">
        <f t="shared" si="255"/>
        <v>Weekend</v>
      </c>
    </row>
    <row r="2047" spans="1:17" x14ac:dyDescent="0.35">
      <c r="A2047" t="s">
        <v>2197</v>
      </c>
      <c r="B2047" s="7">
        <v>45618</v>
      </c>
      <c r="C2047" s="13">
        <f t="shared" si="249"/>
        <v>2024</v>
      </c>
      <c r="D2047" s="7" t="str">
        <f t="shared" si="250"/>
        <v>Nov</v>
      </c>
      <c r="E2047" s="7" t="str">
        <f t="shared" si="251"/>
        <v>Fri</v>
      </c>
      <c r="F2047" t="s">
        <v>358</v>
      </c>
      <c r="G2047" t="s">
        <v>31</v>
      </c>
      <c r="H2047" t="s">
        <v>22</v>
      </c>
      <c r="I2047" s="2" t="str">
        <f t="shared" si="248"/>
        <v>North</v>
      </c>
      <c r="J2047" t="s">
        <v>56</v>
      </c>
      <c r="K2047" t="s">
        <v>13</v>
      </c>
      <c r="L2047">
        <v>20</v>
      </c>
      <c r="M2047">
        <v>120</v>
      </c>
      <c r="N2047">
        <f t="shared" si="252"/>
        <v>2400</v>
      </c>
      <c r="O2047">
        <f t="shared" si="253"/>
        <v>240</v>
      </c>
      <c r="P2047" t="str">
        <f t="shared" si="254"/>
        <v>Large Order</v>
      </c>
      <c r="Q2047" t="str">
        <f t="shared" si="255"/>
        <v>Weekday</v>
      </c>
    </row>
    <row r="2048" spans="1:17" x14ac:dyDescent="0.35">
      <c r="A2048" t="s">
        <v>2198</v>
      </c>
      <c r="B2048" s="7">
        <v>45609</v>
      </c>
      <c r="C2048" s="13">
        <f t="shared" si="249"/>
        <v>2024</v>
      </c>
      <c r="D2048" s="7" t="str">
        <f t="shared" si="250"/>
        <v>Nov</v>
      </c>
      <c r="E2048" s="7" t="str">
        <f t="shared" si="251"/>
        <v>Wed</v>
      </c>
      <c r="F2048" t="s">
        <v>93</v>
      </c>
      <c r="G2048" t="s">
        <v>72</v>
      </c>
      <c r="H2048" t="s">
        <v>22</v>
      </c>
      <c r="I2048" s="2" t="str">
        <f t="shared" si="248"/>
        <v>South</v>
      </c>
      <c r="J2048" t="s">
        <v>12</v>
      </c>
      <c r="K2048" t="s">
        <v>36</v>
      </c>
      <c r="L2048">
        <v>13</v>
      </c>
      <c r="M2048">
        <v>120</v>
      </c>
      <c r="N2048">
        <f t="shared" si="252"/>
        <v>1560</v>
      </c>
      <c r="O2048">
        <f t="shared" si="253"/>
        <v>156</v>
      </c>
      <c r="P2048" t="str">
        <f t="shared" si="254"/>
        <v>Large Order</v>
      </c>
      <c r="Q2048" t="str">
        <f t="shared" si="255"/>
        <v>Weekday</v>
      </c>
    </row>
    <row r="2049" spans="1:17" x14ac:dyDescent="0.35">
      <c r="A2049" t="s">
        <v>2199</v>
      </c>
      <c r="B2049" s="7">
        <v>45641</v>
      </c>
      <c r="C2049" s="13">
        <f t="shared" si="249"/>
        <v>2024</v>
      </c>
      <c r="D2049" s="7" t="str">
        <f t="shared" si="250"/>
        <v>Dec</v>
      </c>
      <c r="E2049" s="7" t="str">
        <f t="shared" si="251"/>
        <v>Sun</v>
      </c>
      <c r="F2049" t="s">
        <v>432</v>
      </c>
      <c r="G2049" t="s">
        <v>119</v>
      </c>
      <c r="H2049" t="s">
        <v>22</v>
      </c>
      <c r="I2049" s="2" t="str">
        <f t="shared" si="248"/>
        <v>Central</v>
      </c>
      <c r="J2049" t="s">
        <v>56</v>
      </c>
      <c r="K2049" t="s">
        <v>36</v>
      </c>
      <c r="L2049">
        <v>10</v>
      </c>
      <c r="M2049">
        <v>120</v>
      </c>
      <c r="N2049">
        <f t="shared" si="252"/>
        <v>1200</v>
      </c>
      <c r="O2049">
        <f t="shared" si="253"/>
        <v>120</v>
      </c>
      <c r="P2049" t="str">
        <f t="shared" si="254"/>
        <v>Large Order</v>
      </c>
      <c r="Q2049" t="str">
        <f t="shared" si="255"/>
        <v>Weekend</v>
      </c>
    </row>
    <row r="2050" spans="1:17" x14ac:dyDescent="0.35">
      <c r="A2050" t="s">
        <v>2200</v>
      </c>
      <c r="B2050" s="7">
        <v>45620</v>
      </c>
      <c r="C2050" s="13">
        <f t="shared" si="249"/>
        <v>2024</v>
      </c>
      <c r="D2050" s="7" t="str">
        <f t="shared" si="250"/>
        <v>Nov</v>
      </c>
      <c r="E2050" s="7" t="str">
        <f t="shared" si="251"/>
        <v>Sun</v>
      </c>
      <c r="F2050" t="s">
        <v>187</v>
      </c>
      <c r="G2050" t="s">
        <v>102</v>
      </c>
      <c r="H2050" t="s">
        <v>11</v>
      </c>
      <c r="I2050" s="2" t="str">
        <f t="shared" si="248"/>
        <v>North</v>
      </c>
      <c r="J2050" t="s">
        <v>306</v>
      </c>
      <c r="K2050" t="s">
        <v>13</v>
      </c>
      <c r="L2050">
        <v>2</v>
      </c>
      <c r="M2050">
        <v>120</v>
      </c>
      <c r="N2050">
        <f t="shared" si="252"/>
        <v>240</v>
      </c>
      <c r="O2050">
        <f t="shared" si="253"/>
        <v>24</v>
      </c>
      <c r="P2050" t="str">
        <f t="shared" si="254"/>
        <v>Standard Order</v>
      </c>
      <c r="Q2050" t="str">
        <f t="shared" si="255"/>
        <v>Weekend</v>
      </c>
    </row>
    <row r="2051" spans="1:17" x14ac:dyDescent="0.35">
      <c r="A2051" t="s">
        <v>2201</v>
      </c>
      <c r="B2051" s="7">
        <v>45358</v>
      </c>
      <c r="C2051" s="13">
        <f t="shared" si="249"/>
        <v>2024</v>
      </c>
      <c r="D2051" s="7" t="str">
        <f t="shared" si="250"/>
        <v>Mar</v>
      </c>
      <c r="E2051" s="7" t="str">
        <f t="shared" si="251"/>
        <v>Thu</v>
      </c>
      <c r="F2051" t="s">
        <v>235</v>
      </c>
      <c r="G2051" t="s">
        <v>79</v>
      </c>
      <c r="H2051" t="s">
        <v>11</v>
      </c>
      <c r="I2051" s="2" t="str">
        <f t="shared" ref="I2051:I2114" si="256">TRIM(J2052)</f>
        <v>West</v>
      </c>
      <c r="J2051" t="s">
        <v>12</v>
      </c>
      <c r="K2051" t="s">
        <v>23</v>
      </c>
      <c r="L2051">
        <v>7</v>
      </c>
      <c r="M2051">
        <v>120</v>
      </c>
      <c r="N2051">
        <f t="shared" si="252"/>
        <v>840</v>
      </c>
      <c r="O2051">
        <f t="shared" si="253"/>
        <v>84</v>
      </c>
      <c r="P2051" t="str">
        <f t="shared" si="254"/>
        <v>Large Order</v>
      </c>
      <c r="Q2051" t="str">
        <f t="shared" si="255"/>
        <v>Weekday</v>
      </c>
    </row>
    <row r="2052" spans="1:17" x14ac:dyDescent="0.35">
      <c r="A2052" t="s">
        <v>2202</v>
      </c>
      <c r="B2052" s="7">
        <v>45584</v>
      </c>
      <c r="C2052" s="13">
        <f t="shared" ref="C2052:C2115" si="257">YEAR(B2052)</f>
        <v>2024</v>
      </c>
      <c r="D2052" s="7" t="str">
        <f t="shared" ref="D2052:D2115" si="258">TEXT(B2052,"mmm")</f>
        <v>Oct</v>
      </c>
      <c r="E2052" s="7" t="str">
        <f t="shared" ref="E2052:E2115" si="259">TEXT(B2052,"ddd")</f>
        <v>Sat</v>
      </c>
      <c r="F2052" t="s">
        <v>736</v>
      </c>
      <c r="G2052" t="s">
        <v>31</v>
      </c>
      <c r="H2052" t="s">
        <v>22</v>
      </c>
      <c r="I2052" s="2" t="str">
        <f t="shared" si="256"/>
        <v>Central</v>
      </c>
      <c r="J2052" t="s">
        <v>27</v>
      </c>
      <c r="K2052" t="s">
        <v>36</v>
      </c>
      <c r="L2052">
        <v>20</v>
      </c>
      <c r="M2052">
        <v>120</v>
      </c>
      <c r="N2052">
        <f t="shared" ref="N2052:N2115" si="260">M2052*L2052</f>
        <v>2400</v>
      </c>
      <c r="O2052">
        <f t="shared" ref="O2052:O2115" si="261">N2052*0.1</f>
        <v>240</v>
      </c>
      <c r="P2052" t="str">
        <f t="shared" ref="P2052:P2115" si="262">IF(N2052&gt;500,"Large Order","Standard Order")</f>
        <v>Large Order</v>
      </c>
      <c r="Q2052" t="str">
        <f t="shared" ref="Q2052:Q2115" si="263">IF(OR(TRIM(E2052)="Sat",TRIM(E2052)="Sun"),"Weekend","Weekday")</f>
        <v>Weekend</v>
      </c>
    </row>
    <row r="2053" spans="1:17" x14ac:dyDescent="0.35">
      <c r="A2053" t="s">
        <v>2203</v>
      </c>
      <c r="B2053" s="7">
        <v>45423</v>
      </c>
      <c r="C2053" s="13">
        <f t="shared" si="257"/>
        <v>2024</v>
      </c>
      <c r="D2053" s="7" t="str">
        <f t="shared" si="258"/>
        <v>May</v>
      </c>
      <c r="E2053" s="7" t="str">
        <f t="shared" si="259"/>
        <v>Sat</v>
      </c>
      <c r="F2053" t="s">
        <v>9</v>
      </c>
      <c r="G2053" t="s">
        <v>48</v>
      </c>
      <c r="H2053" t="s">
        <v>11</v>
      </c>
      <c r="I2053" s="2" t="str">
        <f t="shared" si="256"/>
        <v>West</v>
      </c>
      <c r="J2053" t="s">
        <v>306</v>
      </c>
      <c r="K2053" t="s">
        <v>13</v>
      </c>
      <c r="L2053">
        <v>1</v>
      </c>
      <c r="M2053">
        <v>120</v>
      </c>
      <c r="N2053">
        <f t="shared" si="260"/>
        <v>120</v>
      </c>
      <c r="O2053">
        <f t="shared" si="261"/>
        <v>12</v>
      </c>
      <c r="P2053" t="str">
        <f t="shared" si="262"/>
        <v>Standard Order</v>
      </c>
      <c r="Q2053" t="str">
        <f t="shared" si="263"/>
        <v>Weekend</v>
      </c>
    </row>
    <row r="2054" spans="1:17" x14ac:dyDescent="0.35">
      <c r="A2054" t="s">
        <v>2204</v>
      </c>
      <c r="B2054" s="7">
        <v>45398</v>
      </c>
      <c r="C2054" s="13">
        <f t="shared" si="257"/>
        <v>2024</v>
      </c>
      <c r="D2054" s="7" t="str">
        <f t="shared" si="258"/>
        <v>Apr</v>
      </c>
      <c r="E2054" s="7" t="str">
        <f t="shared" si="259"/>
        <v>Tue</v>
      </c>
      <c r="F2054" t="s">
        <v>350</v>
      </c>
      <c r="G2054" t="s">
        <v>35</v>
      </c>
      <c r="H2054" t="s">
        <v>11</v>
      </c>
      <c r="I2054" s="2" t="str">
        <f t="shared" si="256"/>
        <v>Central</v>
      </c>
      <c r="J2054" t="s">
        <v>27</v>
      </c>
      <c r="K2054" t="s">
        <v>13</v>
      </c>
      <c r="L2054">
        <v>12</v>
      </c>
      <c r="M2054">
        <v>120</v>
      </c>
      <c r="N2054">
        <f t="shared" si="260"/>
        <v>1440</v>
      </c>
      <c r="O2054">
        <f t="shared" si="261"/>
        <v>144</v>
      </c>
      <c r="P2054" t="str">
        <f t="shared" si="262"/>
        <v>Large Order</v>
      </c>
      <c r="Q2054" t="str">
        <f t="shared" si="263"/>
        <v>Weekday</v>
      </c>
    </row>
    <row r="2055" spans="1:17" x14ac:dyDescent="0.35">
      <c r="A2055" t="s">
        <v>2205</v>
      </c>
      <c r="B2055" s="7">
        <v>45504</v>
      </c>
      <c r="C2055" s="13">
        <f t="shared" si="257"/>
        <v>2024</v>
      </c>
      <c r="D2055" s="7" t="str">
        <f t="shared" si="258"/>
        <v>Jul</v>
      </c>
      <c r="E2055" s="7" t="str">
        <f t="shared" si="259"/>
        <v>Wed</v>
      </c>
      <c r="F2055" t="s">
        <v>200</v>
      </c>
      <c r="G2055" t="s">
        <v>62</v>
      </c>
      <c r="H2055" t="s">
        <v>11</v>
      </c>
      <c r="I2055" s="2" t="str">
        <f t="shared" si="256"/>
        <v>Central</v>
      </c>
      <c r="J2055" t="s">
        <v>306</v>
      </c>
      <c r="K2055" t="s">
        <v>32</v>
      </c>
      <c r="L2055">
        <v>17</v>
      </c>
      <c r="M2055">
        <v>120</v>
      </c>
      <c r="N2055">
        <f t="shared" si="260"/>
        <v>2040</v>
      </c>
      <c r="O2055">
        <f t="shared" si="261"/>
        <v>204</v>
      </c>
      <c r="P2055" t="str">
        <f t="shared" si="262"/>
        <v>Large Order</v>
      </c>
      <c r="Q2055" t="str">
        <f t="shared" si="263"/>
        <v>Weekday</v>
      </c>
    </row>
    <row r="2056" spans="1:17" x14ac:dyDescent="0.35">
      <c r="A2056" t="s">
        <v>2206</v>
      </c>
      <c r="B2056" s="7">
        <v>45328</v>
      </c>
      <c r="C2056" s="13">
        <f t="shared" si="257"/>
        <v>2024</v>
      </c>
      <c r="D2056" s="7" t="str">
        <f t="shared" si="258"/>
        <v>Feb</v>
      </c>
      <c r="E2056" s="7" t="str">
        <f t="shared" si="259"/>
        <v>Tue</v>
      </c>
      <c r="F2056" t="s">
        <v>68</v>
      </c>
      <c r="G2056" t="s">
        <v>10</v>
      </c>
      <c r="H2056" t="s">
        <v>11</v>
      </c>
      <c r="I2056" s="2" t="str">
        <f t="shared" si="256"/>
        <v>Central</v>
      </c>
      <c r="J2056" t="s">
        <v>306</v>
      </c>
      <c r="K2056" t="s">
        <v>13</v>
      </c>
      <c r="L2056">
        <v>4</v>
      </c>
      <c r="M2056">
        <v>120</v>
      </c>
      <c r="N2056">
        <f t="shared" si="260"/>
        <v>480</v>
      </c>
      <c r="O2056">
        <f t="shared" si="261"/>
        <v>48</v>
      </c>
      <c r="P2056" t="str">
        <f t="shared" si="262"/>
        <v>Standard Order</v>
      </c>
      <c r="Q2056" t="str">
        <f t="shared" si="263"/>
        <v>Weekday</v>
      </c>
    </row>
    <row r="2057" spans="1:17" x14ac:dyDescent="0.35">
      <c r="A2057" t="s">
        <v>2207</v>
      </c>
      <c r="B2057" s="7">
        <v>45564</v>
      </c>
      <c r="C2057" s="13">
        <f t="shared" si="257"/>
        <v>2024</v>
      </c>
      <c r="D2057" s="7" t="str">
        <f t="shared" si="258"/>
        <v>Sep</v>
      </c>
      <c r="E2057" s="7" t="str">
        <f t="shared" si="259"/>
        <v>Sun</v>
      </c>
      <c r="F2057" t="s">
        <v>53</v>
      </c>
      <c r="G2057" t="s">
        <v>65</v>
      </c>
      <c r="H2057" t="s">
        <v>11</v>
      </c>
      <c r="I2057" s="2" t="str">
        <f t="shared" si="256"/>
        <v>West</v>
      </c>
      <c r="J2057" t="s">
        <v>306</v>
      </c>
      <c r="K2057" t="s">
        <v>28</v>
      </c>
      <c r="L2057">
        <v>19</v>
      </c>
      <c r="M2057">
        <v>120</v>
      </c>
      <c r="N2057">
        <f t="shared" si="260"/>
        <v>2280</v>
      </c>
      <c r="O2057">
        <f t="shared" si="261"/>
        <v>228</v>
      </c>
      <c r="P2057" t="str">
        <f t="shared" si="262"/>
        <v>Large Order</v>
      </c>
      <c r="Q2057" t="str">
        <f t="shared" si="263"/>
        <v>Weekend</v>
      </c>
    </row>
    <row r="2058" spans="1:17" x14ac:dyDescent="0.35">
      <c r="A2058" t="s">
        <v>2208</v>
      </c>
      <c r="B2058" s="7">
        <v>45383</v>
      </c>
      <c r="C2058" s="13">
        <f t="shared" si="257"/>
        <v>2024</v>
      </c>
      <c r="D2058" s="7" t="str">
        <f t="shared" si="258"/>
        <v>Apr</v>
      </c>
      <c r="E2058" s="7" t="str">
        <f t="shared" si="259"/>
        <v>Mon</v>
      </c>
      <c r="F2058" t="s">
        <v>642</v>
      </c>
      <c r="G2058" t="s">
        <v>84</v>
      </c>
      <c r="H2058" t="s">
        <v>22</v>
      </c>
      <c r="I2058" s="2" t="str">
        <f t="shared" si="256"/>
        <v>North</v>
      </c>
      <c r="J2058" t="s">
        <v>27</v>
      </c>
      <c r="K2058" t="s">
        <v>13</v>
      </c>
      <c r="L2058">
        <v>19</v>
      </c>
      <c r="M2058">
        <v>120</v>
      </c>
      <c r="N2058">
        <f t="shared" si="260"/>
        <v>2280</v>
      </c>
      <c r="O2058">
        <f t="shared" si="261"/>
        <v>228</v>
      </c>
      <c r="P2058" t="str">
        <f t="shared" si="262"/>
        <v>Large Order</v>
      </c>
      <c r="Q2058" t="str">
        <f t="shared" si="263"/>
        <v>Weekday</v>
      </c>
    </row>
    <row r="2059" spans="1:17" x14ac:dyDescent="0.35">
      <c r="A2059" t="s">
        <v>2209</v>
      </c>
      <c r="B2059" s="7">
        <v>45526</v>
      </c>
      <c r="C2059" s="13">
        <f t="shared" si="257"/>
        <v>2024</v>
      </c>
      <c r="D2059" s="7" t="str">
        <f t="shared" si="258"/>
        <v>Aug</v>
      </c>
      <c r="E2059" s="7" t="str">
        <f t="shared" si="259"/>
        <v>Thu</v>
      </c>
      <c r="F2059" t="s">
        <v>424</v>
      </c>
      <c r="G2059" t="s">
        <v>41</v>
      </c>
      <c r="H2059" t="s">
        <v>17</v>
      </c>
      <c r="I2059" s="2" t="str">
        <f t="shared" si="256"/>
        <v>Central</v>
      </c>
      <c r="J2059" t="s">
        <v>12</v>
      </c>
      <c r="K2059" t="s">
        <v>28</v>
      </c>
      <c r="L2059">
        <v>6</v>
      </c>
      <c r="M2059">
        <v>120</v>
      </c>
      <c r="N2059">
        <f t="shared" si="260"/>
        <v>720</v>
      </c>
      <c r="O2059">
        <f t="shared" si="261"/>
        <v>72</v>
      </c>
      <c r="P2059" t="str">
        <f t="shared" si="262"/>
        <v>Large Order</v>
      </c>
      <c r="Q2059" t="str">
        <f t="shared" si="263"/>
        <v>Weekday</v>
      </c>
    </row>
    <row r="2060" spans="1:17" x14ac:dyDescent="0.35">
      <c r="A2060" t="s">
        <v>2210</v>
      </c>
      <c r="B2060" s="7">
        <v>45550</v>
      </c>
      <c r="C2060" s="13">
        <f t="shared" si="257"/>
        <v>2024</v>
      </c>
      <c r="D2060" s="7" t="str">
        <f t="shared" si="258"/>
        <v>Sep</v>
      </c>
      <c r="E2060" s="7" t="str">
        <f t="shared" si="259"/>
        <v>Sun</v>
      </c>
      <c r="F2060" t="s">
        <v>47</v>
      </c>
      <c r="G2060" t="s">
        <v>41</v>
      </c>
      <c r="H2060" t="s">
        <v>11</v>
      </c>
      <c r="I2060" s="2" t="str">
        <f t="shared" si="256"/>
        <v>West</v>
      </c>
      <c r="J2060" t="s">
        <v>306</v>
      </c>
      <c r="K2060" t="s">
        <v>36</v>
      </c>
      <c r="L2060">
        <v>15</v>
      </c>
      <c r="M2060">
        <v>120</v>
      </c>
      <c r="N2060">
        <f t="shared" si="260"/>
        <v>1800</v>
      </c>
      <c r="O2060">
        <f t="shared" si="261"/>
        <v>180</v>
      </c>
      <c r="P2060" t="str">
        <f t="shared" si="262"/>
        <v>Large Order</v>
      </c>
      <c r="Q2060" t="str">
        <f t="shared" si="263"/>
        <v>Weekend</v>
      </c>
    </row>
    <row r="2061" spans="1:17" x14ac:dyDescent="0.35">
      <c r="A2061" t="s">
        <v>2211</v>
      </c>
      <c r="B2061" s="7">
        <v>45453</v>
      </c>
      <c r="C2061" s="13">
        <f t="shared" si="257"/>
        <v>2024</v>
      </c>
      <c r="D2061" s="7" t="str">
        <f t="shared" si="258"/>
        <v>Jun</v>
      </c>
      <c r="E2061" s="7" t="str">
        <f t="shared" si="259"/>
        <v>Mon</v>
      </c>
      <c r="F2061" t="s">
        <v>378</v>
      </c>
      <c r="G2061" t="s">
        <v>72</v>
      </c>
      <c r="H2061" t="s">
        <v>17</v>
      </c>
      <c r="I2061" s="2" t="str">
        <f t="shared" si="256"/>
        <v>Central</v>
      </c>
      <c r="J2061" t="s">
        <v>27</v>
      </c>
      <c r="K2061" t="s">
        <v>23</v>
      </c>
      <c r="L2061">
        <v>11</v>
      </c>
      <c r="M2061">
        <v>120</v>
      </c>
      <c r="N2061">
        <f t="shared" si="260"/>
        <v>1320</v>
      </c>
      <c r="O2061">
        <f t="shared" si="261"/>
        <v>132</v>
      </c>
      <c r="P2061" t="str">
        <f t="shared" si="262"/>
        <v>Large Order</v>
      </c>
      <c r="Q2061" t="str">
        <f t="shared" si="263"/>
        <v>Weekday</v>
      </c>
    </row>
    <row r="2062" spans="1:17" x14ac:dyDescent="0.35">
      <c r="A2062" t="s">
        <v>2212</v>
      </c>
      <c r="B2062" s="7">
        <v>45580</v>
      </c>
      <c r="C2062" s="13">
        <f t="shared" si="257"/>
        <v>2024</v>
      </c>
      <c r="D2062" s="7" t="str">
        <f t="shared" si="258"/>
        <v>Oct</v>
      </c>
      <c r="E2062" s="7" t="str">
        <f t="shared" si="259"/>
        <v>Tue</v>
      </c>
      <c r="F2062" t="s">
        <v>591</v>
      </c>
      <c r="G2062" t="s">
        <v>65</v>
      </c>
      <c r="H2062" t="s">
        <v>17</v>
      </c>
      <c r="I2062" s="2" t="str">
        <f t="shared" si="256"/>
        <v>North</v>
      </c>
      <c r="J2062" t="s">
        <v>306</v>
      </c>
      <c r="K2062" t="s">
        <v>32</v>
      </c>
      <c r="L2062">
        <v>12</v>
      </c>
      <c r="M2062">
        <v>120</v>
      </c>
      <c r="N2062">
        <f t="shared" si="260"/>
        <v>1440</v>
      </c>
      <c r="O2062">
        <f t="shared" si="261"/>
        <v>144</v>
      </c>
      <c r="P2062" t="str">
        <f t="shared" si="262"/>
        <v>Large Order</v>
      </c>
      <c r="Q2062" t="str">
        <f t="shared" si="263"/>
        <v>Weekday</v>
      </c>
    </row>
    <row r="2063" spans="1:17" x14ac:dyDescent="0.35">
      <c r="A2063" t="s">
        <v>2213</v>
      </c>
      <c r="B2063" s="7">
        <v>45521</v>
      </c>
      <c r="C2063" s="13">
        <f t="shared" si="257"/>
        <v>2024</v>
      </c>
      <c r="D2063" s="7" t="str">
        <f t="shared" si="258"/>
        <v>Aug</v>
      </c>
      <c r="E2063" s="7" t="str">
        <f t="shared" si="259"/>
        <v>Sat</v>
      </c>
      <c r="F2063" t="s">
        <v>106</v>
      </c>
      <c r="G2063" t="s">
        <v>96</v>
      </c>
      <c r="H2063" t="s">
        <v>22</v>
      </c>
      <c r="I2063" s="2" t="str">
        <f t="shared" si="256"/>
        <v>South</v>
      </c>
      <c r="J2063" t="s">
        <v>12</v>
      </c>
      <c r="K2063" t="s">
        <v>32</v>
      </c>
      <c r="L2063">
        <v>20</v>
      </c>
      <c r="M2063">
        <v>120</v>
      </c>
      <c r="N2063">
        <f t="shared" si="260"/>
        <v>2400</v>
      </c>
      <c r="O2063">
        <f t="shared" si="261"/>
        <v>240</v>
      </c>
      <c r="P2063" t="str">
        <f t="shared" si="262"/>
        <v>Large Order</v>
      </c>
      <c r="Q2063" t="str">
        <f t="shared" si="263"/>
        <v>Weekend</v>
      </c>
    </row>
    <row r="2064" spans="1:17" x14ac:dyDescent="0.35">
      <c r="A2064" t="s">
        <v>2214</v>
      </c>
      <c r="B2064" s="7">
        <v>45361</v>
      </c>
      <c r="C2064" s="13">
        <f t="shared" si="257"/>
        <v>2024</v>
      </c>
      <c r="D2064" s="7" t="str">
        <f t="shared" si="258"/>
        <v>Mar</v>
      </c>
      <c r="E2064" s="7" t="str">
        <f t="shared" si="259"/>
        <v>Sun</v>
      </c>
      <c r="F2064" t="s">
        <v>68</v>
      </c>
      <c r="G2064" t="s">
        <v>96</v>
      </c>
      <c r="H2064" t="s">
        <v>17</v>
      </c>
      <c r="I2064" s="2" t="str">
        <f t="shared" si="256"/>
        <v>Central</v>
      </c>
      <c r="J2064" t="s">
        <v>56</v>
      </c>
      <c r="K2064" t="s">
        <v>28</v>
      </c>
      <c r="L2064">
        <v>11</v>
      </c>
      <c r="M2064">
        <v>120</v>
      </c>
      <c r="N2064">
        <f t="shared" si="260"/>
        <v>1320</v>
      </c>
      <c r="O2064">
        <f t="shared" si="261"/>
        <v>132</v>
      </c>
      <c r="P2064" t="str">
        <f t="shared" si="262"/>
        <v>Large Order</v>
      </c>
      <c r="Q2064" t="str">
        <f t="shared" si="263"/>
        <v>Weekend</v>
      </c>
    </row>
    <row r="2065" spans="1:17" x14ac:dyDescent="0.35">
      <c r="A2065" t="s">
        <v>2215</v>
      </c>
      <c r="B2065" s="7">
        <v>45645</v>
      </c>
      <c r="C2065" s="13">
        <f t="shared" si="257"/>
        <v>2024</v>
      </c>
      <c r="D2065" s="7" t="str">
        <f t="shared" si="258"/>
        <v>Dec</v>
      </c>
      <c r="E2065" s="7" t="str">
        <f t="shared" si="259"/>
        <v>Thu</v>
      </c>
      <c r="F2065" t="s">
        <v>89</v>
      </c>
      <c r="G2065" t="s">
        <v>174</v>
      </c>
      <c r="H2065" t="s">
        <v>22</v>
      </c>
      <c r="I2065" s="2" t="str">
        <f t="shared" si="256"/>
        <v>South</v>
      </c>
      <c r="J2065" t="s">
        <v>306</v>
      </c>
      <c r="K2065" t="s">
        <v>36</v>
      </c>
      <c r="L2065">
        <v>19</v>
      </c>
      <c r="M2065">
        <v>120</v>
      </c>
      <c r="N2065">
        <f t="shared" si="260"/>
        <v>2280</v>
      </c>
      <c r="O2065">
        <f t="shared" si="261"/>
        <v>228</v>
      </c>
      <c r="P2065" t="str">
        <f t="shared" si="262"/>
        <v>Large Order</v>
      </c>
      <c r="Q2065" t="str">
        <f t="shared" si="263"/>
        <v>Weekday</v>
      </c>
    </row>
    <row r="2066" spans="1:17" x14ac:dyDescent="0.35">
      <c r="A2066" t="s">
        <v>2216</v>
      </c>
      <c r="B2066" s="7">
        <v>45311</v>
      </c>
      <c r="C2066" s="13">
        <f t="shared" si="257"/>
        <v>2024</v>
      </c>
      <c r="D2066" s="7" t="str">
        <f t="shared" si="258"/>
        <v>Jan</v>
      </c>
      <c r="E2066" s="7" t="str">
        <f t="shared" si="259"/>
        <v>Sat</v>
      </c>
      <c r="F2066" t="s">
        <v>366</v>
      </c>
      <c r="G2066" t="s">
        <v>48</v>
      </c>
      <c r="H2066" t="s">
        <v>11</v>
      </c>
      <c r="I2066" s="2" t="str">
        <f t="shared" si="256"/>
        <v>North</v>
      </c>
      <c r="J2066" t="s">
        <v>56</v>
      </c>
      <c r="K2066" t="s">
        <v>32</v>
      </c>
      <c r="L2066">
        <v>12</v>
      </c>
      <c r="M2066">
        <v>120</v>
      </c>
      <c r="N2066">
        <f t="shared" si="260"/>
        <v>1440</v>
      </c>
      <c r="O2066">
        <f t="shared" si="261"/>
        <v>144</v>
      </c>
      <c r="P2066" t="str">
        <f t="shared" si="262"/>
        <v>Large Order</v>
      </c>
      <c r="Q2066" t="str">
        <f t="shared" si="263"/>
        <v>Weekend</v>
      </c>
    </row>
    <row r="2067" spans="1:17" x14ac:dyDescent="0.35">
      <c r="A2067" t="s">
        <v>2217</v>
      </c>
      <c r="B2067" s="7">
        <v>45419</v>
      </c>
      <c r="C2067" s="13">
        <f t="shared" si="257"/>
        <v>2024</v>
      </c>
      <c r="D2067" s="7" t="str">
        <f t="shared" si="258"/>
        <v>May</v>
      </c>
      <c r="E2067" s="7" t="str">
        <f t="shared" si="259"/>
        <v>Tue</v>
      </c>
      <c r="F2067" t="s">
        <v>51</v>
      </c>
      <c r="G2067" t="s">
        <v>26</v>
      </c>
      <c r="H2067" t="s">
        <v>17</v>
      </c>
      <c r="I2067" s="2" t="str">
        <f t="shared" si="256"/>
        <v>East</v>
      </c>
      <c r="J2067" t="s">
        <v>12</v>
      </c>
      <c r="K2067" t="s">
        <v>36</v>
      </c>
      <c r="L2067">
        <v>13</v>
      </c>
      <c r="M2067">
        <v>120</v>
      </c>
      <c r="N2067">
        <f t="shared" si="260"/>
        <v>1560</v>
      </c>
      <c r="O2067">
        <f t="shared" si="261"/>
        <v>156</v>
      </c>
      <c r="P2067" t="str">
        <f t="shared" si="262"/>
        <v>Large Order</v>
      </c>
      <c r="Q2067" t="str">
        <f t="shared" si="263"/>
        <v>Weekday</v>
      </c>
    </row>
    <row r="2068" spans="1:17" x14ac:dyDescent="0.35">
      <c r="A2068" t="s">
        <v>2218</v>
      </c>
      <c r="B2068" s="7">
        <v>45403</v>
      </c>
      <c r="C2068" s="13">
        <f t="shared" si="257"/>
        <v>2024</v>
      </c>
      <c r="D2068" s="7" t="str">
        <f t="shared" si="258"/>
        <v>Apr</v>
      </c>
      <c r="E2068" s="7" t="str">
        <f t="shared" si="259"/>
        <v>Sun</v>
      </c>
      <c r="F2068" t="s">
        <v>388</v>
      </c>
      <c r="G2068" t="s">
        <v>10</v>
      </c>
      <c r="H2068" t="s">
        <v>22</v>
      </c>
      <c r="I2068" s="2" t="str">
        <f t="shared" si="256"/>
        <v>Central</v>
      </c>
      <c r="J2068" t="s">
        <v>42</v>
      </c>
      <c r="K2068" t="s">
        <v>23</v>
      </c>
      <c r="L2068">
        <v>6</v>
      </c>
      <c r="M2068">
        <v>120</v>
      </c>
      <c r="N2068">
        <f t="shared" si="260"/>
        <v>720</v>
      </c>
      <c r="O2068">
        <f t="shared" si="261"/>
        <v>72</v>
      </c>
      <c r="P2068" t="str">
        <f t="shared" si="262"/>
        <v>Large Order</v>
      </c>
      <c r="Q2068" t="str">
        <f t="shared" si="263"/>
        <v>Weekend</v>
      </c>
    </row>
    <row r="2069" spans="1:17" x14ac:dyDescent="0.35">
      <c r="A2069" t="s">
        <v>2219</v>
      </c>
      <c r="B2069" s="7">
        <v>45645</v>
      </c>
      <c r="C2069" s="13">
        <f t="shared" si="257"/>
        <v>2024</v>
      </c>
      <c r="D2069" s="7" t="str">
        <f t="shared" si="258"/>
        <v>Dec</v>
      </c>
      <c r="E2069" s="7" t="str">
        <f t="shared" si="259"/>
        <v>Thu</v>
      </c>
      <c r="F2069" t="s">
        <v>424</v>
      </c>
      <c r="G2069" t="s">
        <v>59</v>
      </c>
      <c r="H2069" t="s">
        <v>11</v>
      </c>
      <c r="I2069" s="2" t="str">
        <f t="shared" si="256"/>
        <v>East</v>
      </c>
      <c r="J2069" t="s">
        <v>306</v>
      </c>
      <c r="K2069" t="s">
        <v>32</v>
      </c>
      <c r="L2069">
        <v>2</v>
      </c>
      <c r="M2069">
        <v>120</v>
      </c>
      <c r="N2069">
        <f t="shared" si="260"/>
        <v>240</v>
      </c>
      <c r="O2069">
        <f t="shared" si="261"/>
        <v>24</v>
      </c>
      <c r="P2069" t="str">
        <f t="shared" si="262"/>
        <v>Standard Order</v>
      </c>
      <c r="Q2069" t="str">
        <f t="shared" si="263"/>
        <v>Weekday</v>
      </c>
    </row>
    <row r="2070" spans="1:17" x14ac:dyDescent="0.35">
      <c r="A2070" t="s">
        <v>2220</v>
      </c>
      <c r="B2070" s="7">
        <v>45587</v>
      </c>
      <c r="C2070" s="13">
        <f t="shared" si="257"/>
        <v>2024</v>
      </c>
      <c r="D2070" s="7" t="str">
        <f t="shared" si="258"/>
        <v>Oct</v>
      </c>
      <c r="E2070" s="7" t="str">
        <f t="shared" si="259"/>
        <v>Tue</v>
      </c>
      <c r="F2070" t="s">
        <v>159</v>
      </c>
      <c r="G2070" t="s">
        <v>10</v>
      </c>
      <c r="H2070" t="s">
        <v>11</v>
      </c>
      <c r="I2070" s="2" t="str">
        <f t="shared" si="256"/>
        <v>Central</v>
      </c>
      <c r="J2070" t="s">
        <v>42</v>
      </c>
      <c r="K2070" t="s">
        <v>32</v>
      </c>
      <c r="L2070">
        <v>14</v>
      </c>
      <c r="M2070">
        <v>120</v>
      </c>
      <c r="N2070">
        <f t="shared" si="260"/>
        <v>1680</v>
      </c>
      <c r="O2070">
        <f t="shared" si="261"/>
        <v>168</v>
      </c>
      <c r="P2070" t="str">
        <f t="shared" si="262"/>
        <v>Large Order</v>
      </c>
      <c r="Q2070" t="str">
        <f t="shared" si="263"/>
        <v>Weekday</v>
      </c>
    </row>
    <row r="2071" spans="1:17" x14ac:dyDescent="0.35">
      <c r="A2071" t="s">
        <v>2221</v>
      </c>
      <c r="B2071" s="7">
        <v>45353</v>
      </c>
      <c r="C2071" s="13">
        <f t="shared" si="257"/>
        <v>2024</v>
      </c>
      <c r="D2071" s="7" t="str">
        <f t="shared" si="258"/>
        <v>Mar</v>
      </c>
      <c r="E2071" s="7" t="str">
        <f t="shared" si="259"/>
        <v>Sat</v>
      </c>
      <c r="F2071" t="s">
        <v>337</v>
      </c>
      <c r="G2071" t="s">
        <v>197</v>
      </c>
      <c r="H2071" t="s">
        <v>22</v>
      </c>
      <c r="I2071" s="2" t="str">
        <f t="shared" si="256"/>
        <v>Central</v>
      </c>
      <c r="J2071" t="s">
        <v>306</v>
      </c>
      <c r="K2071" t="s">
        <v>13</v>
      </c>
      <c r="L2071">
        <v>13</v>
      </c>
      <c r="M2071">
        <v>120</v>
      </c>
      <c r="N2071">
        <f t="shared" si="260"/>
        <v>1560</v>
      </c>
      <c r="O2071">
        <f t="shared" si="261"/>
        <v>156</v>
      </c>
      <c r="P2071" t="str">
        <f t="shared" si="262"/>
        <v>Large Order</v>
      </c>
      <c r="Q2071" t="str">
        <f t="shared" si="263"/>
        <v>Weekend</v>
      </c>
    </row>
    <row r="2072" spans="1:17" x14ac:dyDescent="0.35">
      <c r="A2072" t="s">
        <v>2222</v>
      </c>
      <c r="B2072" s="7">
        <v>45560</v>
      </c>
      <c r="C2072" s="13">
        <f t="shared" si="257"/>
        <v>2024</v>
      </c>
      <c r="D2072" s="7" t="str">
        <f t="shared" si="258"/>
        <v>Sep</v>
      </c>
      <c r="E2072" s="7" t="str">
        <f t="shared" si="259"/>
        <v>Wed</v>
      </c>
      <c r="F2072" t="s">
        <v>116</v>
      </c>
      <c r="G2072" t="s">
        <v>72</v>
      </c>
      <c r="H2072" t="s">
        <v>22</v>
      </c>
      <c r="I2072" s="2" t="str">
        <f t="shared" si="256"/>
        <v>West</v>
      </c>
      <c r="J2072" t="s">
        <v>306</v>
      </c>
      <c r="K2072" t="s">
        <v>28</v>
      </c>
      <c r="L2072">
        <v>11</v>
      </c>
      <c r="M2072">
        <v>120</v>
      </c>
      <c r="N2072">
        <f t="shared" si="260"/>
        <v>1320</v>
      </c>
      <c r="O2072">
        <f t="shared" si="261"/>
        <v>132</v>
      </c>
      <c r="P2072" t="str">
        <f t="shared" si="262"/>
        <v>Large Order</v>
      </c>
      <c r="Q2072" t="str">
        <f t="shared" si="263"/>
        <v>Weekday</v>
      </c>
    </row>
    <row r="2073" spans="1:17" x14ac:dyDescent="0.35">
      <c r="A2073" t="s">
        <v>2223</v>
      </c>
      <c r="B2073" s="7">
        <v>45405</v>
      </c>
      <c r="C2073" s="13">
        <f t="shared" si="257"/>
        <v>2024</v>
      </c>
      <c r="D2073" s="7" t="str">
        <f t="shared" si="258"/>
        <v>Apr</v>
      </c>
      <c r="E2073" s="7" t="str">
        <f t="shared" si="259"/>
        <v>Tue</v>
      </c>
      <c r="F2073" t="s">
        <v>125</v>
      </c>
      <c r="G2073" t="s">
        <v>79</v>
      </c>
      <c r="H2073" t="s">
        <v>22</v>
      </c>
      <c r="I2073" s="2" t="str">
        <f t="shared" si="256"/>
        <v>West</v>
      </c>
      <c r="J2073" t="s">
        <v>27</v>
      </c>
      <c r="K2073" t="s">
        <v>23</v>
      </c>
      <c r="L2073">
        <v>20</v>
      </c>
      <c r="M2073">
        <v>120</v>
      </c>
      <c r="N2073">
        <f t="shared" si="260"/>
        <v>2400</v>
      </c>
      <c r="O2073">
        <f t="shared" si="261"/>
        <v>240</v>
      </c>
      <c r="P2073" t="str">
        <f t="shared" si="262"/>
        <v>Large Order</v>
      </c>
      <c r="Q2073" t="str">
        <f t="shared" si="263"/>
        <v>Weekday</v>
      </c>
    </row>
    <row r="2074" spans="1:17" x14ac:dyDescent="0.35">
      <c r="A2074" t="s">
        <v>2224</v>
      </c>
      <c r="B2074" s="7">
        <v>45338</v>
      </c>
      <c r="C2074" s="13">
        <f t="shared" si="257"/>
        <v>2024</v>
      </c>
      <c r="D2074" s="7" t="str">
        <f t="shared" si="258"/>
        <v>Feb</v>
      </c>
      <c r="E2074" s="7" t="str">
        <f t="shared" si="259"/>
        <v>Fri</v>
      </c>
      <c r="F2074" t="s">
        <v>240</v>
      </c>
      <c r="G2074" t="s">
        <v>87</v>
      </c>
      <c r="H2074" t="s">
        <v>17</v>
      </c>
      <c r="I2074" s="2" t="str">
        <f t="shared" si="256"/>
        <v>Central</v>
      </c>
      <c r="J2074" t="s">
        <v>27</v>
      </c>
      <c r="K2074" t="s">
        <v>28</v>
      </c>
      <c r="L2074">
        <v>5</v>
      </c>
      <c r="M2074">
        <v>120</v>
      </c>
      <c r="N2074">
        <f t="shared" si="260"/>
        <v>600</v>
      </c>
      <c r="O2074">
        <f t="shared" si="261"/>
        <v>60</v>
      </c>
      <c r="P2074" t="str">
        <f t="shared" si="262"/>
        <v>Large Order</v>
      </c>
      <c r="Q2074" t="str">
        <f t="shared" si="263"/>
        <v>Weekday</v>
      </c>
    </row>
    <row r="2075" spans="1:17" x14ac:dyDescent="0.35">
      <c r="A2075" t="s">
        <v>2225</v>
      </c>
      <c r="B2075" s="7">
        <v>45535</v>
      </c>
      <c r="C2075" s="13">
        <f t="shared" si="257"/>
        <v>2024</v>
      </c>
      <c r="D2075" s="7" t="str">
        <f t="shared" si="258"/>
        <v>Aug</v>
      </c>
      <c r="E2075" s="7" t="str">
        <f t="shared" si="259"/>
        <v>Sat</v>
      </c>
      <c r="F2075" t="s">
        <v>314</v>
      </c>
      <c r="G2075" t="s">
        <v>84</v>
      </c>
      <c r="H2075" t="s">
        <v>11</v>
      </c>
      <c r="I2075" s="2" t="str">
        <f t="shared" si="256"/>
        <v>South</v>
      </c>
      <c r="J2075" t="s">
        <v>306</v>
      </c>
      <c r="K2075" t="s">
        <v>23</v>
      </c>
      <c r="L2075">
        <v>9</v>
      </c>
      <c r="M2075">
        <v>120</v>
      </c>
      <c r="N2075">
        <f t="shared" si="260"/>
        <v>1080</v>
      </c>
      <c r="O2075">
        <f t="shared" si="261"/>
        <v>108</v>
      </c>
      <c r="P2075" t="str">
        <f t="shared" si="262"/>
        <v>Large Order</v>
      </c>
      <c r="Q2075" t="str">
        <f t="shared" si="263"/>
        <v>Weekend</v>
      </c>
    </row>
    <row r="2076" spans="1:17" x14ac:dyDescent="0.35">
      <c r="A2076" t="s">
        <v>2226</v>
      </c>
      <c r="B2076" s="7">
        <v>45548</v>
      </c>
      <c r="C2076" s="13">
        <f t="shared" si="257"/>
        <v>2024</v>
      </c>
      <c r="D2076" s="7" t="str">
        <f t="shared" si="258"/>
        <v>Sep</v>
      </c>
      <c r="E2076" s="7" t="str">
        <f t="shared" si="259"/>
        <v>Fri</v>
      </c>
      <c r="F2076" t="s">
        <v>348</v>
      </c>
      <c r="G2076" t="s">
        <v>119</v>
      </c>
      <c r="H2076" t="s">
        <v>22</v>
      </c>
      <c r="I2076" s="2" t="str">
        <f t="shared" si="256"/>
        <v>South</v>
      </c>
      <c r="J2076" t="s">
        <v>56</v>
      </c>
      <c r="K2076" t="s">
        <v>28</v>
      </c>
      <c r="L2076">
        <v>16</v>
      </c>
      <c r="M2076">
        <v>120</v>
      </c>
      <c r="N2076">
        <f t="shared" si="260"/>
        <v>1920</v>
      </c>
      <c r="O2076">
        <f t="shared" si="261"/>
        <v>192</v>
      </c>
      <c r="P2076" t="str">
        <f t="shared" si="262"/>
        <v>Large Order</v>
      </c>
      <c r="Q2076" t="str">
        <f t="shared" si="263"/>
        <v>Weekday</v>
      </c>
    </row>
    <row r="2077" spans="1:17" x14ac:dyDescent="0.35">
      <c r="A2077" t="s">
        <v>2227</v>
      </c>
      <c r="B2077" s="7">
        <v>45541</v>
      </c>
      <c r="C2077" s="13">
        <f t="shared" si="257"/>
        <v>2024</v>
      </c>
      <c r="D2077" s="7" t="str">
        <f t="shared" si="258"/>
        <v>Sep</v>
      </c>
      <c r="E2077" s="7" t="str">
        <f t="shared" si="259"/>
        <v>Fri</v>
      </c>
      <c r="F2077" t="s">
        <v>106</v>
      </c>
      <c r="G2077" t="s">
        <v>21</v>
      </c>
      <c r="H2077" t="s">
        <v>22</v>
      </c>
      <c r="I2077" s="2" t="str">
        <f t="shared" si="256"/>
        <v>East</v>
      </c>
      <c r="J2077" t="s">
        <v>56</v>
      </c>
      <c r="K2077" t="s">
        <v>36</v>
      </c>
      <c r="L2077">
        <v>20</v>
      </c>
      <c r="M2077">
        <v>120</v>
      </c>
      <c r="N2077">
        <f t="shared" si="260"/>
        <v>2400</v>
      </c>
      <c r="O2077">
        <f t="shared" si="261"/>
        <v>240</v>
      </c>
      <c r="P2077" t="str">
        <f t="shared" si="262"/>
        <v>Large Order</v>
      </c>
      <c r="Q2077" t="str">
        <f t="shared" si="263"/>
        <v>Weekday</v>
      </c>
    </row>
    <row r="2078" spans="1:17" x14ac:dyDescent="0.35">
      <c r="A2078" t="s">
        <v>2228</v>
      </c>
      <c r="B2078" s="7">
        <v>45560</v>
      </c>
      <c r="C2078" s="13">
        <f t="shared" si="257"/>
        <v>2024</v>
      </c>
      <c r="D2078" s="7" t="str">
        <f t="shared" si="258"/>
        <v>Sep</v>
      </c>
      <c r="E2078" s="7" t="str">
        <f t="shared" si="259"/>
        <v>Wed</v>
      </c>
      <c r="F2078" t="s">
        <v>78</v>
      </c>
      <c r="G2078" t="s">
        <v>197</v>
      </c>
      <c r="H2078" t="s">
        <v>11</v>
      </c>
      <c r="I2078" s="2" t="str">
        <f t="shared" si="256"/>
        <v>West</v>
      </c>
      <c r="J2078" t="s">
        <v>42</v>
      </c>
      <c r="K2078" t="s">
        <v>23</v>
      </c>
      <c r="L2078">
        <v>11</v>
      </c>
      <c r="M2078">
        <v>120</v>
      </c>
      <c r="N2078">
        <f t="shared" si="260"/>
        <v>1320</v>
      </c>
      <c r="O2078">
        <f t="shared" si="261"/>
        <v>132</v>
      </c>
      <c r="P2078" t="str">
        <f t="shared" si="262"/>
        <v>Large Order</v>
      </c>
      <c r="Q2078" t="str">
        <f t="shared" si="263"/>
        <v>Weekday</v>
      </c>
    </row>
    <row r="2079" spans="1:17" x14ac:dyDescent="0.35">
      <c r="A2079" t="s">
        <v>2229</v>
      </c>
      <c r="B2079" s="7">
        <v>45586</v>
      </c>
      <c r="C2079" s="13">
        <f t="shared" si="257"/>
        <v>2024</v>
      </c>
      <c r="D2079" s="7" t="str">
        <f t="shared" si="258"/>
        <v>Oct</v>
      </c>
      <c r="E2079" s="7" t="str">
        <f t="shared" si="259"/>
        <v>Mon</v>
      </c>
      <c r="F2079" t="s">
        <v>203</v>
      </c>
      <c r="G2079" t="s">
        <v>102</v>
      </c>
      <c r="H2079" t="s">
        <v>22</v>
      </c>
      <c r="I2079" s="2" t="str">
        <f t="shared" si="256"/>
        <v>North</v>
      </c>
      <c r="J2079" t="s">
        <v>27</v>
      </c>
      <c r="K2079" t="s">
        <v>23</v>
      </c>
      <c r="L2079">
        <v>12</v>
      </c>
      <c r="M2079">
        <v>120</v>
      </c>
      <c r="N2079">
        <f t="shared" si="260"/>
        <v>1440</v>
      </c>
      <c r="O2079">
        <f t="shared" si="261"/>
        <v>144</v>
      </c>
      <c r="P2079" t="str">
        <f t="shared" si="262"/>
        <v>Large Order</v>
      </c>
      <c r="Q2079" t="str">
        <f t="shared" si="263"/>
        <v>Weekday</v>
      </c>
    </row>
    <row r="2080" spans="1:17" x14ac:dyDescent="0.35">
      <c r="A2080" t="s">
        <v>2230</v>
      </c>
      <c r="B2080" s="7">
        <v>45456</v>
      </c>
      <c r="C2080" s="13">
        <f t="shared" si="257"/>
        <v>2024</v>
      </c>
      <c r="D2080" s="7" t="str">
        <f t="shared" si="258"/>
        <v>Jun</v>
      </c>
      <c r="E2080" s="7" t="str">
        <f t="shared" si="259"/>
        <v>Thu</v>
      </c>
      <c r="F2080" t="s">
        <v>20</v>
      </c>
      <c r="G2080" t="s">
        <v>109</v>
      </c>
      <c r="H2080" t="s">
        <v>22</v>
      </c>
      <c r="I2080" s="2" t="str">
        <f t="shared" si="256"/>
        <v>West</v>
      </c>
      <c r="J2080" t="s">
        <v>12</v>
      </c>
      <c r="K2080" t="s">
        <v>32</v>
      </c>
      <c r="L2080">
        <v>6</v>
      </c>
      <c r="M2080">
        <v>120</v>
      </c>
      <c r="N2080">
        <f t="shared" si="260"/>
        <v>720</v>
      </c>
      <c r="O2080">
        <f t="shared" si="261"/>
        <v>72</v>
      </c>
      <c r="P2080" t="str">
        <f t="shared" si="262"/>
        <v>Large Order</v>
      </c>
      <c r="Q2080" t="str">
        <f t="shared" si="263"/>
        <v>Weekday</v>
      </c>
    </row>
    <row r="2081" spans="1:17" x14ac:dyDescent="0.35">
      <c r="A2081" t="s">
        <v>2231</v>
      </c>
      <c r="B2081" s="7">
        <v>45607</v>
      </c>
      <c r="C2081" s="13">
        <f t="shared" si="257"/>
        <v>2024</v>
      </c>
      <c r="D2081" s="7" t="str">
        <f t="shared" si="258"/>
        <v>Nov</v>
      </c>
      <c r="E2081" s="7" t="str">
        <f t="shared" si="259"/>
        <v>Mon</v>
      </c>
      <c r="F2081" t="s">
        <v>396</v>
      </c>
      <c r="G2081" t="s">
        <v>109</v>
      </c>
      <c r="H2081" t="s">
        <v>11</v>
      </c>
      <c r="I2081" s="2" t="str">
        <f t="shared" si="256"/>
        <v>North</v>
      </c>
      <c r="J2081" t="s">
        <v>27</v>
      </c>
      <c r="K2081" t="s">
        <v>13</v>
      </c>
      <c r="L2081">
        <v>8</v>
      </c>
      <c r="M2081">
        <v>120</v>
      </c>
      <c r="N2081">
        <f t="shared" si="260"/>
        <v>960</v>
      </c>
      <c r="O2081">
        <f t="shared" si="261"/>
        <v>96</v>
      </c>
      <c r="P2081" t="str">
        <f t="shared" si="262"/>
        <v>Large Order</v>
      </c>
      <c r="Q2081" t="str">
        <f t="shared" si="263"/>
        <v>Weekday</v>
      </c>
    </row>
    <row r="2082" spans="1:17" x14ac:dyDescent="0.35">
      <c r="A2082" t="s">
        <v>2232</v>
      </c>
      <c r="B2082" s="7">
        <v>45483</v>
      </c>
      <c r="C2082" s="13">
        <f t="shared" si="257"/>
        <v>2024</v>
      </c>
      <c r="D2082" s="7" t="str">
        <f t="shared" si="258"/>
        <v>Jul</v>
      </c>
      <c r="E2082" s="7" t="str">
        <f t="shared" si="259"/>
        <v>Wed</v>
      </c>
      <c r="F2082" t="s">
        <v>125</v>
      </c>
      <c r="G2082" t="s">
        <v>119</v>
      </c>
      <c r="H2082" t="s">
        <v>22</v>
      </c>
      <c r="I2082" s="2" t="str">
        <f t="shared" si="256"/>
        <v>East</v>
      </c>
      <c r="J2082" t="s">
        <v>12</v>
      </c>
      <c r="K2082" t="s">
        <v>13</v>
      </c>
      <c r="L2082">
        <v>2</v>
      </c>
      <c r="M2082">
        <v>120</v>
      </c>
      <c r="N2082">
        <f t="shared" si="260"/>
        <v>240</v>
      </c>
      <c r="O2082">
        <f t="shared" si="261"/>
        <v>24</v>
      </c>
      <c r="P2082" t="str">
        <f t="shared" si="262"/>
        <v>Standard Order</v>
      </c>
      <c r="Q2082" t="str">
        <f t="shared" si="263"/>
        <v>Weekday</v>
      </c>
    </row>
    <row r="2083" spans="1:17" x14ac:dyDescent="0.35">
      <c r="A2083" t="s">
        <v>2233</v>
      </c>
      <c r="B2083" s="7">
        <v>45609</v>
      </c>
      <c r="C2083" s="13">
        <f t="shared" si="257"/>
        <v>2024</v>
      </c>
      <c r="D2083" s="7" t="str">
        <f t="shared" si="258"/>
        <v>Nov</v>
      </c>
      <c r="E2083" s="7" t="str">
        <f t="shared" si="259"/>
        <v>Wed</v>
      </c>
      <c r="F2083" t="s">
        <v>167</v>
      </c>
      <c r="G2083" t="s">
        <v>74</v>
      </c>
      <c r="H2083" t="s">
        <v>11</v>
      </c>
      <c r="I2083" s="2" t="str">
        <f t="shared" si="256"/>
        <v>Central</v>
      </c>
      <c r="J2083" t="s">
        <v>42</v>
      </c>
      <c r="K2083" t="s">
        <v>13</v>
      </c>
      <c r="L2083">
        <v>10</v>
      </c>
      <c r="M2083">
        <v>120</v>
      </c>
      <c r="N2083">
        <f t="shared" si="260"/>
        <v>1200</v>
      </c>
      <c r="O2083">
        <f t="shared" si="261"/>
        <v>120</v>
      </c>
      <c r="P2083" t="str">
        <f t="shared" si="262"/>
        <v>Large Order</v>
      </c>
      <c r="Q2083" t="str">
        <f t="shared" si="263"/>
        <v>Weekday</v>
      </c>
    </row>
    <row r="2084" spans="1:17" x14ac:dyDescent="0.35">
      <c r="A2084" t="s">
        <v>2234</v>
      </c>
      <c r="B2084" s="7">
        <v>45303</v>
      </c>
      <c r="C2084" s="13">
        <f t="shared" si="257"/>
        <v>2024</v>
      </c>
      <c r="D2084" s="7" t="str">
        <f t="shared" si="258"/>
        <v>Jan</v>
      </c>
      <c r="E2084" s="7" t="str">
        <f t="shared" si="259"/>
        <v>Fri</v>
      </c>
      <c r="F2084" t="s">
        <v>118</v>
      </c>
      <c r="G2084" t="s">
        <v>65</v>
      </c>
      <c r="H2084" t="s">
        <v>22</v>
      </c>
      <c r="I2084" s="2" t="str">
        <f t="shared" si="256"/>
        <v>South</v>
      </c>
      <c r="J2084" t="s">
        <v>306</v>
      </c>
      <c r="K2084" t="s">
        <v>28</v>
      </c>
      <c r="L2084">
        <v>7</v>
      </c>
      <c r="M2084">
        <v>120</v>
      </c>
      <c r="N2084">
        <f t="shared" si="260"/>
        <v>840</v>
      </c>
      <c r="O2084">
        <f t="shared" si="261"/>
        <v>84</v>
      </c>
      <c r="P2084" t="str">
        <f t="shared" si="262"/>
        <v>Large Order</v>
      </c>
      <c r="Q2084" t="str">
        <f t="shared" si="263"/>
        <v>Weekday</v>
      </c>
    </row>
    <row r="2085" spans="1:17" x14ac:dyDescent="0.35">
      <c r="A2085" t="s">
        <v>2235</v>
      </c>
      <c r="B2085" s="7">
        <v>45424</v>
      </c>
      <c r="C2085" s="13">
        <f t="shared" si="257"/>
        <v>2024</v>
      </c>
      <c r="D2085" s="7" t="str">
        <f t="shared" si="258"/>
        <v>May</v>
      </c>
      <c r="E2085" s="7" t="str">
        <f t="shared" si="259"/>
        <v>Sun</v>
      </c>
      <c r="F2085" t="s">
        <v>378</v>
      </c>
      <c r="G2085" t="s">
        <v>35</v>
      </c>
      <c r="H2085" t="s">
        <v>22</v>
      </c>
      <c r="I2085" s="2" t="str">
        <f t="shared" si="256"/>
        <v>South</v>
      </c>
      <c r="J2085" t="s">
        <v>56</v>
      </c>
      <c r="K2085" t="s">
        <v>13</v>
      </c>
      <c r="L2085">
        <v>13</v>
      </c>
      <c r="M2085">
        <v>120</v>
      </c>
      <c r="N2085">
        <f t="shared" si="260"/>
        <v>1560</v>
      </c>
      <c r="O2085">
        <f t="shared" si="261"/>
        <v>156</v>
      </c>
      <c r="P2085" t="str">
        <f t="shared" si="262"/>
        <v>Large Order</v>
      </c>
      <c r="Q2085" t="str">
        <f t="shared" si="263"/>
        <v>Weekend</v>
      </c>
    </row>
    <row r="2086" spans="1:17" x14ac:dyDescent="0.35">
      <c r="A2086" t="s">
        <v>2236</v>
      </c>
      <c r="B2086" s="7">
        <v>45631</v>
      </c>
      <c r="C2086" s="13">
        <f t="shared" si="257"/>
        <v>2024</v>
      </c>
      <c r="D2086" s="7" t="str">
        <f t="shared" si="258"/>
        <v>Dec</v>
      </c>
      <c r="E2086" s="7" t="str">
        <f t="shared" si="259"/>
        <v>Thu</v>
      </c>
      <c r="F2086" t="s">
        <v>339</v>
      </c>
      <c r="G2086" t="s">
        <v>79</v>
      </c>
      <c r="H2086" t="s">
        <v>17</v>
      </c>
      <c r="I2086" s="2" t="str">
        <f t="shared" si="256"/>
        <v>West</v>
      </c>
      <c r="J2086" t="s">
        <v>56</v>
      </c>
      <c r="K2086" t="s">
        <v>13</v>
      </c>
      <c r="L2086">
        <v>10</v>
      </c>
      <c r="M2086">
        <v>120</v>
      </c>
      <c r="N2086">
        <f t="shared" si="260"/>
        <v>1200</v>
      </c>
      <c r="O2086">
        <f t="shared" si="261"/>
        <v>120</v>
      </c>
      <c r="P2086" t="str">
        <f t="shared" si="262"/>
        <v>Large Order</v>
      </c>
      <c r="Q2086" t="str">
        <f t="shared" si="263"/>
        <v>Weekday</v>
      </c>
    </row>
    <row r="2087" spans="1:17" x14ac:dyDescent="0.35">
      <c r="A2087" t="s">
        <v>2237</v>
      </c>
      <c r="B2087" s="7">
        <v>45648</v>
      </c>
      <c r="C2087" s="13">
        <f t="shared" si="257"/>
        <v>2024</v>
      </c>
      <c r="D2087" s="7" t="str">
        <f t="shared" si="258"/>
        <v>Dec</v>
      </c>
      <c r="E2087" s="7" t="str">
        <f t="shared" si="259"/>
        <v>Sun</v>
      </c>
      <c r="F2087" t="s">
        <v>381</v>
      </c>
      <c r="G2087" t="s">
        <v>26</v>
      </c>
      <c r="H2087" t="s">
        <v>11</v>
      </c>
      <c r="I2087" s="2" t="str">
        <f t="shared" si="256"/>
        <v>North</v>
      </c>
      <c r="J2087" t="s">
        <v>27</v>
      </c>
      <c r="K2087" t="s">
        <v>13</v>
      </c>
      <c r="L2087">
        <v>3</v>
      </c>
      <c r="M2087">
        <v>120</v>
      </c>
      <c r="N2087">
        <f t="shared" si="260"/>
        <v>360</v>
      </c>
      <c r="O2087">
        <f t="shared" si="261"/>
        <v>36</v>
      </c>
      <c r="P2087" t="str">
        <f t="shared" si="262"/>
        <v>Standard Order</v>
      </c>
      <c r="Q2087" t="str">
        <f t="shared" si="263"/>
        <v>Weekend</v>
      </c>
    </row>
    <row r="2088" spans="1:17" x14ac:dyDescent="0.35">
      <c r="A2088" t="s">
        <v>2238</v>
      </c>
      <c r="B2088" s="7">
        <v>45430</v>
      </c>
      <c r="C2088" s="13">
        <f t="shared" si="257"/>
        <v>2024</v>
      </c>
      <c r="D2088" s="7" t="str">
        <f t="shared" si="258"/>
        <v>May</v>
      </c>
      <c r="E2088" s="7" t="str">
        <f t="shared" si="259"/>
        <v>Sat</v>
      </c>
      <c r="F2088" t="s">
        <v>371</v>
      </c>
      <c r="G2088" t="s">
        <v>41</v>
      </c>
      <c r="H2088" t="s">
        <v>17</v>
      </c>
      <c r="I2088" s="2" t="str">
        <f t="shared" si="256"/>
        <v>Central</v>
      </c>
      <c r="J2088" t="s">
        <v>12</v>
      </c>
      <c r="K2088" t="s">
        <v>13</v>
      </c>
      <c r="L2088">
        <v>10</v>
      </c>
      <c r="M2088">
        <v>120</v>
      </c>
      <c r="N2088">
        <f t="shared" si="260"/>
        <v>1200</v>
      </c>
      <c r="O2088">
        <f t="shared" si="261"/>
        <v>120</v>
      </c>
      <c r="P2088" t="str">
        <f t="shared" si="262"/>
        <v>Large Order</v>
      </c>
      <c r="Q2088" t="str">
        <f t="shared" si="263"/>
        <v>Weekend</v>
      </c>
    </row>
    <row r="2089" spans="1:17" x14ac:dyDescent="0.35">
      <c r="A2089" t="s">
        <v>2239</v>
      </c>
      <c r="B2089" s="7">
        <v>45624</v>
      </c>
      <c r="C2089" s="13">
        <f t="shared" si="257"/>
        <v>2024</v>
      </c>
      <c r="D2089" s="7" t="str">
        <f t="shared" si="258"/>
        <v>Nov</v>
      </c>
      <c r="E2089" s="7" t="str">
        <f t="shared" si="259"/>
        <v>Thu</v>
      </c>
      <c r="F2089" t="s">
        <v>53</v>
      </c>
      <c r="G2089" t="s">
        <v>197</v>
      </c>
      <c r="H2089" t="s">
        <v>17</v>
      </c>
      <c r="I2089" s="2" t="str">
        <f t="shared" si="256"/>
        <v>South</v>
      </c>
      <c r="J2089" t="s">
        <v>306</v>
      </c>
      <c r="K2089" t="s">
        <v>13</v>
      </c>
      <c r="L2089">
        <v>11</v>
      </c>
      <c r="M2089">
        <v>120</v>
      </c>
      <c r="N2089">
        <f t="shared" si="260"/>
        <v>1320</v>
      </c>
      <c r="O2089">
        <f t="shared" si="261"/>
        <v>132</v>
      </c>
      <c r="P2089" t="str">
        <f t="shared" si="262"/>
        <v>Large Order</v>
      </c>
      <c r="Q2089" t="str">
        <f t="shared" si="263"/>
        <v>Weekday</v>
      </c>
    </row>
    <row r="2090" spans="1:17" x14ac:dyDescent="0.35">
      <c r="A2090" t="s">
        <v>2240</v>
      </c>
      <c r="B2090" s="7">
        <v>45597</v>
      </c>
      <c r="C2090" s="13">
        <f t="shared" si="257"/>
        <v>2024</v>
      </c>
      <c r="D2090" s="7" t="str">
        <f t="shared" si="258"/>
        <v>Nov</v>
      </c>
      <c r="E2090" s="7" t="str">
        <f t="shared" si="259"/>
        <v>Fri</v>
      </c>
      <c r="F2090" t="s">
        <v>312</v>
      </c>
      <c r="G2090" t="s">
        <v>10</v>
      </c>
      <c r="H2090" t="s">
        <v>11</v>
      </c>
      <c r="I2090" s="2" t="str">
        <f t="shared" si="256"/>
        <v>Central</v>
      </c>
      <c r="J2090" t="s">
        <v>56</v>
      </c>
      <c r="K2090" t="s">
        <v>36</v>
      </c>
      <c r="L2090">
        <v>15</v>
      </c>
      <c r="M2090">
        <v>120</v>
      </c>
      <c r="N2090">
        <f t="shared" si="260"/>
        <v>1800</v>
      </c>
      <c r="O2090">
        <f t="shared" si="261"/>
        <v>180</v>
      </c>
      <c r="P2090" t="str">
        <f t="shared" si="262"/>
        <v>Large Order</v>
      </c>
      <c r="Q2090" t="str">
        <f t="shared" si="263"/>
        <v>Weekday</v>
      </c>
    </row>
    <row r="2091" spans="1:17" x14ac:dyDescent="0.35">
      <c r="A2091" t="s">
        <v>2241</v>
      </c>
      <c r="B2091" s="7">
        <v>45656</v>
      </c>
      <c r="C2091" s="13">
        <f t="shared" si="257"/>
        <v>2024</v>
      </c>
      <c r="D2091" s="7" t="str">
        <f t="shared" si="258"/>
        <v>Dec</v>
      </c>
      <c r="E2091" s="7" t="str">
        <f t="shared" si="259"/>
        <v>Mon</v>
      </c>
      <c r="F2091" t="s">
        <v>138</v>
      </c>
      <c r="G2091" t="s">
        <v>79</v>
      </c>
      <c r="H2091" t="s">
        <v>11</v>
      </c>
      <c r="I2091" s="2" t="str">
        <f t="shared" si="256"/>
        <v>East</v>
      </c>
      <c r="J2091" t="s">
        <v>306</v>
      </c>
      <c r="K2091" t="s">
        <v>32</v>
      </c>
      <c r="L2091">
        <v>11</v>
      </c>
      <c r="M2091">
        <v>120</v>
      </c>
      <c r="N2091">
        <f t="shared" si="260"/>
        <v>1320</v>
      </c>
      <c r="O2091">
        <f t="shared" si="261"/>
        <v>132</v>
      </c>
      <c r="P2091" t="str">
        <f t="shared" si="262"/>
        <v>Large Order</v>
      </c>
      <c r="Q2091" t="str">
        <f t="shared" si="263"/>
        <v>Weekday</v>
      </c>
    </row>
    <row r="2092" spans="1:17" x14ac:dyDescent="0.35">
      <c r="A2092" t="s">
        <v>2242</v>
      </c>
      <c r="B2092" s="7">
        <v>45372</v>
      </c>
      <c r="C2092" s="13">
        <f t="shared" si="257"/>
        <v>2024</v>
      </c>
      <c r="D2092" s="7" t="str">
        <f t="shared" si="258"/>
        <v>Mar</v>
      </c>
      <c r="E2092" s="7" t="str">
        <f t="shared" si="259"/>
        <v>Thu</v>
      </c>
      <c r="F2092" t="s">
        <v>138</v>
      </c>
      <c r="G2092" t="s">
        <v>48</v>
      </c>
      <c r="H2092" t="s">
        <v>22</v>
      </c>
      <c r="I2092" s="2" t="str">
        <f t="shared" si="256"/>
        <v>East</v>
      </c>
      <c r="J2092" t="s">
        <v>42</v>
      </c>
      <c r="K2092" t="s">
        <v>32</v>
      </c>
      <c r="L2092">
        <v>10</v>
      </c>
      <c r="M2092">
        <v>120</v>
      </c>
      <c r="N2092">
        <f t="shared" si="260"/>
        <v>1200</v>
      </c>
      <c r="O2092">
        <f t="shared" si="261"/>
        <v>120</v>
      </c>
      <c r="P2092" t="str">
        <f t="shared" si="262"/>
        <v>Large Order</v>
      </c>
      <c r="Q2092" t="str">
        <f t="shared" si="263"/>
        <v>Weekday</v>
      </c>
    </row>
    <row r="2093" spans="1:17" x14ac:dyDescent="0.35">
      <c r="A2093" t="s">
        <v>2243</v>
      </c>
      <c r="B2093" s="7">
        <v>45548</v>
      </c>
      <c r="C2093" s="13">
        <f t="shared" si="257"/>
        <v>2024</v>
      </c>
      <c r="D2093" s="7" t="str">
        <f t="shared" si="258"/>
        <v>Sep</v>
      </c>
      <c r="E2093" s="7" t="str">
        <f t="shared" si="259"/>
        <v>Fri</v>
      </c>
      <c r="F2093" t="s">
        <v>89</v>
      </c>
      <c r="G2093" t="s">
        <v>79</v>
      </c>
      <c r="H2093" t="s">
        <v>22</v>
      </c>
      <c r="I2093" s="2" t="str">
        <f t="shared" si="256"/>
        <v>West</v>
      </c>
      <c r="J2093" t="s">
        <v>42</v>
      </c>
      <c r="K2093" t="s">
        <v>23</v>
      </c>
      <c r="L2093">
        <v>1</v>
      </c>
      <c r="M2093">
        <v>120</v>
      </c>
      <c r="N2093">
        <f t="shared" si="260"/>
        <v>120</v>
      </c>
      <c r="O2093">
        <f t="shared" si="261"/>
        <v>12</v>
      </c>
      <c r="P2093" t="str">
        <f t="shared" si="262"/>
        <v>Standard Order</v>
      </c>
      <c r="Q2093" t="str">
        <f t="shared" si="263"/>
        <v>Weekday</v>
      </c>
    </row>
    <row r="2094" spans="1:17" x14ac:dyDescent="0.35">
      <c r="A2094" t="s">
        <v>2244</v>
      </c>
      <c r="B2094" s="7">
        <v>45435</v>
      </c>
      <c r="C2094" s="13">
        <f t="shared" si="257"/>
        <v>2024</v>
      </c>
      <c r="D2094" s="7" t="str">
        <f t="shared" si="258"/>
        <v>May</v>
      </c>
      <c r="E2094" s="7" t="str">
        <f t="shared" si="259"/>
        <v>Thu</v>
      </c>
      <c r="F2094" t="s">
        <v>240</v>
      </c>
      <c r="G2094" t="s">
        <v>16</v>
      </c>
      <c r="H2094" t="s">
        <v>17</v>
      </c>
      <c r="I2094" s="2" t="str">
        <f t="shared" si="256"/>
        <v>South</v>
      </c>
      <c r="J2094" t="s">
        <v>27</v>
      </c>
      <c r="K2094" t="s">
        <v>28</v>
      </c>
      <c r="L2094">
        <v>3</v>
      </c>
      <c r="M2094">
        <v>120</v>
      </c>
      <c r="N2094">
        <f t="shared" si="260"/>
        <v>360</v>
      </c>
      <c r="O2094">
        <f t="shared" si="261"/>
        <v>36</v>
      </c>
      <c r="P2094" t="str">
        <f t="shared" si="262"/>
        <v>Standard Order</v>
      </c>
      <c r="Q2094" t="str">
        <f t="shared" si="263"/>
        <v>Weekday</v>
      </c>
    </row>
    <row r="2095" spans="1:17" x14ac:dyDescent="0.35">
      <c r="A2095" t="s">
        <v>2245</v>
      </c>
      <c r="B2095" s="7">
        <v>45558</v>
      </c>
      <c r="C2095" s="13">
        <f t="shared" si="257"/>
        <v>2024</v>
      </c>
      <c r="D2095" s="7" t="str">
        <f t="shared" si="258"/>
        <v>Sep</v>
      </c>
      <c r="E2095" s="7" t="str">
        <f t="shared" si="259"/>
        <v>Mon</v>
      </c>
      <c r="F2095" t="s">
        <v>422</v>
      </c>
      <c r="G2095" t="s">
        <v>109</v>
      </c>
      <c r="H2095" t="s">
        <v>22</v>
      </c>
      <c r="I2095" s="2" t="str">
        <f t="shared" si="256"/>
        <v>West</v>
      </c>
      <c r="J2095" t="s">
        <v>56</v>
      </c>
      <c r="K2095" t="s">
        <v>23</v>
      </c>
      <c r="L2095">
        <v>8</v>
      </c>
      <c r="M2095">
        <v>120</v>
      </c>
      <c r="N2095">
        <f t="shared" si="260"/>
        <v>960</v>
      </c>
      <c r="O2095">
        <f t="shared" si="261"/>
        <v>96</v>
      </c>
      <c r="P2095" t="str">
        <f t="shared" si="262"/>
        <v>Large Order</v>
      </c>
      <c r="Q2095" t="str">
        <f t="shared" si="263"/>
        <v>Weekday</v>
      </c>
    </row>
    <row r="2096" spans="1:17" x14ac:dyDescent="0.35">
      <c r="A2096" t="s">
        <v>2246</v>
      </c>
      <c r="B2096" s="7">
        <v>45510</v>
      </c>
      <c r="C2096" s="13">
        <f t="shared" si="257"/>
        <v>2024</v>
      </c>
      <c r="D2096" s="7" t="str">
        <f t="shared" si="258"/>
        <v>Aug</v>
      </c>
      <c r="E2096" s="7" t="str">
        <f t="shared" si="259"/>
        <v>Tue</v>
      </c>
      <c r="F2096" t="s">
        <v>147</v>
      </c>
      <c r="G2096" t="s">
        <v>109</v>
      </c>
      <c r="H2096" t="s">
        <v>17</v>
      </c>
      <c r="I2096" s="2" t="str">
        <f t="shared" si="256"/>
        <v>South</v>
      </c>
      <c r="J2096" t="s">
        <v>27</v>
      </c>
      <c r="K2096" t="s">
        <v>36</v>
      </c>
      <c r="L2096">
        <v>5</v>
      </c>
      <c r="M2096">
        <v>120</v>
      </c>
      <c r="N2096">
        <f t="shared" si="260"/>
        <v>600</v>
      </c>
      <c r="O2096">
        <f t="shared" si="261"/>
        <v>60</v>
      </c>
      <c r="P2096" t="str">
        <f t="shared" si="262"/>
        <v>Large Order</v>
      </c>
      <c r="Q2096" t="str">
        <f t="shared" si="263"/>
        <v>Weekday</v>
      </c>
    </row>
    <row r="2097" spans="1:17" x14ac:dyDescent="0.35">
      <c r="A2097" t="s">
        <v>2247</v>
      </c>
      <c r="B2097" s="7">
        <v>45362</v>
      </c>
      <c r="C2097" s="13">
        <f t="shared" si="257"/>
        <v>2024</v>
      </c>
      <c r="D2097" s="7" t="str">
        <f t="shared" si="258"/>
        <v>Mar</v>
      </c>
      <c r="E2097" s="7" t="str">
        <f t="shared" si="259"/>
        <v>Mon</v>
      </c>
      <c r="F2097" t="s">
        <v>361</v>
      </c>
      <c r="G2097" t="s">
        <v>174</v>
      </c>
      <c r="H2097" t="s">
        <v>22</v>
      </c>
      <c r="I2097" s="2" t="str">
        <f t="shared" si="256"/>
        <v>Central</v>
      </c>
      <c r="J2097" t="s">
        <v>56</v>
      </c>
      <c r="K2097" t="s">
        <v>28</v>
      </c>
      <c r="L2097">
        <v>10</v>
      </c>
      <c r="M2097">
        <v>120</v>
      </c>
      <c r="N2097">
        <f t="shared" si="260"/>
        <v>1200</v>
      </c>
      <c r="O2097">
        <f t="shared" si="261"/>
        <v>120</v>
      </c>
      <c r="P2097" t="str">
        <f t="shared" si="262"/>
        <v>Large Order</v>
      </c>
      <c r="Q2097" t="str">
        <f t="shared" si="263"/>
        <v>Weekday</v>
      </c>
    </row>
    <row r="2098" spans="1:17" x14ac:dyDescent="0.35">
      <c r="A2098" t="s">
        <v>2248</v>
      </c>
      <c r="B2098" s="7">
        <v>45560</v>
      </c>
      <c r="C2098" s="13">
        <f t="shared" si="257"/>
        <v>2024</v>
      </c>
      <c r="D2098" s="7" t="str">
        <f t="shared" si="258"/>
        <v>Sep</v>
      </c>
      <c r="E2098" s="7" t="str">
        <f t="shared" si="259"/>
        <v>Wed</v>
      </c>
      <c r="F2098" t="s">
        <v>99</v>
      </c>
      <c r="G2098" t="s">
        <v>87</v>
      </c>
      <c r="H2098" t="s">
        <v>11</v>
      </c>
      <c r="I2098" s="2" t="str">
        <f t="shared" si="256"/>
        <v>East</v>
      </c>
      <c r="J2098" t="s">
        <v>306</v>
      </c>
      <c r="K2098" t="s">
        <v>28</v>
      </c>
      <c r="L2098">
        <v>11</v>
      </c>
      <c r="M2098">
        <v>120</v>
      </c>
      <c r="N2098">
        <f t="shared" si="260"/>
        <v>1320</v>
      </c>
      <c r="O2098">
        <f t="shared" si="261"/>
        <v>132</v>
      </c>
      <c r="P2098" t="str">
        <f t="shared" si="262"/>
        <v>Large Order</v>
      </c>
      <c r="Q2098" t="str">
        <f t="shared" si="263"/>
        <v>Weekday</v>
      </c>
    </row>
    <row r="2099" spans="1:17" x14ac:dyDescent="0.35">
      <c r="A2099" t="s">
        <v>2249</v>
      </c>
      <c r="B2099" s="7">
        <v>45564</v>
      </c>
      <c r="C2099" s="13">
        <f t="shared" si="257"/>
        <v>2024</v>
      </c>
      <c r="D2099" s="7" t="str">
        <f t="shared" si="258"/>
        <v>Sep</v>
      </c>
      <c r="E2099" s="7" t="str">
        <f t="shared" si="259"/>
        <v>Sun</v>
      </c>
      <c r="F2099" t="s">
        <v>329</v>
      </c>
      <c r="G2099" t="s">
        <v>102</v>
      </c>
      <c r="H2099" t="s">
        <v>11</v>
      </c>
      <c r="I2099" s="2" t="str">
        <f t="shared" si="256"/>
        <v>East</v>
      </c>
      <c r="J2099" t="s">
        <v>42</v>
      </c>
      <c r="K2099" t="s">
        <v>28</v>
      </c>
      <c r="L2099">
        <v>1</v>
      </c>
      <c r="M2099">
        <v>120</v>
      </c>
      <c r="N2099">
        <f t="shared" si="260"/>
        <v>120</v>
      </c>
      <c r="O2099">
        <f t="shared" si="261"/>
        <v>12</v>
      </c>
      <c r="P2099" t="str">
        <f t="shared" si="262"/>
        <v>Standard Order</v>
      </c>
      <c r="Q2099" t="str">
        <f t="shared" si="263"/>
        <v>Weekend</v>
      </c>
    </row>
    <row r="2100" spans="1:17" x14ac:dyDescent="0.35">
      <c r="A2100" t="s">
        <v>2250</v>
      </c>
      <c r="B2100" s="7">
        <v>45503</v>
      </c>
      <c r="C2100" s="13">
        <f t="shared" si="257"/>
        <v>2024</v>
      </c>
      <c r="D2100" s="7" t="str">
        <f t="shared" si="258"/>
        <v>Jul</v>
      </c>
      <c r="E2100" s="7" t="str">
        <f t="shared" si="259"/>
        <v>Tue</v>
      </c>
      <c r="F2100" t="s">
        <v>408</v>
      </c>
      <c r="G2100" t="s">
        <v>74</v>
      </c>
      <c r="H2100" t="s">
        <v>17</v>
      </c>
      <c r="I2100" s="2" t="str">
        <f t="shared" si="256"/>
        <v>Central</v>
      </c>
      <c r="J2100" t="s">
        <v>42</v>
      </c>
      <c r="K2100" t="s">
        <v>28</v>
      </c>
      <c r="L2100">
        <v>7</v>
      </c>
      <c r="M2100">
        <v>120</v>
      </c>
      <c r="N2100">
        <f t="shared" si="260"/>
        <v>840</v>
      </c>
      <c r="O2100">
        <f t="shared" si="261"/>
        <v>84</v>
      </c>
      <c r="P2100" t="str">
        <f t="shared" si="262"/>
        <v>Large Order</v>
      </c>
      <c r="Q2100" t="str">
        <f t="shared" si="263"/>
        <v>Weekday</v>
      </c>
    </row>
    <row r="2101" spans="1:17" x14ac:dyDescent="0.35">
      <c r="A2101" t="s">
        <v>2251</v>
      </c>
      <c r="B2101" s="7">
        <v>45386</v>
      </c>
      <c r="C2101" s="13">
        <f t="shared" si="257"/>
        <v>2024</v>
      </c>
      <c r="D2101" s="7" t="str">
        <f t="shared" si="258"/>
        <v>Apr</v>
      </c>
      <c r="E2101" s="7" t="str">
        <f t="shared" si="259"/>
        <v>Thu</v>
      </c>
      <c r="F2101" t="s">
        <v>64</v>
      </c>
      <c r="G2101" t="s">
        <v>119</v>
      </c>
      <c r="H2101" t="s">
        <v>22</v>
      </c>
      <c r="I2101" s="2" t="str">
        <f t="shared" si="256"/>
        <v>North</v>
      </c>
      <c r="J2101" t="s">
        <v>306</v>
      </c>
      <c r="K2101" t="s">
        <v>32</v>
      </c>
      <c r="L2101">
        <v>20</v>
      </c>
      <c r="M2101">
        <v>120</v>
      </c>
      <c r="N2101">
        <f t="shared" si="260"/>
        <v>2400</v>
      </c>
      <c r="O2101">
        <f t="shared" si="261"/>
        <v>240</v>
      </c>
      <c r="P2101" t="str">
        <f t="shared" si="262"/>
        <v>Large Order</v>
      </c>
      <c r="Q2101" t="str">
        <f t="shared" si="263"/>
        <v>Weekday</v>
      </c>
    </row>
    <row r="2102" spans="1:17" x14ac:dyDescent="0.35">
      <c r="A2102" t="s">
        <v>2252</v>
      </c>
      <c r="B2102" s="7">
        <v>45410</v>
      </c>
      <c r="C2102" s="13">
        <f t="shared" si="257"/>
        <v>2024</v>
      </c>
      <c r="D2102" s="7" t="str">
        <f t="shared" si="258"/>
        <v>Apr</v>
      </c>
      <c r="E2102" s="7" t="str">
        <f t="shared" si="259"/>
        <v>Sun</v>
      </c>
      <c r="F2102" t="s">
        <v>327</v>
      </c>
      <c r="G2102" t="s">
        <v>197</v>
      </c>
      <c r="H2102" t="s">
        <v>11</v>
      </c>
      <c r="I2102" s="2" t="str">
        <f t="shared" si="256"/>
        <v>West</v>
      </c>
      <c r="J2102" t="s">
        <v>12</v>
      </c>
      <c r="K2102" t="s">
        <v>32</v>
      </c>
      <c r="L2102">
        <v>3</v>
      </c>
      <c r="M2102">
        <v>120</v>
      </c>
      <c r="N2102">
        <f t="shared" si="260"/>
        <v>360</v>
      </c>
      <c r="O2102">
        <f t="shared" si="261"/>
        <v>36</v>
      </c>
      <c r="P2102" t="str">
        <f t="shared" si="262"/>
        <v>Standard Order</v>
      </c>
      <c r="Q2102" t="str">
        <f t="shared" si="263"/>
        <v>Weekend</v>
      </c>
    </row>
    <row r="2103" spans="1:17" x14ac:dyDescent="0.35">
      <c r="A2103" t="s">
        <v>2253</v>
      </c>
      <c r="B2103" s="7">
        <v>45536</v>
      </c>
      <c r="C2103" s="13">
        <f t="shared" si="257"/>
        <v>2024</v>
      </c>
      <c r="D2103" s="7" t="str">
        <f t="shared" si="258"/>
        <v>Sep</v>
      </c>
      <c r="E2103" s="7" t="str">
        <f t="shared" si="259"/>
        <v>Sun</v>
      </c>
      <c r="F2103" t="s">
        <v>99</v>
      </c>
      <c r="G2103" t="s">
        <v>160</v>
      </c>
      <c r="H2103" t="s">
        <v>22</v>
      </c>
      <c r="I2103" s="2" t="str">
        <f t="shared" si="256"/>
        <v>South</v>
      </c>
      <c r="J2103" t="s">
        <v>27</v>
      </c>
      <c r="K2103" t="s">
        <v>32</v>
      </c>
      <c r="L2103">
        <v>6</v>
      </c>
      <c r="M2103">
        <v>120</v>
      </c>
      <c r="N2103">
        <f t="shared" si="260"/>
        <v>720</v>
      </c>
      <c r="O2103">
        <f t="shared" si="261"/>
        <v>72</v>
      </c>
      <c r="P2103" t="str">
        <f t="shared" si="262"/>
        <v>Large Order</v>
      </c>
      <c r="Q2103" t="str">
        <f t="shared" si="263"/>
        <v>Weekend</v>
      </c>
    </row>
    <row r="2104" spans="1:17" x14ac:dyDescent="0.35">
      <c r="A2104" t="s">
        <v>2254</v>
      </c>
      <c r="B2104" s="7">
        <v>45543</v>
      </c>
      <c r="C2104" s="13">
        <f t="shared" si="257"/>
        <v>2024</v>
      </c>
      <c r="D2104" s="7" t="str">
        <f t="shared" si="258"/>
        <v>Sep</v>
      </c>
      <c r="E2104" s="7" t="str">
        <f t="shared" si="259"/>
        <v>Sun</v>
      </c>
      <c r="F2104" t="s">
        <v>553</v>
      </c>
      <c r="G2104" t="s">
        <v>16</v>
      </c>
      <c r="H2104" t="s">
        <v>11</v>
      </c>
      <c r="I2104" s="2" t="str">
        <f t="shared" si="256"/>
        <v>South</v>
      </c>
      <c r="J2104" t="s">
        <v>56</v>
      </c>
      <c r="K2104" t="s">
        <v>28</v>
      </c>
      <c r="L2104">
        <v>2</v>
      </c>
      <c r="M2104">
        <v>120</v>
      </c>
      <c r="N2104">
        <f t="shared" si="260"/>
        <v>240</v>
      </c>
      <c r="O2104">
        <f t="shared" si="261"/>
        <v>24</v>
      </c>
      <c r="P2104" t="str">
        <f t="shared" si="262"/>
        <v>Standard Order</v>
      </c>
      <c r="Q2104" t="str">
        <f t="shared" si="263"/>
        <v>Weekend</v>
      </c>
    </row>
    <row r="2105" spans="1:17" x14ac:dyDescent="0.35">
      <c r="A2105" t="s">
        <v>2255</v>
      </c>
      <c r="B2105" s="7">
        <v>45299</v>
      </c>
      <c r="C2105" s="13">
        <f t="shared" si="257"/>
        <v>2024</v>
      </c>
      <c r="D2105" s="7" t="str">
        <f t="shared" si="258"/>
        <v>Jan</v>
      </c>
      <c r="E2105" s="7" t="str">
        <f t="shared" si="259"/>
        <v>Mon</v>
      </c>
      <c r="F2105" t="s">
        <v>101</v>
      </c>
      <c r="G2105" t="s">
        <v>87</v>
      </c>
      <c r="H2105" t="s">
        <v>11</v>
      </c>
      <c r="I2105" s="2" t="str">
        <f t="shared" si="256"/>
        <v>East</v>
      </c>
      <c r="J2105" t="s">
        <v>56</v>
      </c>
      <c r="K2105" t="s">
        <v>28</v>
      </c>
      <c r="L2105">
        <v>3</v>
      </c>
      <c r="M2105">
        <v>120</v>
      </c>
      <c r="N2105">
        <f t="shared" si="260"/>
        <v>360</v>
      </c>
      <c r="O2105">
        <f t="shared" si="261"/>
        <v>36</v>
      </c>
      <c r="P2105" t="str">
        <f t="shared" si="262"/>
        <v>Standard Order</v>
      </c>
      <c r="Q2105" t="str">
        <f t="shared" si="263"/>
        <v>Weekday</v>
      </c>
    </row>
    <row r="2106" spans="1:17" x14ac:dyDescent="0.35">
      <c r="A2106" t="s">
        <v>2256</v>
      </c>
      <c r="B2106" s="7">
        <v>45516</v>
      </c>
      <c r="C2106" s="13">
        <f t="shared" si="257"/>
        <v>2024</v>
      </c>
      <c r="D2106" s="7" t="str">
        <f t="shared" si="258"/>
        <v>Aug</v>
      </c>
      <c r="E2106" s="7" t="str">
        <f t="shared" si="259"/>
        <v>Mon</v>
      </c>
      <c r="F2106" t="s">
        <v>594</v>
      </c>
      <c r="G2106" t="s">
        <v>35</v>
      </c>
      <c r="H2106" t="s">
        <v>22</v>
      </c>
      <c r="I2106" s="2" t="str">
        <f t="shared" si="256"/>
        <v>East</v>
      </c>
      <c r="J2106" t="s">
        <v>42</v>
      </c>
      <c r="K2106" t="s">
        <v>23</v>
      </c>
      <c r="L2106">
        <v>8</v>
      </c>
      <c r="M2106">
        <v>120</v>
      </c>
      <c r="N2106">
        <f t="shared" si="260"/>
        <v>960</v>
      </c>
      <c r="O2106">
        <f t="shared" si="261"/>
        <v>96</v>
      </c>
      <c r="P2106" t="str">
        <f t="shared" si="262"/>
        <v>Large Order</v>
      </c>
      <c r="Q2106" t="str">
        <f t="shared" si="263"/>
        <v>Weekday</v>
      </c>
    </row>
    <row r="2107" spans="1:17" x14ac:dyDescent="0.35">
      <c r="A2107" t="s">
        <v>2257</v>
      </c>
      <c r="B2107" s="7">
        <v>45313</v>
      </c>
      <c r="C2107" s="13">
        <f t="shared" si="257"/>
        <v>2024</v>
      </c>
      <c r="D2107" s="7" t="str">
        <f t="shared" si="258"/>
        <v>Jan</v>
      </c>
      <c r="E2107" s="7" t="str">
        <f t="shared" si="259"/>
        <v>Mon</v>
      </c>
      <c r="F2107" t="s">
        <v>493</v>
      </c>
      <c r="G2107" t="s">
        <v>84</v>
      </c>
      <c r="H2107" t="s">
        <v>17</v>
      </c>
      <c r="I2107" s="2" t="str">
        <f t="shared" si="256"/>
        <v>North</v>
      </c>
      <c r="J2107" t="s">
        <v>42</v>
      </c>
      <c r="K2107" t="s">
        <v>23</v>
      </c>
      <c r="L2107">
        <v>20</v>
      </c>
      <c r="M2107">
        <v>120</v>
      </c>
      <c r="N2107">
        <f t="shared" si="260"/>
        <v>2400</v>
      </c>
      <c r="O2107">
        <f t="shared" si="261"/>
        <v>240</v>
      </c>
      <c r="P2107" t="str">
        <f t="shared" si="262"/>
        <v>Large Order</v>
      </c>
      <c r="Q2107" t="str">
        <f t="shared" si="263"/>
        <v>Weekday</v>
      </c>
    </row>
    <row r="2108" spans="1:17" x14ac:dyDescent="0.35">
      <c r="A2108" t="s">
        <v>2258</v>
      </c>
      <c r="B2108" s="7">
        <v>45584</v>
      </c>
      <c r="C2108" s="13">
        <f t="shared" si="257"/>
        <v>2024</v>
      </c>
      <c r="D2108" s="7" t="str">
        <f t="shared" si="258"/>
        <v>Oct</v>
      </c>
      <c r="E2108" s="7" t="str">
        <f t="shared" si="259"/>
        <v>Sat</v>
      </c>
      <c r="F2108" t="s">
        <v>327</v>
      </c>
      <c r="G2108" t="s">
        <v>174</v>
      </c>
      <c r="H2108" t="s">
        <v>22</v>
      </c>
      <c r="I2108" s="2" t="str">
        <f t="shared" si="256"/>
        <v>West</v>
      </c>
      <c r="J2108" t="s">
        <v>12</v>
      </c>
      <c r="K2108" t="s">
        <v>36</v>
      </c>
      <c r="L2108">
        <v>4</v>
      </c>
      <c r="M2108">
        <v>120</v>
      </c>
      <c r="N2108">
        <f t="shared" si="260"/>
        <v>480</v>
      </c>
      <c r="O2108">
        <f t="shared" si="261"/>
        <v>48</v>
      </c>
      <c r="P2108" t="str">
        <f t="shared" si="262"/>
        <v>Standard Order</v>
      </c>
      <c r="Q2108" t="str">
        <f t="shared" si="263"/>
        <v>Weekend</v>
      </c>
    </row>
    <row r="2109" spans="1:17" x14ac:dyDescent="0.35">
      <c r="A2109" t="s">
        <v>2259</v>
      </c>
      <c r="B2109" s="7">
        <v>45313</v>
      </c>
      <c r="C2109" s="13">
        <f t="shared" si="257"/>
        <v>2024</v>
      </c>
      <c r="D2109" s="7" t="str">
        <f t="shared" si="258"/>
        <v>Jan</v>
      </c>
      <c r="E2109" s="7" t="str">
        <f t="shared" si="259"/>
        <v>Mon</v>
      </c>
      <c r="F2109" t="s">
        <v>78</v>
      </c>
      <c r="G2109" t="s">
        <v>160</v>
      </c>
      <c r="H2109" t="s">
        <v>22</v>
      </c>
      <c r="I2109" s="2" t="str">
        <f t="shared" si="256"/>
        <v>West</v>
      </c>
      <c r="J2109" t="s">
        <v>27</v>
      </c>
      <c r="K2109" t="s">
        <v>13</v>
      </c>
      <c r="L2109">
        <v>18</v>
      </c>
      <c r="M2109">
        <v>120</v>
      </c>
      <c r="N2109">
        <f t="shared" si="260"/>
        <v>2160</v>
      </c>
      <c r="O2109">
        <f t="shared" si="261"/>
        <v>216</v>
      </c>
      <c r="P2109" t="str">
        <f t="shared" si="262"/>
        <v>Large Order</v>
      </c>
      <c r="Q2109" t="str">
        <f t="shared" si="263"/>
        <v>Weekday</v>
      </c>
    </row>
    <row r="2110" spans="1:17" x14ac:dyDescent="0.35">
      <c r="A2110" t="s">
        <v>2260</v>
      </c>
      <c r="B2110" s="7">
        <v>45614</v>
      </c>
      <c r="C2110" s="13">
        <f t="shared" si="257"/>
        <v>2024</v>
      </c>
      <c r="D2110" s="7" t="str">
        <f t="shared" si="258"/>
        <v>Nov</v>
      </c>
      <c r="E2110" s="7" t="str">
        <f t="shared" si="259"/>
        <v>Mon</v>
      </c>
      <c r="F2110" t="s">
        <v>9</v>
      </c>
      <c r="G2110" t="s">
        <v>65</v>
      </c>
      <c r="H2110" t="s">
        <v>17</v>
      </c>
      <c r="I2110" s="2" t="str">
        <f t="shared" si="256"/>
        <v>East</v>
      </c>
      <c r="J2110" t="s">
        <v>27</v>
      </c>
      <c r="K2110" t="s">
        <v>23</v>
      </c>
      <c r="L2110">
        <v>10</v>
      </c>
      <c r="M2110">
        <v>120</v>
      </c>
      <c r="N2110">
        <f t="shared" si="260"/>
        <v>1200</v>
      </c>
      <c r="O2110">
        <f t="shared" si="261"/>
        <v>120</v>
      </c>
      <c r="P2110" t="str">
        <f t="shared" si="262"/>
        <v>Large Order</v>
      </c>
      <c r="Q2110" t="str">
        <f t="shared" si="263"/>
        <v>Weekday</v>
      </c>
    </row>
    <row r="2111" spans="1:17" x14ac:dyDescent="0.35">
      <c r="A2111" t="s">
        <v>2261</v>
      </c>
      <c r="B2111" s="7">
        <v>45438</v>
      </c>
      <c r="C2111" s="13">
        <f t="shared" si="257"/>
        <v>2024</v>
      </c>
      <c r="D2111" s="7" t="str">
        <f t="shared" si="258"/>
        <v>May</v>
      </c>
      <c r="E2111" s="7" t="str">
        <f t="shared" si="259"/>
        <v>Sun</v>
      </c>
      <c r="F2111" t="s">
        <v>319</v>
      </c>
      <c r="G2111" t="s">
        <v>45</v>
      </c>
      <c r="H2111" t="s">
        <v>17</v>
      </c>
      <c r="I2111" s="2" t="str">
        <f t="shared" si="256"/>
        <v>North</v>
      </c>
      <c r="J2111" t="s">
        <v>42</v>
      </c>
      <c r="K2111" t="s">
        <v>36</v>
      </c>
      <c r="L2111">
        <v>2</v>
      </c>
      <c r="M2111">
        <v>120</v>
      </c>
      <c r="N2111">
        <f t="shared" si="260"/>
        <v>240</v>
      </c>
      <c r="O2111">
        <f t="shared" si="261"/>
        <v>24</v>
      </c>
      <c r="P2111" t="str">
        <f t="shared" si="262"/>
        <v>Standard Order</v>
      </c>
      <c r="Q2111" t="str">
        <f t="shared" si="263"/>
        <v>Weekend</v>
      </c>
    </row>
    <row r="2112" spans="1:17" x14ac:dyDescent="0.35">
      <c r="A2112" t="s">
        <v>2262</v>
      </c>
      <c r="B2112" s="7">
        <v>45364</v>
      </c>
      <c r="C2112" s="13">
        <f t="shared" si="257"/>
        <v>2024</v>
      </c>
      <c r="D2112" s="7" t="str">
        <f t="shared" si="258"/>
        <v>Mar</v>
      </c>
      <c r="E2112" s="7" t="str">
        <f t="shared" si="259"/>
        <v>Wed</v>
      </c>
      <c r="F2112" t="s">
        <v>319</v>
      </c>
      <c r="G2112" t="s">
        <v>21</v>
      </c>
      <c r="H2112" t="s">
        <v>17</v>
      </c>
      <c r="I2112" s="2" t="str">
        <f t="shared" si="256"/>
        <v>West</v>
      </c>
      <c r="J2112" t="s">
        <v>12</v>
      </c>
      <c r="K2112" t="s">
        <v>36</v>
      </c>
      <c r="L2112">
        <v>4</v>
      </c>
      <c r="M2112">
        <v>120</v>
      </c>
      <c r="N2112">
        <f t="shared" si="260"/>
        <v>480</v>
      </c>
      <c r="O2112">
        <f t="shared" si="261"/>
        <v>48</v>
      </c>
      <c r="P2112" t="str">
        <f t="shared" si="262"/>
        <v>Standard Order</v>
      </c>
      <c r="Q2112" t="str">
        <f t="shared" si="263"/>
        <v>Weekday</v>
      </c>
    </row>
    <row r="2113" spans="1:17" x14ac:dyDescent="0.35">
      <c r="A2113" t="s">
        <v>2263</v>
      </c>
      <c r="B2113" s="7">
        <v>45591</v>
      </c>
      <c r="C2113" s="13">
        <f t="shared" si="257"/>
        <v>2024</v>
      </c>
      <c r="D2113" s="7" t="str">
        <f t="shared" si="258"/>
        <v>Oct</v>
      </c>
      <c r="E2113" s="7" t="str">
        <f t="shared" si="259"/>
        <v>Sat</v>
      </c>
      <c r="F2113" t="s">
        <v>424</v>
      </c>
      <c r="G2113" t="s">
        <v>174</v>
      </c>
      <c r="H2113" t="s">
        <v>11</v>
      </c>
      <c r="I2113" s="2" t="str">
        <f t="shared" si="256"/>
        <v>South</v>
      </c>
      <c r="J2113" t="s">
        <v>27</v>
      </c>
      <c r="K2113" t="s">
        <v>23</v>
      </c>
      <c r="L2113">
        <v>11</v>
      </c>
      <c r="M2113">
        <v>120</v>
      </c>
      <c r="N2113">
        <f t="shared" si="260"/>
        <v>1320</v>
      </c>
      <c r="O2113">
        <f t="shared" si="261"/>
        <v>132</v>
      </c>
      <c r="P2113" t="str">
        <f t="shared" si="262"/>
        <v>Large Order</v>
      </c>
      <c r="Q2113" t="str">
        <f t="shared" si="263"/>
        <v>Weekend</v>
      </c>
    </row>
    <row r="2114" spans="1:17" x14ac:dyDescent="0.35">
      <c r="A2114" t="s">
        <v>2264</v>
      </c>
      <c r="B2114" s="7">
        <v>45383</v>
      </c>
      <c r="C2114" s="13">
        <f t="shared" si="257"/>
        <v>2024</v>
      </c>
      <c r="D2114" s="7" t="str">
        <f t="shared" si="258"/>
        <v>Apr</v>
      </c>
      <c r="E2114" s="7" t="str">
        <f t="shared" si="259"/>
        <v>Mon</v>
      </c>
      <c r="F2114" t="s">
        <v>366</v>
      </c>
      <c r="G2114" t="s">
        <v>59</v>
      </c>
      <c r="H2114" t="s">
        <v>22</v>
      </c>
      <c r="I2114" s="2" t="str">
        <f t="shared" si="256"/>
        <v>North</v>
      </c>
      <c r="J2114" t="s">
        <v>56</v>
      </c>
      <c r="K2114" t="s">
        <v>23</v>
      </c>
      <c r="L2114">
        <v>3</v>
      </c>
      <c r="M2114">
        <v>120</v>
      </c>
      <c r="N2114">
        <f t="shared" si="260"/>
        <v>360</v>
      </c>
      <c r="O2114">
        <f t="shared" si="261"/>
        <v>36</v>
      </c>
      <c r="P2114" t="str">
        <f t="shared" si="262"/>
        <v>Standard Order</v>
      </c>
      <c r="Q2114" t="str">
        <f t="shared" si="263"/>
        <v>Weekday</v>
      </c>
    </row>
    <row r="2115" spans="1:17" x14ac:dyDescent="0.35">
      <c r="A2115" t="s">
        <v>2265</v>
      </c>
      <c r="B2115" s="7">
        <v>45646</v>
      </c>
      <c r="C2115" s="13">
        <f t="shared" si="257"/>
        <v>2024</v>
      </c>
      <c r="D2115" s="7" t="str">
        <f t="shared" si="258"/>
        <v>Dec</v>
      </c>
      <c r="E2115" s="7" t="str">
        <f t="shared" si="259"/>
        <v>Fri</v>
      </c>
      <c r="F2115" t="s">
        <v>350</v>
      </c>
      <c r="G2115" t="s">
        <v>62</v>
      </c>
      <c r="H2115" t="s">
        <v>11</v>
      </c>
      <c r="I2115" s="2" t="str">
        <f t="shared" ref="I2115:I2178" si="264">TRIM(J2116)</f>
        <v>West</v>
      </c>
      <c r="J2115" t="s">
        <v>12</v>
      </c>
      <c r="K2115" t="s">
        <v>13</v>
      </c>
      <c r="L2115">
        <v>4</v>
      </c>
      <c r="M2115">
        <v>120</v>
      </c>
      <c r="N2115">
        <f t="shared" si="260"/>
        <v>480</v>
      </c>
      <c r="O2115">
        <f t="shared" si="261"/>
        <v>48</v>
      </c>
      <c r="P2115" t="str">
        <f t="shared" si="262"/>
        <v>Standard Order</v>
      </c>
      <c r="Q2115" t="str">
        <f t="shared" si="263"/>
        <v>Weekday</v>
      </c>
    </row>
    <row r="2116" spans="1:17" x14ac:dyDescent="0.35">
      <c r="A2116" t="s">
        <v>2266</v>
      </c>
      <c r="B2116" s="7">
        <v>45616</v>
      </c>
      <c r="C2116" s="13">
        <f t="shared" ref="C2116:C2179" si="265">YEAR(B2116)</f>
        <v>2024</v>
      </c>
      <c r="D2116" s="7" t="str">
        <f t="shared" ref="D2116:D2179" si="266">TEXT(B2116,"mmm")</f>
        <v>Nov</v>
      </c>
      <c r="E2116" s="7" t="str">
        <f t="shared" ref="E2116:E2179" si="267">TEXT(B2116,"ddd")</f>
        <v>Wed</v>
      </c>
      <c r="F2116" t="s">
        <v>83</v>
      </c>
      <c r="G2116" t="s">
        <v>10</v>
      </c>
      <c r="H2116" t="s">
        <v>22</v>
      </c>
      <c r="I2116" s="2" t="str">
        <f t="shared" si="264"/>
        <v>South</v>
      </c>
      <c r="J2116" t="s">
        <v>27</v>
      </c>
      <c r="K2116" t="s">
        <v>36</v>
      </c>
      <c r="L2116">
        <v>20</v>
      </c>
      <c r="M2116">
        <v>120</v>
      </c>
      <c r="N2116">
        <f t="shared" ref="N2116:N2179" si="268">M2116*L2116</f>
        <v>2400</v>
      </c>
      <c r="O2116">
        <f t="shared" ref="O2116:O2179" si="269">N2116*0.1</f>
        <v>240</v>
      </c>
      <c r="P2116" t="str">
        <f t="shared" ref="P2116:P2179" si="270">IF(N2116&gt;500,"Large Order","Standard Order")</f>
        <v>Large Order</v>
      </c>
      <c r="Q2116" t="str">
        <f t="shared" ref="Q2116:Q2179" si="271">IF(OR(TRIM(E2116)="Sat",TRIM(E2116)="Sun"),"Weekend","Weekday")</f>
        <v>Weekday</v>
      </c>
    </row>
    <row r="2117" spans="1:17" x14ac:dyDescent="0.35">
      <c r="A2117" t="s">
        <v>2267</v>
      </c>
      <c r="B2117" s="7">
        <v>45485</v>
      </c>
      <c r="C2117" s="13">
        <f t="shared" si="265"/>
        <v>2024</v>
      </c>
      <c r="D2117" s="7" t="str">
        <f t="shared" si="266"/>
        <v>Jul</v>
      </c>
      <c r="E2117" s="7" t="str">
        <f t="shared" si="267"/>
        <v>Fri</v>
      </c>
      <c r="F2117" t="s">
        <v>378</v>
      </c>
      <c r="G2117" t="s">
        <v>31</v>
      </c>
      <c r="H2117" t="s">
        <v>11</v>
      </c>
      <c r="I2117" s="2" t="str">
        <f t="shared" si="264"/>
        <v>North</v>
      </c>
      <c r="J2117" t="s">
        <v>56</v>
      </c>
      <c r="K2117" t="s">
        <v>32</v>
      </c>
      <c r="L2117">
        <v>19</v>
      </c>
      <c r="M2117">
        <v>120</v>
      </c>
      <c r="N2117">
        <f t="shared" si="268"/>
        <v>2280</v>
      </c>
      <c r="O2117">
        <f t="shared" si="269"/>
        <v>228</v>
      </c>
      <c r="P2117" t="str">
        <f t="shared" si="270"/>
        <v>Large Order</v>
      </c>
      <c r="Q2117" t="str">
        <f t="shared" si="271"/>
        <v>Weekday</v>
      </c>
    </row>
    <row r="2118" spans="1:17" x14ac:dyDescent="0.35">
      <c r="A2118" t="s">
        <v>2268</v>
      </c>
      <c r="B2118" s="7">
        <v>45368</v>
      </c>
      <c r="C2118" s="13">
        <f t="shared" si="265"/>
        <v>2024</v>
      </c>
      <c r="D2118" s="7" t="str">
        <f t="shared" si="266"/>
        <v>Mar</v>
      </c>
      <c r="E2118" s="7" t="str">
        <f t="shared" si="267"/>
        <v>Sun</v>
      </c>
      <c r="F2118" t="s">
        <v>111</v>
      </c>
      <c r="G2118" t="s">
        <v>16</v>
      </c>
      <c r="H2118" t="s">
        <v>11</v>
      </c>
      <c r="I2118" s="2" t="str">
        <f t="shared" si="264"/>
        <v>North</v>
      </c>
      <c r="J2118" t="s">
        <v>12</v>
      </c>
      <c r="K2118" t="s">
        <v>23</v>
      </c>
      <c r="L2118">
        <v>10</v>
      </c>
      <c r="M2118">
        <v>120</v>
      </c>
      <c r="N2118">
        <f t="shared" si="268"/>
        <v>1200</v>
      </c>
      <c r="O2118">
        <f t="shared" si="269"/>
        <v>120</v>
      </c>
      <c r="P2118" t="str">
        <f t="shared" si="270"/>
        <v>Large Order</v>
      </c>
      <c r="Q2118" t="str">
        <f t="shared" si="271"/>
        <v>Weekend</v>
      </c>
    </row>
    <row r="2119" spans="1:17" x14ac:dyDescent="0.35">
      <c r="A2119" t="s">
        <v>2269</v>
      </c>
      <c r="B2119" s="7">
        <v>45520</v>
      </c>
      <c r="C2119" s="13">
        <f t="shared" si="265"/>
        <v>2024</v>
      </c>
      <c r="D2119" s="7" t="str">
        <f t="shared" si="266"/>
        <v>Aug</v>
      </c>
      <c r="E2119" s="7" t="str">
        <f t="shared" si="267"/>
        <v>Fri</v>
      </c>
      <c r="F2119" t="s">
        <v>55</v>
      </c>
      <c r="G2119" t="s">
        <v>21</v>
      </c>
      <c r="H2119" t="s">
        <v>11</v>
      </c>
      <c r="I2119" s="2" t="str">
        <f t="shared" si="264"/>
        <v>West</v>
      </c>
      <c r="J2119" t="s">
        <v>12</v>
      </c>
      <c r="K2119" t="s">
        <v>28</v>
      </c>
      <c r="L2119">
        <v>7</v>
      </c>
      <c r="M2119">
        <v>120</v>
      </c>
      <c r="N2119">
        <f t="shared" si="268"/>
        <v>840</v>
      </c>
      <c r="O2119">
        <f t="shared" si="269"/>
        <v>84</v>
      </c>
      <c r="P2119" t="str">
        <f t="shared" si="270"/>
        <v>Large Order</v>
      </c>
      <c r="Q2119" t="str">
        <f t="shared" si="271"/>
        <v>Weekday</v>
      </c>
    </row>
    <row r="2120" spans="1:17" x14ac:dyDescent="0.35">
      <c r="A2120" t="s">
        <v>2270</v>
      </c>
      <c r="B2120" s="7">
        <v>45421</v>
      </c>
      <c r="C2120" s="13">
        <f t="shared" si="265"/>
        <v>2024</v>
      </c>
      <c r="D2120" s="7" t="str">
        <f t="shared" si="266"/>
        <v>May</v>
      </c>
      <c r="E2120" s="7" t="str">
        <f t="shared" si="267"/>
        <v>Thu</v>
      </c>
      <c r="F2120" t="s">
        <v>142</v>
      </c>
      <c r="G2120" t="s">
        <v>70</v>
      </c>
      <c r="H2120" t="s">
        <v>17</v>
      </c>
      <c r="I2120" s="2" t="str">
        <f t="shared" si="264"/>
        <v>West</v>
      </c>
      <c r="J2120" t="s">
        <v>27</v>
      </c>
      <c r="K2120" t="s">
        <v>36</v>
      </c>
      <c r="L2120">
        <v>1</v>
      </c>
      <c r="M2120">
        <v>120</v>
      </c>
      <c r="N2120">
        <f t="shared" si="268"/>
        <v>120</v>
      </c>
      <c r="O2120">
        <f t="shared" si="269"/>
        <v>12</v>
      </c>
      <c r="P2120" t="str">
        <f t="shared" si="270"/>
        <v>Standard Order</v>
      </c>
      <c r="Q2120" t="str">
        <f t="shared" si="271"/>
        <v>Weekday</v>
      </c>
    </row>
    <row r="2121" spans="1:17" x14ac:dyDescent="0.35">
      <c r="A2121" t="s">
        <v>2271</v>
      </c>
      <c r="B2121" s="7">
        <v>45544</v>
      </c>
      <c r="C2121" s="13">
        <f t="shared" si="265"/>
        <v>2024</v>
      </c>
      <c r="D2121" s="7" t="str">
        <f t="shared" si="266"/>
        <v>Sep</v>
      </c>
      <c r="E2121" s="7" t="str">
        <f t="shared" si="267"/>
        <v>Mon</v>
      </c>
      <c r="F2121" t="s">
        <v>93</v>
      </c>
      <c r="G2121" t="s">
        <v>65</v>
      </c>
      <c r="H2121" t="s">
        <v>22</v>
      </c>
      <c r="I2121" s="2" t="str">
        <f t="shared" si="264"/>
        <v>Central</v>
      </c>
      <c r="J2121" t="s">
        <v>27</v>
      </c>
      <c r="K2121" t="s">
        <v>23</v>
      </c>
      <c r="L2121">
        <v>14</v>
      </c>
      <c r="M2121">
        <v>120</v>
      </c>
      <c r="N2121">
        <f t="shared" si="268"/>
        <v>1680</v>
      </c>
      <c r="O2121">
        <f t="shared" si="269"/>
        <v>168</v>
      </c>
      <c r="P2121" t="str">
        <f t="shared" si="270"/>
        <v>Large Order</v>
      </c>
      <c r="Q2121" t="str">
        <f t="shared" si="271"/>
        <v>Weekday</v>
      </c>
    </row>
    <row r="2122" spans="1:17" x14ac:dyDescent="0.35">
      <c r="A2122" t="s">
        <v>2272</v>
      </c>
      <c r="B2122" s="7">
        <v>45599</v>
      </c>
      <c r="C2122" s="13">
        <f t="shared" si="265"/>
        <v>2024</v>
      </c>
      <c r="D2122" s="7" t="str">
        <f t="shared" si="266"/>
        <v>Nov</v>
      </c>
      <c r="E2122" s="7" t="str">
        <f t="shared" si="267"/>
        <v>Sun</v>
      </c>
      <c r="F2122" t="s">
        <v>327</v>
      </c>
      <c r="G2122" t="s">
        <v>96</v>
      </c>
      <c r="H2122" t="s">
        <v>11</v>
      </c>
      <c r="I2122" s="2" t="str">
        <f t="shared" si="264"/>
        <v>North</v>
      </c>
      <c r="J2122" t="s">
        <v>306</v>
      </c>
      <c r="K2122" t="s">
        <v>32</v>
      </c>
      <c r="L2122">
        <v>20</v>
      </c>
      <c r="M2122">
        <v>120</v>
      </c>
      <c r="N2122">
        <f t="shared" si="268"/>
        <v>2400</v>
      </c>
      <c r="O2122">
        <f t="shared" si="269"/>
        <v>240</v>
      </c>
      <c r="P2122" t="str">
        <f t="shared" si="270"/>
        <v>Large Order</v>
      </c>
      <c r="Q2122" t="str">
        <f t="shared" si="271"/>
        <v>Weekend</v>
      </c>
    </row>
    <row r="2123" spans="1:17" x14ac:dyDescent="0.35">
      <c r="A2123" t="s">
        <v>2273</v>
      </c>
      <c r="B2123" s="7">
        <v>45398</v>
      </c>
      <c r="C2123" s="13">
        <f t="shared" si="265"/>
        <v>2024</v>
      </c>
      <c r="D2123" s="7" t="str">
        <f t="shared" si="266"/>
        <v>Apr</v>
      </c>
      <c r="E2123" s="7" t="str">
        <f t="shared" si="267"/>
        <v>Tue</v>
      </c>
      <c r="F2123" t="s">
        <v>9</v>
      </c>
      <c r="G2123" t="s">
        <v>45</v>
      </c>
      <c r="H2123" t="s">
        <v>11</v>
      </c>
      <c r="I2123" s="2" t="str">
        <f t="shared" si="264"/>
        <v>East</v>
      </c>
      <c r="J2123" t="s">
        <v>12</v>
      </c>
      <c r="K2123" t="s">
        <v>32</v>
      </c>
      <c r="L2123">
        <v>2</v>
      </c>
      <c r="M2123">
        <v>120</v>
      </c>
      <c r="N2123">
        <f t="shared" si="268"/>
        <v>240</v>
      </c>
      <c r="O2123">
        <f t="shared" si="269"/>
        <v>24</v>
      </c>
      <c r="P2123" t="str">
        <f t="shared" si="270"/>
        <v>Standard Order</v>
      </c>
      <c r="Q2123" t="str">
        <f t="shared" si="271"/>
        <v>Weekday</v>
      </c>
    </row>
    <row r="2124" spans="1:17" x14ac:dyDescent="0.35">
      <c r="A2124" t="s">
        <v>2274</v>
      </c>
      <c r="B2124" s="7">
        <v>45308</v>
      </c>
      <c r="C2124" s="13">
        <f t="shared" si="265"/>
        <v>2024</v>
      </c>
      <c r="D2124" s="7" t="str">
        <f t="shared" si="266"/>
        <v>Jan</v>
      </c>
      <c r="E2124" s="7" t="str">
        <f t="shared" si="267"/>
        <v>Wed</v>
      </c>
      <c r="F2124" t="s">
        <v>317</v>
      </c>
      <c r="G2124" t="s">
        <v>59</v>
      </c>
      <c r="H2124" t="s">
        <v>22</v>
      </c>
      <c r="I2124" s="2" t="str">
        <f t="shared" si="264"/>
        <v>East</v>
      </c>
      <c r="J2124" t="s">
        <v>42</v>
      </c>
      <c r="K2124" t="s">
        <v>32</v>
      </c>
      <c r="L2124">
        <v>3</v>
      </c>
      <c r="M2124">
        <v>120</v>
      </c>
      <c r="N2124">
        <f t="shared" si="268"/>
        <v>360</v>
      </c>
      <c r="O2124">
        <f t="shared" si="269"/>
        <v>36</v>
      </c>
      <c r="P2124" t="str">
        <f t="shared" si="270"/>
        <v>Standard Order</v>
      </c>
      <c r="Q2124" t="str">
        <f t="shared" si="271"/>
        <v>Weekday</v>
      </c>
    </row>
    <row r="2125" spans="1:17" x14ac:dyDescent="0.35">
      <c r="A2125" t="s">
        <v>2275</v>
      </c>
      <c r="B2125" s="7">
        <v>45505</v>
      </c>
      <c r="C2125" s="13">
        <f t="shared" si="265"/>
        <v>2024</v>
      </c>
      <c r="D2125" s="7" t="str">
        <f t="shared" si="266"/>
        <v>Aug</v>
      </c>
      <c r="E2125" s="7" t="str">
        <f t="shared" si="267"/>
        <v>Thu</v>
      </c>
      <c r="F2125" t="s">
        <v>235</v>
      </c>
      <c r="G2125" t="s">
        <v>45</v>
      </c>
      <c r="H2125" t="s">
        <v>22</v>
      </c>
      <c r="I2125" s="2" t="str">
        <f t="shared" si="264"/>
        <v>Central</v>
      </c>
      <c r="J2125" t="s">
        <v>42</v>
      </c>
      <c r="K2125" t="s">
        <v>36</v>
      </c>
      <c r="L2125">
        <v>20</v>
      </c>
      <c r="M2125">
        <v>120</v>
      </c>
      <c r="N2125">
        <f t="shared" si="268"/>
        <v>2400</v>
      </c>
      <c r="O2125">
        <f t="shared" si="269"/>
        <v>240</v>
      </c>
      <c r="P2125" t="str">
        <f t="shared" si="270"/>
        <v>Large Order</v>
      </c>
      <c r="Q2125" t="str">
        <f t="shared" si="271"/>
        <v>Weekday</v>
      </c>
    </row>
    <row r="2126" spans="1:17" x14ac:dyDescent="0.35">
      <c r="A2126" t="s">
        <v>2276</v>
      </c>
      <c r="B2126" s="7">
        <v>45579</v>
      </c>
      <c r="C2126" s="13">
        <f t="shared" si="265"/>
        <v>2024</v>
      </c>
      <c r="D2126" s="7" t="str">
        <f t="shared" si="266"/>
        <v>Oct</v>
      </c>
      <c r="E2126" s="7" t="str">
        <f t="shared" si="267"/>
        <v>Mon</v>
      </c>
      <c r="F2126" t="s">
        <v>235</v>
      </c>
      <c r="G2126" t="s">
        <v>70</v>
      </c>
      <c r="H2126" t="s">
        <v>22</v>
      </c>
      <c r="I2126" s="2" t="str">
        <f t="shared" si="264"/>
        <v>North</v>
      </c>
      <c r="J2126" t="s">
        <v>306</v>
      </c>
      <c r="K2126" t="s">
        <v>32</v>
      </c>
      <c r="L2126">
        <v>2</v>
      </c>
      <c r="M2126">
        <v>120</v>
      </c>
      <c r="N2126">
        <f t="shared" si="268"/>
        <v>240</v>
      </c>
      <c r="O2126">
        <f t="shared" si="269"/>
        <v>24</v>
      </c>
      <c r="P2126" t="str">
        <f t="shared" si="270"/>
        <v>Standard Order</v>
      </c>
      <c r="Q2126" t="str">
        <f t="shared" si="271"/>
        <v>Weekday</v>
      </c>
    </row>
    <row r="2127" spans="1:17" x14ac:dyDescent="0.35">
      <c r="A2127" t="s">
        <v>2277</v>
      </c>
      <c r="B2127" s="7">
        <v>45445</v>
      </c>
      <c r="C2127" s="13">
        <f t="shared" si="265"/>
        <v>2024</v>
      </c>
      <c r="D2127" s="7" t="str">
        <f t="shared" si="266"/>
        <v>Jun</v>
      </c>
      <c r="E2127" s="7" t="str">
        <f t="shared" si="267"/>
        <v>Sun</v>
      </c>
      <c r="F2127" t="s">
        <v>187</v>
      </c>
      <c r="G2127" t="s">
        <v>48</v>
      </c>
      <c r="H2127" t="s">
        <v>17</v>
      </c>
      <c r="I2127" s="2" t="str">
        <f t="shared" si="264"/>
        <v>East</v>
      </c>
      <c r="J2127" t="s">
        <v>12</v>
      </c>
      <c r="K2127" t="s">
        <v>23</v>
      </c>
      <c r="L2127">
        <v>18</v>
      </c>
      <c r="M2127">
        <v>120</v>
      </c>
      <c r="N2127">
        <f t="shared" si="268"/>
        <v>2160</v>
      </c>
      <c r="O2127">
        <f t="shared" si="269"/>
        <v>216</v>
      </c>
      <c r="P2127" t="str">
        <f t="shared" si="270"/>
        <v>Large Order</v>
      </c>
      <c r="Q2127" t="str">
        <f t="shared" si="271"/>
        <v>Weekend</v>
      </c>
    </row>
    <row r="2128" spans="1:17" x14ac:dyDescent="0.35">
      <c r="A2128" t="s">
        <v>2278</v>
      </c>
      <c r="B2128" s="7">
        <v>45533</v>
      </c>
      <c r="C2128" s="13">
        <f t="shared" si="265"/>
        <v>2024</v>
      </c>
      <c r="D2128" s="7" t="str">
        <f t="shared" si="266"/>
        <v>Aug</v>
      </c>
      <c r="E2128" s="7" t="str">
        <f t="shared" si="267"/>
        <v>Thu</v>
      </c>
      <c r="F2128" t="s">
        <v>99</v>
      </c>
      <c r="G2128" t="s">
        <v>102</v>
      </c>
      <c r="H2128" t="s">
        <v>22</v>
      </c>
      <c r="I2128" s="2" t="str">
        <f t="shared" si="264"/>
        <v>North</v>
      </c>
      <c r="J2128" t="s">
        <v>42</v>
      </c>
      <c r="K2128" t="s">
        <v>32</v>
      </c>
      <c r="L2128">
        <v>17</v>
      </c>
      <c r="M2128">
        <v>120</v>
      </c>
      <c r="N2128">
        <f t="shared" si="268"/>
        <v>2040</v>
      </c>
      <c r="O2128">
        <f t="shared" si="269"/>
        <v>204</v>
      </c>
      <c r="P2128" t="str">
        <f t="shared" si="270"/>
        <v>Large Order</v>
      </c>
      <c r="Q2128" t="str">
        <f t="shared" si="271"/>
        <v>Weekday</v>
      </c>
    </row>
    <row r="2129" spans="1:17" x14ac:dyDescent="0.35">
      <c r="A2129" t="s">
        <v>2279</v>
      </c>
      <c r="B2129" s="7">
        <v>45399</v>
      </c>
      <c r="C2129" s="13">
        <f t="shared" si="265"/>
        <v>2024</v>
      </c>
      <c r="D2129" s="7" t="str">
        <f t="shared" si="266"/>
        <v>Apr</v>
      </c>
      <c r="E2129" s="7" t="str">
        <f t="shared" si="267"/>
        <v>Wed</v>
      </c>
      <c r="F2129" t="s">
        <v>424</v>
      </c>
      <c r="G2129" t="s">
        <v>65</v>
      </c>
      <c r="H2129" t="s">
        <v>22</v>
      </c>
      <c r="I2129" s="2" t="str">
        <f t="shared" si="264"/>
        <v>Central</v>
      </c>
      <c r="J2129" t="s">
        <v>12</v>
      </c>
      <c r="K2129" t="s">
        <v>13</v>
      </c>
      <c r="L2129">
        <v>19</v>
      </c>
      <c r="M2129">
        <v>120</v>
      </c>
      <c r="N2129">
        <f t="shared" si="268"/>
        <v>2280</v>
      </c>
      <c r="O2129">
        <f t="shared" si="269"/>
        <v>228</v>
      </c>
      <c r="P2129" t="str">
        <f t="shared" si="270"/>
        <v>Large Order</v>
      </c>
      <c r="Q2129" t="str">
        <f t="shared" si="271"/>
        <v>Weekday</v>
      </c>
    </row>
    <row r="2130" spans="1:17" x14ac:dyDescent="0.35">
      <c r="A2130" t="s">
        <v>2280</v>
      </c>
      <c r="B2130" s="7">
        <v>45614</v>
      </c>
      <c r="C2130" s="13">
        <f t="shared" si="265"/>
        <v>2024</v>
      </c>
      <c r="D2130" s="7" t="str">
        <f t="shared" si="266"/>
        <v>Nov</v>
      </c>
      <c r="E2130" s="7" t="str">
        <f t="shared" si="267"/>
        <v>Mon</v>
      </c>
      <c r="F2130" t="s">
        <v>339</v>
      </c>
      <c r="G2130" t="s">
        <v>10</v>
      </c>
      <c r="H2130" t="s">
        <v>17</v>
      </c>
      <c r="I2130" s="2" t="str">
        <f t="shared" si="264"/>
        <v>Central</v>
      </c>
      <c r="J2130" t="s">
        <v>306</v>
      </c>
      <c r="K2130" t="s">
        <v>32</v>
      </c>
      <c r="L2130">
        <v>14</v>
      </c>
      <c r="M2130">
        <v>120</v>
      </c>
      <c r="N2130">
        <f t="shared" si="268"/>
        <v>1680</v>
      </c>
      <c r="O2130">
        <f t="shared" si="269"/>
        <v>168</v>
      </c>
      <c r="P2130" t="str">
        <f t="shared" si="270"/>
        <v>Large Order</v>
      </c>
      <c r="Q2130" t="str">
        <f t="shared" si="271"/>
        <v>Weekday</v>
      </c>
    </row>
    <row r="2131" spans="1:17" x14ac:dyDescent="0.35">
      <c r="A2131" t="s">
        <v>2281</v>
      </c>
      <c r="B2131" s="7">
        <v>45454</v>
      </c>
      <c r="C2131" s="13">
        <f t="shared" si="265"/>
        <v>2024</v>
      </c>
      <c r="D2131" s="7" t="str">
        <f t="shared" si="266"/>
        <v>Jun</v>
      </c>
      <c r="E2131" s="7" t="str">
        <f t="shared" si="267"/>
        <v>Tue</v>
      </c>
      <c r="F2131" t="s">
        <v>86</v>
      </c>
      <c r="G2131" t="s">
        <v>160</v>
      </c>
      <c r="H2131" t="s">
        <v>22</v>
      </c>
      <c r="I2131" s="2" t="str">
        <f t="shared" si="264"/>
        <v>West</v>
      </c>
      <c r="J2131" t="s">
        <v>306</v>
      </c>
      <c r="K2131" t="s">
        <v>32</v>
      </c>
      <c r="L2131">
        <v>5</v>
      </c>
      <c r="M2131">
        <v>120</v>
      </c>
      <c r="N2131">
        <f t="shared" si="268"/>
        <v>600</v>
      </c>
      <c r="O2131">
        <f t="shared" si="269"/>
        <v>60</v>
      </c>
      <c r="P2131" t="str">
        <f t="shared" si="270"/>
        <v>Large Order</v>
      </c>
      <c r="Q2131" t="str">
        <f t="shared" si="271"/>
        <v>Weekday</v>
      </c>
    </row>
    <row r="2132" spans="1:17" x14ac:dyDescent="0.35">
      <c r="A2132" t="s">
        <v>2282</v>
      </c>
      <c r="B2132" s="7">
        <v>45546</v>
      </c>
      <c r="C2132" s="13">
        <f t="shared" si="265"/>
        <v>2024</v>
      </c>
      <c r="D2132" s="7" t="str">
        <f t="shared" si="266"/>
        <v>Sep</v>
      </c>
      <c r="E2132" s="7" t="str">
        <f t="shared" si="267"/>
        <v>Wed</v>
      </c>
      <c r="F2132" t="s">
        <v>363</v>
      </c>
      <c r="G2132" t="s">
        <v>84</v>
      </c>
      <c r="H2132" t="s">
        <v>22</v>
      </c>
      <c r="I2132" s="2" t="str">
        <f t="shared" si="264"/>
        <v>North</v>
      </c>
      <c r="J2132" t="s">
        <v>27</v>
      </c>
      <c r="K2132" t="s">
        <v>23</v>
      </c>
      <c r="L2132">
        <v>6</v>
      </c>
      <c r="M2132">
        <v>120</v>
      </c>
      <c r="N2132">
        <f t="shared" si="268"/>
        <v>720</v>
      </c>
      <c r="O2132">
        <f t="shared" si="269"/>
        <v>72</v>
      </c>
      <c r="P2132" t="str">
        <f t="shared" si="270"/>
        <v>Large Order</v>
      </c>
      <c r="Q2132" t="str">
        <f t="shared" si="271"/>
        <v>Weekday</v>
      </c>
    </row>
    <row r="2133" spans="1:17" x14ac:dyDescent="0.35">
      <c r="A2133" t="s">
        <v>2283</v>
      </c>
      <c r="B2133" s="7">
        <v>45411</v>
      </c>
      <c r="C2133" s="13">
        <f t="shared" si="265"/>
        <v>2024</v>
      </c>
      <c r="D2133" s="7" t="str">
        <f t="shared" si="266"/>
        <v>Apr</v>
      </c>
      <c r="E2133" s="7" t="str">
        <f t="shared" si="267"/>
        <v>Mon</v>
      </c>
      <c r="F2133" t="s">
        <v>369</v>
      </c>
      <c r="G2133" t="s">
        <v>74</v>
      </c>
      <c r="H2133" t="s">
        <v>11</v>
      </c>
      <c r="I2133" s="2" t="str">
        <f t="shared" si="264"/>
        <v>West</v>
      </c>
      <c r="J2133" t="s">
        <v>12</v>
      </c>
      <c r="K2133" t="s">
        <v>13</v>
      </c>
      <c r="L2133">
        <v>1</v>
      </c>
      <c r="M2133">
        <v>120</v>
      </c>
      <c r="N2133">
        <f t="shared" si="268"/>
        <v>120</v>
      </c>
      <c r="O2133">
        <f t="shared" si="269"/>
        <v>12</v>
      </c>
      <c r="P2133" t="str">
        <f t="shared" si="270"/>
        <v>Standard Order</v>
      </c>
      <c r="Q2133" t="str">
        <f t="shared" si="271"/>
        <v>Weekday</v>
      </c>
    </row>
    <row r="2134" spans="1:17" x14ac:dyDescent="0.35">
      <c r="A2134" t="s">
        <v>2284</v>
      </c>
      <c r="B2134" s="7">
        <v>45352</v>
      </c>
      <c r="C2134" s="13">
        <f t="shared" si="265"/>
        <v>2024</v>
      </c>
      <c r="D2134" s="7" t="str">
        <f t="shared" si="266"/>
        <v>Mar</v>
      </c>
      <c r="E2134" s="7" t="str">
        <f t="shared" si="267"/>
        <v>Fri</v>
      </c>
      <c r="F2134" t="s">
        <v>304</v>
      </c>
      <c r="G2134" t="s">
        <v>65</v>
      </c>
      <c r="H2134" t="s">
        <v>22</v>
      </c>
      <c r="I2134" s="2" t="str">
        <f t="shared" si="264"/>
        <v>South</v>
      </c>
      <c r="J2134" t="s">
        <v>27</v>
      </c>
      <c r="K2134" t="s">
        <v>23</v>
      </c>
      <c r="L2134">
        <v>2</v>
      </c>
      <c r="M2134">
        <v>120</v>
      </c>
      <c r="N2134">
        <f t="shared" si="268"/>
        <v>240</v>
      </c>
      <c r="O2134">
        <f t="shared" si="269"/>
        <v>24</v>
      </c>
      <c r="P2134" t="str">
        <f t="shared" si="270"/>
        <v>Standard Order</v>
      </c>
      <c r="Q2134" t="str">
        <f t="shared" si="271"/>
        <v>Weekday</v>
      </c>
    </row>
    <row r="2135" spans="1:17" x14ac:dyDescent="0.35">
      <c r="A2135" t="s">
        <v>2285</v>
      </c>
      <c r="B2135" s="7">
        <v>45578</v>
      </c>
      <c r="C2135" s="13">
        <f t="shared" si="265"/>
        <v>2024</v>
      </c>
      <c r="D2135" s="7" t="str">
        <f t="shared" si="266"/>
        <v>Oct</v>
      </c>
      <c r="E2135" s="7" t="str">
        <f t="shared" si="267"/>
        <v>Sun</v>
      </c>
      <c r="F2135" t="s">
        <v>541</v>
      </c>
      <c r="G2135" t="s">
        <v>65</v>
      </c>
      <c r="H2135" t="s">
        <v>11</v>
      </c>
      <c r="I2135" s="2" t="str">
        <f t="shared" si="264"/>
        <v>East</v>
      </c>
      <c r="J2135" t="s">
        <v>56</v>
      </c>
      <c r="K2135" t="s">
        <v>32</v>
      </c>
      <c r="L2135">
        <v>9</v>
      </c>
      <c r="M2135">
        <v>120</v>
      </c>
      <c r="N2135">
        <f t="shared" si="268"/>
        <v>1080</v>
      </c>
      <c r="O2135">
        <f t="shared" si="269"/>
        <v>108</v>
      </c>
      <c r="P2135" t="str">
        <f t="shared" si="270"/>
        <v>Large Order</v>
      </c>
      <c r="Q2135" t="str">
        <f t="shared" si="271"/>
        <v>Weekend</v>
      </c>
    </row>
    <row r="2136" spans="1:17" x14ac:dyDescent="0.35">
      <c r="A2136" t="s">
        <v>2286</v>
      </c>
      <c r="B2136" s="7">
        <v>45449</v>
      </c>
      <c r="C2136" s="13">
        <f t="shared" si="265"/>
        <v>2024</v>
      </c>
      <c r="D2136" s="7" t="str">
        <f t="shared" si="266"/>
        <v>Jun</v>
      </c>
      <c r="E2136" s="7" t="str">
        <f t="shared" si="267"/>
        <v>Thu</v>
      </c>
      <c r="F2136" t="s">
        <v>68</v>
      </c>
      <c r="G2136" t="s">
        <v>160</v>
      </c>
      <c r="H2136" t="s">
        <v>22</v>
      </c>
      <c r="I2136" s="2" t="str">
        <f t="shared" si="264"/>
        <v>Central</v>
      </c>
      <c r="J2136" t="s">
        <v>42</v>
      </c>
      <c r="K2136" t="s">
        <v>13</v>
      </c>
      <c r="L2136">
        <v>4</v>
      </c>
      <c r="M2136">
        <v>120</v>
      </c>
      <c r="N2136">
        <f t="shared" si="268"/>
        <v>480</v>
      </c>
      <c r="O2136">
        <f t="shared" si="269"/>
        <v>48</v>
      </c>
      <c r="P2136" t="str">
        <f t="shared" si="270"/>
        <v>Standard Order</v>
      </c>
      <c r="Q2136" t="str">
        <f t="shared" si="271"/>
        <v>Weekday</v>
      </c>
    </row>
    <row r="2137" spans="1:17" x14ac:dyDescent="0.35">
      <c r="A2137" t="s">
        <v>2287</v>
      </c>
      <c r="B2137" s="7">
        <v>45466</v>
      </c>
      <c r="C2137" s="13">
        <f t="shared" si="265"/>
        <v>2024</v>
      </c>
      <c r="D2137" s="7" t="str">
        <f t="shared" si="266"/>
        <v>Jun</v>
      </c>
      <c r="E2137" s="7" t="str">
        <f t="shared" si="267"/>
        <v>Sun</v>
      </c>
      <c r="F2137" t="s">
        <v>106</v>
      </c>
      <c r="G2137" t="s">
        <v>84</v>
      </c>
      <c r="H2137" t="s">
        <v>22</v>
      </c>
      <c r="I2137" s="2" t="str">
        <f t="shared" si="264"/>
        <v>North</v>
      </c>
      <c r="J2137" t="s">
        <v>306</v>
      </c>
      <c r="K2137" t="s">
        <v>13</v>
      </c>
      <c r="L2137">
        <v>6</v>
      </c>
      <c r="M2137">
        <v>120</v>
      </c>
      <c r="N2137">
        <f t="shared" si="268"/>
        <v>720</v>
      </c>
      <c r="O2137">
        <f t="shared" si="269"/>
        <v>72</v>
      </c>
      <c r="P2137" t="str">
        <f t="shared" si="270"/>
        <v>Large Order</v>
      </c>
      <c r="Q2137" t="str">
        <f t="shared" si="271"/>
        <v>Weekend</v>
      </c>
    </row>
    <row r="2138" spans="1:17" x14ac:dyDescent="0.35">
      <c r="A2138" t="s">
        <v>2288</v>
      </c>
      <c r="B2138" s="7">
        <v>45465</v>
      </c>
      <c r="C2138" s="13">
        <f t="shared" si="265"/>
        <v>2024</v>
      </c>
      <c r="D2138" s="7" t="str">
        <f t="shared" si="266"/>
        <v>Jun</v>
      </c>
      <c r="E2138" s="7" t="str">
        <f t="shared" si="267"/>
        <v>Sat</v>
      </c>
      <c r="F2138" t="s">
        <v>422</v>
      </c>
      <c r="G2138" t="s">
        <v>35</v>
      </c>
      <c r="H2138" t="s">
        <v>17</v>
      </c>
      <c r="I2138" s="2" t="str">
        <f t="shared" si="264"/>
        <v>West</v>
      </c>
      <c r="J2138" t="s">
        <v>12</v>
      </c>
      <c r="K2138" t="s">
        <v>28</v>
      </c>
      <c r="L2138">
        <v>16</v>
      </c>
      <c r="M2138">
        <v>120</v>
      </c>
      <c r="N2138">
        <f t="shared" si="268"/>
        <v>1920</v>
      </c>
      <c r="O2138">
        <f t="shared" si="269"/>
        <v>192</v>
      </c>
      <c r="P2138" t="str">
        <f t="shared" si="270"/>
        <v>Large Order</v>
      </c>
      <c r="Q2138" t="str">
        <f t="shared" si="271"/>
        <v>Weekend</v>
      </c>
    </row>
    <row r="2139" spans="1:17" x14ac:dyDescent="0.35">
      <c r="A2139" t="s">
        <v>2289</v>
      </c>
      <c r="B2139" s="7">
        <v>45527</v>
      </c>
      <c r="C2139" s="13">
        <f t="shared" si="265"/>
        <v>2024</v>
      </c>
      <c r="D2139" s="7" t="str">
        <f t="shared" si="266"/>
        <v>Aug</v>
      </c>
      <c r="E2139" s="7" t="str">
        <f t="shared" si="267"/>
        <v>Fri</v>
      </c>
      <c r="F2139" t="s">
        <v>312</v>
      </c>
      <c r="G2139" t="s">
        <v>72</v>
      </c>
      <c r="H2139" t="s">
        <v>17</v>
      </c>
      <c r="I2139" s="2" t="str">
        <f t="shared" si="264"/>
        <v>North</v>
      </c>
      <c r="J2139" t="s">
        <v>27</v>
      </c>
      <c r="K2139" t="s">
        <v>13</v>
      </c>
      <c r="L2139">
        <v>17</v>
      </c>
      <c r="M2139">
        <v>120</v>
      </c>
      <c r="N2139">
        <f t="shared" si="268"/>
        <v>2040</v>
      </c>
      <c r="O2139">
        <f t="shared" si="269"/>
        <v>204</v>
      </c>
      <c r="P2139" t="str">
        <f t="shared" si="270"/>
        <v>Large Order</v>
      </c>
      <c r="Q2139" t="str">
        <f t="shared" si="271"/>
        <v>Weekday</v>
      </c>
    </row>
    <row r="2140" spans="1:17" x14ac:dyDescent="0.35">
      <c r="A2140" t="s">
        <v>2290</v>
      </c>
      <c r="B2140" s="7">
        <v>45639</v>
      </c>
      <c r="C2140" s="13">
        <f t="shared" si="265"/>
        <v>2024</v>
      </c>
      <c r="D2140" s="7" t="str">
        <f t="shared" si="266"/>
        <v>Dec</v>
      </c>
      <c r="E2140" s="7" t="str">
        <f t="shared" si="267"/>
        <v>Fri</v>
      </c>
      <c r="F2140" t="s">
        <v>38</v>
      </c>
      <c r="G2140" t="s">
        <v>174</v>
      </c>
      <c r="H2140" t="s">
        <v>22</v>
      </c>
      <c r="I2140" s="2" t="str">
        <f t="shared" si="264"/>
        <v>North</v>
      </c>
      <c r="J2140" t="s">
        <v>12</v>
      </c>
      <c r="K2140" t="s">
        <v>28</v>
      </c>
      <c r="L2140">
        <v>19</v>
      </c>
      <c r="M2140">
        <v>120</v>
      </c>
      <c r="N2140">
        <f t="shared" si="268"/>
        <v>2280</v>
      </c>
      <c r="O2140">
        <f t="shared" si="269"/>
        <v>228</v>
      </c>
      <c r="P2140" t="str">
        <f t="shared" si="270"/>
        <v>Large Order</v>
      </c>
      <c r="Q2140" t="str">
        <f t="shared" si="271"/>
        <v>Weekday</v>
      </c>
    </row>
    <row r="2141" spans="1:17" x14ac:dyDescent="0.35">
      <c r="A2141" t="s">
        <v>2291</v>
      </c>
      <c r="B2141" s="7">
        <v>45473</v>
      </c>
      <c r="C2141" s="13">
        <f t="shared" si="265"/>
        <v>2024</v>
      </c>
      <c r="D2141" s="7" t="str">
        <f t="shared" si="266"/>
        <v>Jun</v>
      </c>
      <c r="E2141" s="7" t="str">
        <f t="shared" si="267"/>
        <v>Sun</v>
      </c>
      <c r="F2141" t="s">
        <v>58</v>
      </c>
      <c r="G2141" t="s">
        <v>16</v>
      </c>
      <c r="H2141" t="s">
        <v>17</v>
      </c>
      <c r="I2141" s="2" t="str">
        <f t="shared" si="264"/>
        <v>South</v>
      </c>
      <c r="J2141" t="s">
        <v>12</v>
      </c>
      <c r="K2141" t="s">
        <v>32</v>
      </c>
      <c r="L2141">
        <v>13</v>
      </c>
      <c r="M2141">
        <v>120</v>
      </c>
      <c r="N2141">
        <f t="shared" si="268"/>
        <v>1560</v>
      </c>
      <c r="O2141">
        <f t="shared" si="269"/>
        <v>156</v>
      </c>
      <c r="P2141" t="str">
        <f t="shared" si="270"/>
        <v>Large Order</v>
      </c>
      <c r="Q2141" t="str">
        <f t="shared" si="271"/>
        <v>Weekend</v>
      </c>
    </row>
    <row r="2142" spans="1:17" x14ac:dyDescent="0.35">
      <c r="A2142" t="s">
        <v>2292</v>
      </c>
      <c r="B2142" s="7">
        <v>45376</v>
      </c>
      <c r="C2142" s="13">
        <f t="shared" si="265"/>
        <v>2024</v>
      </c>
      <c r="D2142" s="7" t="str">
        <f t="shared" si="266"/>
        <v>Mar</v>
      </c>
      <c r="E2142" s="7" t="str">
        <f t="shared" si="267"/>
        <v>Mon</v>
      </c>
      <c r="F2142" t="s">
        <v>314</v>
      </c>
      <c r="G2142" t="s">
        <v>109</v>
      </c>
      <c r="H2142" t="s">
        <v>17</v>
      </c>
      <c r="I2142" s="2" t="str">
        <f t="shared" si="264"/>
        <v>North</v>
      </c>
      <c r="J2142" t="s">
        <v>56</v>
      </c>
      <c r="K2142" t="s">
        <v>36</v>
      </c>
      <c r="L2142">
        <v>4</v>
      </c>
      <c r="M2142">
        <v>120</v>
      </c>
      <c r="N2142">
        <f t="shared" si="268"/>
        <v>480</v>
      </c>
      <c r="O2142">
        <f t="shared" si="269"/>
        <v>48</v>
      </c>
      <c r="P2142" t="str">
        <f t="shared" si="270"/>
        <v>Standard Order</v>
      </c>
      <c r="Q2142" t="str">
        <f t="shared" si="271"/>
        <v>Weekday</v>
      </c>
    </row>
    <row r="2143" spans="1:17" x14ac:dyDescent="0.35">
      <c r="A2143" t="s">
        <v>2293</v>
      </c>
      <c r="B2143" s="7">
        <v>45449</v>
      </c>
      <c r="C2143" s="13">
        <f t="shared" si="265"/>
        <v>2024</v>
      </c>
      <c r="D2143" s="7" t="str">
        <f t="shared" si="266"/>
        <v>Jun</v>
      </c>
      <c r="E2143" s="7" t="str">
        <f t="shared" si="267"/>
        <v>Thu</v>
      </c>
      <c r="F2143" t="s">
        <v>369</v>
      </c>
      <c r="G2143" t="s">
        <v>72</v>
      </c>
      <c r="H2143" t="s">
        <v>22</v>
      </c>
      <c r="I2143" s="2" t="str">
        <f t="shared" si="264"/>
        <v>South</v>
      </c>
      <c r="J2143" t="s">
        <v>12</v>
      </c>
      <c r="K2143" t="s">
        <v>32</v>
      </c>
      <c r="L2143">
        <v>14</v>
      </c>
      <c r="M2143">
        <v>120</v>
      </c>
      <c r="N2143">
        <f t="shared" si="268"/>
        <v>1680</v>
      </c>
      <c r="O2143">
        <f t="shared" si="269"/>
        <v>168</v>
      </c>
      <c r="P2143" t="str">
        <f t="shared" si="270"/>
        <v>Large Order</v>
      </c>
      <c r="Q2143" t="str">
        <f t="shared" si="271"/>
        <v>Weekday</v>
      </c>
    </row>
    <row r="2144" spans="1:17" x14ac:dyDescent="0.35">
      <c r="A2144" t="s">
        <v>2294</v>
      </c>
      <c r="B2144" s="7">
        <v>45413</v>
      </c>
      <c r="C2144" s="13">
        <f t="shared" si="265"/>
        <v>2024</v>
      </c>
      <c r="D2144" s="7" t="str">
        <f t="shared" si="266"/>
        <v>May</v>
      </c>
      <c r="E2144" s="7" t="str">
        <f t="shared" si="267"/>
        <v>Wed</v>
      </c>
      <c r="F2144" t="s">
        <v>200</v>
      </c>
      <c r="G2144" t="s">
        <v>70</v>
      </c>
      <c r="H2144" t="s">
        <v>17</v>
      </c>
      <c r="I2144" s="2" t="str">
        <f t="shared" si="264"/>
        <v>North</v>
      </c>
      <c r="J2144" t="s">
        <v>56</v>
      </c>
      <c r="K2144" t="s">
        <v>36</v>
      </c>
      <c r="L2144">
        <v>10</v>
      </c>
      <c r="M2144">
        <v>120</v>
      </c>
      <c r="N2144">
        <f t="shared" si="268"/>
        <v>1200</v>
      </c>
      <c r="O2144">
        <f t="shared" si="269"/>
        <v>120</v>
      </c>
      <c r="P2144" t="str">
        <f t="shared" si="270"/>
        <v>Large Order</v>
      </c>
      <c r="Q2144" t="str">
        <f t="shared" si="271"/>
        <v>Weekday</v>
      </c>
    </row>
    <row r="2145" spans="1:17" x14ac:dyDescent="0.35">
      <c r="A2145" t="s">
        <v>2295</v>
      </c>
      <c r="B2145" s="7">
        <v>45483</v>
      </c>
      <c r="C2145" s="13">
        <f t="shared" si="265"/>
        <v>2024</v>
      </c>
      <c r="D2145" s="7" t="str">
        <f t="shared" si="266"/>
        <v>Jul</v>
      </c>
      <c r="E2145" s="7" t="str">
        <f t="shared" si="267"/>
        <v>Wed</v>
      </c>
      <c r="F2145" t="s">
        <v>728</v>
      </c>
      <c r="G2145" t="s">
        <v>79</v>
      </c>
      <c r="H2145" t="s">
        <v>11</v>
      </c>
      <c r="I2145" s="2" t="str">
        <f t="shared" si="264"/>
        <v>East</v>
      </c>
      <c r="J2145" t="s">
        <v>12</v>
      </c>
      <c r="K2145" t="s">
        <v>23</v>
      </c>
      <c r="L2145">
        <v>17</v>
      </c>
      <c r="M2145">
        <v>120</v>
      </c>
      <c r="N2145">
        <f t="shared" si="268"/>
        <v>2040</v>
      </c>
      <c r="O2145">
        <f t="shared" si="269"/>
        <v>204</v>
      </c>
      <c r="P2145" t="str">
        <f t="shared" si="270"/>
        <v>Large Order</v>
      </c>
      <c r="Q2145" t="str">
        <f t="shared" si="271"/>
        <v>Weekday</v>
      </c>
    </row>
    <row r="2146" spans="1:17" x14ac:dyDescent="0.35">
      <c r="A2146" t="s">
        <v>2296</v>
      </c>
      <c r="B2146" s="7">
        <v>45539</v>
      </c>
      <c r="C2146" s="13">
        <f t="shared" si="265"/>
        <v>2024</v>
      </c>
      <c r="D2146" s="7" t="str">
        <f t="shared" si="266"/>
        <v>Sep</v>
      </c>
      <c r="E2146" s="7" t="str">
        <f t="shared" si="267"/>
        <v>Wed</v>
      </c>
      <c r="F2146" t="s">
        <v>358</v>
      </c>
      <c r="G2146" t="s">
        <v>16</v>
      </c>
      <c r="H2146" t="s">
        <v>11</v>
      </c>
      <c r="I2146" s="2" t="str">
        <f t="shared" si="264"/>
        <v>Central</v>
      </c>
      <c r="J2146" t="s">
        <v>42</v>
      </c>
      <c r="K2146" t="s">
        <v>23</v>
      </c>
      <c r="L2146">
        <v>17</v>
      </c>
      <c r="M2146">
        <v>120</v>
      </c>
      <c r="N2146">
        <f t="shared" si="268"/>
        <v>2040</v>
      </c>
      <c r="O2146">
        <f t="shared" si="269"/>
        <v>204</v>
      </c>
      <c r="P2146" t="str">
        <f t="shared" si="270"/>
        <v>Large Order</v>
      </c>
      <c r="Q2146" t="str">
        <f t="shared" si="271"/>
        <v>Weekday</v>
      </c>
    </row>
    <row r="2147" spans="1:17" x14ac:dyDescent="0.35">
      <c r="A2147" t="s">
        <v>2297</v>
      </c>
      <c r="B2147" s="7">
        <v>45459</v>
      </c>
      <c r="C2147" s="13">
        <f t="shared" si="265"/>
        <v>2024</v>
      </c>
      <c r="D2147" s="7" t="str">
        <f t="shared" si="266"/>
        <v>Jun</v>
      </c>
      <c r="E2147" s="7" t="str">
        <f t="shared" si="267"/>
        <v>Sun</v>
      </c>
      <c r="F2147" t="s">
        <v>167</v>
      </c>
      <c r="G2147" t="s">
        <v>119</v>
      </c>
      <c r="H2147" t="s">
        <v>11</v>
      </c>
      <c r="I2147" s="2" t="str">
        <f t="shared" si="264"/>
        <v>North</v>
      </c>
      <c r="J2147" t="s">
        <v>306</v>
      </c>
      <c r="K2147" t="s">
        <v>28</v>
      </c>
      <c r="L2147">
        <v>7</v>
      </c>
      <c r="M2147">
        <v>120</v>
      </c>
      <c r="N2147">
        <f t="shared" si="268"/>
        <v>840</v>
      </c>
      <c r="O2147">
        <f t="shared" si="269"/>
        <v>84</v>
      </c>
      <c r="P2147" t="str">
        <f t="shared" si="270"/>
        <v>Large Order</v>
      </c>
      <c r="Q2147" t="str">
        <f t="shared" si="271"/>
        <v>Weekend</v>
      </c>
    </row>
    <row r="2148" spans="1:17" x14ac:dyDescent="0.35">
      <c r="A2148" t="s">
        <v>2298</v>
      </c>
      <c r="B2148" s="7">
        <v>45527</v>
      </c>
      <c r="C2148" s="13">
        <f t="shared" si="265"/>
        <v>2024</v>
      </c>
      <c r="D2148" s="7" t="str">
        <f t="shared" si="266"/>
        <v>Aug</v>
      </c>
      <c r="E2148" s="7" t="str">
        <f t="shared" si="267"/>
        <v>Fri</v>
      </c>
      <c r="F2148" t="s">
        <v>53</v>
      </c>
      <c r="G2148" t="s">
        <v>62</v>
      </c>
      <c r="H2148" t="s">
        <v>22</v>
      </c>
      <c r="I2148" s="2" t="str">
        <f t="shared" si="264"/>
        <v>West</v>
      </c>
      <c r="J2148" t="s">
        <v>12</v>
      </c>
      <c r="K2148" t="s">
        <v>13</v>
      </c>
      <c r="L2148">
        <v>10</v>
      </c>
      <c r="M2148">
        <v>120</v>
      </c>
      <c r="N2148">
        <f t="shared" si="268"/>
        <v>1200</v>
      </c>
      <c r="O2148">
        <f t="shared" si="269"/>
        <v>120</v>
      </c>
      <c r="P2148" t="str">
        <f t="shared" si="270"/>
        <v>Large Order</v>
      </c>
      <c r="Q2148" t="str">
        <f t="shared" si="271"/>
        <v>Weekday</v>
      </c>
    </row>
    <row r="2149" spans="1:17" x14ac:dyDescent="0.35">
      <c r="A2149" t="s">
        <v>2299</v>
      </c>
      <c r="B2149" s="7">
        <v>45643</v>
      </c>
      <c r="C2149" s="13">
        <f t="shared" si="265"/>
        <v>2024</v>
      </c>
      <c r="D2149" s="7" t="str">
        <f t="shared" si="266"/>
        <v>Dec</v>
      </c>
      <c r="E2149" s="7" t="str">
        <f t="shared" si="267"/>
        <v>Tue</v>
      </c>
      <c r="F2149" t="s">
        <v>327</v>
      </c>
      <c r="G2149" t="s">
        <v>10</v>
      </c>
      <c r="H2149" t="s">
        <v>17</v>
      </c>
      <c r="I2149" s="2" t="str">
        <f t="shared" si="264"/>
        <v>Central</v>
      </c>
      <c r="J2149" t="s">
        <v>27</v>
      </c>
      <c r="K2149" t="s">
        <v>13</v>
      </c>
      <c r="L2149">
        <v>4</v>
      </c>
      <c r="M2149">
        <v>120</v>
      </c>
      <c r="N2149">
        <f t="shared" si="268"/>
        <v>480</v>
      </c>
      <c r="O2149">
        <f t="shared" si="269"/>
        <v>48</v>
      </c>
      <c r="P2149" t="str">
        <f t="shared" si="270"/>
        <v>Standard Order</v>
      </c>
      <c r="Q2149" t="str">
        <f t="shared" si="271"/>
        <v>Weekday</v>
      </c>
    </row>
    <row r="2150" spans="1:17" x14ac:dyDescent="0.35">
      <c r="A2150" t="s">
        <v>2300</v>
      </c>
      <c r="B2150" s="7">
        <v>45629</v>
      </c>
      <c r="C2150" s="13">
        <f t="shared" si="265"/>
        <v>2024</v>
      </c>
      <c r="D2150" s="7" t="str">
        <f t="shared" si="266"/>
        <v>Dec</v>
      </c>
      <c r="E2150" s="7" t="str">
        <f t="shared" si="267"/>
        <v>Tue</v>
      </c>
      <c r="F2150" t="s">
        <v>323</v>
      </c>
      <c r="G2150" t="s">
        <v>74</v>
      </c>
      <c r="H2150" t="s">
        <v>11</v>
      </c>
      <c r="I2150" s="2" t="str">
        <f t="shared" si="264"/>
        <v>East</v>
      </c>
      <c r="J2150" t="s">
        <v>306</v>
      </c>
      <c r="K2150" t="s">
        <v>32</v>
      </c>
      <c r="L2150">
        <v>7</v>
      </c>
      <c r="M2150">
        <v>120</v>
      </c>
      <c r="N2150">
        <f t="shared" si="268"/>
        <v>840</v>
      </c>
      <c r="O2150">
        <f t="shared" si="269"/>
        <v>84</v>
      </c>
      <c r="P2150" t="str">
        <f t="shared" si="270"/>
        <v>Large Order</v>
      </c>
      <c r="Q2150" t="str">
        <f t="shared" si="271"/>
        <v>Weekday</v>
      </c>
    </row>
    <row r="2151" spans="1:17" x14ac:dyDescent="0.35">
      <c r="A2151" t="s">
        <v>2301</v>
      </c>
      <c r="B2151" s="7">
        <v>45390</v>
      </c>
      <c r="C2151" s="13">
        <f t="shared" si="265"/>
        <v>2024</v>
      </c>
      <c r="D2151" s="7" t="str">
        <f t="shared" si="266"/>
        <v>Apr</v>
      </c>
      <c r="E2151" s="7" t="str">
        <f t="shared" si="267"/>
        <v>Mon</v>
      </c>
      <c r="F2151" t="s">
        <v>55</v>
      </c>
      <c r="G2151" t="s">
        <v>26</v>
      </c>
      <c r="H2151" t="s">
        <v>22</v>
      </c>
      <c r="I2151" s="2" t="str">
        <f t="shared" si="264"/>
        <v>Central</v>
      </c>
      <c r="J2151" t="s">
        <v>42</v>
      </c>
      <c r="K2151" t="s">
        <v>23</v>
      </c>
      <c r="L2151">
        <v>4</v>
      </c>
      <c r="M2151">
        <v>120</v>
      </c>
      <c r="N2151">
        <f t="shared" si="268"/>
        <v>480</v>
      </c>
      <c r="O2151">
        <f t="shared" si="269"/>
        <v>48</v>
      </c>
      <c r="P2151" t="str">
        <f t="shared" si="270"/>
        <v>Standard Order</v>
      </c>
      <c r="Q2151" t="str">
        <f t="shared" si="271"/>
        <v>Weekday</v>
      </c>
    </row>
    <row r="2152" spans="1:17" x14ac:dyDescent="0.35">
      <c r="A2152" t="s">
        <v>2302</v>
      </c>
      <c r="B2152" s="7">
        <v>45372</v>
      </c>
      <c r="C2152" s="13">
        <f t="shared" si="265"/>
        <v>2024</v>
      </c>
      <c r="D2152" s="7" t="str">
        <f t="shared" si="266"/>
        <v>Mar</v>
      </c>
      <c r="E2152" s="7" t="str">
        <f t="shared" si="267"/>
        <v>Thu</v>
      </c>
      <c r="F2152" t="s">
        <v>89</v>
      </c>
      <c r="G2152" t="s">
        <v>102</v>
      </c>
      <c r="H2152" t="s">
        <v>11</v>
      </c>
      <c r="I2152" s="2" t="str">
        <f t="shared" si="264"/>
        <v>East</v>
      </c>
      <c r="J2152" t="s">
        <v>306</v>
      </c>
      <c r="K2152" t="s">
        <v>36</v>
      </c>
      <c r="L2152">
        <v>17</v>
      </c>
      <c r="M2152">
        <v>120</v>
      </c>
      <c r="N2152">
        <f t="shared" si="268"/>
        <v>2040</v>
      </c>
      <c r="O2152">
        <f t="shared" si="269"/>
        <v>204</v>
      </c>
      <c r="P2152" t="str">
        <f t="shared" si="270"/>
        <v>Large Order</v>
      </c>
      <c r="Q2152" t="str">
        <f t="shared" si="271"/>
        <v>Weekday</v>
      </c>
    </row>
    <row r="2153" spans="1:17" x14ac:dyDescent="0.35">
      <c r="A2153" t="s">
        <v>2303</v>
      </c>
      <c r="B2153" s="7">
        <v>45569</v>
      </c>
      <c r="C2153" s="13">
        <f t="shared" si="265"/>
        <v>2024</v>
      </c>
      <c r="D2153" s="7" t="str">
        <f t="shared" si="266"/>
        <v>Oct</v>
      </c>
      <c r="E2153" s="7" t="str">
        <f t="shared" si="267"/>
        <v>Fri</v>
      </c>
      <c r="F2153" t="s">
        <v>20</v>
      </c>
      <c r="G2153" t="s">
        <v>174</v>
      </c>
      <c r="H2153" t="s">
        <v>17</v>
      </c>
      <c r="I2153" s="2" t="str">
        <f t="shared" si="264"/>
        <v>East</v>
      </c>
      <c r="J2153" t="s">
        <v>42</v>
      </c>
      <c r="K2153" t="s">
        <v>28</v>
      </c>
      <c r="L2153">
        <v>10</v>
      </c>
      <c r="M2153">
        <v>120</v>
      </c>
      <c r="N2153">
        <f t="shared" si="268"/>
        <v>1200</v>
      </c>
      <c r="O2153">
        <f t="shared" si="269"/>
        <v>120</v>
      </c>
      <c r="P2153" t="str">
        <f t="shared" si="270"/>
        <v>Large Order</v>
      </c>
      <c r="Q2153" t="str">
        <f t="shared" si="271"/>
        <v>Weekday</v>
      </c>
    </row>
    <row r="2154" spans="1:17" x14ac:dyDescent="0.35">
      <c r="A2154" t="s">
        <v>2304</v>
      </c>
      <c r="B2154" s="7">
        <v>45379</v>
      </c>
      <c r="C2154" s="13">
        <f t="shared" si="265"/>
        <v>2024</v>
      </c>
      <c r="D2154" s="7" t="str">
        <f t="shared" si="266"/>
        <v>Mar</v>
      </c>
      <c r="E2154" s="7" t="str">
        <f t="shared" si="267"/>
        <v>Thu</v>
      </c>
      <c r="F2154" t="s">
        <v>208</v>
      </c>
      <c r="G2154" t="s">
        <v>74</v>
      </c>
      <c r="H2154" t="s">
        <v>22</v>
      </c>
      <c r="I2154" s="2" t="str">
        <f t="shared" si="264"/>
        <v>North</v>
      </c>
      <c r="J2154" t="s">
        <v>42</v>
      </c>
      <c r="K2154" t="s">
        <v>36</v>
      </c>
      <c r="L2154">
        <v>15</v>
      </c>
      <c r="M2154">
        <v>120</v>
      </c>
      <c r="N2154">
        <f t="shared" si="268"/>
        <v>1800</v>
      </c>
      <c r="O2154">
        <f t="shared" si="269"/>
        <v>180</v>
      </c>
      <c r="P2154" t="str">
        <f t="shared" si="270"/>
        <v>Large Order</v>
      </c>
      <c r="Q2154" t="str">
        <f t="shared" si="271"/>
        <v>Weekday</v>
      </c>
    </row>
    <row r="2155" spans="1:17" x14ac:dyDescent="0.35">
      <c r="A2155" t="s">
        <v>2305</v>
      </c>
      <c r="B2155" s="7">
        <v>45306</v>
      </c>
      <c r="C2155" s="13">
        <f t="shared" si="265"/>
        <v>2024</v>
      </c>
      <c r="D2155" s="7" t="str">
        <f t="shared" si="266"/>
        <v>Jan</v>
      </c>
      <c r="E2155" s="7" t="str">
        <f t="shared" si="267"/>
        <v>Mon</v>
      </c>
      <c r="F2155" t="s">
        <v>553</v>
      </c>
      <c r="G2155" t="s">
        <v>41</v>
      </c>
      <c r="H2155" t="s">
        <v>11</v>
      </c>
      <c r="I2155" s="2" t="str">
        <f t="shared" si="264"/>
        <v>Central</v>
      </c>
      <c r="J2155" t="s">
        <v>12</v>
      </c>
      <c r="K2155" t="s">
        <v>23</v>
      </c>
      <c r="L2155">
        <v>2</v>
      </c>
      <c r="M2155">
        <v>120</v>
      </c>
      <c r="N2155">
        <f t="shared" si="268"/>
        <v>240</v>
      </c>
      <c r="O2155">
        <f t="shared" si="269"/>
        <v>24</v>
      </c>
      <c r="P2155" t="str">
        <f t="shared" si="270"/>
        <v>Standard Order</v>
      </c>
      <c r="Q2155" t="str">
        <f t="shared" si="271"/>
        <v>Weekday</v>
      </c>
    </row>
    <row r="2156" spans="1:17" x14ac:dyDescent="0.35">
      <c r="A2156" t="s">
        <v>2306</v>
      </c>
      <c r="B2156" s="7">
        <v>45492</v>
      </c>
      <c r="C2156" s="13">
        <f t="shared" si="265"/>
        <v>2024</v>
      </c>
      <c r="D2156" s="7" t="str">
        <f t="shared" si="266"/>
        <v>Jul</v>
      </c>
      <c r="E2156" s="7" t="str">
        <f t="shared" si="267"/>
        <v>Fri</v>
      </c>
      <c r="F2156" t="s">
        <v>235</v>
      </c>
      <c r="G2156" t="s">
        <v>62</v>
      </c>
      <c r="H2156" t="s">
        <v>22</v>
      </c>
      <c r="I2156" s="2" t="str">
        <f t="shared" si="264"/>
        <v>Central</v>
      </c>
      <c r="J2156" t="s">
        <v>306</v>
      </c>
      <c r="K2156" t="s">
        <v>23</v>
      </c>
      <c r="L2156">
        <v>20</v>
      </c>
      <c r="M2156">
        <v>120</v>
      </c>
      <c r="N2156">
        <f t="shared" si="268"/>
        <v>2400</v>
      </c>
      <c r="O2156">
        <f t="shared" si="269"/>
        <v>240</v>
      </c>
      <c r="P2156" t="str">
        <f t="shared" si="270"/>
        <v>Large Order</v>
      </c>
      <c r="Q2156" t="str">
        <f t="shared" si="271"/>
        <v>Weekday</v>
      </c>
    </row>
    <row r="2157" spans="1:17" x14ac:dyDescent="0.35">
      <c r="A2157" t="s">
        <v>2307</v>
      </c>
      <c r="B2157" s="7">
        <v>45462</v>
      </c>
      <c r="C2157" s="13">
        <f t="shared" si="265"/>
        <v>2024</v>
      </c>
      <c r="D2157" s="7" t="str">
        <f t="shared" si="266"/>
        <v>Jun</v>
      </c>
      <c r="E2157" s="7" t="str">
        <f t="shared" si="267"/>
        <v>Wed</v>
      </c>
      <c r="F2157" t="s">
        <v>104</v>
      </c>
      <c r="G2157" t="s">
        <v>62</v>
      </c>
      <c r="H2157" t="s">
        <v>22</v>
      </c>
      <c r="I2157" s="2" t="str">
        <f t="shared" si="264"/>
        <v>West</v>
      </c>
      <c r="J2157" t="s">
        <v>306</v>
      </c>
      <c r="K2157" t="s">
        <v>13</v>
      </c>
      <c r="L2157">
        <v>15</v>
      </c>
      <c r="M2157">
        <v>120</v>
      </c>
      <c r="N2157">
        <f t="shared" si="268"/>
        <v>1800</v>
      </c>
      <c r="O2157">
        <f t="shared" si="269"/>
        <v>180</v>
      </c>
      <c r="P2157" t="str">
        <f t="shared" si="270"/>
        <v>Large Order</v>
      </c>
      <c r="Q2157" t="str">
        <f t="shared" si="271"/>
        <v>Weekday</v>
      </c>
    </row>
    <row r="2158" spans="1:17" x14ac:dyDescent="0.35">
      <c r="A2158" t="s">
        <v>2308</v>
      </c>
      <c r="B2158" s="7">
        <v>45339</v>
      </c>
      <c r="C2158" s="13">
        <f t="shared" si="265"/>
        <v>2024</v>
      </c>
      <c r="D2158" s="7" t="str">
        <f t="shared" si="266"/>
        <v>Feb</v>
      </c>
      <c r="E2158" s="7" t="str">
        <f t="shared" si="267"/>
        <v>Sat</v>
      </c>
      <c r="F2158" t="s">
        <v>424</v>
      </c>
      <c r="G2158" t="s">
        <v>70</v>
      </c>
      <c r="H2158" t="s">
        <v>11</v>
      </c>
      <c r="I2158" s="2" t="str">
        <f t="shared" si="264"/>
        <v>East</v>
      </c>
      <c r="J2158" t="s">
        <v>27</v>
      </c>
      <c r="K2158" t="s">
        <v>32</v>
      </c>
      <c r="L2158">
        <v>15</v>
      </c>
      <c r="M2158">
        <v>120</v>
      </c>
      <c r="N2158">
        <f t="shared" si="268"/>
        <v>1800</v>
      </c>
      <c r="O2158">
        <f t="shared" si="269"/>
        <v>180</v>
      </c>
      <c r="P2158" t="str">
        <f t="shared" si="270"/>
        <v>Large Order</v>
      </c>
      <c r="Q2158" t="str">
        <f t="shared" si="271"/>
        <v>Weekend</v>
      </c>
    </row>
    <row r="2159" spans="1:17" x14ac:dyDescent="0.35">
      <c r="A2159" t="s">
        <v>2309</v>
      </c>
      <c r="B2159" s="7">
        <v>45406</v>
      </c>
      <c r="C2159" s="13">
        <f t="shared" si="265"/>
        <v>2024</v>
      </c>
      <c r="D2159" s="7" t="str">
        <f t="shared" si="266"/>
        <v>Apr</v>
      </c>
      <c r="E2159" s="7" t="str">
        <f t="shared" si="267"/>
        <v>Wed</v>
      </c>
      <c r="F2159" t="s">
        <v>167</v>
      </c>
      <c r="G2159" t="s">
        <v>109</v>
      </c>
      <c r="H2159" t="s">
        <v>17</v>
      </c>
      <c r="I2159" s="2" t="str">
        <f t="shared" si="264"/>
        <v>West</v>
      </c>
      <c r="J2159" t="s">
        <v>42</v>
      </c>
      <c r="K2159" t="s">
        <v>23</v>
      </c>
      <c r="L2159">
        <v>6</v>
      </c>
      <c r="M2159">
        <v>120</v>
      </c>
      <c r="N2159">
        <f t="shared" si="268"/>
        <v>720</v>
      </c>
      <c r="O2159">
        <f t="shared" si="269"/>
        <v>72</v>
      </c>
      <c r="P2159" t="str">
        <f t="shared" si="270"/>
        <v>Large Order</v>
      </c>
      <c r="Q2159" t="str">
        <f t="shared" si="271"/>
        <v>Weekday</v>
      </c>
    </row>
    <row r="2160" spans="1:17" x14ac:dyDescent="0.35">
      <c r="A2160" t="s">
        <v>2310</v>
      </c>
      <c r="B2160" s="7">
        <v>45632</v>
      </c>
      <c r="C2160" s="13">
        <f t="shared" si="265"/>
        <v>2024</v>
      </c>
      <c r="D2160" s="7" t="str">
        <f t="shared" si="266"/>
        <v>Dec</v>
      </c>
      <c r="E2160" s="7" t="str">
        <f t="shared" si="267"/>
        <v>Fri</v>
      </c>
      <c r="F2160" t="s">
        <v>118</v>
      </c>
      <c r="G2160" t="s">
        <v>72</v>
      </c>
      <c r="H2160" t="s">
        <v>17</v>
      </c>
      <c r="I2160" s="2" t="str">
        <f t="shared" si="264"/>
        <v>East</v>
      </c>
      <c r="J2160" t="s">
        <v>27</v>
      </c>
      <c r="K2160" t="s">
        <v>13</v>
      </c>
      <c r="L2160">
        <v>3</v>
      </c>
      <c r="M2160">
        <v>120</v>
      </c>
      <c r="N2160">
        <f t="shared" si="268"/>
        <v>360</v>
      </c>
      <c r="O2160">
        <f t="shared" si="269"/>
        <v>36</v>
      </c>
      <c r="P2160" t="str">
        <f t="shared" si="270"/>
        <v>Standard Order</v>
      </c>
      <c r="Q2160" t="str">
        <f t="shared" si="271"/>
        <v>Weekday</v>
      </c>
    </row>
    <row r="2161" spans="1:17" x14ac:dyDescent="0.35">
      <c r="A2161" t="s">
        <v>2311</v>
      </c>
      <c r="B2161" s="7">
        <v>45471</v>
      </c>
      <c r="C2161" s="13">
        <f t="shared" si="265"/>
        <v>2024</v>
      </c>
      <c r="D2161" s="7" t="str">
        <f t="shared" si="266"/>
        <v>Jun</v>
      </c>
      <c r="E2161" s="7" t="str">
        <f t="shared" si="267"/>
        <v>Fri</v>
      </c>
      <c r="F2161" t="s">
        <v>517</v>
      </c>
      <c r="G2161" t="s">
        <v>70</v>
      </c>
      <c r="H2161" t="s">
        <v>11</v>
      </c>
      <c r="I2161" s="2" t="str">
        <f t="shared" si="264"/>
        <v>North</v>
      </c>
      <c r="J2161" t="s">
        <v>42</v>
      </c>
      <c r="K2161" t="s">
        <v>32</v>
      </c>
      <c r="L2161">
        <v>20</v>
      </c>
      <c r="M2161">
        <v>120</v>
      </c>
      <c r="N2161">
        <f t="shared" si="268"/>
        <v>2400</v>
      </c>
      <c r="O2161">
        <f t="shared" si="269"/>
        <v>240</v>
      </c>
      <c r="P2161" t="str">
        <f t="shared" si="270"/>
        <v>Large Order</v>
      </c>
      <c r="Q2161" t="str">
        <f t="shared" si="271"/>
        <v>Weekday</v>
      </c>
    </row>
    <row r="2162" spans="1:17" x14ac:dyDescent="0.35">
      <c r="A2162" t="s">
        <v>2312</v>
      </c>
      <c r="B2162" s="7">
        <v>45552</v>
      </c>
      <c r="C2162" s="13">
        <f t="shared" si="265"/>
        <v>2024</v>
      </c>
      <c r="D2162" s="7" t="str">
        <f t="shared" si="266"/>
        <v>Sep</v>
      </c>
      <c r="E2162" s="7" t="str">
        <f t="shared" si="267"/>
        <v>Tue</v>
      </c>
      <c r="F2162" t="s">
        <v>15</v>
      </c>
      <c r="G2162" t="s">
        <v>31</v>
      </c>
      <c r="H2162" t="s">
        <v>22</v>
      </c>
      <c r="I2162" s="2" t="str">
        <f t="shared" si="264"/>
        <v>Central</v>
      </c>
      <c r="J2162" t="s">
        <v>12</v>
      </c>
      <c r="K2162" t="s">
        <v>32</v>
      </c>
      <c r="L2162">
        <v>18</v>
      </c>
      <c r="M2162">
        <v>120</v>
      </c>
      <c r="N2162">
        <f t="shared" si="268"/>
        <v>2160</v>
      </c>
      <c r="O2162">
        <f t="shared" si="269"/>
        <v>216</v>
      </c>
      <c r="P2162" t="str">
        <f t="shared" si="270"/>
        <v>Large Order</v>
      </c>
      <c r="Q2162" t="str">
        <f t="shared" si="271"/>
        <v>Weekday</v>
      </c>
    </row>
    <row r="2163" spans="1:17" x14ac:dyDescent="0.35">
      <c r="A2163" t="s">
        <v>2313</v>
      </c>
      <c r="B2163" s="7">
        <v>45446</v>
      </c>
      <c r="C2163" s="13">
        <f t="shared" si="265"/>
        <v>2024</v>
      </c>
      <c r="D2163" s="7" t="str">
        <f t="shared" si="266"/>
        <v>Jun</v>
      </c>
      <c r="E2163" s="7" t="str">
        <f t="shared" si="267"/>
        <v>Mon</v>
      </c>
      <c r="F2163" t="s">
        <v>312</v>
      </c>
      <c r="G2163" t="s">
        <v>70</v>
      </c>
      <c r="H2163" t="s">
        <v>17</v>
      </c>
      <c r="I2163" s="2" t="str">
        <f t="shared" si="264"/>
        <v>North</v>
      </c>
      <c r="J2163" t="s">
        <v>306</v>
      </c>
      <c r="K2163" t="s">
        <v>23</v>
      </c>
      <c r="L2163">
        <v>8</v>
      </c>
      <c r="M2163">
        <v>120</v>
      </c>
      <c r="N2163">
        <f t="shared" si="268"/>
        <v>960</v>
      </c>
      <c r="O2163">
        <f t="shared" si="269"/>
        <v>96</v>
      </c>
      <c r="P2163" t="str">
        <f t="shared" si="270"/>
        <v>Large Order</v>
      </c>
      <c r="Q2163" t="str">
        <f t="shared" si="271"/>
        <v>Weekday</v>
      </c>
    </row>
    <row r="2164" spans="1:17" x14ac:dyDescent="0.35">
      <c r="A2164" t="s">
        <v>2314</v>
      </c>
      <c r="B2164" s="7">
        <v>45572</v>
      </c>
      <c r="C2164" s="13">
        <f t="shared" si="265"/>
        <v>2024</v>
      </c>
      <c r="D2164" s="7" t="str">
        <f t="shared" si="266"/>
        <v>Oct</v>
      </c>
      <c r="E2164" s="7" t="str">
        <f t="shared" si="267"/>
        <v>Mon</v>
      </c>
      <c r="F2164" t="s">
        <v>111</v>
      </c>
      <c r="G2164" t="s">
        <v>35</v>
      </c>
      <c r="H2164" t="s">
        <v>17</v>
      </c>
      <c r="I2164" s="2" t="str">
        <f t="shared" si="264"/>
        <v>East</v>
      </c>
      <c r="J2164" t="s">
        <v>12</v>
      </c>
      <c r="K2164" t="s">
        <v>32</v>
      </c>
      <c r="L2164">
        <v>7</v>
      </c>
      <c r="M2164">
        <v>120</v>
      </c>
      <c r="N2164">
        <f t="shared" si="268"/>
        <v>840</v>
      </c>
      <c r="O2164">
        <f t="shared" si="269"/>
        <v>84</v>
      </c>
      <c r="P2164" t="str">
        <f t="shared" si="270"/>
        <v>Large Order</v>
      </c>
      <c r="Q2164" t="str">
        <f t="shared" si="271"/>
        <v>Weekday</v>
      </c>
    </row>
    <row r="2165" spans="1:17" x14ac:dyDescent="0.35">
      <c r="A2165" t="s">
        <v>2315</v>
      </c>
      <c r="B2165" s="7">
        <v>45594</v>
      </c>
      <c r="C2165" s="13">
        <f t="shared" si="265"/>
        <v>2024</v>
      </c>
      <c r="D2165" s="7" t="str">
        <f t="shared" si="266"/>
        <v>Oct</v>
      </c>
      <c r="E2165" s="7" t="str">
        <f t="shared" si="267"/>
        <v>Tue</v>
      </c>
      <c r="F2165" t="s">
        <v>348</v>
      </c>
      <c r="G2165" t="s">
        <v>87</v>
      </c>
      <c r="H2165" t="s">
        <v>22</v>
      </c>
      <c r="I2165" s="2" t="str">
        <f t="shared" si="264"/>
        <v>Central</v>
      </c>
      <c r="J2165" t="s">
        <v>42</v>
      </c>
      <c r="K2165" t="s">
        <v>36</v>
      </c>
      <c r="L2165">
        <v>8</v>
      </c>
      <c r="M2165">
        <v>120</v>
      </c>
      <c r="N2165">
        <f t="shared" si="268"/>
        <v>960</v>
      </c>
      <c r="O2165">
        <f t="shared" si="269"/>
        <v>96</v>
      </c>
      <c r="P2165" t="str">
        <f t="shared" si="270"/>
        <v>Large Order</v>
      </c>
      <c r="Q2165" t="str">
        <f t="shared" si="271"/>
        <v>Weekday</v>
      </c>
    </row>
    <row r="2166" spans="1:17" x14ac:dyDescent="0.35">
      <c r="A2166" t="s">
        <v>2316</v>
      </c>
      <c r="B2166" s="7">
        <v>45634</v>
      </c>
      <c r="C2166" s="13">
        <f t="shared" si="265"/>
        <v>2024</v>
      </c>
      <c r="D2166" s="7" t="str">
        <f t="shared" si="266"/>
        <v>Dec</v>
      </c>
      <c r="E2166" s="7" t="str">
        <f t="shared" si="267"/>
        <v>Sun</v>
      </c>
      <c r="F2166" t="s">
        <v>208</v>
      </c>
      <c r="G2166" t="s">
        <v>84</v>
      </c>
      <c r="H2166" t="s">
        <v>22</v>
      </c>
      <c r="I2166" s="2" t="str">
        <f t="shared" si="264"/>
        <v>West</v>
      </c>
      <c r="J2166" t="s">
        <v>306</v>
      </c>
      <c r="K2166" t="s">
        <v>23</v>
      </c>
      <c r="L2166">
        <v>4</v>
      </c>
      <c r="M2166">
        <v>120</v>
      </c>
      <c r="N2166">
        <f t="shared" si="268"/>
        <v>480</v>
      </c>
      <c r="O2166">
        <f t="shared" si="269"/>
        <v>48</v>
      </c>
      <c r="P2166" t="str">
        <f t="shared" si="270"/>
        <v>Standard Order</v>
      </c>
      <c r="Q2166" t="str">
        <f t="shared" si="271"/>
        <v>Weekend</v>
      </c>
    </row>
    <row r="2167" spans="1:17" x14ac:dyDescent="0.35">
      <c r="A2167" t="s">
        <v>2317</v>
      </c>
      <c r="B2167" s="7">
        <v>45529</v>
      </c>
      <c r="C2167" s="13">
        <f t="shared" si="265"/>
        <v>2024</v>
      </c>
      <c r="D2167" s="7" t="str">
        <f t="shared" si="266"/>
        <v>Aug</v>
      </c>
      <c r="E2167" s="7" t="str">
        <f t="shared" si="267"/>
        <v>Sun</v>
      </c>
      <c r="F2167" t="s">
        <v>187</v>
      </c>
      <c r="G2167" t="s">
        <v>174</v>
      </c>
      <c r="H2167" t="s">
        <v>11</v>
      </c>
      <c r="I2167" s="2" t="str">
        <f t="shared" si="264"/>
        <v>Central</v>
      </c>
      <c r="J2167" t="s">
        <v>27</v>
      </c>
      <c r="K2167" t="s">
        <v>28</v>
      </c>
      <c r="L2167">
        <v>10</v>
      </c>
      <c r="M2167">
        <v>120</v>
      </c>
      <c r="N2167">
        <f t="shared" si="268"/>
        <v>1200</v>
      </c>
      <c r="O2167">
        <f t="shared" si="269"/>
        <v>120</v>
      </c>
      <c r="P2167" t="str">
        <f t="shared" si="270"/>
        <v>Large Order</v>
      </c>
      <c r="Q2167" t="str">
        <f t="shared" si="271"/>
        <v>Weekend</v>
      </c>
    </row>
    <row r="2168" spans="1:17" x14ac:dyDescent="0.35">
      <c r="A2168" t="s">
        <v>2318</v>
      </c>
      <c r="B2168" s="7">
        <v>45327</v>
      </c>
      <c r="C2168" s="13">
        <f t="shared" si="265"/>
        <v>2024</v>
      </c>
      <c r="D2168" s="7" t="str">
        <f t="shared" si="266"/>
        <v>Feb</v>
      </c>
      <c r="E2168" s="7" t="str">
        <f t="shared" si="267"/>
        <v>Mon</v>
      </c>
      <c r="F2168" t="s">
        <v>327</v>
      </c>
      <c r="G2168" t="s">
        <v>102</v>
      </c>
      <c r="H2168" t="s">
        <v>22</v>
      </c>
      <c r="I2168" s="2" t="str">
        <f t="shared" si="264"/>
        <v>South</v>
      </c>
      <c r="J2168" t="s">
        <v>306</v>
      </c>
      <c r="K2168" t="s">
        <v>23</v>
      </c>
      <c r="L2168">
        <v>11</v>
      </c>
      <c r="M2168">
        <v>120</v>
      </c>
      <c r="N2168">
        <f t="shared" si="268"/>
        <v>1320</v>
      </c>
      <c r="O2168">
        <f t="shared" si="269"/>
        <v>132</v>
      </c>
      <c r="P2168" t="str">
        <f t="shared" si="270"/>
        <v>Large Order</v>
      </c>
      <c r="Q2168" t="str">
        <f t="shared" si="271"/>
        <v>Weekday</v>
      </c>
    </row>
    <row r="2169" spans="1:17" x14ac:dyDescent="0.35">
      <c r="A2169" t="s">
        <v>2319</v>
      </c>
      <c r="B2169" s="7">
        <v>45630</v>
      </c>
      <c r="C2169" s="13">
        <f t="shared" si="265"/>
        <v>2024</v>
      </c>
      <c r="D2169" s="7" t="str">
        <f t="shared" si="266"/>
        <v>Dec</v>
      </c>
      <c r="E2169" s="7" t="str">
        <f t="shared" si="267"/>
        <v>Wed</v>
      </c>
      <c r="F2169" t="s">
        <v>131</v>
      </c>
      <c r="G2169" t="s">
        <v>10</v>
      </c>
      <c r="H2169" t="s">
        <v>11</v>
      </c>
      <c r="I2169" s="2" t="str">
        <f t="shared" si="264"/>
        <v>East</v>
      </c>
      <c r="J2169" t="s">
        <v>56</v>
      </c>
      <c r="K2169" t="s">
        <v>36</v>
      </c>
      <c r="L2169">
        <v>1</v>
      </c>
      <c r="M2169">
        <v>120</v>
      </c>
      <c r="N2169">
        <f t="shared" si="268"/>
        <v>120</v>
      </c>
      <c r="O2169">
        <f t="shared" si="269"/>
        <v>12</v>
      </c>
      <c r="P2169" t="str">
        <f t="shared" si="270"/>
        <v>Standard Order</v>
      </c>
      <c r="Q2169" t="str">
        <f t="shared" si="271"/>
        <v>Weekday</v>
      </c>
    </row>
    <row r="2170" spans="1:17" x14ac:dyDescent="0.35">
      <c r="A2170" t="s">
        <v>2320</v>
      </c>
      <c r="B2170" s="7">
        <v>45630</v>
      </c>
      <c r="C2170" s="13">
        <f t="shared" si="265"/>
        <v>2024</v>
      </c>
      <c r="D2170" s="7" t="str">
        <f t="shared" si="266"/>
        <v>Dec</v>
      </c>
      <c r="E2170" s="7" t="str">
        <f t="shared" si="267"/>
        <v>Wed</v>
      </c>
      <c r="F2170" t="s">
        <v>125</v>
      </c>
      <c r="G2170" t="s">
        <v>70</v>
      </c>
      <c r="H2170" t="s">
        <v>22</v>
      </c>
      <c r="I2170" s="2" t="str">
        <f t="shared" si="264"/>
        <v>East</v>
      </c>
      <c r="J2170" t="s">
        <v>42</v>
      </c>
      <c r="K2170" t="s">
        <v>23</v>
      </c>
      <c r="L2170">
        <v>20</v>
      </c>
      <c r="M2170">
        <v>120</v>
      </c>
      <c r="N2170">
        <f t="shared" si="268"/>
        <v>2400</v>
      </c>
      <c r="O2170">
        <f t="shared" si="269"/>
        <v>240</v>
      </c>
      <c r="P2170" t="str">
        <f t="shared" si="270"/>
        <v>Large Order</v>
      </c>
      <c r="Q2170" t="str">
        <f t="shared" si="271"/>
        <v>Weekday</v>
      </c>
    </row>
    <row r="2171" spans="1:17" x14ac:dyDescent="0.35">
      <c r="A2171" t="s">
        <v>2321</v>
      </c>
      <c r="B2171" s="7">
        <v>45392</v>
      </c>
      <c r="C2171" s="13">
        <f t="shared" si="265"/>
        <v>2024</v>
      </c>
      <c r="D2171" s="7" t="str">
        <f t="shared" si="266"/>
        <v>Apr</v>
      </c>
      <c r="E2171" s="7" t="str">
        <f t="shared" si="267"/>
        <v>Wed</v>
      </c>
      <c r="F2171" t="s">
        <v>95</v>
      </c>
      <c r="G2171" t="s">
        <v>41</v>
      </c>
      <c r="H2171" t="s">
        <v>17</v>
      </c>
      <c r="I2171" s="2" t="str">
        <f t="shared" si="264"/>
        <v>Central</v>
      </c>
      <c r="J2171" t="s">
        <v>42</v>
      </c>
      <c r="K2171" t="s">
        <v>36</v>
      </c>
      <c r="L2171">
        <v>10</v>
      </c>
      <c r="M2171">
        <v>120</v>
      </c>
      <c r="N2171">
        <f t="shared" si="268"/>
        <v>1200</v>
      </c>
      <c r="O2171">
        <f t="shared" si="269"/>
        <v>120</v>
      </c>
      <c r="P2171" t="str">
        <f t="shared" si="270"/>
        <v>Large Order</v>
      </c>
      <c r="Q2171" t="str">
        <f t="shared" si="271"/>
        <v>Weekday</v>
      </c>
    </row>
    <row r="2172" spans="1:17" x14ac:dyDescent="0.35">
      <c r="A2172" t="s">
        <v>2322</v>
      </c>
      <c r="B2172" s="7">
        <v>45514</v>
      </c>
      <c r="C2172" s="13">
        <f t="shared" si="265"/>
        <v>2024</v>
      </c>
      <c r="D2172" s="7" t="str">
        <f t="shared" si="266"/>
        <v>Aug</v>
      </c>
      <c r="E2172" s="7" t="str">
        <f t="shared" si="267"/>
        <v>Sat</v>
      </c>
      <c r="F2172" t="s">
        <v>436</v>
      </c>
      <c r="G2172" t="s">
        <v>48</v>
      </c>
      <c r="H2172" t="s">
        <v>11</v>
      </c>
      <c r="I2172" s="2" t="str">
        <f t="shared" si="264"/>
        <v>East</v>
      </c>
      <c r="J2172" t="s">
        <v>306</v>
      </c>
      <c r="K2172" t="s">
        <v>13</v>
      </c>
      <c r="L2172">
        <v>20</v>
      </c>
      <c r="M2172">
        <v>120</v>
      </c>
      <c r="N2172">
        <f t="shared" si="268"/>
        <v>2400</v>
      </c>
      <c r="O2172">
        <f t="shared" si="269"/>
        <v>240</v>
      </c>
      <c r="P2172" t="str">
        <f t="shared" si="270"/>
        <v>Large Order</v>
      </c>
      <c r="Q2172" t="str">
        <f t="shared" si="271"/>
        <v>Weekend</v>
      </c>
    </row>
    <row r="2173" spans="1:17" x14ac:dyDescent="0.35">
      <c r="A2173" t="s">
        <v>2323</v>
      </c>
      <c r="B2173" s="7">
        <v>45498</v>
      </c>
      <c r="C2173" s="13">
        <f t="shared" si="265"/>
        <v>2024</v>
      </c>
      <c r="D2173" s="7" t="str">
        <f t="shared" si="266"/>
        <v>Jul</v>
      </c>
      <c r="E2173" s="7" t="str">
        <f t="shared" si="267"/>
        <v>Thu</v>
      </c>
      <c r="F2173" t="s">
        <v>34</v>
      </c>
      <c r="G2173" t="s">
        <v>74</v>
      </c>
      <c r="H2173" t="s">
        <v>11</v>
      </c>
      <c r="I2173" s="2" t="str">
        <f t="shared" si="264"/>
        <v>North</v>
      </c>
      <c r="J2173" t="s">
        <v>42</v>
      </c>
      <c r="K2173" t="s">
        <v>36</v>
      </c>
      <c r="L2173">
        <v>2</v>
      </c>
      <c r="M2173">
        <v>120</v>
      </c>
      <c r="N2173">
        <f t="shared" si="268"/>
        <v>240</v>
      </c>
      <c r="O2173">
        <f t="shared" si="269"/>
        <v>24</v>
      </c>
      <c r="P2173" t="str">
        <f t="shared" si="270"/>
        <v>Standard Order</v>
      </c>
      <c r="Q2173" t="str">
        <f t="shared" si="271"/>
        <v>Weekday</v>
      </c>
    </row>
    <row r="2174" spans="1:17" x14ac:dyDescent="0.35">
      <c r="A2174" t="s">
        <v>2324</v>
      </c>
      <c r="B2174" s="7">
        <v>45578</v>
      </c>
      <c r="C2174" s="13">
        <f t="shared" si="265"/>
        <v>2024</v>
      </c>
      <c r="D2174" s="7" t="str">
        <f t="shared" si="266"/>
        <v>Oct</v>
      </c>
      <c r="E2174" s="7" t="str">
        <f t="shared" si="267"/>
        <v>Sun</v>
      </c>
      <c r="F2174" t="s">
        <v>182</v>
      </c>
      <c r="G2174" t="s">
        <v>102</v>
      </c>
      <c r="H2174" t="s">
        <v>17</v>
      </c>
      <c r="I2174" s="2" t="str">
        <f t="shared" si="264"/>
        <v>West</v>
      </c>
      <c r="J2174" t="s">
        <v>12</v>
      </c>
      <c r="K2174" t="s">
        <v>28</v>
      </c>
      <c r="L2174">
        <v>14</v>
      </c>
      <c r="M2174">
        <v>120</v>
      </c>
      <c r="N2174">
        <f t="shared" si="268"/>
        <v>1680</v>
      </c>
      <c r="O2174">
        <f t="shared" si="269"/>
        <v>168</v>
      </c>
      <c r="P2174" t="str">
        <f t="shared" si="270"/>
        <v>Large Order</v>
      </c>
      <c r="Q2174" t="str">
        <f t="shared" si="271"/>
        <v>Weekend</v>
      </c>
    </row>
    <row r="2175" spans="1:17" x14ac:dyDescent="0.35">
      <c r="A2175" t="s">
        <v>2325</v>
      </c>
      <c r="B2175" s="7">
        <v>45493</v>
      </c>
      <c r="C2175" s="13">
        <f t="shared" si="265"/>
        <v>2024</v>
      </c>
      <c r="D2175" s="7" t="str">
        <f t="shared" si="266"/>
        <v>Jul</v>
      </c>
      <c r="E2175" s="7" t="str">
        <f t="shared" si="267"/>
        <v>Sat</v>
      </c>
      <c r="F2175" t="s">
        <v>451</v>
      </c>
      <c r="G2175" t="s">
        <v>72</v>
      </c>
      <c r="H2175" t="s">
        <v>22</v>
      </c>
      <c r="I2175" s="2" t="str">
        <f t="shared" si="264"/>
        <v>South</v>
      </c>
      <c r="J2175" t="s">
        <v>27</v>
      </c>
      <c r="K2175" t="s">
        <v>23</v>
      </c>
      <c r="L2175">
        <v>13</v>
      </c>
      <c r="M2175">
        <v>120</v>
      </c>
      <c r="N2175">
        <f t="shared" si="268"/>
        <v>1560</v>
      </c>
      <c r="O2175">
        <f t="shared" si="269"/>
        <v>156</v>
      </c>
      <c r="P2175" t="str">
        <f t="shared" si="270"/>
        <v>Large Order</v>
      </c>
      <c r="Q2175" t="str">
        <f t="shared" si="271"/>
        <v>Weekend</v>
      </c>
    </row>
    <row r="2176" spans="1:17" x14ac:dyDescent="0.35">
      <c r="A2176" t="s">
        <v>2326</v>
      </c>
      <c r="B2176" s="7">
        <v>45400</v>
      </c>
      <c r="C2176" s="13">
        <f t="shared" si="265"/>
        <v>2024</v>
      </c>
      <c r="D2176" s="7" t="str">
        <f t="shared" si="266"/>
        <v>Apr</v>
      </c>
      <c r="E2176" s="7" t="str">
        <f t="shared" si="267"/>
        <v>Thu</v>
      </c>
      <c r="F2176" t="s">
        <v>371</v>
      </c>
      <c r="G2176" t="s">
        <v>45</v>
      </c>
      <c r="H2176" t="s">
        <v>17</v>
      </c>
      <c r="I2176" s="2" t="str">
        <f t="shared" si="264"/>
        <v>South</v>
      </c>
      <c r="J2176" t="s">
        <v>56</v>
      </c>
      <c r="K2176" t="s">
        <v>28</v>
      </c>
      <c r="L2176">
        <v>18</v>
      </c>
      <c r="M2176">
        <v>120</v>
      </c>
      <c r="N2176">
        <f t="shared" si="268"/>
        <v>2160</v>
      </c>
      <c r="O2176">
        <f t="shared" si="269"/>
        <v>216</v>
      </c>
      <c r="P2176" t="str">
        <f t="shared" si="270"/>
        <v>Large Order</v>
      </c>
      <c r="Q2176" t="str">
        <f t="shared" si="271"/>
        <v>Weekday</v>
      </c>
    </row>
    <row r="2177" spans="1:17" x14ac:dyDescent="0.35">
      <c r="A2177" t="s">
        <v>2327</v>
      </c>
      <c r="B2177" s="7">
        <v>45476</v>
      </c>
      <c r="C2177" s="13">
        <f t="shared" si="265"/>
        <v>2024</v>
      </c>
      <c r="D2177" s="7" t="str">
        <f t="shared" si="266"/>
        <v>Jul</v>
      </c>
      <c r="E2177" s="7" t="str">
        <f t="shared" si="267"/>
        <v>Wed</v>
      </c>
      <c r="F2177" t="s">
        <v>572</v>
      </c>
      <c r="G2177" t="s">
        <v>16</v>
      </c>
      <c r="H2177" t="s">
        <v>17</v>
      </c>
      <c r="I2177" s="2" t="str">
        <f t="shared" si="264"/>
        <v>West</v>
      </c>
      <c r="J2177" t="s">
        <v>56</v>
      </c>
      <c r="K2177" t="s">
        <v>28</v>
      </c>
      <c r="L2177">
        <v>1</v>
      </c>
      <c r="M2177">
        <v>120</v>
      </c>
      <c r="N2177">
        <f t="shared" si="268"/>
        <v>120</v>
      </c>
      <c r="O2177">
        <f t="shared" si="269"/>
        <v>12</v>
      </c>
      <c r="P2177" t="str">
        <f t="shared" si="270"/>
        <v>Standard Order</v>
      </c>
      <c r="Q2177" t="str">
        <f t="shared" si="271"/>
        <v>Weekday</v>
      </c>
    </row>
    <row r="2178" spans="1:17" x14ac:dyDescent="0.35">
      <c r="A2178" t="s">
        <v>2328</v>
      </c>
      <c r="B2178" s="7">
        <v>45300</v>
      </c>
      <c r="C2178" s="13">
        <f t="shared" si="265"/>
        <v>2024</v>
      </c>
      <c r="D2178" s="7" t="str">
        <f t="shared" si="266"/>
        <v>Jan</v>
      </c>
      <c r="E2178" s="7" t="str">
        <f t="shared" si="267"/>
        <v>Tue</v>
      </c>
      <c r="F2178" t="s">
        <v>167</v>
      </c>
      <c r="G2178" t="s">
        <v>84</v>
      </c>
      <c r="H2178" t="s">
        <v>17</v>
      </c>
      <c r="I2178" s="2" t="str">
        <f t="shared" si="264"/>
        <v>West</v>
      </c>
      <c r="J2178" t="s">
        <v>27</v>
      </c>
      <c r="K2178" t="s">
        <v>28</v>
      </c>
      <c r="L2178">
        <v>3</v>
      </c>
      <c r="M2178">
        <v>120</v>
      </c>
      <c r="N2178">
        <f t="shared" si="268"/>
        <v>360</v>
      </c>
      <c r="O2178">
        <f t="shared" si="269"/>
        <v>36</v>
      </c>
      <c r="P2178" t="str">
        <f t="shared" si="270"/>
        <v>Standard Order</v>
      </c>
      <c r="Q2178" t="str">
        <f t="shared" si="271"/>
        <v>Weekday</v>
      </c>
    </row>
    <row r="2179" spans="1:17" x14ac:dyDescent="0.35">
      <c r="A2179" t="s">
        <v>2329</v>
      </c>
      <c r="B2179" s="7">
        <v>45504</v>
      </c>
      <c r="C2179" s="13">
        <f t="shared" si="265"/>
        <v>2024</v>
      </c>
      <c r="D2179" s="7" t="str">
        <f t="shared" si="266"/>
        <v>Jul</v>
      </c>
      <c r="E2179" s="7" t="str">
        <f t="shared" si="267"/>
        <v>Wed</v>
      </c>
      <c r="F2179" t="s">
        <v>366</v>
      </c>
      <c r="G2179" t="s">
        <v>62</v>
      </c>
      <c r="H2179" t="s">
        <v>22</v>
      </c>
      <c r="I2179" s="2" t="str">
        <f t="shared" ref="I2179:I2242" si="272">TRIM(J2180)</f>
        <v>East</v>
      </c>
      <c r="J2179" t="s">
        <v>27</v>
      </c>
      <c r="K2179" t="s">
        <v>36</v>
      </c>
      <c r="L2179">
        <v>6</v>
      </c>
      <c r="M2179">
        <v>120</v>
      </c>
      <c r="N2179">
        <f t="shared" si="268"/>
        <v>720</v>
      </c>
      <c r="O2179">
        <f t="shared" si="269"/>
        <v>72</v>
      </c>
      <c r="P2179" t="str">
        <f t="shared" si="270"/>
        <v>Large Order</v>
      </c>
      <c r="Q2179" t="str">
        <f t="shared" si="271"/>
        <v>Weekday</v>
      </c>
    </row>
    <row r="2180" spans="1:17" x14ac:dyDescent="0.35">
      <c r="A2180" t="s">
        <v>2330</v>
      </c>
      <c r="B2180" s="7">
        <v>45509</v>
      </c>
      <c r="C2180" s="13">
        <f t="shared" ref="C2180:C2243" si="273">YEAR(B2180)</f>
        <v>2024</v>
      </c>
      <c r="D2180" s="7" t="str">
        <f t="shared" ref="D2180:D2243" si="274">TEXT(B2180,"mmm")</f>
        <v>Aug</v>
      </c>
      <c r="E2180" s="7" t="str">
        <f t="shared" ref="E2180:E2243" si="275">TEXT(B2180,"ddd")</f>
        <v>Mon</v>
      </c>
      <c r="F2180" t="s">
        <v>378</v>
      </c>
      <c r="G2180" t="s">
        <v>70</v>
      </c>
      <c r="H2180" t="s">
        <v>17</v>
      </c>
      <c r="I2180" s="2" t="str">
        <f t="shared" si="272"/>
        <v>South</v>
      </c>
      <c r="J2180" t="s">
        <v>42</v>
      </c>
      <c r="K2180" t="s">
        <v>28</v>
      </c>
      <c r="L2180">
        <v>6</v>
      </c>
      <c r="M2180">
        <v>120</v>
      </c>
      <c r="N2180">
        <f t="shared" ref="N2180:N2243" si="276">M2180*L2180</f>
        <v>720</v>
      </c>
      <c r="O2180">
        <f t="shared" ref="O2180:O2243" si="277">N2180*0.1</f>
        <v>72</v>
      </c>
      <c r="P2180" t="str">
        <f t="shared" ref="P2180:P2243" si="278">IF(N2180&gt;500,"Large Order","Standard Order")</f>
        <v>Large Order</v>
      </c>
      <c r="Q2180" t="str">
        <f t="shared" ref="Q2180:Q2243" si="279">IF(OR(TRIM(E2180)="Sat",TRIM(E2180)="Sun"),"Weekend","Weekday")</f>
        <v>Weekday</v>
      </c>
    </row>
    <row r="2181" spans="1:17" x14ac:dyDescent="0.35">
      <c r="A2181" t="s">
        <v>2331</v>
      </c>
      <c r="B2181" s="7">
        <v>45295</v>
      </c>
      <c r="C2181" s="13">
        <f t="shared" si="273"/>
        <v>2024</v>
      </c>
      <c r="D2181" s="7" t="str">
        <f t="shared" si="274"/>
        <v>Jan</v>
      </c>
      <c r="E2181" s="7" t="str">
        <f t="shared" si="275"/>
        <v>Thu</v>
      </c>
      <c r="F2181" t="s">
        <v>314</v>
      </c>
      <c r="G2181" t="s">
        <v>35</v>
      </c>
      <c r="H2181" t="s">
        <v>22</v>
      </c>
      <c r="I2181" s="2" t="str">
        <f t="shared" si="272"/>
        <v>North</v>
      </c>
      <c r="J2181" t="s">
        <v>56</v>
      </c>
      <c r="K2181" t="s">
        <v>36</v>
      </c>
      <c r="L2181">
        <v>9</v>
      </c>
      <c r="M2181">
        <v>120</v>
      </c>
      <c r="N2181">
        <f t="shared" si="276"/>
        <v>1080</v>
      </c>
      <c r="O2181">
        <f t="shared" si="277"/>
        <v>108</v>
      </c>
      <c r="P2181" t="str">
        <f t="shared" si="278"/>
        <v>Large Order</v>
      </c>
      <c r="Q2181" t="str">
        <f t="shared" si="279"/>
        <v>Weekday</v>
      </c>
    </row>
    <row r="2182" spans="1:17" x14ac:dyDescent="0.35">
      <c r="A2182" t="s">
        <v>2332</v>
      </c>
      <c r="B2182" s="7">
        <v>45571</v>
      </c>
      <c r="C2182" s="13">
        <f t="shared" si="273"/>
        <v>2024</v>
      </c>
      <c r="D2182" s="7" t="str">
        <f t="shared" si="274"/>
        <v>Oct</v>
      </c>
      <c r="E2182" s="7" t="str">
        <f t="shared" si="275"/>
        <v>Sun</v>
      </c>
      <c r="F2182" t="s">
        <v>314</v>
      </c>
      <c r="G2182" t="s">
        <v>48</v>
      </c>
      <c r="H2182" t="s">
        <v>11</v>
      </c>
      <c r="I2182" s="2" t="str">
        <f t="shared" si="272"/>
        <v>North</v>
      </c>
      <c r="J2182" t="s">
        <v>12</v>
      </c>
      <c r="K2182" t="s">
        <v>36</v>
      </c>
      <c r="L2182">
        <v>16</v>
      </c>
      <c r="M2182">
        <v>120</v>
      </c>
      <c r="N2182">
        <f t="shared" si="276"/>
        <v>1920</v>
      </c>
      <c r="O2182">
        <f t="shared" si="277"/>
        <v>192</v>
      </c>
      <c r="P2182" t="str">
        <f t="shared" si="278"/>
        <v>Large Order</v>
      </c>
      <c r="Q2182" t="str">
        <f t="shared" si="279"/>
        <v>Weekend</v>
      </c>
    </row>
    <row r="2183" spans="1:17" x14ac:dyDescent="0.35">
      <c r="A2183" t="s">
        <v>2333</v>
      </c>
      <c r="B2183" s="7">
        <v>45349</v>
      </c>
      <c r="C2183" s="13">
        <f t="shared" si="273"/>
        <v>2024</v>
      </c>
      <c r="D2183" s="7" t="str">
        <f t="shared" si="274"/>
        <v>Feb</v>
      </c>
      <c r="E2183" s="7" t="str">
        <f t="shared" si="275"/>
        <v>Tue</v>
      </c>
      <c r="F2183" t="s">
        <v>361</v>
      </c>
      <c r="G2183" t="s">
        <v>35</v>
      </c>
      <c r="H2183" t="s">
        <v>22</v>
      </c>
      <c r="I2183" s="2" t="str">
        <f t="shared" si="272"/>
        <v>Central</v>
      </c>
      <c r="J2183" t="s">
        <v>12</v>
      </c>
      <c r="K2183" t="s">
        <v>28</v>
      </c>
      <c r="L2183">
        <v>17</v>
      </c>
      <c r="M2183">
        <v>120</v>
      </c>
      <c r="N2183">
        <f t="shared" si="276"/>
        <v>2040</v>
      </c>
      <c r="O2183">
        <f t="shared" si="277"/>
        <v>204</v>
      </c>
      <c r="P2183" t="str">
        <f t="shared" si="278"/>
        <v>Large Order</v>
      </c>
      <c r="Q2183" t="str">
        <f t="shared" si="279"/>
        <v>Weekday</v>
      </c>
    </row>
    <row r="2184" spans="1:17" x14ac:dyDescent="0.35">
      <c r="A2184" t="s">
        <v>2334</v>
      </c>
      <c r="B2184" s="7">
        <v>45435</v>
      </c>
      <c r="C2184" s="13">
        <f t="shared" si="273"/>
        <v>2024</v>
      </c>
      <c r="D2184" s="7" t="str">
        <f t="shared" si="274"/>
        <v>May</v>
      </c>
      <c r="E2184" s="7" t="str">
        <f t="shared" si="275"/>
        <v>Thu</v>
      </c>
      <c r="F2184" t="s">
        <v>319</v>
      </c>
      <c r="G2184" t="s">
        <v>160</v>
      </c>
      <c r="H2184" t="s">
        <v>11</v>
      </c>
      <c r="I2184" s="2" t="str">
        <f t="shared" si="272"/>
        <v>North</v>
      </c>
      <c r="J2184" t="s">
        <v>306</v>
      </c>
      <c r="K2184" t="s">
        <v>36</v>
      </c>
      <c r="L2184">
        <v>3</v>
      </c>
      <c r="M2184">
        <v>120</v>
      </c>
      <c r="N2184">
        <f t="shared" si="276"/>
        <v>360</v>
      </c>
      <c r="O2184">
        <f t="shared" si="277"/>
        <v>36</v>
      </c>
      <c r="P2184" t="str">
        <f t="shared" si="278"/>
        <v>Standard Order</v>
      </c>
      <c r="Q2184" t="str">
        <f t="shared" si="279"/>
        <v>Weekday</v>
      </c>
    </row>
    <row r="2185" spans="1:17" x14ac:dyDescent="0.35">
      <c r="A2185" t="s">
        <v>2335</v>
      </c>
      <c r="B2185" s="7">
        <v>45614</v>
      </c>
      <c r="C2185" s="13">
        <f t="shared" si="273"/>
        <v>2024</v>
      </c>
      <c r="D2185" s="7" t="str">
        <f t="shared" si="274"/>
        <v>Nov</v>
      </c>
      <c r="E2185" s="7" t="str">
        <f t="shared" si="275"/>
        <v>Mon</v>
      </c>
      <c r="F2185" t="s">
        <v>304</v>
      </c>
      <c r="G2185" t="s">
        <v>41</v>
      </c>
      <c r="H2185" t="s">
        <v>22</v>
      </c>
      <c r="I2185" s="2" t="str">
        <f t="shared" si="272"/>
        <v>West</v>
      </c>
      <c r="J2185" t="s">
        <v>12</v>
      </c>
      <c r="K2185" t="s">
        <v>36</v>
      </c>
      <c r="L2185">
        <v>19</v>
      </c>
      <c r="M2185">
        <v>120</v>
      </c>
      <c r="N2185">
        <f t="shared" si="276"/>
        <v>2280</v>
      </c>
      <c r="O2185">
        <f t="shared" si="277"/>
        <v>228</v>
      </c>
      <c r="P2185" t="str">
        <f t="shared" si="278"/>
        <v>Large Order</v>
      </c>
      <c r="Q2185" t="str">
        <f t="shared" si="279"/>
        <v>Weekday</v>
      </c>
    </row>
    <row r="2186" spans="1:17" x14ac:dyDescent="0.35">
      <c r="A2186" t="s">
        <v>2336</v>
      </c>
      <c r="B2186" s="7">
        <v>45319</v>
      </c>
      <c r="C2186" s="13">
        <f t="shared" si="273"/>
        <v>2024</v>
      </c>
      <c r="D2186" s="7" t="str">
        <f t="shared" si="274"/>
        <v>Jan</v>
      </c>
      <c r="E2186" s="7" t="str">
        <f t="shared" si="275"/>
        <v>Sun</v>
      </c>
      <c r="F2186" t="s">
        <v>47</v>
      </c>
      <c r="G2186" t="s">
        <v>174</v>
      </c>
      <c r="H2186" t="s">
        <v>11</v>
      </c>
      <c r="I2186" s="2" t="str">
        <f t="shared" si="272"/>
        <v>East</v>
      </c>
      <c r="J2186" t="s">
        <v>27</v>
      </c>
      <c r="K2186" t="s">
        <v>23</v>
      </c>
      <c r="L2186">
        <v>17</v>
      </c>
      <c r="M2186">
        <v>120</v>
      </c>
      <c r="N2186">
        <f t="shared" si="276"/>
        <v>2040</v>
      </c>
      <c r="O2186">
        <f t="shared" si="277"/>
        <v>204</v>
      </c>
      <c r="P2186" t="str">
        <f t="shared" si="278"/>
        <v>Large Order</v>
      </c>
      <c r="Q2186" t="str">
        <f t="shared" si="279"/>
        <v>Weekend</v>
      </c>
    </row>
    <row r="2187" spans="1:17" x14ac:dyDescent="0.35">
      <c r="A2187" t="s">
        <v>2337</v>
      </c>
      <c r="B2187" s="7">
        <v>45585</v>
      </c>
      <c r="C2187" s="13">
        <f t="shared" si="273"/>
        <v>2024</v>
      </c>
      <c r="D2187" s="7" t="str">
        <f t="shared" si="274"/>
        <v>Oct</v>
      </c>
      <c r="E2187" s="7" t="str">
        <f t="shared" si="275"/>
        <v>Sun</v>
      </c>
      <c r="F2187" t="s">
        <v>388</v>
      </c>
      <c r="G2187" t="s">
        <v>72</v>
      </c>
      <c r="H2187" t="s">
        <v>17</v>
      </c>
      <c r="I2187" s="2" t="str">
        <f t="shared" si="272"/>
        <v>Central</v>
      </c>
      <c r="J2187" t="s">
        <v>42</v>
      </c>
      <c r="K2187" t="s">
        <v>32</v>
      </c>
      <c r="L2187">
        <v>10</v>
      </c>
      <c r="M2187">
        <v>120</v>
      </c>
      <c r="N2187">
        <f t="shared" si="276"/>
        <v>1200</v>
      </c>
      <c r="O2187">
        <f t="shared" si="277"/>
        <v>120</v>
      </c>
      <c r="P2187" t="str">
        <f t="shared" si="278"/>
        <v>Large Order</v>
      </c>
      <c r="Q2187" t="str">
        <f t="shared" si="279"/>
        <v>Weekend</v>
      </c>
    </row>
    <row r="2188" spans="1:17" x14ac:dyDescent="0.35">
      <c r="A2188" t="s">
        <v>2338</v>
      </c>
      <c r="B2188" s="7">
        <v>45647</v>
      </c>
      <c r="C2188" s="13">
        <f t="shared" si="273"/>
        <v>2024</v>
      </c>
      <c r="D2188" s="7" t="str">
        <f t="shared" si="274"/>
        <v>Dec</v>
      </c>
      <c r="E2188" s="7" t="str">
        <f t="shared" si="275"/>
        <v>Sat</v>
      </c>
      <c r="F2188" t="s">
        <v>327</v>
      </c>
      <c r="G2188" t="s">
        <v>84</v>
      </c>
      <c r="H2188" t="s">
        <v>17</v>
      </c>
      <c r="I2188" s="2" t="str">
        <f t="shared" si="272"/>
        <v>East</v>
      </c>
      <c r="J2188" t="s">
        <v>306</v>
      </c>
      <c r="K2188" t="s">
        <v>32</v>
      </c>
      <c r="L2188">
        <v>2</v>
      </c>
      <c r="M2188">
        <v>120</v>
      </c>
      <c r="N2188">
        <f t="shared" si="276"/>
        <v>240</v>
      </c>
      <c r="O2188">
        <f t="shared" si="277"/>
        <v>24</v>
      </c>
      <c r="P2188" t="str">
        <f t="shared" si="278"/>
        <v>Standard Order</v>
      </c>
      <c r="Q2188" t="str">
        <f t="shared" si="279"/>
        <v>Weekend</v>
      </c>
    </row>
    <row r="2189" spans="1:17" x14ac:dyDescent="0.35">
      <c r="A2189" t="s">
        <v>2339</v>
      </c>
      <c r="B2189" s="7">
        <v>45588</v>
      </c>
      <c r="C2189" s="13">
        <f t="shared" si="273"/>
        <v>2024</v>
      </c>
      <c r="D2189" s="7" t="str">
        <f t="shared" si="274"/>
        <v>Oct</v>
      </c>
      <c r="E2189" s="7" t="str">
        <f t="shared" si="275"/>
        <v>Wed</v>
      </c>
      <c r="F2189" t="s">
        <v>30</v>
      </c>
      <c r="G2189" t="s">
        <v>59</v>
      </c>
      <c r="H2189" t="s">
        <v>11</v>
      </c>
      <c r="I2189" s="2" t="str">
        <f t="shared" si="272"/>
        <v>East</v>
      </c>
      <c r="J2189" t="s">
        <v>42</v>
      </c>
      <c r="K2189" t="s">
        <v>36</v>
      </c>
      <c r="L2189">
        <v>1</v>
      </c>
      <c r="M2189">
        <v>120</v>
      </c>
      <c r="N2189">
        <f t="shared" si="276"/>
        <v>120</v>
      </c>
      <c r="O2189">
        <f t="shared" si="277"/>
        <v>12</v>
      </c>
      <c r="P2189" t="str">
        <f t="shared" si="278"/>
        <v>Standard Order</v>
      </c>
      <c r="Q2189" t="str">
        <f t="shared" si="279"/>
        <v>Weekday</v>
      </c>
    </row>
    <row r="2190" spans="1:17" x14ac:dyDescent="0.35">
      <c r="A2190" t="s">
        <v>2340</v>
      </c>
      <c r="B2190" s="7">
        <v>45334</v>
      </c>
      <c r="C2190" s="13">
        <f t="shared" si="273"/>
        <v>2024</v>
      </c>
      <c r="D2190" s="7" t="str">
        <f t="shared" si="274"/>
        <v>Feb</v>
      </c>
      <c r="E2190" s="7" t="str">
        <f t="shared" si="275"/>
        <v>Mon</v>
      </c>
      <c r="F2190" t="s">
        <v>34</v>
      </c>
      <c r="G2190" t="s">
        <v>160</v>
      </c>
      <c r="H2190" t="s">
        <v>11</v>
      </c>
      <c r="I2190" s="2" t="str">
        <f t="shared" si="272"/>
        <v>North</v>
      </c>
      <c r="J2190" t="s">
        <v>42</v>
      </c>
      <c r="K2190" t="s">
        <v>32</v>
      </c>
      <c r="L2190">
        <v>5</v>
      </c>
      <c r="M2190">
        <v>120</v>
      </c>
      <c r="N2190">
        <f t="shared" si="276"/>
        <v>600</v>
      </c>
      <c r="O2190">
        <f t="shared" si="277"/>
        <v>60</v>
      </c>
      <c r="P2190" t="str">
        <f t="shared" si="278"/>
        <v>Large Order</v>
      </c>
      <c r="Q2190" t="str">
        <f t="shared" si="279"/>
        <v>Weekday</v>
      </c>
    </row>
    <row r="2191" spans="1:17" x14ac:dyDescent="0.35">
      <c r="A2191" t="s">
        <v>2341</v>
      </c>
      <c r="B2191" s="7">
        <v>45432</v>
      </c>
      <c r="C2191" s="13">
        <f t="shared" si="273"/>
        <v>2024</v>
      </c>
      <c r="D2191" s="7" t="str">
        <f t="shared" si="274"/>
        <v>May</v>
      </c>
      <c r="E2191" s="7" t="str">
        <f t="shared" si="275"/>
        <v>Mon</v>
      </c>
      <c r="F2191" t="s">
        <v>230</v>
      </c>
      <c r="G2191" t="s">
        <v>96</v>
      </c>
      <c r="H2191" t="s">
        <v>22</v>
      </c>
      <c r="I2191" s="2" t="str">
        <f t="shared" si="272"/>
        <v>South</v>
      </c>
      <c r="J2191" t="s">
        <v>12</v>
      </c>
      <c r="K2191" t="s">
        <v>36</v>
      </c>
      <c r="L2191">
        <v>6</v>
      </c>
      <c r="M2191">
        <v>120</v>
      </c>
      <c r="N2191">
        <f t="shared" si="276"/>
        <v>720</v>
      </c>
      <c r="O2191">
        <f t="shared" si="277"/>
        <v>72</v>
      </c>
      <c r="P2191" t="str">
        <f t="shared" si="278"/>
        <v>Large Order</v>
      </c>
      <c r="Q2191" t="str">
        <f t="shared" si="279"/>
        <v>Weekday</v>
      </c>
    </row>
    <row r="2192" spans="1:17" x14ac:dyDescent="0.35">
      <c r="A2192" t="s">
        <v>2342</v>
      </c>
      <c r="B2192" s="7">
        <v>45369</v>
      </c>
      <c r="C2192" s="13">
        <f t="shared" si="273"/>
        <v>2024</v>
      </c>
      <c r="D2192" s="7" t="str">
        <f t="shared" si="274"/>
        <v>Mar</v>
      </c>
      <c r="E2192" s="7" t="str">
        <f t="shared" si="275"/>
        <v>Mon</v>
      </c>
      <c r="F2192" t="s">
        <v>371</v>
      </c>
      <c r="G2192" t="s">
        <v>70</v>
      </c>
      <c r="H2192" t="s">
        <v>17</v>
      </c>
      <c r="I2192" s="2" t="str">
        <f t="shared" si="272"/>
        <v>South</v>
      </c>
      <c r="J2192" t="s">
        <v>56</v>
      </c>
      <c r="K2192" t="s">
        <v>32</v>
      </c>
      <c r="L2192">
        <v>8</v>
      </c>
      <c r="M2192">
        <v>120</v>
      </c>
      <c r="N2192">
        <f t="shared" si="276"/>
        <v>960</v>
      </c>
      <c r="O2192">
        <f t="shared" si="277"/>
        <v>96</v>
      </c>
      <c r="P2192" t="str">
        <f t="shared" si="278"/>
        <v>Large Order</v>
      </c>
      <c r="Q2192" t="str">
        <f t="shared" si="279"/>
        <v>Weekday</v>
      </c>
    </row>
    <row r="2193" spans="1:17" x14ac:dyDescent="0.35">
      <c r="A2193" t="s">
        <v>2343</v>
      </c>
      <c r="B2193" s="7">
        <v>45562</v>
      </c>
      <c r="C2193" s="13">
        <f t="shared" si="273"/>
        <v>2024</v>
      </c>
      <c r="D2193" s="7" t="str">
        <f t="shared" si="274"/>
        <v>Sep</v>
      </c>
      <c r="E2193" s="7" t="str">
        <f t="shared" si="275"/>
        <v>Fri</v>
      </c>
      <c r="F2193" t="s">
        <v>122</v>
      </c>
      <c r="G2193" t="s">
        <v>72</v>
      </c>
      <c r="H2193" t="s">
        <v>11</v>
      </c>
      <c r="I2193" s="2" t="str">
        <f t="shared" si="272"/>
        <v>West</v>
      </c>
      <c r="J2193" t="s">
        <v>56</v>
      </c>
      <c r="K2193" t="s">
        <v>36</v>
      </c>
      <c r="L2193">
        <v>5</v>
      </c>
      <c r="M2193">
        <v>120</v>
      </c>
      <c r="N2193">
        <f t="shared" si="276"/>
        <v>600</v>
      </c>
      <c r="O2193">
        <f t="shared" si="277"/>
        <v>60</v>
      </c>
      <c r="P2193" t="str">
        <f t="shared" si="278"/>
        <v>Large Order</v>
      </c>
      <c r="Q2193" t="str">
        <f t="shared" si="279"/>
        <v>Weekday</v>
      </c>
    </row>
    <row r="2194" spans="1:17" x14ac:dyDescent="0.35">
      <c r="A2194" t="s">
        <v>2344</v>
      </c>
      <c r="B2194" s="7">
        <v>45503</v>
      </c>
      <c r="C2194" s="13">
        <f t="shared" si="273"/>
        <v>2024</v>
      </c>
      <c r="D2194" s="7" t="str">
        <f t="shared" si="274"/>
        <v>Jul</v>
      </c>
      <c r="E2194" s="7" t="str">
        <f t="shared" si="275"/>
        <v>Tue</v>
      </c>
      <c r="F2194" t="s">
        <v>337</v>
      </c>
      <c r="G2194" t="s">
        <v>31</v>
      </c>
      <c r="H2194" t="s">
        <v>11</v>
      </c>
      <c r="I2194" s="2" t="str">
        <f t="shared" si="272"/>
        <v>North</v>
      </c>
      <c r="J2194" t="s">
        <v>27</v>
      </c>
      <c r="K2194" t="s">
        <v>28</v>
      </c>
      <c r="L2194">
        <v>7</v>
      </c>
      <c r="M2194">
        <v>120</v>
      </c>
      <c r="N2194">
        <f t="shared" si="276"/>
        <v>840</v>
      </c>
      <c r="O2194">
        <f t="shared" si="277"/>
        <v>84</v>
      </c>
      <c r="P2194" t="str">
        <f t="shared" si="278"/>
        <v>Large Order</v>
      </c>
      <c r="Q2194" t="str">
        <f t="shared" si="279"/>
        <v>Weekday</v>
      </c>
    </row>
    <row r="2195" spans="1:17" x14ac:dyDescent="0.35">
      <c r="A2195" t="s">
        <v>2345</v>
      </c>
      <c r="B2195" s="7">
        <v>45468</v>
      </c>
      <c r="C2195" s="13">
        <f t="shared" si="273"/>
        <v>2024</v>
      </c>
      <c r="D2195" s="7" t="str">
        <f t="shared" si="274"/>
        <v>Jun</v>
      </c>
      <c r="E2195" s="7" t="str">
        <f t="shared" si="275"/>
        <v>Tue</v>
      </c>
      <c r="F2195" t="s">
        <v>9</v>
      </c>
      <c r="G2195" t="s">
        <v>21</v>
      </c>
      <c r="H2195" t="s">
        <v>17</v>
      </c>
      <c r="I2195" s="2" t="str">
        <f t="shared" si="272"/>
        <v>Central</v>
      </c>
      <c r="J2195" t="s">
        <v>12</v>
      </c>
      <c r="K2195" t="s">
        <v>13</v>
      </c>
      <c r="L2195">
        <v>6</v>
      </c>
      <c r="M2195">
        <v>120</v>
      </c>
      <c r="N2195">
        <f t="shared" si="276"/>
        <v>720</v>
      </c>
      <c r="O2195">
        <f t="shared" si="277"/>
        <v>72</v>
      </c>
      <c r="P2195" t="str">
        <f t="shared" si="278"/>
        <v>Large Order</v>
      </c>
      <c r="Q2195" t="str">
        <f t="shared" si="279"/>
        <v>Weekday</v>
      </c>
    </row>
    <row r="2196" spans="1:17" x14ac:dyDescent="0.35">
      <c r="A2196" t="s">
        <v>2346</v>
      </c>
      <c r="B2196" s="7">
        <v>45535</v>
      </c>
      <c r="C2196" s="13">
        <f t="shared" si="273"/>
        <v>2024</v>
      </c>
      <c r="D2196" s="7" t="str">
        <f t="shared" si="274"/>
        <v>Aug</v>
      </c>
      <c r="E2196" s="7" t="str">
        <f t="shared" si="275"/>
        <v>Sat</v>
      </c>
      <c r="F2196" t="s">
        <v>68</v>
      </c>
      <c r="G2196" t="s">
        <v>35</v>
      </c>
      <c r="H2196" t="s">
        <v>22</v>
      </c>
      <c r="I2196" s="2" t="str">
        <f t="shared" si="272"/>
        <v>Central</v>
      </c>
      <c r="J2196" t="s">
        <v>306</v>
      </c>
      <c r="K2196" t="s">
        <v>28</v>
      </c>
      <c r="L2196">
        <v>13</v>
      </c>
      <c r="M2196">
        <v>120</v>
      </c>
      <c r="N2196">
        <f t="shared" si="276"/>
        <v>1560</v>
      </c>
      <c r="O2196">
        <f t="shared" si="277"/>
        <v>156</v>
      </c>
      <c r="P2196" t="str">
        <f t="shared" si="278"/>
        <v>Large Order</v>
      </c>
      <c r="Q2196" t="str">
        <f t="shared" si="279"/>
        <v>Weekend</v>
      </c>
    </row>
    <row r="2197" spans="1:17" x14ac:dyDescent="0.35">
      <c r="A2197" t="s">
        <v>2347</v>
      </c>
      <c r="B2197" s="7">
        <v>45491</v>
      </c>
      <c r="C2197" s="13">
        <f t="shared" si="273"/>
        <v>2024</v>
      </c>
      <c r="D2197" s="7" t="str">
        <f t="shared" si="274"/>
        <v>Jul</v>
      </c>
      <c r="E2197" s="7" t="str">
        <f t="shared" si="275"/>
        <v>Thu</v>
      </c>
      <c r="F2197" t="s">
        <v>553</v>
      </c>
      <c r="G2197" t="s">
        <v>26</v>
      </c>
      <c r="H2197" t="s">
        <v>11</v>
      </c>
      <c r="I2197" s="2" t="str">
        <f t="shared" si="272"/>
        <v>Central</v>
      </c>
      <c r="J2197" t="s">
        <v>306</v>
      </c>
      <c r="K2197" t="s">
        <v>23</v>
      </c>
      <c r="L2197">
        <v>1</v>
      </c>
      <c r="M2197">
        <v>120</v>
      </c>
      <c r="N2197">
        <f t="shared" si="276"/>
        <v>120</v>
      </c>
      <c r="O2197">
        <f t="shared" si="277"/>
        <v>12</v>
      </c>
      <c r="P2197" t="str">
        <f t="shared" si="278"/>
        <v>Standard Order</v>
      </c>
      <c r="Q2197" t="str">
        <f t="shared" si="279"/>
        <v>Weekday</v>
      </c>
    </row>
    <row r="2198" spans="1:17" x14ac:dyDescent="0.35">
      <c r="A2198" t="s">
        <v>2348</v>
      </c>
      <c r="B2198" s="7">
        <v>45521</v>
      </c>
      <c r="C2198" s="13">
        <f t="shared" si="273"/>
        <v>2024</v>
      </c>
      <c r="D2198" s="7" t="str">
        <f t="shared" si="274"/>
        <v>Aug</v>
      </c>
      <c r="E2198" s="7" t="str">
        <f t="shared" si="275"/>
        <v>Sat</v>
      </c>
      <c r="F2198" t="s">
        <v>159</v>
      </c>
      <c r="G2198" t="s">
        <v>41</v>
      </c>
      <c r="H2198" t="s">
        <v>17</v>
      </c>
      <c r="I2198" s="2" t="str">
        <f t="shared" si="272"/>
        <v>East</v>
      </c>
      <c r="J2198" t="s">
        <v>306</v>
      </c>
      <c r="K2198" t="s">
        <v>13</v>
      </c>
      <c r="L2198">
        <v>4</v>
      </c>
      <c r="M2198">
        <v>120</v>
      </c>
      <c r="N2198">
        <f t="shared" si="276"/>
        <v>480</v>
      </c>
      <c r="O2198">
        <f t="shared" si="277"/>
        <v>48</v>
      </c>
      <c r="P2198" t="str">
        <f t="shared" si="278"/>
        <v>Standard Order</v>
      </c>
      <c r="Q2198" t="str">
        <f t="shared" si="279"/>
        <v>Weekend</v>
      </c>
    </row>
    <row r="2199" spans="1:17" x14ac:dyDescent="0.35">
      <c r="A2199" t="s">
        <v>2349</v>
      </c>
      <c r="B2199" s="7">
        <v>45618</v>
      </c>
      <c r="C2199" s="13">
        <f t="shared" si="273"/>
        <v>2024</v>
      </c>
      <c r="D2199" s="7" t="str">
        <f t="shared" si="274"/>
        <v>Nov</v>
      </c>
      <c r="E2199" s="7" t="str">
        <f t="shared" si="275"/>
        <v>Fri</v>
      </c>
      <c r="F2199" t="s">
        <v>182</v>
      </c>
      <c r="G2199" t="s">
        <v>87</v>
      </c>
      <c r="H2199" t="s">
        <v>22</v>
      </c>
      <c r="I2199" s="2" t="str">
        <f t="shared" si="272"/>
        <v>West</v>
      </c>
      <c r="J2199" t="s">
        <v>42</v>
      </c>
      <c r="K2199" t="s">
        <v>32</v>
      </c>
      <c r="L2199">
        <v>9</v>
      </c>
      <c r="M2199">
        <v>120</v>
      </c>
      <c r="N2199">
        <f t="shared" si="276"/>
        <v>1080</v>
      </c>
      <c r="O2199">
        <f t="shared" si="277"/>
        <v>108</v>
      </c>
      <c r="P2199" t="str">
        <f t="shared" si="278"/>
        <v>Large Order</v>
      </c>
      <c r="Q2199" t="str">
        <f t="shared" si="279"/>
        <v>Weekday</v>
      </c>
    </row>
    <row r="2200" spans="1:17" x14ac:dyDescent="0.35">
      <c r="A2200" t="s">
        <v>2350</v>
      </c>
      <c r="B2200" s="7">
        <v>45342</v>
      </c>
      <c r="C2200" s="13">
        <f t="shared" si="273"/>
        <v>2024</v>
      </c>
      <c r="D2200" s="7" t="str">
        <f t="shared" si="274"/>
        <v>Feb</v>
      </c>
      <c r="E2200" s="7" t="str">
        <f t="shared" si="275"/>
        <v>Tue</v>
      </c>
      <c r="F2200" t="s">
        <v>230</v>
      </c>
      <c r="G2200" t="s">
        <v>21</v>
      </c>
      <c r="H2200" t="s">
        <v>22</v>
      </c>
      <c r="I2200" s="2" t="str">
        <f t="shared" si="272"/>
        <v>East</v>
      </c>
      <c r="J2200" t="s">
        <v>27</v>
      </c>
      <c r="K2200" t="s">
        <v>23</v>
      </c>
      <c r="L2200">
        <v>8</v>
      </c>
      <c r="M2200">
        <v>120</v>
      </c>
      <c r="N2200">
        <f t="shared" si="276"/>
        <v>960</v>
      </c>
      <c r="O2200">
        <f t="shared" si="277"/>
        <v>96</v>
      </c>
      <c r="P2200" t="str">
        <f t="shared" si="278"/>
        <v>Large Order</v>
      </c>
      <c r="Q2200" t="str">
        <f t="shared" si="279"/>
        <v>Weekday</v>
      </c>
    </row>
    <row r="2201" spans="1:17" x14ac:dyDescent="0.35">
      <c r="A2201" t="s">
        <v>2351</v>
      </c>
      <c r="B2201" s="7">
        <v>45593</v>
      </c>
      <c r="C2201" s="13">
        <f t="shared" si="273"/>
        <v>2024</v>
      </c>
      <c r="D2201" s="7" t="str">
        <f t="shared" si="274"/>
        <v>Oct</v>
      </c>
      <c r="E2201" s="7" t="str">
        <f t="shared" si="275"/>
        <v>Mon</v>
      </c>
      <c r="F2201" t="s">
        <v>337</v>
      </c>
      <c r="G2201" t="s">
        <v>65</v>
      </c>
      <c r="H2201" t="s">
        <v>22</v>
      </c>
      <c r="I2201" s="2" t="str">
        <f t="shared" si="272"/>
        <v>West</v>
      </c>
      <c r="J2201" t="s">
        <v>42</v>
      </c>
      <c r="K2201" t="s">
        <v>28</v>
      </c>
      <c r="L2201">
        <v>11</v>
      </c>
      <c r="M2201">
        <v>120</v>
      </c>
      <c r="N2201">
        <f t="shared" si="276"/>
        <v>1320</v>
      </c>
      <c r="O2201">
        <f t="shared" si="277"/>
        <v>132</v>
      </c>
      <c r="P2201" t="str">
        <f t="shared" si="278"/>
        <v>Large Order</v>
      </c>
      <c r="Q2201" t="str">
        <f t="shared" si="279"/>
        <v>Weekday</v>
      </c>
    </row>
    <row r="2202" spans="1:17" x14ac:dyDescent="0.35">
      <c r="A2202" t="s">
        <v>2352</v>
      </c>
      <c r="B2202" s="7">
        <v>45636</v>
      </c>
      <c r="C2202" s="13">
        <f t="shared" si="273"/>
        <v>2024</v>
      </c>
      <c r="D2202" s="7" t="str">
        <f t="shared" si="274"/>
        <v>Dec</v>
      </c>
      <c r="E2202" s="7" t="str">
        <f t="shared" si="275"/>
        <v>Tue</v>
      </c>
      <c r="F2202" t="s">
        <v>142</v>
      </c>
      <c r="G2202" t="s">
        <v>10</v>
      </c>
      <c r="H2202" t="s">
        <v>11</v>
      </c>
      <c r="I2202" s="2" t="str">
        <f t="shared" si="272"/>
        <v>East</v>
      </c>
      <c r="J2202" t="s">
        <v>27</v>
      </c>
      <c r="K2202" t="s">
        <v>13</v>
      </c>
      <c r="L2202">
        <v>17</v>
      </c>
      <c r="M2202">
        <v>120</v>
      </c>
      <c r="N2202">
        <f t="shared" si="276"/>
        <v>2040</v>
      </c>
      <c r="O2202">
        <f t="shared" si="277"/>
        <v>204</v>
      </c>
      <c r="P2202" t="str">
        <f t="shared" si="278"/>
        <v>Large Order</v>
      </c>
      <c r="Q2202" t="str">
        <f t="shared" si="279"/>
        <v>Weekday</v>
      </c>
    </row>
    <row r="2203" spans="1:17" x14ac:dyDescent="0.35">
      <c r="A2203" t="s">
        <v>2353</v>
      </c>
      <c r="B2203" s="7">
        <v>45520</v>
      </c>
      <c r="C2203" s="13">
        <f t="shared" si="273"/>
        <v>2024</v>
      </c>
      <c r="D2203" s="7" t="str">
        <f t="shared" si="274"/>
        <v>Aug</v>
      </c>
      <c r="E2203" s="7" t="str">
        <f t="shared" si="275"/>
        <v>Fri</v>
      </c>
      <c r="F2203" t="s">
        <v>20</v>
      </c>
      <c r="G2203" t="s">
        <v>197</v>
      </c>
      <c r="H2203" t="s">
        <v>22</v>
      </c>
      <c r="I2203" s="2" t="str">
        <f t="shared" si="272"/>
        <v>South</v>
      </c>
      <c r="J2203" t="s">
        <v>42</v>
      </c>
      <c r="K2203" t="s">
        <v>32</v>
      </c>
      <c r="L2203">
        <v>7</v>
      </c>
      <c r="M2203">
        <v>120</v>
      </c>
      <c r="N2203">
        <f t="shared" si="276"/>
        <v>840</v>
      </c>
      <c r="O2203">
        <f t="shared" si="277"/>
        <v>84</v>
      </c>
      <c r="P2203" t="str">
        <f t="shared" si="278"/>
        <v>Large Order</v>
      </c>
      <c r="Q2203" t="str">
        <f t="shared" si="279"/>
        <v>Weekday</v>
      </c>
    </row>
    <row r="2204" spans="1:17" x14ac:dyDescent="0.35">
      <c r="A2204" t="s">
        <v>2354</v>
      </c>
      <c r="B2204" s="7">
        <v>45609</v>
      </c>
      <c r="C2204" s="13">
        <f t="shared" si="273"/>
        <v>2024</v>
      </c>
      <c r="D2204" s="7" t="str">
        <f t="shared" si="274"/>
        <v>Nov</v>
      </c>
      <c r="E2204" s="7" t="str">
        <f t="shared" si="275"/>
        <v>Wed</v>
      </c>
      <c r="F2204" t="s">
        <v>203</v>
      </c>
      <c r="G2204" t="s">
        <v>79</v>
      </c>
      <c r="H2204" t="s">
        <v>22</v>
      </c>
      <c r="I2204" s="2" t="str">
        <f t="shared" si="272"/>
        <v>West</v>
      </c>
      <c r="J2204" t="s">
        <v>56</v>
      </c>
      <c r="K2204" t="s">
        <v>36</v>
      </c>
      <c r="L2204">
        <v>4</v>
      </c>
      <c r="M2204">
        <v>120</v>
      </c>
      <c r="N2204">
        <f t="shared" si="276"/>
        <v>480</v>
      </c>
      <c r="O2204">
        <f t="shared" si="277"/>
        <v>48</v>
      </c>
      <c r="P2204" t="str">
        <f t="shared" si="278"/>
        <v>Standard Order</v>
      </c>
      <c r="Q2204" t="str">
        <f t="shared" si="279"/>
        <v>Weekday</v>
      </c>
    </row>
    <row r="2205" spans="1:17" x14ac:dyDescent="0.35">
      <c r="A2205" t="s">
        <v>2355</v>
      </c>
      <c r="B2205" s="7">
        <v>45353</v>
      </c>
      <c r="C2205" s="13">
        <f t="shared" si="273"/>
        <v>2024</v>
      </c>
      <c r="D2205" s="7" t="str">
        <f t="shared" si="274"/>
        <v>Mar</v>
      </c>
      <c r="E2205" s="7" t="str">
        <f t="shared" si="275"/>
        <v>Sat</v>
      </c>
      <c r="F2205" t="s">
        <v>203</v>
      </c>
      <c r="G2205" t="s">
        <v>109</v>
      </c>
      <c r="H2205" t="s">
        <v>11</v>
      </c>
      <c r="I2205" s="2" t="str">
        <f t="shared" si="272"/>
        <v>West</v>
      </c>
      <c r="J2205" t="s">
        <v>27</v>
      </c>
      <c r="K2205" t="s">
        <v>36</v>
      </c>
      <c r="L2205">
        <v>6</v>
      </c>
      <c r="M2205">
        <v>120</v>
      </c>
      <c r="N2205">
        <f t="shared" si="276"/>
        <v>720</v>
      </c>
      <c r="O2205">
        <f t="shared" si="277"/>
        <v>72</v>
      </c>
      <c r="P2205" t="str">
        <f t="shared" si="278"/>
        <v>Large Order</v>
      </c>
      <c r="Q2205" t="str">
        <f t="shared" si="279"/>
        <v>Weekend</v>
      </c>
    </row>
    <row r="2206" spans="1:17" x14ac:dyDescent="0.35">
      <c r="A2206" t="s">
        <v>2356</v>
      </c>
      <c r="B2206" s="7">
        <v>45648</v>
      </c>
      <c r="C2206" s="13">
        <f t="shared" si="273"/>
        <v>2024</v>
      </c>
      <c r="D2206" s="7" t="str">
        <f t="shared" si="274"/>
        <v>Dec</v>
      </c>
      <c r="E2206" s="7" t="str">
        <f t="shared" si="275"/>
        <v>Sun</v>
      </c>
      <c r="F2206" t="s">
        <v>44</v>
      </c>
      <c r="G2206" t="s">
        <v>26</v>
      </c>
      <c r="H2206" t="s">
        <v>17</v>
      </c>
      <c r="I2206" s="2" t="str">
        <f t="shared" si="272"/>
        <v>East</v>
      </c>
      <c r="J2206" t="s">
        <v>27</v>
      </c>
      <c r="K2206" t="s">
        <v>13</v>
      </c>
      <c r="L2206">
        <v>15</v>
      </c>
      <c r="M2206">
        <v>120</v>
      </c>
      <c r="N2206">
        <f t="shared" si="276"/>
        <v>1800</v>
      </c>
      <c r="O2206">
        <f t="shared" si="277"/>
        <v>180</v>
      </c>
      <c r="P2206" t="str">
        <f t="shared" si="278"/>
        <v>Large Order</v>
      </c>
      <c r="Q2206" t="str">
        <f t="shared" si="279"/>
        <v>Weekend</v>
      </c>
    </row>
    <row r="2207" spans="1:17" x14ac:dyDescent="0.35">
      <c r="A2207" t="s">
        <v>2357</v>
      </c>
      <c r="B2207" s="7">
        <v>45433</v>
      </c>
      <c r="C2207" s="13">
        <f t="shared" si="273"/>
        <v>2024</v>
      </c>
      <c r="D2207" s="7" t="str">
        <f t="shared" si="274"/>
        <v>May</v>
      </c>
      <c r="E2207" s="7" t="str">
        <f t="shared" si="275"/>
        <v>Tue</v>
      </c>
      <c r="F2207" t="s">
        <v>337</v>
      </c>
      <c r="G2207" t="s">
        <v>87</v>
      </c>
      <c r="H2207" t="s">
        <v>22</v>
      </c>
      <c r="I2207" s="2" t="str">
        <f t="shared" si="272"/>
        <v>West</v>
      </c>
      <c r="J2207" t="s">
        <v>42</v>
      </c>
      <c r="K2207" t="s">
        <v>32</v>
      </c>
      <c r="L2207">
        <v>6</v>
      </c>
      <c r="M2207">
        <v>120</v>
      </c>
      <c r="N2207">
        <f t="shared" si="276"/>
        <v>720</v>
      </c>
      <c r="O2207">
        <f t="shared" si="277"/>
        <v>72</v>
      </c>
      <c r="P2207" t="str">
        <f t="shared" si="278"/>
        <v>Large Order</v>
      </c>
      <c r="Q2207" t="str">
        <f t="shared" si="279"/>
        <v>Weekday</v>
      </c>
    </row>
    <row r="2208" spans="1:17" x14ac:dyDescent="0.35">
      <c r="A2208" t="s">
        <v>2358</v>
      </c>
      <c r="B2208" s="7">
        <v>45433</v>
      </c>
      <c r="C2208" s="13">
        <f t="shared" si="273"/>
        <v>2024</v>
      </c>
      <c r="D2208" s="7" t="str">
        <f t="shared" si="274"/>
        <v>May</v>
      </c>
      <c r="E2208" s="7" t="str">
        <f t="shared" si="275"/>
        <v>Tue</v>
      </c>
      <c r="F2208" t="s">
        <v>420</v>
      </c>
      <c r="G2208" t="s">
        <v>79</v>
      </c>
      <c r="H2208" t="s">
        <v>17</v>
      </c>
      <c r="I2208" s="2" t="str">
        <f t="shared" si="272"/>
        <v>West</v>
      </c>
      <c r="J2208" t="s">
        <v>27</v>
      </c>
      <c r="K2208" t="s">
        <v>32</v>
      </c>
      <c r="L2208">
        <v>2</v>
      </c>
      <c r="M2208">
        <v>120</v>
      </c>
      <c r="N2208">
        <f t="shared" si="276"/>
        <v>240</v>
      </c>
      <c r="O2208">
        <f t="shared" si="277"/>
        <v>24</v>
      </c>
      <c r="P2208" t="str">
        <f t="shared" si="278"/>
        <v>Standard Order</v>
      </c>
      <c r="Q2208" t="str">
        <f t="shared" si="279"/>
        <v>Weekday</v>
      </c>
    </row>
    <row r="2209" spans="1:17" x14ac:dyDescent="0.35">
      <c r="A2209" t="s">
        <v>2359</v>
      </c>
      <c r="B2209" s="7">
        <v>45427</v>
      </c>
      <c r="C2209" s="13">
        <f t="shared" si="273"/>
        <v>2024</v>
      </c>
      <c r="D2209" s="7" t="str">
        <f t="shared" si="274"/>
        <v>May</v>
      </c>
      <c r="E2209" s="7" t="str">
        <f t="shared" si="275"/>
        <v>Wed</v>
      </c>
      <c r="F2209" t="s">
        <v>235</v>
      </c>
      <c r="G2209" t="s">
        <v>70</v>
      </c>
      <c r="H2209" t="s">
        <v>11</v>
      </c>
      <c r="I2209" s="2" t="str">
        <f t="shared" si="272"/>
        <v>Central</v>
      </c>
      <c r="J2209" t="s">
        <v>27</v>
      </c>
      <c r="K2209" t="s">
        <v>28</v>
      </c>
      <c r="L2209">
        <v>20</v>
      </c>
      <c r="M2209">
        <v>120</v>
      </c>
      <c r="N2209">
        <f t="shared" si="276"/>
        <v>2400</v>
      </c>
      <c r="O2209">
        <f t="shared" si="277"/>
        <v>240</v>
      </c>
      <c r="P2209" t="str">
        <f t="shared" si="278"/>
        <v>Large Order</v>
      </c>
      <c r="Q2209" t="str">
        <f t="shared" si="279"/>
        <v>Weekday</v>
      </c>
    </row>
    <row r="2210" spans="1:17" x14ac:dyDescent="0.35">
      <c r="A2210" t="s">
        <v>2360</v>
      </c>
      <c r="B2210" s="7">
        <v>45622</v>
      </c>
      <c r="C2210" s="13">
        <f t="shared" si="273"/>
        <v>2024</v>
      </c>
      <c r="D2210" s="7" t="str">
        <f t="shared" si="274"/>
        <v>Nov</v>
      </c>
      <c r="E2210" s="7" t="str">
        <f t="shared" si="275"/>
        <v>Tue</v>
      </c>
      <c r="F2210" t="s">
        <v>374</v>
      </c>
      <c r="G2210" t="s">
        <v>102</v>
      </c>
      <c r="H2210" t="s">
        <v>11</v>
      </c>
      <c r="I2210" s="2" t="str">
        <f t="shared" si="272"/>
        <v>North</v>
      </c>
      <c r="J2210" t="s">
        <v>306</v>
      </c>
      <c r="K2210" t="s">
        <v>23</v>
      </c>
      <c r="L2210">
        <v>7</v>
      </c>
      <c r="M2210">
        <v>120</v>
      </c>
      <c r="N2210">
        <f t="shared" si="276"/>
        <v>840</v>
      </c>
      <c r="O2210">
        <f t="shared" si="277"/>
        <v>84</v>
      </c>
      <c r="P2210" t="str">
        <f t="shared" si="278"/>
        <v>Large Order</v>
      </c>
      <c r="Q2210" t="str">
        <f t="shared" si="279"/>
        <v>Weekday</v>
      </c>
    </row>
    <row r="2211" spans="1:17" x14ac:dyDescent="0.35">
      <c r="A2211" t="s">
        <v>2361</v>
      </c>
      <c r="B2211" s="7">
        <v>45346</v>
      </c>
      <c r="C2211" s="13">
        <f t="shared" si="273"/>
        <v>2024</v>
      </c>
      <c r="D2211" s="7" t="str">
        <f t="shared" si="274"/>
        <v>Feb</v>
      </c>
      <c r="E2211" s="7" t="str">
        <f t="shared" si="275"/>
        <v>Sat</v>
      </c>
      <c r="F2211" t="s">
        <v>396</v>
      </c>
      <c r="G2211" t="s">
        <v>62</v>
      </c>
      <c r="H2211" t="s">
        <v>17</v>
      </c>
      <c r="I2211" s="2" t="str">
        <f t="shared" si="272"/>
        <v>West</v>
      </c>
      <c r="J2211" t="s">
        <v>12</v>
      </c>
      <c r="K2211" t="s">
        <v>13</v>
      </c>
      <c r="L2211">
        <v>3</v>
      </c>
      <c r="M2211">
        <v>120</v>
      </c>
      <c r="N2211">
        <f t="shared" si="276"/>
        <v>360</v>
      </c>
      <c r="O2211">
        <f t="shared" si="277"/>
        <v>36</v>
      </c>
      <c r="P2211" t="str">
        <f t="shared" si="278"/>
        <v>Standard Order</v>
      </c>
      <c r="Q2211" t="str">
        <f t="shared" si="279"/>
        <v>Weekend</v>
      </c>
    </row>
    <row r="2212" spans="1:17" x14ac:dyDescent="0.35">
      <c r="A2212" t="s">
        <v>2362</v>
      </c>
      <c r="B2212" s="7">
        <v>45420</v>
      </c>
      <c r="C2212" s="13">
        <f t="shared" si="273"/>
        <v>2024</v>
      </c>
      <c r="D2212" s="7" t="str">
        <f t="shared" si="274"/>
        <v>May</v>
      </c>
      <c r="E2212" s="7" t="str">
        <f t="shared" si="275"/>
        <v>Wed</v>
      </c>
      <c r="F2212" t="s">
        <v>420</v>
      </c>
      <c r="G2212" t="s">
        <v>70</v>
      </c>
      <c r="H2212" t="s">
        <v>11</v>
      </c>
      <c r="I2212" s="2" t="str">
        <f t="shared" si="272"/>
        <v>East</v>
      </c>
      <c r="J2212" t="s">
        <v>27</v>
      </c>
      <c r="K2212" t="s">
        <v>28</v>
      </c>
      <c r="L2212">
        <v>1</v>
      </c>
      <c r="M2212">
        <v>120</v>
      </c>
      <c r="N2212">
        <f t="shared" si="276"/>
        <v>120</v>
      </c>
      <c r="O2212">
        <f t="shared" si="277"/>
        <v>12</v>
      </c>
      <c r="P2212" t="str">
        <f t="shared" si="278"/>
        <v>Standard Order</v>
      </c>
      <c r="Q2212" t="str">
        <f t="shared" si="279"/>
        <v>Weekday</v>
      </c>
    </row>
    <row r="2213" spans="1:17" x14ac:dyDescent="0.35">
      <c r="A2213" t="s">
        <v>2363</v>
      </c>
      <c r="B2213" s="7">
        <v>45632</v>
      </c>
      <c r="C2213" s="13">
        <f t="shared" si="273"/>
        <v>2024</v>
      </c>
      <c r="D2213" s="7" t="str">
        <f t="shared" si="274"/>
        <v>Dec</v>
      </c>
      <c r="E2213" s="7" t="str">
        <f t="shared" si="275"/>
        <v>Fri</v>
      </c>
      <c r="F2213" t="s">
        <v>53</v>
      </c>
      <c r="G2213" t="s">
        <v>26</v>
      </c>
      <c r="H2213" t="s">
        <v>11</v>
      </c>
      <c r="I2213" s="2" t="str">
        <f t="shared" si="272"/>
        <v>West</v>
      </c>
      <c r="J2213" t="s">
        <v>42</v>
      </c>
      <c r="K2213" t="s">
        <v>23</v>
      </c>
      <c r="L2213">
        <v>19</v>
      </c>
      <c r="M2213">
        <v>120</v>
      </c>
      <c r="N2213">
        <f t="shared" si="276"/>
        <v>2280</v>
      </c>
      <c r="O2213">
        <f t="shared" si="277"/>
        <v>228</v>
      </c>
      <c r="P2213" t="str">
        <f t="shared" si="278"/>
        <v>Large Order</v>
      </c>
      <c r="Q2213" t="str">
        <f t="shared" si="279"/>
        <v>Weekday</v>
      </c>
    </row>
    <row r="2214" spans="1:17" x14ac:dyDescent="0.35">
      <c r="A2214" t="s">
        <v>2364</v>
      </c>
      <c r="B2214" s="7">
        <v>45654</v>
      </c>
      <c r="C2214" s="13">
        <f t="shared" si="273"/>
        <v>2024</v>
      </c>
      <c r="D2214" s="7" t="str">
        <f t="shared" si="274"/>
        <v>Dec</v>
      </c>
      <c r="E2214" s="7" t="str">
        <f t="shared" si="275"/>
        <v>Sat</v>
      </c>
      <c r="F2214" t="s">
        <v>337</v>
      </c>
      <c r="G2214" t="s">
        <v>35</v>
      </c>
      <c r="H2214" t="s">
        <v>17</v>
      </c>
      <c r="I2214" s="2" t="str">
        <f t="shared" si="272"/>
        <v>North</v>
      </c>
      <c r="J2214" t="s">
        <v>27</v>
      </c>
      <c r="K2214" t="s">
        <v>23</v>
      </c>
      <c r="L2214">
        <v>3</v>
      </c>
      <c r="M2214">
        <v>120</v>
      </c>
      <c r="N2214">
        <f t="shared" si="276"/>
        <v>360</v>
      </c>
      <c r="O2214">
        <f t="shared" si="277"/>
        <v>36</v>
      </c>
      <c r="P2214" t="str">
        <f t="shared" si="278"/>
        <v>Standard Order</v>
      </c>
      <c r="Q2214" t="str">
        <f t="shared" si="279"/>
        <v>Weekend</v>
      </c>
    </row>
    <row r="2215" spans="1:17" x14ac:dyDescent="0.35">
      <c r="A2215" t="s">
        <v>2365</v>
      </c>
      <c r="B2215" s="7">
        <v>45293</v>
      </c>
      <c r="C2215" s="13">
        <f t="shared" si="273"/>
        <v>2024</v>
      </c>
      <c r="D2215" s="7" t="str">
        <f t="shared" si="274"/>
        <v>Jan</v>
      </c>
      <c r="E2215" s="7" t="str">
        <f t="shared" si="275"/>
        <v>Tue</v>
      </c>
      <c r="F2215" t="s">
        <v>53</v>
      </c>
      <c r="G2215" t="s">
        <v>62</v>
      </c>
      <c r="H2215" t="s">
        <v>17</v>
      </c>
      <c r="I2215" s="2" t="str">
        <f t="shared" si="272"/>
        <v>West</v>
      </c>
      <c r="J2215" t="s">
        <v>12</v>
      </c>
      <c r="K2215" t="s">
        <v>36</v>
      </c>
      <c r="L2215">
        <v>18</v>
      </c>
      <c r="M2215">
        <v>120</v>
      </c>
      <c r="N2215">
        <f t="shared" si="276"/>
        <v>2160</v>
      </c>
      <c r="O2215">
        <f t="shared" si="277"/>
        <v>216</v>
      </c>
      <c r="P2215" t="str">
        <f t="shared" si="278"/>
        <v>Large Order</v>
      </c>
      <c r="Q2215" t="str">
        <f t="shared" si="279"/>
        <v>Weekday</v>
      </c>
    </row>
    <row r="2216" spans="1:17" x14ac:dyDescent="0.35">
      <c r="A2216" t="s">
        <v>2366</v>
      </c>
      <c r="B2216" s="7">
        <v>45475</v>
      </c>
      <c r="C2216" s="13">
        <f t="shared" si="273"/>
        <v>2024</v>
      </c>
      <c r="D2216" s="7" t="str">
        <f t="shared" si="274"/>
        <v>Jul</v>
      </c>
      <c r="E2216" s="7" t="str">
        <f t="shared" si="275"/>
        <v>Tue</v>
      </c>
      <c r="F2216" t="s">
        <v>118</v>
      </c>
      <c r="G2216" t="s">
        <v>41</v>
      </c>
      <c r="H2216" t="s">
        <v>17</v>
      </c>
      <c r="I2216" s="2" t="str">
        <f t="shared" si="272"/>
        <v>South</v>
      </c>
      <c r="J2216" t="s">
        <v>27</v>
      </c>
      <c r="K2216" t="s">
        <v>13</v>
      </c>
      <c r="L2216">
        <v>3</v>
      </c>
      <c r="M2216">
        <v>120</v>
      </c>
      <c r="N2216">
        <f t="shared" si="276"/>
        <v>360</v>
      </c>
      <c r="O2216">
        <f t="shared" si="277"/>
        <v>36</v>
      </c>
      <c r="P2216" t="str">
        <f t="shared" si="278"/>
        <v>Standard Order</v>
      </c>
      <c r="Q2216" t="str">
        <f t="shared" si="279"/>
        <v>Weekday</v>
      </c>
    </row>
    <row r="2217" spans="1:17" x14ac:dyDescent="0.35">
      <c r="A2217" t="s">
        <v>2367</v>
      </c>
      <c r="B2217" s="7">
        <v>45466</v>
      </c>
      <c r="C2217" s="13">
        <f t="shared" si="273"/>
        <v>2024</v>
      </c>
      <c r="D2217" s="7" t="str">
        <f t="shared" si="274"/>
        <v>Jun</v>
      </c>
      <c r="E2217" s="7" t="str">
        <f t="shared" si="275"/>
        <v>Sun</v>
      </c>
      <c r="F2217" t="s">
        <v>81</v>
      </c>
      <c r="G2217" t="s">
        <v>70</v>
      </c>
      <c r="H2217" t="s">
        <v>17</v>
      </c>
      <c r="I2217" s="2" t="str">
        <f t="shared" si="272"/>
        <v>West</v>
      </c>
      <c r="J2217" t="s">
        <v>56</v>
      </c>
      <c r="K2217" t="s">
        <v>28</v>
      </c>
      <c r="L2217">
        <v>18</v>
      </c>
      <c r="M2217">
        <v>120</v>
      </c>
      <c r="N2217">
        <f t="shared" si="276"/>
        <v>2160</v>
      </c>
      <c r="O2217">
        <f t="shared" si="277"/>
        <v>216</v>
      </c>
      <c r="P2217" t="str">
        <f t="shared" si="278"/>
        <v>Large Order</v>
      </c>
      <c r="Q2217" t="str">
        <f t="shared" si="279"/>
        <v>Weekend</v>
      </c>
    </row>
    <row r="2218" spans="1:17" x14ac:dyDescent="0.35">
      <c r="A2218" t="s">
        <v>2368</v>
      </c>
      <c r="B2218" s="7">
        <v>45488</v>
      </c>
      <c r="C2218" s="13">
        <f t="shared" si="273"/>
        <v>2024</v>
      </c>
      <c r="D2218" s="7" t="str">
        <f t="shared" si="274"/>
        <v>Jul</v>
      </c>
      <c r="E2218" s="7" t="str">
        <f t="shared" si="275"/>
        <v>Mon</v>
      </c>
      <c r="F2218" t="s">
        <v>371</v>
      </c>
      <c r="G2218" t="s">
        <v>65</v>
      </c>
      <c r="H2218" t="s">
        <v>17</v>
      </c>
      <c r="I2218" s="2" t="str">
        <f t="shared" si="272"/>
        <v>South</v>
      </c>
      <c r="J2218" t="s">
        <v>27</v>
      </c>
      <c r="K2218" t="s">
        <v>13</v>
      </c>
      <c r="L2218">
        <v>12</v>
      </c>
      <c r="M2218">
        <v>120</v>
      </c>
      <c r="N2218">
        <f t="shared" si="276"/>
        <v>1440</v>
      </c>
      <c r="O2218">
        <f t="shared" si="277"/>
        <v>144</v>
      </c>
      <c r="P2218" t="str">
        <f t="shared" si="278"/>
        <v>Large Order</v>
      </c>
      <c r="Q2218" t="str">
        <f t="shared" si="279"/>
        <v>Weekday</v>
      </c>
    </row>
    <row r="2219" spans="1:17" x14ac:dyDescent="0.35">
      <c r="A2219" t="s">
        <v>2369</v>
      </c>
      <c r="B2219" s="7">
        <v>45615</v>
      </c>
      <c r="C2219" s="13">
        <f t="shared" si="273"/>
        <v>2024</v>
      </c>
      <c r="D2219" s="7" t="str">
        <f t="shared" si="274"/>
        <v>Nov</v>
      </c>
      <c r="E2219" s="7" t="str">
        <f t="shared" si="275"/>
        <v>Tue</v>
      </c>
      <c r="F2219" t="s">
        <v>396</v>
      </c>
      <c r="G2219" t="s">
        <v>84</v>
      </c>
      <c r="H2219" t="s">
        <v>11</v>
      </c>
      <c r="I2219" s="2" t="str">
        <f t="shared" si="272"/>
        <v>North</v>
      </c>
      <c r="J2219" t="s">
        <v>56</v>
      </c>
      <c r="K2219" t="s">
        <v>13</v>
      </c>
      <c r="L2219">
        <v>7</v>
      </c>
      <c r="M2219">
        <v>120</v>
      </c>
      <c r="N2219">
        <f t="shared" si="276"/>
        <v>840</v>
      </c>
      <c r="O2219">
        <f t="shared" si="277"/>
        <v>84</v>
      </c>
      <c r="P2219" t="str">
        <f t="shared" si="278"/>
        <v>Large Order</v>
      </c>
      <c r="Q2219" t="str">
        <f t="shared" si="279"/>
        <v>Weekday</v>
      </c>
    </row>
    <row r="2220" spans="1:17" x14ac:dyDescent="0.35">
      <c r="A2220" t="s">
        <v>2370</v>
      </c>
      <c r="B2220" s="7">
        <v>45595</v>
      </c>
      <c r="C2220" s="13">
        <f t="shared" si="273"/>
        <v>2024</v>
      </c>
      <c r="D2220" s="7" t="str">
        <f t="shared" si="274"/>
        <v>Oct</v>
      </c>
      <c r="E2220" s="7" t="str">
        <f t="shared" si="275"/>
        <v>Wed</v>
      </c>
      <c r="F2220" t="s">
        <v>93</v>
      </c>
      <c r="G2220" t="s">
        <v>35</v>
      </c>
      <c r="H2220" t="s">
        <v>17</v>
      </c>
      <c r="I2220" s="2" t="str">
        <f t="shared" si="272"/>
        <v>North</v>
      </c>
      <c r="J2220" t="s">
        <v>12</v>
      </c>
      <c r="K2220" t="s">
        <v>36</v>
      </c>
      <c r="L2220">
        <v>10</v>
      </c>
      <c r="M2220">
        <v>120</v>
      </c>
      <c r="N2220">
        <f t="shared" si="276"/>
        <v>1200</v>
      </c>
      <c r="O2220">
        <f t="shared" si="277"/>
        <v>120</v>
      </c>
      <c r="P2220" t="str">
        <f t="shared" si="278"/>
        <v>Large Order</v>
      </c>
      <c r="Q2220" t="str">
        <f t="shared" si="279"/>
        <v>Weekday</v>
      </c>
    </row>
    <row r="2221" spans="1:17" x14ac:dyDescent="0.35">
      <c r="A2221" t="s">
        <v>2371</v>
      </c>
      <c r="B2221" s="7">
        <v>45522</v>
      </c>
      <c r="C2221" s="13">
        <f t="shared" si="273"/>
        <v>2024</v>
      </c>
      <c r="D2221" s="7" t="str">
        <f t="shared" si="274"/>
        <v>Aug</v>
      </c>
      <c r="E2221" s="7" t="str">
        <f t="shared" si="275"/>
        <v>Sun</v>
      </c>
      <c r="F2221" t="s">
        <v>138</v>
      </c>
      <c r="G2221" t="s">
        <v>79</v>
      </c>
      <c r="H2221" t="s">
        <v>17</v>
      </c>
      <c r="I2221" s="2" t="str">
        <f t="shared" si="272"/>
        <v>West</v>
      </c>
      <c r="J2221" t="s">
        <v>12</v>
      </c>
      <c r="K2221" t="s">
        <v>32</v>
      </c>
      <c r="L2221">
        <v>2</v>
      </c>
      <c r="M2221">
        <v>120</v>
      </c>
      <c r="N2221">
        <f t="shared" si="276"/>
        <v>240</v>
      </c>
      <c r="O2221">
        <f t="shared" si="277"/>
        <v>24</v>
      </c>
      <c r="P2221" t="str">
        <f t="shared" si="278"/>
        <v>Standard Order</v>
      </c>
      <c r="Q2221" t="str">
        <f t="shared" si="279"/>
        <v>Weekend</v>
      </c>
    </row>
    <row r="2222" spans="1:17" x14ac:dyDescent="0.35">
      <c r="A2222" t="s">
        <v>2372</v>
      </c>
      <c r="B2222" s="7">
        <v>45400</v>
      </c>
      <c r="C2222" s="13">
        <f t="shared" si="273"/>
        <v>2024</v>
      </c>
      <c r="D2222" s="7" t="str">
        <f t="shared" si="274"/>
        <v>Apr</v>
      </c>
      <c r="E2222" s="7" t="str">
        <f t="shared" si="275"/>
        <v>Thu</v>
      </c>
      <c r="F2222" t="s">
        <v>350</v>
      </c>
      <c r="G2222" t="s">
        <v>41</v>
      </c>
      <c r="H2222" t="s">
        <v>22</v>
      </c>
      <c r="I2222" s="2" t="str">
        <f t="shared" si="272"/>
        <v>South</v>
      </c>
      <c r="J2222" t="s">
        <v>27</v>
      </c>
      <c r="K2222" t="s">
        <v>36</v>
      </c>
      <c r="L2222">
        <v>5</v>
      </c>
      <c r="M2222">
        <v>120</v>
      </c>
      <c r="N2222">
        <f t="shared" si="276"/>
        <v>600</v>
      </c>
      <c r="O2222">
        <f t="shared" si="277"/>
        <v>60</v>
      </c>
      <c r="P2222" t="str">
        <f t="shared" si="278"/>
        <v>Large Order</v>
      </c>
      <c r="Q2222" t="str">
        <f t="shared" si="279"/>
        <v>Weekday</v>
      </c>
    </row>
    <row r="2223" spans="1:17" x14ac:dyDescent="0.35">
      <c r="A2223" t="s">
        <v>2373</v>
      </c>
      <c r="B2223" s="7">
        <v>45411</v>
      </c>
      <c r="C2223" s="13">
        <f t="shared" si="273"/>
        <v>2024</v>
      </c>
      <c r="D2223" s="7" t="str">
        <f t="shared" si="274"/>
        <v>Apr</v>
      </c>
      <c r="E2223" s="7" t="str">
        <f t="shared" si="275"/>
        <v>Mon</v>
      </c>
      <c r="F2223" t="s">
        <v>208</v>
      </c>
      <c r="G2223" t="s">
        <v>79</v>
      </c>
      <c r="H2223" t="s">
        <v>22</v>
      </c>
      <c r="I2223" s="2" t="str">
        <f t="shared" si="272"/>
        <v>South</v>
      </c>
      <c r="J2223" t="s">
        <v>56</v>
      </c>
      <c r="K2223" t="s">
        <v>23</v>
      </c>
      <c r="L2223">
        <v>1</v>
      </c>
      <c r="M2223">
        <v>120</v>
      </c>
      <c r="N2223">
        <f t="shared" si="276"/>
        <v>120</v>
      </c>
      <c r="O2223">
        <f t="shared" si="277"/>
        <v>12</v>
      </c>
      <c r="P2223" t="str">
        <f t="shared" si="278"/>
        <v>Standard Order</v>
      </c>
      <c r="Q2223" t="str">
        <f t="shared" si="279"/>
        <v>Weekday</v>
      </c>
    </row>
    <row r="2224" spans="1:17" x14ac:dyDescent="0.35">
      <c r="A2224" t="s">
        <v>2374</v>
      </c>
      <c r="B2224" s="7">
        <v>45608</v>
      </c>
      <c r="C2224" s="13">
        <f t="shared" si="273"/>
        <v>2024</v>
      </c>
      <c r="D2224" s="7" t="str">
        <f t="shared" si="274"/>
        <v>Nov</v>
      </c>
      <c r="E2224" s="7" t="str">
        <f t="shared" si="275"/>
        <v>Tue</v>
      </c>
      <c r="F2224" t="s">
        <v>116</v>
      </c>
      <c r="G2224" t="s">
        <v>197</v>
      </c>
      <c r="H2224" t="s">
        <v>22</v>
      </c>
      <c r="I2224" s="2" t="str">
        <f t="shared" si="272"/>
        <v>South</v>
      </c>
      <c r="J2224" t="s">
        <v>56</v>
      </c>
      <c r="K2224" t="s">
        <v>13</v>
      </c>
      <c r="L2224">
        <v>6</v>
      </c>
      <c r="M2224">
        <v>120</v>
      </c>
      <c r="N2224">
        <f t="shared" si="276"/>
        <v>720</v>
      </c>
      <c r="O2224">
        <f t="shared" si="277"/>
        <v>72</v>
      </c>
      <c r="P2224" t="str">
        <f t="shared" si="278"/>
        <v>Large Order</v>
      </c>
      <c r="Q2224" t="str">
        <f t="shared" si="279"/>
        <v>Weekday</v>
      </c>
    </row>
    <row r="2225" spans="1:17" x14ac:dyDescent="0.35">
      <c r="A2225" t="s">
        <v>2375</v>
      </c>
      <c r="B2225" s="7">
        <v>45449</v>
      </c>
      <c r="C2225" s="13">
        <f t="shared" si="273"/>
        <v>2024</v>
      </c>
      <c r="D2225" s="7" t="str">
        <f t="shared" si="274"/>
        <v>Jun</v>
      </c>
      <c r="E2225" s="7" t="str">
        <f t="shared" si="275"/>
        <v>Thu</v>
      </c>
      <c r="F2225" t="s">
        <v>108</v>
      </c>
      <c r="G2225" t="s">
        <v>70</v>
      </c>
      <c r="H2225" t="s">
        <v>22</v>
      </c>
      <c r="I2225" s="2" t="str">
        <f t="shared" si="272"/>
        <v>Central</v>
      </c>
      <c r="J2225" t="s">
        <v>56</v>
      </c>
      <c r="K2225" t="s">
        <v>36</v>
      </c>
      <c r="L2225">
        <v>3</v>
      </c>
      <c r="M2225">
        <v>120</v>
      </c>
      <c r="N2225">
        <f t="shared" si="276"/>
        <v>360</v>
      </c>
      <c r="O2225">
        <f t="shared" si="277"/>
        <v>36</v>
      </c>
      <c r="P2225" t="str">
        <f t="shared" si="278"/>
        <v>Standard Order</v>
      </c>
      <c r="Q2225" t="str">
        <f t="shared" si="279"/>
        <v>Weekday</v>
      </c>
    </row>
    <row r="2226" spans="1:17" x14ac:dyDescent="0.35">
      <c r="A2226" t="s">
        <v>2376</v>
      </c>
      <c r="B2226" s="7">
        <v>45346</v>
      </c>
      <c r="C2226" s="13">
        <f t="shared" si="273"/>
        <v>2024</v>
      </c>
      <c r="D2226" s="7" t="str">
        <f t="shared" si="274"/>
        <v>Feb</v>
      </c>
      <c r="E2226" s="7" t="str">
        <f t="shared" si="275"/>
        <v>Sat</v>
      </c>
      <c r="F2226" t="s">
        <v>40</v>
      </c>
      <c r="G2226" t="s">
        <v>35</v>
      </c>
      <c r="H2226" t="s">
        <v>22</v>
      </c>
      <c r="I2226" s="2" t="str">
        <f t="shared" si="272"/>
        <v>West</v>
      </c>
      <c r="J2226" t="s">
        <v>306</v>
      </c>
      <c r="K2226" t="s">
        <v>28</v>
      </c>
      <c r="L2226">
        <v>3</v>
      </c>
      <c r="M2226">
        <v>120</v>
      </c>
      <c r="N2226">
        <f t="shared" si="276"/>
        <v>360</v>
      </c>
      <c r="O2226">
        <f t="shared" si="277"/>
        <v>36</v>
      </c>
      <c r="P2226" t="str">
        <f t="shared" si="278"/>
        <v>Standard Order</v>
      </c>
      <c r="Q2226" t="str">
        <f t="shared" si="279"/>
        <v>Weekend</v>
      </c>
    </row>
    <row r="2227" spans="1:17" x14ac:dyDescent="0.35">
      <c r="A2227" t="s">
        <v>2377</v>
      </c>
      <c r="B2227" s="7">
        <v>45510</v>
      </c>
      <c r="C2227" s="13">
        <f t="shared" si="273"/>
        <v>2024</v>
      </c>
      <c r="D2227" s="7" t="str">
        <f t="shared" si="274"/>
        <v>Aug</v>
      </c>
      <c r="E2227" s="7" t="str">
        <f t="shared" si="275"/>
        <v>Tue</v>
      </c>
      <c r="F2227" t="s">
        <v>47</v>
      </c>
      <c r="G2227" t="s">
        <v>84</v>
      </c>
      <c r="H2227" t="s">
        <v>22</v>
      </c>
      <c r="I2227" s="2" t="str">
        <f t="shared" si="272"/>
        <v>South</v>
      </c>
      <c r="J2227" t="s">
        <v>27</v>
      </c>
      <c r="K2227" t="s">
        <v>32</v>
      </c>
      <c r="L2227">
        <v>4</v>
      </c>
      <c r="M2227">
        <v>120</v>
      </c>
      <c r="N2227">
        <f t="shared" si="276"/>
        <v>480</v>
      </c>
      <c r="O2227">
        <f t="shared" si="277"/>
        <v>48</v>
      </c>
      <c r="P2227" t="str">
        <f t="shared" si="278"/>
        <v>Standard Order</v>
      </c>
      <c r="Q2227" t="str">
        <f t="shared" si="279"/>
        <v>Weekday</v>
      </c>
    </row>
    <row r="2228" spans="1:17" x14ac:dyDescent="0.35">
      <c r="A2228" t="s">
        <v>2378</v>
      </c>
      <c r="B2228" s="7">
        <v>45586</v>
      </c>
      <c r="C2228" s="13">
        <f t="shared" si="273"/>
        <v>2024</v>
      </c>
      <c r="D2228" s="7" t="str">
        <f t="shared" si="274"/>
        <v>Oct</v>
      </c>
      <c r="E2228" s="7" t="str">
        <f t="shared" si="275"/>
        <v>Mon</v>
      </c>
      <c r="F2228" t="s">
        <v>591</v>
      </c>
      <c r="G2228" t="s">
        <v>16</v>
      </c>
      <c r="H2228" t="s">
        <v>17</v>
      </c>
      <c r="I2228" s="2" t="str">
        <f t="shared" si="272"/>
        <v>West</v>
      </c>
      <c r="J2228" t="s">
        <v>56</v>
      </c>
      <c r="K2228" t="s">
        <v>13</v>
      </c>
      <c r="L2228">
        <v>19</v>
      </c>
      <c r="M2228">
        <v>120</v>
      </c>
      <c r="N2228">
        <f t="shared" si="276"/>
        <v>2280</v>
      </c>
      <c r="O2228">
        <f t="shared" si="277"/>
        <v>228</v>
      </c>
      <c r="P2228" t="str">
        <f t="shared" si="278"/>
        <v>Large Order</v>
      </c>
      <c r="Q2228" t="str">
        <f t="shared" si="279"/>
        <v>Weekday</v>
      </c>
    </row>
    <row r="2229" spans="1:17" x14ac:dyDescent="0.35">
      <c r="A2229" t="s">
        <v>2379</v>
      </c>
      <c r="B2229" s="7">
        <v>45324</v>
      </c>
      <c r="C2229" s="13">
        <f t="shared" si="273"/>
        <v>2024</v>
      </c>
      <c r="D2229" s="7" t="str">
        <f t="shared" si="274"/>
        <v>Feb</v>
      </c>
      <c r="E2229" s="7" t="str">
        <f t="shared" si="275"/>
        <v>Fri</v>
      </c>
      <c r="F2229" t="s">
        <v>114</v>
      </c>
      <c r="G2229" t="s">
        <v>26</v>
      </c>
      <c r="H2229" t="s">
        <v>11</v>
      </c>
      <c r="I2229" s="2" t="str">
        <f t="shared" si="272"/>
        <v>South</v>
      </c>
      <c r="J2229" t="s">
        <v>27</v>
      </c>
      <c r="K2229" t="s">
        <v>28</v>
      </c>
      <c r="L2229">
        <v>12</v>
      </c>
      <c r="M2229">
        <v>120</v>
      </c>
      <c r="N2229">
        <f t="shared" si="276"/>
        <v>1440</v>
      </c>
      <c r="O2229">
        <f t="shared" si="277"/>
        <v>144</v>
      </c>
      <c r="P2229" t="str">
        <f t="shared" si="278"/>
        <v>Large Order</v>
      </c>
      <c r="Q2229" t="str">
        <f t="shared" si="279"/>
        <v>Weekday</v>
      </c>
    </row>
    <row r="2230" spans="1:17" x14ac:dyDescent="0.35">
      <c r="A2230" t="s">
        <v>2380</v>
      </c>
      <c r="B2230" s="7">
        <v>45516</v>
      </c>
      <c r="C2230" s="13">
        <f t="shared" si="273"/>
        <v>2024</v>
      </c>
      <c r="D2230" s="7" t="str">
        <f t="shared" si="274"/>
        <v>Aug</v>
      </c>
      <c r="E2230" s="7" t="str">
        <f t="shared" si="275"/>
        <v>Mon</v>
      </c>
      <c r="F2230" t="s">
        <v>78</v>
      </c>
      <c r="G2230" t="s">
        <v>59</v>
      </c>
      <c r="H2230" t="s">
        <v>11</v>
      </c>
      <c r="I2230" s="2" t="str">
        <f t="shared" si="272"/>
        <v>North</v>
      </c>
      <c r="J2230" t="s">
        <v>56</v>
      </c>
      <c r="K2230" t="s">
        <v>13</v>
      </c>
      <c r="L2230">
        <v>20</v>
      </c>
      <c r="M2230">
        <v>120</v>
      </c>
      <c r="N2230">
        <f t="shared" si="276"/>
        <v>2400</v>
      </c>
      <c r="O2230">
        <f t="shared" si="277"/>
        <v>240</v>
      </c>
      <c r="P2230" t="str">
        <f t="shared" si="278"/>
        <v>Large Order</v>
      </c>
      <c r="Q2230" t="str">
        <f t="shared" si="279"/>
        <v>Weekday</v>
      </c>
    </row>
    <row r="2231" spans="1:17" x14ac:dyDescent="0.35">
      <c r="A2231" t="s">
        <v>2381</v>
      </c>
      <c r="B2231" s="7">
        <v>45372</v>
      </c>
      <c r="C2231" s="13">
        <f t="shared" si="273"/>
        <v>2024</v>
      </c>
      <c r="D2231" s="7" t="str">
        <f t="shared" si="274"/>
        <v>Mar</v>
      </c>
      <c r="E2231" s="7" t="str">
        <f t="shared" si="275"/>
        <v>Thu</v>
      </c>
      <c r="F2231" t="s">
        <v>138</v>
      </c>
      <c r="G2231" t="s">
        <v>35</v>
      </c>
      <c r="H2231" t="s">
        <v>11</v>
      </c>
      <c r="I2231" s="2" t="str">
        <f t="shared" si="272"/>
        <v>West</v>
      </c>
      <c r="J2231" t="s">
        <v>12</v>
      </c>
      <c r="K2231" t="s">
        <v>13</v>
      </c>
      <c r="L2231">
        <v>6</v>
      </c>
      <c r="M2231">
        <v>120</v>
      </c>
      <c r="N2231">
        <f t="shared" si="276"/>
        <v>720</v>
      </c>
      <c r="O2231">
        <f t="shared" si="277"/>
        <v>72</v>
      </c>
      <c r="P2231" t="str">
        <f t="shared" si="278"/>
        <v>Large Order</v>
      </c>
      <c r="Q2231" t="str">
        <f t="shared" si="279"/>
        <v>Weekday</v>
      </c>
    </row>
    <row r="2232" spans="1:17" x14ac:dyDescent="0.35">
      <c r="A2232" t="s">
        <v>2382</v>
      </c>
      <c r="B2232" s="7">
        <v>45653</v>
      </c>
      <c r="C2232" s="13">
        <f t="shared" si="273"/>
        <v>2024</v>
      </c>
      <c r="D2232" s="7" t="str">
        <f t="shared" si="274"/>
        <v>Dec</v>
      </c>
      <c r="E2232" s="7" t="str">
        <f t="shared" si="275"/>
        <v>Fri</v>
      </c>
      <c r="F2232" t="s">
        <v>350</v>
      </c>
      <c r="G2232" t="s">
        <v>59</v>
      </c>
      <c r="H2232" t="s">
        <v>17</v>
      </c>
      <c r="I2232" s="2" t="str">
        <f t="shared" si="272"/>
        <v>West</v>
      </c>
      <c r="J2232" t="s">
        <v>27</v>
      </c>
      <c r="K2232" t="s">
        <v>23</v>
      </c>
      <c r="L2232">
        <v>5</v>
      </c>
      <c r="M2232">
        <v>120</v>
      </c>
      <c r="N2232">
        <f t="shared" si="276"/>
        <v>600</v>
      </c>
      <c r="O2232">
        <f t="shared" si="277"/>
        <v>60</v>
      </c>
      <c r="P2232" t="str">
        <f t="shared" si="278"/>
        <v>Large Order</v>
      </c>
      <c r="Q2232" t="str">
        <f t="shared" si="279"/>
        <v>Weekday</v>
      </c>
    </row>
    <row r="2233" spans="1:17" x14ac:dyDescent="0.35">
      <c r="A2233" t="s">
        <v>2383</v>
      </c>
      <c r="B2233" s="7">
        <v>45619</v>
      </c>
      <c r="C2233" s="13">
        <f t="shared" si="273"/>
        <v>2024</v>
      </c>
      <c r="D2233" s="7" t="str">
        <f t="shared" si="274"/>
        <v>Nov</v>
      </c>
      <c r="E2233" s="7" t="str">
        <f t="shared" si="275"/>
        <v>Sat</v>
      </c>
      <c r="F2233" t="s">
        <v>101</v>
      </c>
      <c r="G2233" t="s">
        <v>160</v>
      </c>
      <c r="H2233" t="s">
        <v>17</v>
      </c>
      <c r="I2233" s="2" t="str">
        <f t="shared" si="272"/>
        <v>West</v>
      </c>
      <c r="J2233" t="s">
        <v>27</v>
      </c>
      <c r="K2233" t="s">
        <v>28</v>
      </c>
      <c r="L2233">
        <v>6</v>
      </c>
      <c r="M2233">
        <v>120</v>
      </c>
      <c r="N2233">
        <f t="shared" si="276"/>
        <v>720</v>
      </c>
      <c r="O2233">
        <f t="shared" si="277"/>
        <v>72</v>
      </c>
      <c r="P2233" t="str">
        <f t="shared" si="278"/>
        <v>Large Order</v>
      </c>
      <c r="Q2233" t="str">
        <f t="shared" si="279"/>
        <v>Weekend</v>
      </c>
    </row>
    <row r="2234" spans="1:17" x14ac:dyDescent="0.35">
      <c r="A2234" t="s">
        <v>2384</v>
      </c>
      <c r="B2234" s="7">
        <v>45311</v>
      </c>
      <c r="C2234" s="13">
        <f t="shared" si="273"/>
        <v>2024</v>
      </c>
      <c r="D2234" s="7" t="str">
        <f t="shared" si="274"/>
        <v>Jan</v>
      </c>
      <c r="E2234" s="7" t="str">
        <f t="shared" si="275"/>
        <v>Sat</v>
      </c>
      <c r="F2234" t="s">
        <v>327</v>
      </c>
      <c r="G2234" t="s">
        <v>45</v>
      </c>
      <c r="H2234" t="s">
        <v>22</v>
      </c>
      <c r="I2234" s="2" t="str">
        <f t="shared" si="272"/>
        <v>Central</v>
      </c>
      <c r="J2234" t="s">
        <v>27</v>
      </c>
      <c r="K2234" t="s">
        <v>36</v>
      </c>
      <c r="L2234">
        <v>3</v>
      </c>
      <c r="M2234">
        <v>120</v>
      </c>
      <c r="N2234">
        <f t="shared" si="276"/>
        <v>360</v>
      </c>
      <c r="O2234">
        <f t="shared" si="277"/>
        <v>36</v>
      </c>
      <c r="P2234" t="str">
        <f t="shared" si="278"/>
        <v>Standard Order</v>
      </c>
      <c r="Q2234" t="str">
        <f t="shared" si="279"/>
        <v>Weekend</v>
      </c>
    </row>
    <row r="2235" spans="1:17" x14ac:dyDescent="0.35">
      <c r="A2235" t="s">
        <v>2385</v>
      </c>
      <c r="B2235" s="7">
        <v>45446</v>
      </c>
      <c r="C2235" s="13">
        <f t="shared" si="273"/>
        <v>2024</v>
      </c>
      <c r="D2235" s="7" t="str">
        <f t="shared" si="274"/>
        <v>Jun</v>
      </c>
      <c r="E2235" s="7" t="str">
        <f t="shared" si="275"/>
        <v>Mon</v>
      </c>
      <c r="F2235" t="s">
        <v>20</v>
      </c>
      <c r="G2235" t="s">
        <v>87</v>
      </c>
      <c r="H2235" t="s">
        <v>11</v>
      </c>
      <c r="I2235" s="2" t="str">
        <f t="shared" si="272"/>
        <v>Central</v>
      </c>
      <c r="J2235" t="s">
        <v>306</v>
      </c>
      <c r="K2235" t="s">
        <v>28</v>
      </c>
      <c r="L2235">
        <v>7</v>
      </c>
      <c r="M2235">
        <v>120</v>
      </c>
      <c r="N2235">
        <f t="shared" si="276"/>
        <v>840</v>
      </c>
      <c r="O2235">
        <f t="shared" si="277"/>
        <v>84</v>
      </c>
      <c r="P2235" t="str">
        <f t="shared" si="278"/>
        <v>Large Order</v>
      </c>
      <c r="Q2235" t="str">
        <f t="shared" si="279"/>
        <v>Weekday</v>
      </c>
    </row>
    <row r="2236" spans="1:17" x14ac:dyDescent="0.35">
      <c r="A2236" t="s">
        <v>2386</v>
      </c>
      <c r="B2236" s="7">
        <v>45563</v>
      </c>
      <c r="C2236" s="13">
        <f t="shared" si="273"/>
        <v>2024</v>
      </c>
      <c r="D2236" s="7" t="str">
        <f t="shared" si="274"/>
        <v>Sep</v>
      </c>
      <c r="E2236" s="7" t="str">
        <f t="shared" si="275"/>
        <v>Sat</v>
      </c>
      <c r="F2236" t="s">
        <v>108</v>
      </c>
      <c r="G2236" t="s">
        <v>109</v>
      </c>
      <c r="H2236" t="s">
        <v>17</v>
      </c>
      <c r="I2236" s="2" t="str">
        <f t="shared" si="272"/>
        <v>North</v>
      </c>
      <c r="J2236" t="s">
        <v>306</v>
      </c>
      <c r="K2236" t="s">
        <v>36</v>
      </c>
      <c r="L2236">
        <v>8</v>
      </c>
      <c r="M2236">
        <v>120</v>
      </c>
      <c r="N2236">
        <f t="shared" si="276"/>
        <v>960</v>
      </c>
      <c r="O2236">
        <f t="shared" si="277"/>
        <v>96</v>
      </c>
      <c r="P2236" t="str">
        <f t="shared" si="278"/>
        <v>Large Order</v>
      </c>
      <c r="Q2236" t="str">
        <f t="shared" si="279"/>
        <v>Weekend</v>
      </c>
    </row>
    <row r="2237" spans="1:17" x14ac:dyDescent="0.35">
      <c r="A2237" t="s">
        <v>2387</v>
      </c>
      <c r="B2237" s="7">
        <v>45612</v>
      </c>
      <c r="C2237" s="13">
        <f t="shared" si="273"/>
        <v>2024</v>
      </c>
      <c r="D2237" s="7" t="str">
        <f t="shared" si="274"/>
        <v>Nov</v>
      </c>
      <c r="E2237" s="7" t="str">
        <f t="shared" si="275"/>
        <v>Sat</v>
      </c>
      <c r="F2237" t="s">
        <v>371</v>
      </c>
      <c r="G2237" t="s">
        <v>65</v>
      </c>
      <c r="H2237" t="s">
        <v>17</v>
      </c>
      <c r="I2237" s="2" t="str">
        <f t="shared" si="272"/>
        <v>South</v>
      </c>
      <c r="J2237" t="s">
        <v>12</v>
      </c>
      <c r="K2237" t="s">
        <v>28</v>
      </c>
      <c r="L2237">
        <v>4</v>
      </c>
      <c r="M2237">
        <v>120</v>
      </c>
      <c r="N2237">
        <f t="shared" si="276"/>
        <v>480</v>
      </c>
      <c r="O2237">
        <f t="shared" si="277"/>
        <v>48</v>
      </c>
      <c r="P2237" t="str">
        <f t="shared" si="278"/>
        <v>Standard Order</v>
      </c>
      <c r="Q2237" t="str">
        <f t="shared" si="279"/>
        <v>Weekend</v>
      </c>
    </row>
    <row r="2238" spans="1:17" x14ac:dyDescent="0.35">
      <c r="A2238" t="s">
        <v>2388</v>
      </c>
      <c r="B2238" s="7">
        <v>45642</v>
      </c>
      <c r="C2238" s="13">
        <f t="shared" si="273"/>
        <v>2024</v>
      </c>
      <c r="D2238" s="7" t="str">
        <f t="shared" si="274"/>
        <v>Dec</v>
      </c>
      <c r="E2238" s="7" t="str">
        <f t="shared" si="275"/>
        <v>Mon</v>
      </c>
      <c r="F2238" t="s">
        <v>553</v>
      </c>
      <c r="G2238" t="s">
        <v>35</v>
      </c>
      <c r="H2238" t="s">
        <v>11</v>
      </c>
      <c r="I2238" s="2" t="str">
        <f t="shared" si="272"/>
        <v>East</v>
      </c>
      <c r="J2238" t="s">
        <v>56</v>
      </c>
      <c r="K2238" t="s">
        <v>13</v>
      </c>
      <c r="L2238">
        <v>2</v>
      </c>
      <c r="M2238">
        <v>120</v>
      </c>
      <c r="N2238">
        <f t="shared" si="276"/>
        <v>240</v>
      </c>
      <c r="O2238">
        <f t="shared" si="277"/>
        <v>24</v>
      </c>
      <c r="P2238" t="str">
        <f t="shared" si="278"/>
        <v>Standard Order</v>
      </c>
      <c r="Q2238" t="str">
        <f t="shared" si="279"/>
        <v>Weekday</v>
      </c>
    </row>
    <row r="2239" spans="1:17" x14ac:dyDescent="0.35">
      <c r="A2239" t="s">
        <v>2389</v>
      </c>
      <c r="B2239" s="7">
        <v>45437</v>
      </c>
      <c r="C2239" s="13">
        <f t="shared" si="273"/>
        <v>2024</v>
      </c>
      <c r="D2239" s="7" t="str">
        <f t="shared" si="274"/>
        <v>May</v>
      </c>
      <c r="E2239" s="7" t="str">
        <f t="shared" si="275"/>
        <v>Sat</v>
      </c>
      <c r="F2239" t="s">
        <v>95</v>
      </c>
      <c r="G2239" t="s">
        <v>87</v>
      </c>
      <c r="H2239" t="s">
        <v>17</v>
      </c>
      <c r="I2239" s="2" t="str">
        <f t="shared" si="272"/>
        <v>North</v>
      </c>
      <c r="J2239" t="s">
        <v>42</v>
      </c>
      <c r="K2239" t="s">
        <v>36</v>
      </c>
      <c r="L2239">
        <v>15</v>
      </c>
      <c r="M2239">
        <v>120</v>
      </c>
      <c r="N2239">
        <f t="shared" si="276"/>
        <v>1800</v>
      </c>
      <c r="O2239">
        <f t="shared" si="277"/>
        <v>180</v>
      </c>
      <c r="P2239" t="str">
        <f t="shared" si="278"/>
        <v>Large Order</v>
      </c>
      <c r="Q2239" t="str">
        <f t="shared" si="279"/>
        <v>Weekend</v>
      </c>
    </row>
    <row r="2240" spans="1:17" x14ac:dyDescent="0.35">
      <c r="A2240" t="s">
        <v>2390</v>
      </c>
      <c r="B2240" s="7">
        <v>45318</v>
      </c>
      <c r="C2240" s="13">
        <f t="shared" si="273"/>
        <v>2024</v>
      </c>
      <c r="D2240" s="7" t="str">
        <f t="shared" si="274"/>
        <v>Jan</v>
      </c>
      <c r="E2240" s="7" t="str">
        <f t="shared" si="275"/>
        <v>Sat</v>
      </c>
      <c r="F2240" t="s">
        <v>312</v>
      </c>
      <c r="G2240" t="s">
        <v>45</v>
      </c>
      <c r="H2240" t="s">
        <v>11</v>
      </c>
      <c r="I2240" s="2" t="str">
        <f t="shared" si="272"/>
        <v>Central</v>
      </c>
      <c r="J2240" t="s">
        <v>12</v>
      </c>
      <c r="K2240" t="s">
        <v>23</v>
      </c>
      <c r="L2240">
        <v>17</v>
      </c>
      <c r="M2240">
        <v>120</v>
      </c>
      <c r="N2240">
        <f t="shared" si="276"/>
        <v>2040</v>
      </c>
      <c r="O2240">
        <f t="shared" si="277"/>
        <v>204</v>
      </c>
      <c r="P2240" t="str">
        <f t="shared" si="278"/>
        <v>Large Order</v>
      </c>
      <c r="Q2240" t="str">
        <f t="shared" si="279"/>
        <v>Weekend</v>
      </c>
    </row>
    <row r="2241" spans="1:17" x14ac:dyDescent="0.35">
      <c r="A2241" t="s">
        <v>2391</v>
      </c>
      <c r="B2241" s="7">
        <v>45412</v>
      </c>
      <c r="C2241" s="13">
        <f t="shared" si="273"/>
        <v>2024</v>
      </c>
      <c r="D2241" s="7" t="str">
        <f t="shared" si="274"/>
        <v>Apr</v>
      </c>
      <c r="E2241" s="7" t="str">
        <f t="shared" si="275"/>
        <v>Tue</v>
      </c>
      <c r="F2241" t="s">
        <v>329</v>
      </c>
      <c r="G2241" t="s">
        <v>70</v>
      </c>
      <c r="H2241" t="s">
        <v>22</v>
      </c>
      <c r="I2241" s="2" t="str">
        <f t="shared" si="272"/>
        <v>East</v>
      </c>
      <c r="J2241" t="s">
        <v>306</v>
      </c>
      <c r="K2241" t="s">
        <v>32</v>
      </c>
      <c r="L2241">
        <v>14</v>
      </c>
      <c r="M2241">
        <v>120</v>
      </c>
      <c r="N2241">
        <f t="shared" si="276"/>
        <v>1680</v>
      </c>
      <c r="O2241">
        <f t="shared" si="277"/>
        <v>168</v>
      </c>
      <c r="P2241" t="str">
        <f t="shared" si="278"/>
        <v>Large Order</v>
      </c>
      <c r="Q2241" t="str">
        <f t="shared" si="279"/>
        <v>Weekday</v>
      </c>
    </row>
    <row r="2242" spans="1:17" x14ac:dyDescent="0.35">
      <c r="A2242" t="s">
        <v>2392</v>
      </c>
      <c r="B2242" s="7">
        <v>45638</v>
      </c>
      <c r="C2242" s="13">
        <f t="shared" si="273"/>
        <v>2024</v>
      </c>
      <c r="D2242" s="7" t="str">
        <f t="shared" si="274"/>
        <v>Dec</v>
      </c>
      <c r="E2242" s="7" t="str">
        <f t="shared" si="275"/>
        <v>Thu</v>
      </c>
      <c r="F2242" t="s">
        <v>187</v>
      </c>
      <c r="G2242" t="s">
        <v>197</v>
      </c>
      <c r="H2242" t="s">
        <v>11</v>
      </c>
      <c r="I2242" s="2" t="str">
        <f t="shared" si="272"/>
        <v>North</v>
      </c>
      <c r="J2242" t="s">
        <v>42</v>
      </c>
      <c r="K2242" t="s">
        <v>28</v>
      </c>
      <c r="L2242">
        <v>4</v>
      </c>
      <c r="M2242">
        <v>120</v>
      </c>
      <c r="N2242">
        <f t="shared" si="276"/>
        <v>480</v>
      </c>
      <c r="O2242">
        <f t="shared" si="277"/>
        <v>48</v>
      </c>
      <c r="P2242" t="str">
        <f t="shared" si="278"/>
        <v>Standard Order</v>
      </c>
      <c r="Q2242" t="str">
        <f t="shared" si="279"/>
        <v>Weekday</v>
      </c>
    </row>
    <row r="2243" spans="1:17" x14ac:dyDescent="0.35">
      <c r="A2243" t="s">
        <v>2393</v>
      </c>
      <c r="B2243" s="7">
        <v>45503</v>
      </c>
      <c r="C2243" s="13">
        <f t="shared" si="273"/>
        <v>2024</v>
      </c>
      <c r="D2243" s="7" t="str">
        <f t="shared" si="274"/>
        <v>Jul</v>
      </c>
      <c r="E2243" s="7" t="str">
        <f t="shared" si="275"/>
        <v>Tue</v>
      </c>
      <c r="F2243" t="s">
        <v>104</v>
      </c>
      <c r="G2243" t="s">
        <v>31</v>
      </c>
      <c r="H2243" t="s">
        <v>11</v>
      </c>
      <c r="I2243" s="2" t="str">
        <f t="shared" ref="I2243:I2306" si="280">TRIM(J2244)</f>
        <v>West</v>
      </c>
      <c r="J2243" t="s">
        <v>12</v>
      </c>
      <c r="K2243" t="s">
        <v>23</v>
      </c>
      <c r="L2243">
        <v>19</v>
      </c>
      <c r="M2243">
        <v>120</v>
      </c>
      <c r="N2243">
        <f t="shared" si="276"/>
        <v>2280</v>
      </c>
      <c r="O2243">
        <f t="shared" si="277"/>
        <v>228</v>
      </c>
      <c r="P2243" t="str">
        <f t="shared" si="278"/>
        <v>Large Order</v>
      </c>
      <c r="Q2243" t="str">
        <f t="shared" si="279"/>
        <v>Weekday</v>
      </c>
    </row>
    <row r="2244" spans="1:17" x14ac:dyDescent="0.35">
      <c r="A2244" t="s">
        <v>2394</v>
      </c>
      <c r="B2244" s="7">
        <v>45515</v>
      </c>
      <c r="C2244" s="13">
        <f t="shared" ref="C2244:C2307" si="281">YEAR(B2244)</f>
        <v>2024</v>
      </c>
      <c r="D2244" s="7" t="str">
        <f t="shared" ref="D2244:D2307" si="282">TEXT(B2244,"mmm")</f>
        <v>Aug</v>
      </c>
      <c r="E2244" s="7" t="str">
        <f t="shared" ref="E2244:E2307" si="283">TEXT(B2244,"ddd")</f>
        <v>Sun</v>
      </c>
      <c r="F2244" t="s">
        <v>167</v>
      </c>
      <c r="G2244" t="s">
        <v>65</v>
      </c>
      <c r="H2244" t="s">
        <v>22</v>
      </c>
      <c r="I2244" s="2" t="str">
        <f t="shared" si="280"/>
        <v>East</v>
      </c>
      <c r="J2244" t="s">
        <v>27</v>
      </c>
      <c r="K2244" t="s">
        <v>28</v>
      </c>
      <c r="L2244">
        <v>13</v>
      </c>
      <c r="M2244">
        <v>120</v>
      </c>
      <c r="N2244">
        <f t="shared" ref="N2244:N2307" si="284">M2244*L2244</f>
        <v>1560</v>
      </c>
      <c r="O2244">
        <f t="shared" ref="O2244:O2307" si="285">N2244*0.1</f>
        <v>156</v>
      </c>
      <c r="P2244" t="str">
        <f t="shared" ref="P2244:P2307" si="286">IF(N2244&gt;500,"Large Order","Standard Order")</f>
        <v>Large Order</v>
      </c>
      <c r="Q2244" t="str">
        <f t="shared" ref="Q2244:Q2307" si="287">IF(OR(TRIM(E2244)="Sat",TRIM(E2244)="Sun"),"Weekend","Weekday")</f>
        <v>Weekend</v>
      </c>
    </row>
    <row r="2245" spans="1:17" x14ac:dyDescent="0.35">
      <c r="A2245" t="s">
        <v>2395</v>
      </c>
      <c r="B2245" s="7">
        <v>45526</v>
      </c>
      <c r="C2245" s="13">
        <f t="shared" si="281"/>
        <v>2024</v>
      </c>
      <c r="D2245" s="7" t="str">
        <f t="shared" si="282"/>
        <v>Aug</v>
      </c>
      <c r="E2245" s="7" t="str">
        <f t="shared" si="283"/>
        <v>Thu</v>
      </c>
      <c r="F2245" t="s">
        <v>329</v>
      </c>
      <c r="G2245" t="s">
        <v>65</v>
      </c>
      <c r="H2245" t="s">
        <v>22</v>
      </c>
      <c r="I2245" s="2" t="str">
        <f t="shared" si="280"/>
        <v>East</v>
      </c>
      <c r="J2245" t="s">
        <v>42</v>
      </c>
      <c r="K2245" t="s">
        <v>32</v>
      </c>
      <c r="L2245">
        <v>7</v>
      </c>
      <c r="M2245">
        <v>120</v>
      </c>
      <c r="N2245">
        <f t="shared" si="284"/>
        <v>840</v>
      </c>
      <c r="O2245">
        <f t="shared" si="285"/>
        <v>84</v>
      </c>
      <c r="P2245" t="str">
        <f t="shared" si="286"/>
        <v>Large Order</v>
      </c>
      <c r="Q2245" t="str">
        <f t="shared" si="287"/>
        <v>Weekday</v>
      </c>
    </row>
    <row r="2246" spans="1:17" x14ac:dyDescent="0.35">
      <c r="A2246" t="s">
        <v>2396</v>
      </c>
      <c r="B2246" s="7">
        <v>45308</v>
      </c>
      <c r="C2246" s="13">
        <f t="shared" si="281"/>
        <v>2024</v>
      </c>
      <c r="D2246" s="7" t="str">
        <f t="shared" si="282"/>
        <v>Jan</v>
      </c>
      <c r="E2246" s="7" t="str">
        <f t="shared" si="283"/>
        <v>Wed</v>
      </c>
      <c r="F2246" t="s">
        <v>465</v>
      </c>
      <c r="G2246" t="s">
        <v>59</v>
      </c>
      <c r="H2246" t="s">
        <v>11</v>
      </c>
      <c r="I2246" s="2" t="str">
        <f t="shared" si="280"/>
        <v>South</v>
      </c>
      <c r="J2246" t="s">
        <v>42</v>
      </c>
      <c r="K2246" t="s">
        <v>28</v>
      </c>
      <c r="L2246">
        <v>4</v>
      </c>
      <c r="M2246">
        <v>120</v>
      </c>
      <c r="N2246">
        <f t="shared" si="284"/>
        <v>480</v>
      </c>
      <c r="O2246">
        <f t="shared" si="285"/>
        <v>48</v>
      </c>
      <c r="P2246" t="str">
        <f t="shared" si="286"/>
        <v>Standard Order</v>
      </c>
      <c r="Q2246" t="str">
        <f t="shared" si="287"/>
        <v>Weekday</v>
      </c>
    </row>
    <row r="2247" spans="1:17" x14ac:dyDescent="0.35">
      <c r="A2247" t="s">
        <v>2397</v>
      </c>
      <c r="B2247" s="7">
        <v>45526</v>
      </c>
      <c r="C2247" s="13">
        <f t="shared" si="281"/>
        <v>2024</v>
      </c>
      <c r="D2247" s="7" t="str">
        <f t="shared" si="282"/>
        <v>Aug</v>
      </c>
      <c r="E2247" s="7" t="str">
        <f t="shared" si="283"/>
        <v>Thu</v>
      </c>
      <c r="F2247" t="s">
        <v>572</v>
      </c>
      <c r="G2247" t="s">
        <v>45</v>
      </c>
      <c r="H2247" t="s">
        <v>17</v>
      </c>
      <c r="I2247" s="2" t="str">
        <f t="shared" si="280"/>
        <v>Central</v>
      </c>
      <c r="J2247" t="s">
        <v>56</v>
      </c>
      <c r="K2247" t="s">
        <v>32</v>
      </c>
      <c r="L2247">
        <v>20</v>
      </c>
      <c r="M2247">
        <v>120</v>
      </c>
      <c r="N2247">
        <f t="shared" si="284"/>
        <v>2400</v>
      </c>
      <c r="O2247">
        <f t="shared" si="285"/>
        <v>240</v>
      </c>
      <c r="P2247" t="str">
        <f t="shared" si="286"/>
        <v>Large Order</v>
      </c>
      <c r="Q2247" t="str">
        <f t="shared" si="287"/>
        <v>Weekday</v>
      </c>
    </row>
    <row r="2248" spans="1:17" x14ac:dyDescent="0.35">
      <c r="A2248" t="s">
        <v>2398</v>
      </c>
      <c r="B2248" s="7">
        <v>45618</v>
      </c>
      <c r="C2248" s="13">
        <f t="shared" si="281"/>
        <v>2024</v>
      </c>
      <c r="D2248" s="7" t="str">
        <f t="shared" si="282"/>
        <v>Nov</v>
      </c>
      <c r="E2248" s="7" t="str">
        <f t="shared" si="283"/>
        <v>Fri</v>
      </c>
      <c r="F2248" t="s">
        <v>594</v>
      </c>
      <c r="G2248" t="s">
        <v>45</v>
      </c>
      <c r="H2248" t="s">
        <v>22</v>
      </c>
      <c r="I2248" s="2" t="str">
        <f t="shared" si="280"/>
        <v>West</v>
      </c>
      <c r="J2248" t="s">
        <v>306</v>
      </c>
      <c r="K2248" t="s">
        <v>28</v>
      </c>
      <c r="L2248">
        <v>3</v>
      </c>
      <c r="M2248">
        <v>120</v>
      </c>
      <c r="N2248">
        <f t="shared" si="284"/>
        <v>360</v>
      </c>
      <c r="O2248">
        <f t="shared" si="285"/>
        <v>36</v>
      </c>
      <c r="P2248" t="str">
        <f t="shared" si="286"/>
        <v>Standard Order</v>
      </c>
      <c r="Q2248" t="str">
        <f t="shared" si="287"/>
        <v>Weekday</v>
      </c>
    </row>
    <row r="2249" spans="1:17" x14ac:dyDescent="0.35">
      <c r="A2249" t="s">
        <v>2399</v>
      </c>
      <c r="B2249" s="7">
        <v>45559</v>
      </c>
      <c r="C2249" s="13">
        <f t="shared" si="281"/>
        <v>2024</v>
      </c>
      <c r="D2249" s="7" t="str">
        <f t="shared" si="282"/>
        <v>Sep</v>
      </c>
      <c r="E2249" s="7" t="str">
        <f t="shared" si="283"/>
        <v>Tue</v>
      </c>
      <c r="F2249" t="s">
        <v>374</v>
      </c>
      <c r="G2249" t="s">
        <v>65</v>
      </c>
      <c r="H2249" t="s">
        <v>22</v>
      </c>
      <c r="I2249" s="2" t="str">
        <f t="shared" si="280"/>
        <v>East</v>
      </c>
      <c r="J2249" t="s">
        <v>27</v>
      </c>
      <c r="K2249" t="s">
        <v>23</v>
      </c>
      <c r="L2249">
        <v>9</v>
      </c>
      <c r="M2249">
        <v>120</v>
      </c>
      <c r="N2249">
        <f t="shared" si="284"/>
        <v>1080</v>
      </c>
      <c r="O2249">
        <f t="shared" si="285"/>
        <v>108</v>
      </c>
      <c r="P2249" t="str">
        <f t="shared" si="286"/>
        <v>Large Order</v>
      </c>
      <c r="Q2249" t="str">
        <f t="shared" si="287"/>
        <v>Weekday</v>
      </c>
    </row>
    <row r="2250" spans="1:17" x14ac:dyDescent="0.35">
      <c r="A2250" t="s">
        <v>2400</v>
      </c>
      <c r="B2250" s="7">
        <v>45511</v>
      </c>
      <c r="C2250" s="13">
        <f t="shared" si="281"/>
        <v>2024</v>
      </c>
      <c r="D2250" s="7" t="str">
        <f t="shared" si="282"/>
        <v>Aug</v>
      </c>
      <c r="E2250" s="7" t="str">
        <f t="shared" si="283"/>
        <v>Wed</v>
      </c>
      <c r="F2250" t="s">
        <v>304</v>
      </c>
      <c r="G2250" t="s">
        <v>197</v>
      </c>
      <c r="H2250" t="s">
        <v>11</v>
      </c>
      <c r="I2250" s="2" t="str">
        <f t="shared" si="280"/>
        <v>West</v>
      </c>
      <c r="J2250" t="s">
        <v>42</v>
      </c>
      <c r="K2250" t="s">
        <v>23</v>
      </c>
      <c r="L2250">
        <v>19</v>
      </c>
      <c r="M2250">
        <v>120</v>
      </c>
      <c r="N2250">
        <f t="shared" si="284"/>
        <v>2280</v>
      </c>
      <c r="O2250">
        <f t="shared" si="285"/>
        <v>228</v>
      </c>
      <c r="P2250" t="str">
        <f t="shared" si="286"/>
        <v>Large Order</v>
      </c>
      <c r="Q2250" t="str">
        <f t="shared" si="287"/>
        <v>Weekday</v>
      </c>
    </row>
    <row r="2251" spans="1:17" x14ac:dyDescent="0.35">
      <c r="A2251" t="s">
        <v>2401</v>
      </c>
      <c r="B2251" s="7">
        <v>45594</v>
      </c>
      <c r="C2251" s="13">
        <f t="shared" si="281"/>
        <v>2024</v>
      </c>
      <c r="D2251" s="7" t="str">
        <f t="shared" si="282"/>
        <v>Oct</v>
      </c>
      <c r="E2251" s="7" t="str">
        <f t="shared" si="283"/>
        <v>Tue</v>
      </c>
      <c r="F2251" t="s">
        <v>125</v>
      </c>
      <c r="G2251" t="s">
        <v>59</v>
      </c>
      <c r="H2251" t="s">
        <v>11</v>
      </c>
      <c r="I2251" s="2" t="str">
        <f t="shared" si="280"/>
        <v>West</v>
      </c>
      <c r="J2251" t="s">
        <v>27</v>
      </c>
      <c r="K2251" t="s">
        <v>13</v>
      </c>
      <c r="L2251">
        <v>2</v>
      </c>
      <c r="M2251">
        <v>120</v>
      </c>
      <c r="N2251">
        <f t="shared" si="284"/>
        <v>240</v>
      </c>
      <c r="O2251">
        <f t="shared" si="285"/>
        <v>24</v>
      </c>
      <c r="P2251" t="str">
        <f t="shared" si="286"/>
        <v>Standard Order</v>
      </c>
      <c r="Q2251" t="str">
        <f t="shared" si="287"/>
        <v>Weekday</v>
      </c>
    </row>
    <row r="2252" spans="1:17" x14ac:dyDescent="0.35">
      <c r="A2252" t="s">
        <v>2402</v>
      </c>
      <c r="B2252" s="7">
        <v>45550</v>
      </c>
      <c r="C2252" s="13">
        <f t="shared" si="281"/>
        <v>2024</v>
      </c>
      <c r="D2252" s="7" t="str">
        <f t="shared" si="282"/>
        <v>Sep</v>
      </c>
      <c r="E2252" s="7" t="str">
        <f t="shared" si="283"/>
        <v>Sun</v>
      </c>
      <c r="F2252" t="s">
        <v>122</v>
      </c>
      <c r="G2252" t="s">
        <v>87</v>
      </c>
      <c r="H2252" t="s">
        <v>22</v>
      </c>
      <c r="I2252" s="2" t="str">
        <f t="shared" si="280"/>
        <v>West</v>
      </c>
      <c r="J2252" t="s">
        <v>27</v>
      </c>
      <c r="K2252" t="s">
        <v>23</v>
      </c>
      <c r="L2252">
        <v>4</v>
      </c>
      <c r="M2252">
        <v>120</v>
      </c>
      <c r="N2252">
        <f t="shared" si="284"/>
        <v>480</v>
      </c>
      <c r="O2252">
        <f t="shared" si="285"/>
        <v>48</v>
      </c>
      <c r="P2252" t="str">
        <f t="shared" si="286"/>
        <v>Standard Order</v>
      </c>
      <c r="Q2252" t="str">
        <f t="shared" si="287"/>
        <v>Weekend</v>
      </c>
    </row>
    <row r="2253" spans="1:17" x14ac:dyDescent="0.35">
      <c r="A2253" t="s">
        <v>2403</v>
      </c>
      <c r="B2253" s="7">
        <v>45415</v>
      </c>
      <c r="C2253" s="13">
        <f t="shared" si="281"/>
        <v>2024</v>
      </c>
      <c r="D2253" s="7" t="str">
        <f t="shared" si="282"/>
        <v>May</v>
      </c>
      <c r="E2253" s="7" t="str">
        <f t="shared" si="283"/>
        <v>Fri</v>
      </c>
      <c r="F2253" t="s">
        <v>81</v>
      </c>
      <c r="G2253" t="s">
        <v>174</v>
      </c>
      <c r="H2253" t="s">
        <v>11</v>
      </c>
      <c r="I2253" s="2" t="str">
        <f t="shared" si="280"/>
        <v>West</v>
      </c>
      <c r="J2253" t="s">
        <v>27</v>
      </c>
      <c r="K2253" t="s">
        <v>28</v>
      </c>
      <c r="L2253">
        <v>5</v>
      </c>
      <c r="M2253">
        <v>120</v>
      </c>
      <c r="N2253">
        <f t="shared" si="284"/>
        <v>600</v>
      </c>
      <c r="O2253">
        <f t="shared" si="285"/>
        <v>60</v>
      </c>
      <c r="P2253" t="str">
        <f t="shared" si="286"/>
        <v>Large Order</v>
      </c>
      <c r="Q2253" t="str">
        <f t="shared" si="287"/>
        <v>Weekday</v>
      </c>
    </row>
    <row r="2254" spans="1:17" x14ac:dyDescent="0.35">
      <c r="A2254" t="s">
        <v>2404</v>
      </c>
      <c r="B2254" s="7">
        <v>45414</v>
      </c>
      <c r="C2254" s="13">
        <f t="shared" si="281"/>
        <v>2024</v>
      </c>
      <c r="D2254" s="7" t="str">
        <f t="shared" si="282"/>
        <v>May</v>
      </c>
      <c r="E2254" s="7" t="str">
        <f t="shared" si="283"/>
        <v>Thu</v>
      </c>
      <c r="F2254" t="s">
        <v>736</v>
      </c>
      <c r="G2254" t="s">
        <v>10</v>
      </c>
      <c r="H2254" t="s">
        <v>11</v>
      </c>
      <c r="I2254" s="2" t="str">
        <f t="shared" si="280"/>
        <v>West</v>
      </c>
      <c r="J2254" t="s">
        <v>27</v>
      </c>
      <c r="K2254" t="s">
        <v>32</v>
      </c>
      <c r="L2254">
        <v>6</v>
      </c>
      <c r="M2254">
        <v>120</v>
      </c>
      <c r="N2254">
        <f t="shared" si="284"/>
        <v>720</v>
      </c>
      <c r="O2254">
        <f t="shared" si="285"/>
        <v>72</v>
      </c>
      <c r="P2254" t="str">
        <f t="shared" si="286"/>
        <v>Large Order</v>
      </c>
      <c r="Q2254" t="str">
        <f t="shared" si="287"/>
        <v>Weekday</v>
      </c>
    </row>
    <row r="2255" spans="1:17" x14ac:dyDescent="0.35">
      <c r="A2255" t="s">
        <v>2405</v>
      </c>
      <c r="B2255" s="7">
        <v>45584</v>
      </c>
      <c r="C2255" s="13">
        <f t="shared" si="281"/>
        <v>2024</v>
      </c>
      <c r="D2255" s="7" t="str">
        <f t="shared" si="282"/>
        <v>Oct</v>
      </c>
      <c r="E2255" s="7" t="str">
        <f t="shared" si="283"/>
        <v>Sat</v>
      </c>
      <c r="F2255" t="s">
        <v>323</v>
      </c>
      <c r="G2255" t="s">
        <v>59</v>
      </c>
      <c r="H2255" t="s">
        <v>11</v>
      </c>
      <c r="I2255" s="2" t="str">
        <f t="shared" si="280"/>
        <v>West</v>
      </c>
      <c r="J2255" t="s">
        <v>27</v>
      </c>
      <c r="K2255" t="s">
        <v>23</v>
      </c>
      <c r="L2255">
        <v>5</v>
      </c>
      <c r="M2255">
        <v>120</v>
      </c>
      <c r="N2255">
        <f t="shared" si="284"/>
        <v>600</v>
      </c>
      <c r="O2255">
        <f t="shared" si="285"/>
        <v>60</v>
      </c>
      <c r="P2255" t="str">
        <f t="shared" si="286"/>
        <v>Large Order</v>
      </c>
      <c r="Q2255" t="str">
        <f t="shared" si="287"/>
        <v>Weekend</v>
      </c>
    </row>
    <row r="2256" spans="1:17" x14ac:dyDescent="0.35">
      <c r="A2256" t="s">
        <v>2406</v>
      </c>
      <c r="B2256" s="7">
        <v>45499</v>
      </c>
      <c r="C2256" s="13">
        <f t="shared" si="281"/>
        <v>2024</v>
      </c>
      <c r="D2256" s="7" t="str">
        <f t="shared" si="282"/>
        <v>Jul</v>
      </c>
      <c r="E2256" s="7" t="str">
        <f t="shared" si="283"/>
        <v>Fri</v>
      </c>
      <c r="F2256" t="s">
        <v>44</v>
      </c>
      <c r="G2256" t="s">
        <v>48</v>
      </c>
      <c r="H2256" t="s">
        <v>22</v>
      </c>
      <c r="I2256" s="2" t="str">
        <f t="shared" si="280"/>
        <v>East</v>
      </c>
      <c r="J2256" t="s">
        <v>27</v>
      </c>
      <c r="K2256" t="s">
        <v>13</v>
      </c>
      <c r="L2256">
        <v>3</v>
      </c>
      <c r="M2256">
        <v>120</v>
      </c>
      <c r="N2256">
        <f t="shared" si="284"/>
        <v>360</v>
      </c>
      <c r="O2256">
        <f t="shared" si="285"/>
        <v>36</v>
      </c>
      <c r="P2256" t="str">
        <f t="shared" si="286"/>
        <v>Standard Order</v>
      </c>
      <c r="Q2256" t="str">
        <f t="shared" si="287"/>
        <v>Weekday</v>
      </c>
    </row>
    <row r="2257" spans="1:17" x14ac:dyDescent="0.35">
      <c r="A2257" t="s">
        <v>2407</v>
      </c>
      <c r="B2257" s="7">
        <v>45645</v>
      </c>
      <c r="C2257" s="13">
        <f t="shared" si="281"/>
        <v>2024</v>
      </c>
      <c r="D2257" s="7" t="str">
        <f t="shared" si="282"/>
        <v>Dec</v>
      </c>
      <c r="E2257" s="7" t="str">
        <f t="shared" si="283"/>
        <v>Thu</v>
      </c>
      <c r="F2257" t="s">
        <v>118</v>
      </c>
      <c r="G2257" t="s">
        <v>160</v>
      </c>
      <c r="H2257" t="s">
        <v>11</v>
      </c>
      <c r="I2257" s="2" t="str">
        <f t="shared" si="280"/>
        <v>North</v>
      </c>
      <c r="J2257" t="s">
        <v>42</v>
      </c>
      <c r="K2257" t="s">
        <v>23</v>
      </c>
      <c r="L2257">
        <v>9</v>
      </c>
      <c r="M2257">
        <v>120</v>
      </c>
      <c r="N2257">
        <f t="shared" si="284"/>
        <v>1080</v>
      </c>
      <c r="O2257">
        <f t="shared" si="285"/>
        <v>108</v>
      </c>
      <c r="P2257" t="str">
        <f t="shared" si="286"/>
        <v>Large Order</v>
      </c>
      <c r="Q2257" t="str">
        <f t="shared" si="287"/>
        <v>Weekday</v>
      </c>
    </row>
    <row r="2258" spans="1:17" x14ac:dyDescent="0.35">
      <c r="A2258" t="s">
        <v>2408</v>
      </c>
      <c r="B2258" s="7">
        <v>45605</v>
      </c>
      <c r="C2258" s="13">
        <f t="shared" si="281"/>
        <v>2024</v>
      </c>
      <c r="D2258" s="7" t="str">
        <f t="shared" si="282"/>
        <v>Nov</v>
      </c>
      <c r="E2258" s="7" t="str">
        <f t="shared" si="283"/>
        <v>Sat</v>
      </c>
      <c r="F2258" t="s">
        <v>591</v>
      </c>
      <c r="G2258" t="s">
        <v>59</v>
      </c>
      <c r="H2258" t="s">
        <v>11</v>
      </c>
      <c r="I2258" s="2" t="str">
        <f t="shared" si="280"/>
        <v>North</v>
      </c>
      <c r="J2258" t="s">
        <v>12</v>
      </c>
      <c r="K2258" t="s">
        <v>36</v>
      </c>
      <c r="L2258">
        <v>11</v>
      </c>
      <c r="M2258">
        <v>120</v>
      </c>
      <c r="N2258">
        <f t="shared" si="284"/>
        <v>1320</v>
      </c>
      <c r="O2258">
        <f t="shared" si="285"/>
        <v>132</v>
      </c>
      <c r="P2258" t="str">
        <f t="shared" si="286"/>
        <v>Large Order</v>
      </c>
      <c r="Q2258" t="str">
        <f t="shared" si="287"/>
        <v>Weekend</v>
      </c>
    </row>
    <row r="2259" spans="1:17" x14ac:dyDescent="0.35">
      <c r="A2259" t="s">
        <v>2409</v>
      </c>
      <c r="B2259" s="7">
        <v>45320</v>
      </c>
      <c r="C2259" s="13">
        <f t="shared" si="281"/>
        <v>2024</v>
      </c>
      <c r="D2259" s="7" t="str">
        <f t="shared" si="282"/>
        <v>Jan</v>
      </c>
      <c r="E2259" s="7" t="str">
        <f t="shared" si="283"/>
        <v>Mon</v>
      </c>
      <c r="F2259" t="s">
        <v>345</v>
      </c>
      <c r="G2259" t="s">
        <v>41</v>
      </c>
      <c r="H2259" t="s">
        <v>17</v>
      </c>
      <c r="I2259" s="2" t="str">
        <f t="shared" si="280"/>
        <v>South</v>
      </c>
      <c r="J2259" t="s">
        <v>12</v>
      </c>
      <c r="K2259" t="s">
        <v>13</v>
      </c>
      <c r="L2259">
        <v>13</v>
      </c>
      <c r="M2259">
        <v>120</v>
      </c>
      <c r="N2259">
        <f t="shared" si="284"/>
        <v>1560</v>
      </c>
      <c r="O2259">
        <f t="shared" si="285"/>
        <v>156</v>
      </c>
      <c r="P2259" t="str">
        <f t="shared" si="286"/>
        <v>Large Order</v>
      </c>
      <c r="Q2259" t="str">
        <f t="shared" si="287"/>
        <v>Weekday</v>
      </c>
    </row>
    <row r="2260" spans="1:17" x14ac:dyDescent="0.35">
      <c r="A2260" t="s">
        <v>2410</v>
      </c>
      <c r="B2260" s="7">
        <v>45608</v>
      </c>
      <c r="C2260" s="13">
        <f t="shared" si="281"/>
        <v>2024</v>
      </c>
      <c r="D2260" s="7" t="str">
        <f t="shared" si="282"/>
        <v>Nov</v>
      </c>
      <c r="E2260" s="7" t="str">
        <f t="shared" si="283"/>
        <v>Tue</v>
      </c>
      <c r="F2260" t="s">
        <v>116</v>
      </c>
      <c r="G2260" t="s">
        <v>48</v>
      </c>
      <c r="H2260" t="s">
        <v>17</v>
      </c>
      <c r="I2260" s="2" t="str">
        <f t="shared" si="280"/>
        <v>Central</v>
      </c>
      <c r="J2260" t="s">
        <v>56</v>
      </c>
      <c r="K2260" t="s">
        <v>36</v>
      </c>
      <c r="L2260">
        <v>3</v>
      </c>
      <c r="M2260">
        <v>120</v>
      </c>
      <c r="N2260">
        <f t="shared" si="284"/>
        <v>360</v>
      </c>
      <c r="O2260">
        <f t="shared" si="285"/>
        <v>36</v>
      </c>
      <c r="P2260" t="str">
        <f t="shared" si="286"/>
        <v>Standard Order</v>
      </c>
      <c r="Q2260" t="str">
        <f t="shared" si="287"/>
        <v>Weekday</v>
      </c>
    </row>
    <row r="2261" spans="1:17" x14ac:dyDescent="0.35">
      <c r="A2261" t="s">
        <v>2411</v>
      </c>
      <c r="B2261" s="7">
        <v>45396</v>
      </c>
      <c r="C2261" s="13">
        <f t="shared" si="281"/>
        <v>2024</v>
      </c>
      <c r="D2261" s="7" t="str">
        <f t="shared" si="282"/>
        <v>Apr</v>
      </c>
      <c r="E2261" s="7" t="str">
        <f t="shared" si="283"/>
        <v>Sun</v>
      </c>
      <c r="F2261" t="s">
        <v>99</v>
      </c>
      <c r="G2261" t="s">
        <v>72</v>
      </c>
      <c r="H2261" t="s">
        <v>11</v>
      </c>
      <c r="I2261" s="2" t="str">
        <f t="shared" si="280"/>
        <v>South</v>
      </c>
      <c r="J2261" t="s">
        <v>306</v>
      </c>
      <c r="K2261" t="s">
        <v>13</v>
      </c>
      <c r="L2261">
        <v>16</v>
      </c>
      <c r="M2261">
        <v>120</v>
      </c>
      <c r="N2261">
        <f t="shared" si="284"/>
        <v>1920</v>
      </c>
      <c r="O2261">
        <f t="shared" si="285"/>
        <v>192</v>
      </c>
      <c r="P2261" t="str">
        <f t="shared" si="286"/>
        <v>Large Order</v>
      </c>
      <c r="Q2261" t="str">
        <f t="shared" si="287"/>
        <v>Weekend</v>
      </c>
    </row>
    <row r="2262" spans="1:17" x14ac:dyDescent="0.35">
      <c r="A2262" t="s">
        <v>2412</v>
      </c>
      <c r="B2262" s="7">
        <v>45589</v>
      </c>
      <c r="C2262" s="13">
        <f t="shared" si="281"/>
        <v>2024</v>
      </c>
      <c r="D2262" s="7" t="str">
        <f t="shared" si="282"/>
        <v>Oct</v>
      </c>
      <c r="E2262" s="7" t="str">
        <f t="shared" si="283"/>
        <v>Thu</v>
      </c>
      <c r="F2262" t="s">
        <v>424</v>
      </c>
      <c r="G2262" t="s">
        <v>65</v>
      </c>
      <c r="H2262" t="s">
        <v>22</v>
      </c>
      <c r="I2262" s="2" t="str">
        <f t="shared" si="280"/>
        <v>North</v>
      </c>
      <c r="J2262" t="s">
        <v>56</v>
      </c>
      <c r="K2262" t="s">
        <v>32</v>
      </c>
      <c r="L2262">
        <v>12</v>
      </c>
      <c r="M2262">
        <v>120</v>
      </c>
      <c r="N2262">
        <f t="shared" si="284"/>
        <v>1440</v>
      </c>
      <c r="O2262">
        <f t="shared" si="285"/>
        <v>144</v>
      </c>
      <c r="P2262" t="str">
        <f t="shared" si="286"/>
        <v>Large Order</v>
      </c>
      <c r="Q2262" t="str">
        <f t="shared" si="287"/>
        <v>Weekday</v>
      </c>
    </row>
    <row r="2263" spans="1:17" x14ac:dyDescent="0.35">
      <c r="A2263" t="s">
        <v>2413</v>
      </c>
      <c r="B2263" s="7">
        <v>45549</v>
      </c>
      <c r="C2263" s="13">
        <f t="shared" si="281"/>
        <v>2024</v>
      </c>
      <c r="D2263" s="7" t="str">
        <f t="shared" si="282"/>
        <v>Sep</v>
      </c>
      <c r="E2263" s="7" t="str">
        <f t="shared" si="283"/>
        <v>Sat</v>
      </c>
      <c r="F2263" t="s">
        <v>455</v>
      </c>
      <c r="G2263" t="s">
        <v>87</v>
      </c>
      <c r="H2263" t="s">
        <v>17</v>
      </c>
      <c r="I2263" s="2" t="str">
        <f t="shared" si="280"/>
        <v>West</v>
      </c>
      <c r="J2263" t="s">
        <v>12</v>
      </c>
      <c r="K2263" t="s">
        <v>13</v>
      </c>
      <c r="L2263">
        <v>12</v>
      </c>
      <c r="M2263">
        <v>120</v>
      </c>
      <c r="N2263">
        <f t="shared" si="284"/>
        <v>1440</v>
      </c>
      <c r="O2263">
        <f t="shared" si="285"/>
        <v>144</v>
      </c>
      <c r="P2263" t="str">
        <f t="shared" si="286"/>
        <v>Large Order</v>
      </c>
      <c r="Q2263" t="str">
        <f t="shared" si="287"/>
        <v>Weekend</v>
      </c>
    </row>
    <row r="2264" spans="1:17" x14ac:dyDescent="0.35">
      <c r="A2264" t="s">
        <v>2414</v>
      </c>
      <c r="B2264" s="7">
        <v>45540</v>
      </c>
      <c r="C2264" s="13">
        <f t="shared" si="281"/>
        <v>2024</v>
      </c>
      <c r="D2264" s="7" t="str">
        <f t="shared" si="282"/>
        <v>Sep</v>
      </c>
      <c r="E2264" s="7" t="str">
        <f t="shared" si="283"/>
        <v>Thu</v>
      </c>
      <c r="F2264" t="s">
        <v>358</v>
      </c>
      <c r="G2264" t="s">
        <v>160</v>
      </c>
      <c r="H2264" t="s">
        <v>11</v>
      </c>
      <c r="I2264" s="2" t="str">
        <f t="shared" si="280"/>
        <v>North</v>
      </c>
      <c r="J2264" t="s">
        <v>27</v>
      </c>
      <c r="K2264" t="s">
        <v>36</v>
      </c>
      <c r="L2264">
        <v>18</v>
      </c>
      <c r="M2264">
        <v>120</v>
      </c>
      <c r="N2264">
        <f t="shared" si="284"/>
        <v>2160</v>
      </c>
      <c r="O2264">
        <f t="shared" si="285"/>
        <v>216</v>
      </c>
      <c r="P2264" t="str">
        <f t="shared" si="286"/>
        <v>Large Order</v>
      </c>
      <c r="Q2264" t="str">
        <f t="shared" si="287"/>
        <v>Weekday</v>
      </c>
    </row>
    <row r="2265" spans="1:17" x14ac:dyDescent="0.35">
      <c r="A2265" t="s">
        <v>2415</v>
      </c>
      <c r="B2265" s="7">
        <v>45523</v>
      </c>
      <c r="C2265" s="13">
        <f t="shared" si="281"/>
        <v>2024</v>
      </c>
      <c r="D2265" s="7" t="str">
        <f t="shared" si="282"/>
        <v>Aug</v>
      </c>
      <c r="E2265" s="7" t="str">
        <f t="shared" si="283"/>
        <v>Mon</v>
      </c>
      <c r="F2265" t="s">
        <v>381</v>
      </c>
      <c r="G2265" t="s">
        <v>48</v>
      </c>
      <c r="H2265" t="s">
        <v>22</v>
      </c>
      <c r="I2265" s="2" t="str">
        <f t="shared" si="280"/>
        <v>North</v>
      </c>
      <c r="J2265" t="s">
        <v>12</v>
      </c>
      <c r="K2265" t="s">
        <v>28</v>
      </c>
      <c r="L2265">
        <v>15</v>
      </c>
      <c r="M2265">
        <v>120</v>
      </c>
      <c r="N2265">
        <f t="shared" si="284"/>
        <v>1800</v>
      </c>
      <c r="O2265">
        <f t="shared" si="285"/>
        <v>180</v>
      </c>
      <c r="P2265" t="str">
        <f t="shared" si="286"/>
        <v>Large Order</v>
      </c>
      <c r="Q2265" t="str">
        <f t="shared" si="287"/>
        <v>Weekday</v>
      </c>
    </row>
    <row r="2266" spans="1:17" x14ac:dyDescent="0.35">
      <c r="A2266" t="s">
        <v>2416</v>
      </c>
      <c r="B2266" s="7">
        <v>45492</v>
      </c>
      <c r="C2266" s="13">
        <f t="shared" si="281"/>
        <v>2024</v>
      </c>
      <c r="D2266" s="7" t="str">
        <f t="shared" si="282"/>
        <v>Jul</v>
      </c>
      <c r="E2266" s="7" t="str">
        <f t="shared" si="283"/>
        <v>Fri</v>
      </c>
      <c r="F2266" t="s">
        <v>235</v>
      </c>
      <c r="G2266" t="s">
        <v>74</v>
      </c>
      <c r="H2266" t="s">
        <v>11</v>
      </c>
      <c r="I2266" s="2" t="str">
        <f t="shared" si="280"/>
        <v>Central</v>
      </c>
      <c r="J2266" t="s">
        <v>12</v>
      </c>
      <c r="K2266" t="s">
        <v>28</v>
      </c>
      <c r="L2266">
        <v>9</v>
      </c>
      <c r="M2266">
        <v>120</v>
      </c>
      <c r="N2266">
        <f t="shared" si="284"/>
        <v>1080</v>
      </c>
      <c r="O2266">
        <f t="shared" si="285"/>
        <v>108</v>
      </c>
      <c r="P2266" t="str">
        <f t="shared" si="286"/>
        <v>Large Order</v>
      </c>
      <c r="Q2266" t="str">
        <f t="shared" si="287"/>
        <v>Weekday</v>
      </c>
    </row>
    <row r="2267" spans="1:17" x14ac:dyDescent="0.35">
      <c r="A2267" t="s">
        <v>2417</v>
      </c>
      <c r="B2267" s="7">
        <v>45367</v>
      </c>
      <c r="C2267" s="13">
        <f t="shared" si="281"/>
        <v>2024</v>
      </c>
      <c r="D2267" s="7" t="str">
        <f t="shared" si="282"/>
        <v>Mar</v>
      </c>
      <c r="E2267" s="7" t="str">
        <f t="shared" si="283"/>
        <v>Sat</v>
      </c>
      <c r="F2267" t="s">
        <v>432</v>
      </c>
      <c r="G2267" t="s">
        <v>16</v>
      </c>
      <c r="H2267" t="s">
        <v>11</v>
      </c>
      <c r="I2267" s="2" t="str">
        <f t="shared" si="280"/>
        <v>East</v>
      </c>
      <c r="J2267" t="s">
        <v>306</v>
      </c>
      <c r="K2267" t="s">
        <v>13</v>
      </c>
      <c r="L2267">
        <v>10</v>
      </c>
      <c r="M2267">
        <v>120</v>
      </c>
      <c r="N2267">
        <f t="shared" si="284"/>
        <v>1200</v>
      </c>
      <c r="O2267">
        <f t="shared" si="285"/>
        <v>120</v>
      </c>
      <c r="P2267" t="str">
        <f t="shared" si="286"/>
        <v>Large Order</v>
      </c>
      <c r="Q2267" t="str">
        <f t="shared" si="287"/>
        <v>Weekend</v>
      </c>
    </row>
    <row r="2268" spans="1:17" x14ac:dyDescent="0.35">
      <c r="A2268" t="s">
        <v>2418</v>
      </c>
      <c r="B2268" s="7">
        <v>45641</v>
      </c>
      <c r="C2268" s="13">
        <f t="shared" si="281"/>
        <v>2024</v>
      </c>
      <c r="D2268" s="7" t="str">
        <f t="shared" si="282"/>
        <v>Dec</v>
      </c>
      <c r="E2268" s="7" t="str">
        <f t="shared" si="283"/>
        <v>Sun</v>
      </c>
      <c r="F2268" t="s">
        <v>591</v>
      </c>
      <c r="G2268" t="s">
        <v>16</v>
      </c>
      <c r="H2268" t="s">
        <v>17</v>
      </c>
      <c r="I2268" s="2" t="str">
        <f t="shared" si="280"/>
        <v>North</v>
      </c>
      <c r="J2268" t="s">
        <v>42</v>
      </c>
      <c r="K2268" t="s">
        <v>23</v>
      </c>
      <c r="L2268">
        <v>15</v>
      </c>
      <c r="M2268">
        <v>120</v>
      </c>
      <c r="N2268">
        <f t="shared" si="284"/>
        <v>1800</v>
      </c>
      <c r="O2268">
        <f t="shared" si="285"/>
        <v>180</v>
      </c>
      <c r="P2268" t="str">
        <f t="shared" si="286"/>
        <v>Large Order</v>
      </c>
      <c r="Q2268" t="str">
        <f t="shared" si="287"/>
        <v>Weekend</v>
      </c>
    </row>
    <row r="2269" spans="1:17" x14ac:dyDescent="0.35">
      <c r="A2269" t="s">
        <v>2419</v>
      </c>
      <c r="B2269" s="7">
        <v>45302</v>
      </c>
      <c r="C2269" s="13">
        <f t="shared" si="281"/>
        <v>2024</v>
      </c>
      <c r="D2269" s="7" t="str">
        <f t="shared" si="282"/>
        <v>Jan</v>
      </c>
      <c r="E2269" s="7" t="str">
        <f t="shared" si="283"/>
        <v>Thu</v>
      </c>
      <c r="F2269" t="s">
        <v>61</v>
      </c>
      <c r="G2269" t="s">
        <v>65</v>
      </c>
      <c r="H2269" t="s">
        <v>11</v>
      </c>
      <c r="I2269" s="2" t="str">
        <f t="shared" si="280"/>
        <v>East</v>
      </c>
      <c r="J2269" t="s">
        <v>12</v>
      </c>
      <c r="K2269" t="s">
        <v>28</v>
      </c>
      <c r="L2269">
        <v>17</v>
      </c>
      <c r="M2269">
        <v>120</v>
      </c>
      <c r="N2269">
        <f t="shared" si="284"/>
        <v>2040</v>
      </c>
      <c r="O2269">
        <f t="shared" si="285"/>
        <v>204</v>
      </c>
      <c r="P2269" t="str">
        <f t="shared" si="286"/>
        <v>Large Order</v>
      </c>
      <c r="Q2269" t="str">
        <f t="shared" si="287"/>
        <v>Weekday</v>
      </c>
    </row>
    <row r="2270" spans="1:17" x14ac:dyDescent="0.35">
      <c r="A2270" t="s">
        <v>2420</v>
      </c>
      <c r="B2270" s="7">
        <v>45502</v>
      </c>
      <c r="C2270" s="13">
        <f t="shared" si="281"/>
        <v>2024</v>
      </c>
      <c r="D2270" s="7" t="str">
        <f t="shared" si="282"/>
        <v>Jul</v>
      </c>
      <c r="E2270" s="7" t="str">
        <f t="shared" si="283"/>
        <v>Mon</v>
      </c>
      <c r="F2270" t="s">
        <v>361</v>
      </c>
      <c r="G2270" t="s">
        <v>72</v>
      </c>
      <c r="H2270" t="s">
        <v>22</v>
      </c>
      <c r="I2270" s="2" t="str">
        <f t="shared" si="280"/>
        <v>East</v>
      </c>
      <c r="J2270" t="s">
        <v>42</v>
      </c>
      <c r="K2270" t="s">
        <v>23</v>
      </c>
      <c r="L2270">
        <v>19</v>
      </c>
      <c r="M2270">
        <v>120</v>
      </c>
      <c r="N2270">
        <f t="shared" si="284"/>
        <v>2280</v>
      </c>
      <c r="O2270">
        <f t="shared" si="285"/>
        <v>228</v>
      </c>
      <c r="P2270" t="str">
        <f t="shared" si="286"/>
        <v>Large Order</v>
      </c>
      <c r="Q2270" t="str">
        <f t="shared" si="287"/>
        <v>Weekday</v>
      </c>
    </row>
    <row r="2271" spans="1:17" x14ac:dyDescent="0.35">
      <c r="A2271" t="s">
        <v>2421</v>
      </c>
      <c r="B2271" s="7">
        <v>45563</v>
      </c>
      <c r="C2271" s="13">
        <f t="shared" si="281"/>
        <v>2024</v>
      </c>
      <c r="D2271" s="7" t="str">
        <f t="shared" si="282"/>
        <v>Sep</v>
      </c>
      <c r="E2271" s="7" t="str">
        <f t="shared" si="283"/>
        <v>Sat</v>
      </c>
      <c r="F2271" t="s">
        <v>378</v>
      </c>
      <c r="G2271" t="s">
        <v>70</v>
      </c>
      <c r="H2271" t="s">
        <v>17</v>
      </c>
      <c r="I2271" s="2" t="str">
        <f t="shared" si="280"/>
        <v>West</v>
      </c>
      <c r="J2271" t="s">
        <v>42</v>
      </c>
      <c r="K2271" t="s">
        <v>36</v>
      </c>
      <c r="L2271">
        <v>5</v>
      </c>
      <c r="M2271">
        <v>120</v>
      </c>
      <c r="N2271">
        <f t="shared" si="284"/>
        <v>600</v>
      </c>
      <c r="O2271">
        <f t="shared" si="285"/>
        <v>60</v>
      </c>
      <c r="P2271" t="str">
        <f t="shared" si="286"/>
        <v>Large Order</v>
      </c>
      <c r="Q2271" t="str">
        <f t="shared" si="287"/>
        <v>Weekend</v>
      </c>
    </row>
    <row r="2272" spans="1:17" x14ac:dyDescent="0.35">
      <c r="A2272" t="s">
        <v>2422</v>
      </c>
      <c r="B2272" s="7">
        <v>45448</v>
      </c>
      <c r="C2272" s="13">
        <f t="shared" si="281"/>
        <v>2024</v>
      </c>
      <c r="D2272" s="7" t="str">
        <f t="shared" si="282"/>
        <v>Jun</v>
      </c>
      <c r="E2272" s="7" t="str">
        <f t="shared" si="283"/>
        <v>Wed</v>
      </c>
      <c r="F2272" t="s">
        <v>30</v>
      </c>
      <c r="G2272" t="s">
        <v>26</v>
      </c>
      <c r="H2272" t="s">
        <v>11</v>
      </c>
      <c r="I2272" s="2" t="str">
        <f t="shared" si="280"/>
        <v>West</v>
      </c>
      <c r="J2272" t="s">
        <v>27</v>
      </c>
      <c r="K2272" t="s">
        <v>32</v>
      </c>
      <c r="L2272">
        <v>10</v>
      </c>
      <c r="M2272">
        <v>120</v>
      </c>
      <c r="N2272">
        <f t="shared" si="284"/>
        <v>1200</v>
      </c>
      <c r="O2272">
        <f t="shared" si="285"/>
        <v>120</v>
      </c>
      <c r="P2272" t="str">
        <f t="shared" si="286"/>
        <v>Large Order</v>
      </c>
      <c r="Q2272" t="str">
        <f t="shared" si="287"/>
        <v>Weekday</v>
      </c>
    </row>
    <row r="2273" spans="1:17" x14ac:dyDescent="0.35">
      <c r="A2273" t="s">
        <v>2423</v>
      </c>
      <c r="B2273" s="7">
        <v>45316</v>
      </c>
      <c r="C2273" s="13">
        <f t="shared" si="281"/>
        <v>2024</v>
      </c>
      <c r="D2273" s="7" t="str">
        <f t="shared" si="282"/>
        <v>Jan</v>
      </c>
      <c r="E2273" s="7" t="str">
        <f t="shared" si="283"/>
        <v>Thu</v>
      </c>
      <c r="F2273" t="s">
        <v>167</v>
      </c>
      <c r="G2273" t="s">
        <v>48</v>
      </c>
      <c r="H2273" t="s">
        <v>17</v>
      </c>
      <c r="I2273" s="2" t="str">
        <f t="shared" si="280"/>
        <v>South</v>
      </c>
      <c r="J2273" t="s">
        <v>27</v>
      </c>
      <c r="K2273" t="s">
        <v>28</v>
      </c>
      <c r="L2273">
        <v>20</v>
      </c>
      <c r="M2273">
        <v>120</v>
      </c>
      <c r="N2273">
        <f t="shared" si="284"/>
        <v>2400</v>
      </c>
      <c r="O2273">
        <f t="shared" si="285"/>
        <v>240</v>
      </c>
      <c r="P2273" t="str">
        <f t="shared" si="286"/>
        <v>Large Order</v>
      </c>
      <c r="Q2273" t="str">
        <f t="shared" si="287"/>
        <v>Weekday</v>
      </c>
    </row>
    <row r="2274" spans="1:17" x14ac:dyDescent="0.35">
      <c r="A2274" t="s">
        <v>2424</v>
      </c>
      <c r="B2274" s="7">
        <v>45656</v>
      </c>
      <c r="C2274" s="13">
        <f t="shared" si="281"/>
        <v>2024</v>
      </c>
      <c r="D2274" s="7" t="str">
        <f t="shared" si="282"/>
        <v>Dec</v>
      </c>
      <c r="E2274" s="7" t="str">
        <f t="shared" si="283"/>
        <v>Mon</v>
      </c>
      <c r="F2274" t="s">
        <v>312</v>
      </c>
      <c r="G2274" t="s">
        <v>74</v>
      </c>
      <c r="H2274" t="s">
        <v>11</v>
      </c>
      <c r="I2274" s="2" t="str">
        <f t="shared" si="280"/>
        <v>West</v>
      </c>
      <c r="J2274" t="s">
        <v>56</v>
      </c>
      <c r="K2274" t="s">
        <v>28</v>
      </c>
      <c r="L2274">
        <v>6</v>
      </c>
      <c r="M2274">
        <v>120</v>
      </c>
      <c r="N2274">
        <f t="shared" si="284"/>
        <v>720</v>
      </c>
      <c r="O2274">
        <f t="shared" si="285"/>
        <v>72</v>
      </c>
      <c r="P2274" t="str">
        <f t="shared" si="286"/>
        <v>Large Order</v>
      </c>
      <c r="Q2274" t="str">
        <f t="shared" si="287"/>
        <v>Weekday</v>
      </c>
    </row>
    <row r="2275" spans="1:17" x14ac:dyDescent="0.35">
      <c r="A2275" t="s">
        <v>2425</v>
      </c>
      <c r="B2275" s="7">
        <v>45313</v>
      </c>
      <c r="C2275" s="13">
        <f t="shared" si="281"/>
        <v>2024</v>
      </c>
      <c r="D2275" s="7" t="str">
        <f t="shared" si="282"/>
        <v>Jan</v>
      </c>
      <c r="E2275" s="7" t="str">
        <f t="shared" si="283"/>
        <v>Mon</v>
      </c>
      <c r="F2275" t="s">
        <v>38</v>
      </c>
      <c r="G2275" t="s">
        <v>59</v>
      </c>
      <c r="H2275" t="s">
        <v>11</v>
      </c>
      <c r="I2275" s="2" t="str">
        <f t="shared" si="280"/>
        <v>East</v>
      </c>
      <c r="J2275" t="s">
        <v>27</v>
      </c>
      <c r="K2275" t="s">
        <v>32</v>
      </c>
      <c r="L2275">
        <v>12</v>
      </c>
      <c r="M2275">
        <v>120</v>
      </c>
      <c r="N2275">
        <f t="shared" si="284"/>
        <v>1440</v>
      </c>
      <c r="O2275">
        <f t="shared" si="285"/>
        <v>144</v>
      </c>
      <c r="P2275" t="str">
        <f t="shared" si="286"/>
        <v>Large Order</v>
      </c>
      <c r="Q2275" t="str">
        <f t="shared" si="287"/>
        <v>Weekday</v>
      </c>
    </row>
    <row r="2276" spans="1:17" x14ac:dyDescent="0.35">
      <c r="A2276" t="s">
        <v>2426</v>
      </c>
      <c r="B2276" s="7">
        <v>45579</v>
      </c>
      <c r="C2276" s="13">
        <f t="shared" si="281"/>
        <v>2024</v>
      </c>
      <c r="D2276" s="7" t="str">
        <f t="shared" si="282"/>
        <v>Oct</v>
      </c>
      <c r="E2276" s="7" t="str">
        <f t="shared" si="283"/>
        <v>Mon</v>
      </c>
      <c r="F2276" t="s">
        <v>369</v>
      </c>
      <c r="G2276" t="s">
        <v>79</v>
      </c>
      <c r="H2276" t="s">
        <v>22</v>
      </c>
      <c r="I2276" s="2" t="str">
        <f t="shared" si="280"/>
        <v>North</v>
      </c>
      <c r="J2276" t="s">
        <v>42</v>
      </c>
      <c r="K2276" t="s">
        <v>32</v>
      </c>
      <c r="L2276">
        <v>5</v>
      </c>
      <c r="M2276">
        <v>120</v>
      </c>
      <c r="N2276">
        <f t="shared" si="284"/>
        <v>600</v>
      </c>
      <c r="O2276">
        <f t="shared" si="285"/>
        <v>60</v>
      </c>
      <c r="P2276" t="str">
        <f t="shared" si="286"/>
        <v>Large Order</v>
      </c>
      <c r="Q2276" t="str">
        <f t="shared" si="287"/>
        <v>Weekday</v>
      </c>
    </row>
    <row r="2277" spans="1:17" x14ac:dyDescent="0.35">
      <c r="A2277" t="s">
        <v>2427</v>
      </c>
      <c r="B2277" s="7">
        <v>45568</v>
      </c>
      <c r="C2277" s="13">
        <f t="shared" si="281"/>
        <v>2024</v>
      </c>
      <c r="D2277" s="7" t="str">
        <f t="shared" si="282"/>
        <v>Oct</v>
      </c>
      <c r="E2277" s="7" t="str">
        <f t="shared" si="283"/>
        <v>Thu</v>
      </c>
      <c r="F2277" t="s">
        <v>111</v>
      </c>
      <c r="G2277" t="s">
        <v>174</v>
      </c>
      <c r="H2277" t="s">
        <v>17</v>
      </c>
      <c r="I2277" s="2" t="str">
        <f t="shared" si="280"/>
        <v>North</v>
      </c>
      <c r="J2277" t="s">
        <v>12</v>
      </c>
      <c r="K2277" t="s">
        <v>13</v>
      </c>
      <c r="L2277">
        <v>13</v>
      </c>
      <c r="M2277">
        <v>120</v>
      </c>
      <c r="N2277">
        <f t="shared" si="284"/>
        <v>1560</v>
      </c>
      <c r="O2277">
        <f t="shared" si="285"/>
        <v>156</v>
      </c>
      <c r="P2277" t="str">
        <f t="shared" si="286"/>
        <v>Large Order</v>
      </c>
      <c r="Q2277" t="str">
        <f t="shared" si="287"/>
        <v>Weekday</v>
      </c>
    </row>
    <row r="2278" spans="1:17" x14ac:dyDescent="0.35">
      <c r="A2278" t="s">
        <v>2428</v>
      </c>
      <c r="B2278" s="7">
        <v>45366</v>
      </c>
      <c r="C2278" s="13">
        <f t="shared" si="281"/>
        <v>2024</v>
      </c>
      <c r="D2278" s="7" t="str">
        <f t="shared" si="282"/>
        <v>Mar</v>
      </c>
      <c r="E2278" s="7" t="str">
        <f t="shared" si="283"/>
        <v>Fri</v>
      </c>
      <c r="F2278" t="s">
        <v>366</v>
      </c>
      <c r="G2278" t="s">
        <v>72</v>
      </c>
      <c r="H2278" t="s">
        <v>11</v>
      </c>
      <c r="I2278" s="2" t="str">
        <f t="shared" si="280"/>
        <v>Central</v>
      </c>
      <c r="J2278" t="s">
        <v>12</v>
      </c>
      <c r="K2278" t="s">
        <v>36</v>
      </c>
      <c r="L2278">
        <v>17</v>
      </c>
      <c r="M2278">
        <v>120</v>
      </c>
      <c r="N2278">
        <f t="shared" si="284"/>
        <v>2040</v>
      </c>
      <c r="O2278">
        <f t="shared" si="285"/>
        <v>204</v>
      </c>
      <c r="P2278" t="str">
        <f t="shared" si="286"/>
        <v>Large Order</v>
      </c>
      <c r="Q2278" t="str">
        <f t="shared" si="287"/>
        <v>Weekday</v>
      </c>
    </row>
    <row r="2279" spans="1:17" x14ac:dyDescent="0.35">
      <c r="A2279" t="s">
        <v>2429</v>
      </c>
      <c r="B2279" s="7">
        <v>45653</v>
      </c>
      <c r="C2279" s="13">
        <f t="shared" si="281"/>
        <v>2024</v>
      </c>
      <c r="D2279" s="7" t="str">
        <f t="shared" si="282"/>
        <v>Dec</v>
      </c>
      <c r="E2279" s="7" t="str">
        <f t="shared" si="283"/>
        <v>Fri</v>
      </c>
      <c r="F2279" t="s">
        <v>61</v>
      </c>
      <c r="G2279" t="s">
        <v>35</v>
      </c>
      <c r="H2279" t="s">
        <v>17</v>
      </c>
      <c r="I2279" s="2" t="str">
        <f t="shared" si="280"/>
        <v>West</v>
      </c>
      <c r="J2279" t="s">
        <v>306</v>
      </c>
      <c r="K2279" t="s">
        <v>28</v>
      </c>
      <c r="L2279">
        <v>19</v>
      </c>
      <c r="M2279">
        <v>120</v>
      </c>
      <c r="N2279">
        <f t="shared" si="284"/>
        <v>2280</v>
      </c>
      <c r="O2279">
        <f t="shared" si="285"/>
        <v>228</v>
      </c>
      <c r="P2279" t="str">
        <f t="shared" si="286"/>
        <v>Large Order</v>
      </c>
      <c r="Q2279" t="str">
        <f t="shared" si="287"/>
        <v>Weekday</v>
      </c>
    </row>
    <row r="2280" spans="1:17" x14ac:dyDescent="0.35">
      <c r="A2280" t="s">
        <v>2430</v>
      </c>
      <c r="B2280" s="7">
        <v>45518</v>
      </c>
      <c r="C2280" s="13">
        <f t="shared" si="281"/>
        <v>2024</v>
      </c>
      <c r="D2280" s="7" t="str">
        <f t="shared" si="282"/>
        <v>Aug</v>
      </c>
      <c r="E2280" s="7" t="str">
        <f t="shared" si="283"/>
        <v>Wed</v>
      </c>
      <c r="F2280" t="s">
        <v>47</v>
      </c>
      <c r="G2280" t="s">
        <v>62</v>
      </c>
      <c r="H2280" t="s">
        <v>11</v>
      </c>
      <c r="I2280" s="2" t="str">
        <f t="shared" si="280"/>
        <v>Central</v>
      </c>
      <c r="J2280" t="s">
        <v>27</v>
      </c>
      <c r="K2280" t="s">
        <v>13</v>
      </c>
      <c r="L2280">
        <v>5</v>
      </c>
      <c r="M2280">
        <v>120</v>
      </c>
      <c r="N2280">
        <f t="shared" si="284"/>
        <v>600</v>
      </c>
      <c r="O2280">
        <f t="shared" si="285"/>
        <v>60</v>
      </c>
      <c r="P2280" t="str">
        <f t="shared" si="286"/>
        <v>Large Order</v>
      </c>
      <c r="Q2280" t="str">
        <f t="shared" si="287"/>
        <v>Weekday</v>
      </c>
    </row>
    <row r="2281" spans="1:17" x14ac:dyDescent="0.35">
      <c r="A2281" t="s">
        <v>2431</v>
      </c>
      <c r="B2281" s="7">
        <v>45351</v>
      </c>
      <c r="C2281" s="13">
        <f t="shared" si="281"/>
        <v>2024</v>
      </c>
      <c r="D2281" s="7" t="str">
        <f t="shared" si="282"/>
        <v>Feb</v>
      </c>
      <c r="E2281" s="7" t="str">
        <f t="shared" si="283"/>
        <v>Thu</v>
      </c>
      <c r="F2281" t="s">
        <v>147</v>
      </c>
      <c r="G2281" t="s">
        <v>96</v>
      </c>
      <c r="H2281" t="s">
        <v>17</v>
      </c>
      <c r="I2281" s="2" t="str">
        <f t="shared" si="280"/>
        <v>South</v>
      </c>
      <c r="J2281" t="s">
        <v>306</v>
      </c>
      <c r="K2281" t="s">
        <v>28</v>
      </c>
      <c r="L2281">
        <v>15</v>
      </c>
      <c r="M2281">
        <v>120</v>
      </c>
      <c r="N2281">
        <f t="shared" si="284"/>
        <v>1800</v>
      </c>
      <c r="O2281">
        <f t="shared" si="285"/>
        <v>180</v>
      </c>
      <c r="P2281" t="str">
        <f t="shared" si="286"/>
        <v>Large Order</v>
      </c>
      <c r="Q2281" t="str">
        <f t="shared" si="287"/>
        <v>Weekday</v>
      </c>
    </row>
    <row r="2282" spans="1:17" x14ac:dyDescent="0.35">
      <c r="A2282" t="s">
        <v>2432</v>
      </c>
      <c r="B2282" s="7">
        <v>45459</v>
      </c>
      <c r="C2282" s="13">
        <f t="shared" si="281"/>
        <v>2024</v>
      </c>
      <c r="D2282" s="7" t="str">
        <f t="shared" si="282"/>
        <v>Jun</v>
      </c>
      <c r="E2282" s="7" t="str">
        <f t="shared" si="283"/>
        <v>Sun</v>
      </c>
      <c r="F2282" t="s">
        <v>131</v>
      </c>
      <c r="G2282" t="s">
        <v>109</v>
      </c>
      <c r="H2282" t="s">
        <v>22</v>
      </c>
      <c r="I2282" s="2" t="str">
        <f t="shared" si="280"/>
        <v>Central</v>
      </c>
      <c r="J2282" t="s">
        <v>56</v>
      </c>
      <c r="K2282" t="s">
        <v>36</v>
      </c>
      <c r="L2282">
        <v>17</v>
      </c>
      <c r="M2282">
        <v>120</v>
      </c>
      <c r="N2282">
        <f t="shared" si="284"/>
        <v>2040</v>
      </c>
      <c r="O2282">
        <f t="shared" si="285"/>
        <v>204</v>
      </c>
      <c r="P2282" t="str">
        <f t="shared" si="286"/>
        <v>Large Order</v>
      </c>
      <c r="Q2282" t="str">
        <f t="shared" si="287"/>
        <v>Weekend</v>
      </c>
    </row>
    <row r="2283" spans="1:17" x14ac:dyDescent="0.35">
      <c r="A2283" t="s">
        <v>2433</v>
      </c>
      <c r="B2283" s="7">
        <v>45434</v>
      </c>
      <c r="C2283" s="13">
        <f t="shared" si="281"/>
        <v>2024</v>
      </c>
      <c r="D2283" s="7" t="str">
        <f t="shared" si="282"/>
        <v>May</v>
      </c>
      <c r="E2283" s="7" t="str">
        <f t="shared" si="283"/>
        <v>Wed</v>
      </c>
      <c r="F2283" t="s">
        <v>104</v>
      </c>
      <c r="G2283" t="s">
        <v>96</v>
      </c>
      <c r="H2283" t="s">
        <v>11</v>
      </c>
      <c r="I2283" s="2" t="str">
        <f t="shared" si="280"/>
        <v>Central</v>
      </c>
      <c r="J2283" t="s">
        <v>306</v>
      </c>
      <c r="K2283" t="s">
        <v>23</v>
      </c>
      <c r="L2283">
        <v>3</v>
      </c>
      <c r="M2283">
        <v>120</v>
      </c>
      <c r="N2283">
        <f t="shared" si="284"/>
        <v>360</v>
      </c>
      <c r="O2283">
        <f t="shared" si="285"/>
        <v>36</v>
      </c>
      <c r="P2283" t="str">
        <f t="shared" si="286"/>
        <v>Standard Order</v>
      </c>
      <c r="Q2283" t="str">
        <f t="shared" si="287"/>
        <v>Weekday</v>
      </c>
    </row>
    <row r="2284" spans="1:17" x14ac:dyDescent="0.35">
      <c r="A2284" t="s">
        <v>2434</v>
      </c>
      <c r="B2284" s="7">
        <v>45493</v>
      </c>
      <c r="C2284" s="13">
        <f t="shared" si="281"/>
        <v>2024</v>
      </c>
      <c r="D2284" s="7" t="str">
        <f t="shared" si="282"/>
        <v>Jul</v>
      </c>
      <c r="E2284" s="7" t="str">
        <f t="shared" si="283"/>
        <v>Sat</v>
      </c>
      <c r="F2284" t="s">
        <v>150</v>
      </c>
      <c r="G2284" t="s">
        <v>35</v>
      </c>
      <c r="H2284" t="s">
        <v>17</v>
      </c>
      <c r="I2284" s="2" t="str">
        <f t="shared" si="280"/>
        <v>West</v>
      </c>
      <c r="J2284" t="s">
        <v>306</v>
      </c>
      <c r="K2284" t="s">
        <v>36</v>
      </c>
      <c r="L2284">
        <v>17</v>
      </c>
      <c r="M2284">
        <v>120</v>
      </c>
      <c r="N2284">
        <f t="shared" si="284"/>
        <v>2040</v>
      </c>
      <c r="O2284">
        <f t="shared" si="285"/>
        <v>204</v>
      </c>
      <c r="P2284" t="str">
        <f t="shared" si="286"/>
        <v>Large Order</v>
      </c>
      <c r="Q2284" t="str">
        <f t="shared" si="287"/>
        <v>Weekend</v>
      </c>
    </row>
    <row r="2285" spans="1:17" x14ac:dyDescent="0.35">
      <c r="A2285" t="s">
        <v>2435</v>
      </c>
      <c r="B2285" s="7">
        <v>45633</v>
      </c>
      <c r="C2285" s="13">
        <f t="shared" si="281"/>
        <v>2024</v>
      </c>
      <c r="D2285" s="7" t="str">
        <f t="shared" si="282"/>
        <v>Dec</v>
      </c>
      <c r="E2285" s="7" t="str">
        <f t="shared" si="283"/>
        <v>Sat</v>
      </c>
      <c r="F2285" t="s">
        <v>83</v>
      </c>
      <c r="G2285" t="s">
        <v>31</v>
      </c>
      <c r="H2285" t="s">
        <v>11</v>
      </c>
      <c r="I2285" s="2" t="str">
        <f t="shared" si="280"/>
        <v>West</v>
      </c>
      <c r="J2285" t="s">
        <v>27</v>
      </c>
      <c r="K2285" t="s">
        <v>32</v>
      </c>
      <c r="L2285">
        <v>13</v>
      </c>
      <c r="M2285">
        <v>120</v>
      </c>
      <c r="N2285">
        <f t="shared" si="284"/>
        <v>1560</v>
      </c>
      <c r="O2285">
        <f t="shared" si="285"/>
        <v>156</v>
      </c>
      <c r="P2285" t="str">
        <f t="shared" si="286"/>
        <v>Large Order</v>
      </c>
      <c r="Q2285" t="str">
        <f t="shared" si="287"/>
        <v>Weekend</v>
      </c>
    </row>
    <row r="2286" spans="1:17" x14ac:dyDescent="0.35">
      <c r="A2286" t="s">
        <v>2436</v>
      </c>
      <c r="B2286" s="7">
        <v>45437</v>
      </c>
      <c r="C2286" s="13">
        <f t="shared" si="281"/>
        <v>2024</v>
      </c>
      <c r="D2286" s="7" t="str">
        <f t="shared" si="282"/>
        <v>May</v>
      </c>
      <c r="E2286" s="7" t="str">
        <f t="shared" si="283"/>
        <v>Sat</v>
      </c>
      <c r="F2286" t="s">
        <v>20</v>
      </c>
      <c r="G2286" t="s">
        <v>48</v>
      </c>
      <c r="H2286" t="s">
        <v>17</v>
      </c>
      <c r="I2286" s="2" t="str">
        <f t="shared" si="280"/>
        <v>East</v>
      </c>
      <c r="J2286" t="s">
        <v>27</v>
      </c>
      <c r="K2286" t="s">
        <v>36</v>
      </c>
      <c r="L2286">
        <v>3</v>
      </c>
      <c r="M2286">
        <v>120</v>
      </c>
      <c r="N2286">
        <f t="shared" si="284"/>
        <v>360</v>
      </c>
      <c r="O2286">
        <f t="shared" si="285"/>
        <v>36</v>
      </c>
      <c r="P2286" t="str">
        <f t="shared" si="286"/>
        <v>Standard Order</v>
      </c>
      <c r="Q2286" t="str">
        <f t="shared" si="287"/>
        <v>Weekend</v>
      </c>
    </row>
    <row r="2287" spans="1:17" x14ac:dyDescent="0.35">
      <c r="A2287" t="s">
        <v>2437</v>
      </c>
      <c r="B2287" s="7">
        <v>45519</v>
      </c>
      <c r="C2287" s="13">
        <f t="shared" si="281"/>
        <v>2024</v>
      </c>
      <c r="D2287" s="7" t="str">
        <f t="shared" si="282"/>
        <v>Aug</v>
      </c>
      <c r="E2287" s="7" t="str">
        <f t="shared" si="283"/>
        <v>Thu</v>
      </c>
      <c r="F2287" t="s">
        <v>304</v>
      </c>
      <c r="G2287" t="s">
        <v>87</v>
      </c>
      <c r="H2287" t="s">
        <v>17</v>
      </c>
      <c r="I2287" s="2" t="str">
        <f t="shared" si="280"/>
        <v>North</v>
      </c>
      <c r="J2287" t="s">
        <v>42</v>
      </c>
      <c r="K2287" t="s">
        <v>28</v>
      </c>
      <c r="L2287">
        <v>14</v>
      </c>
      <c r="M2287">
        <v>120</v>
      </c>
      <c r="N2287">
        <f t="shared" si="284"/>
        <v>1680</v>
      </c>
      <c r="O2287">
        <f t="shared" si="285"/>
        <v>168</v>
      </c>
      <c r="P2287" t="str">
        <f t="shared" si="286"/>
        <v>Large Order</v>
      </c>
      <c r="Q2287" t="str">
        <f t="shared" si="287"/>
        <v>Weekday</v>
      </c>
    </row>
    <row r="2288" spans="1:17" x14ac:dyDescent="0.35">
      <c r="A2288" t="s">
        <v>2438</v>
      </c>
      <c r="B2288" s="7">
        <v>45504</v>
      </c>
      <c r="C2288" s="13">
        <f t="shared" si="281"/>
        <v>2024</v>
      </c>
      <c r="D2288" s="7" t="str">
        <f t="shared" si="282"/>
        <v>Jul</v>
      </c>
      <c r="E2288" s="7" t="str">
        <f t="shared" si="283"/>
        <v>Wed</v>
      </c>
      <c r="F2288" t="s">
        <v>99</v>
      </c>
      <c r="G2288" t="s">
        <v>59</v>
      </c>
      <c r="H2288" t="s">
        <v>22</v>
      </c>
      <c r="I2288" s="2" t="str">
        <f t="shared" si="280"/>
        <v>West</v>
      </c>
      <c r="J2288" t="s">
        <v>12</v>
      </c>
      <c r="K2288" t="s">
        <v>28</v>
      </c>
      <c r="L2288">
        <v>7</v>
      </c>
      <c r="M2288">
        <v>120</v>
      </c>
      <c r="N2288">
        <f t="shared" si="284"/>
        <v>840</v>
      </c>
      <c r="O2288">
        <f t="shared" si="285"/>
        <v>84</v>
      </c>
      <c r="P2288" t="str">
        <f t="shared" si="286"/>
        <v>Large Order</v>
      </c>
      <c r="Q2288" t="str">
        <f t="shared" si="287"/>
        <v>Weekday</v>
      </c>
    </row>
    <row r="2289" spans="1:17" x14ac:dyDescent="0.35">
      <c r="A2289" t="s">
        <v>2439</v>
      </c>
      <c r="B2289" s="7">
        <v>45560</v>
      </c>
      <c r="C2289" s="13">
        <f t="shared" si="281"/>
        <v>2024</v>
      </c>
      <c r="D2289" s="7" t="str">
        <f t="shared" si="282"/>
        <v>Sep</v>
      </c>
      <c r="E2289" s="7" t="str">
        <f t="shared" si="283"/>
        <v>Wed</v>
      </c>
      <c r="F2289" t="s">
        <v>118</v>
      </c>
      <c r="G2289" t="s">
        <v>10</v>
      </c>
      <c r="H2289" t="s">
        <v>22</v>
      </c>
      <c r="I2289" s="2" t="str">
        <f t="shared" si="280"/>
        <v>West</v>
      </c>
      <c r="J2289" t="s">
        <v>27</v>
      </c>
      <c r="K2289" t="s">
        <v>13</v>
      </c>
      <c r="L2289">
        <v>1</v>
      </c>
      <c r="M2289">
        <v>120</v>
      </c>
      <c r="N2289">
        <f t="shared" si="284"/>
        <v>120</v>
      </c>
      <c r="O2289">
        <f t="shared" si="285"/>
        <v>12</v>
      </c>
      <c r="P2289" t="str">
        <f t="shared" si="286"/>
        <v>Standard Order</v>
      </c>
      <c r="Q2289" t="str">
        <f t="shared" si="287"/>
        <v>Weekday</v>
      </c>
    </row>
    <row r="2290" spans="1:17" x14ac:dyDescent="0.35">
      <c r="A2290" t="s">
        <v>2440</v>
      </c>
      <c r="B2290" s="7">
        <v>45431</v>
      </c>
      <c r="C2290" s="13">
        <f t="shared" si="281"/>
        <v>2024</v>
      </c>
      <c r="D2290" s="7" t="str">
        <f t="shared" si="282"/>
        <v>May</v>
      </c>
      <c r="E2290" s="7" t="str">
        <f t="shared" si="283"/>
        <v>Sun</v>
      </c>
      <c r="F2290" t="s">
        <v>572</v>
      </c>
      <c r="G2290" t="s">
        <v>45</v>
      </c>
      <c r="H2290" t="s">
        <v>22</v>
      </c>
      <c r="I2290" s="2" t="str">
        <f t="shared" si="280"/>
        <v>North</v>
      </c>
      <c r="J2290" t="s">
        <v>27</v>
      </c>
      <c r="K2290" t="s">
        <v>36</v>
      </c>
      <c r="L2290">
        <v>5</v>
      </c>
      <c r="M2290">
        <v>120</v>
      </c>
      <c r="N2290">
        <f t="shared" si="284"/>
        <v>600</v>
      </c>
      <c r="O2290">
        <f t="shared" si="285"/>
        <v>60</v>
      </c>
      <c r="P2290" t="str">
        <f t="shared" si="286"/>
        <v>Large Order</v>
      </c>
      <c r="Q2290" t="str">
        <f t="shared" si="287"/>
        <v>Weekend</v>
      </c>
    </row>
    <row r="2291" spans="1:17" x14ac:dyDescent="0.35">
      <c r="A2291" t="s">
        <v>2441</v>
      </c>
      <c r="B2291" s="7">
        <v>45487</v>
      </c>
      <c r="C2291" s="13">
        <f t="shared" si="281"/>
        <v>2024</v>
      </c>
      <c r="D2291" s="7" t="str">
        <f t="shared" si="282"/>
        <v>Jul</v>
      </c>
      <c r="E2291" s="7" t="str">
        <f t="shared" si="283"/>
        <v>Sun</v>
      </c>
      <c r="F2291" t="s">
        <v>61</v>
      </c>
      <c r="G2291" t="s">
        <v>174</v>
      </c>
      <c r="H2291" t="s">
        <v>17</v>
      </c>
      <c r="I2291" s="2" t="str">
        <f t="shared" si="280"/>
        <v>North</v>
      </c>
      <c r="J2291" t="s">
        <v>12</v>
      </c>
      <c r="K2291" t="s">
        <v>32</v>
      </c>
      <c r="L2291">
        <v>19</v>
      </c>
      <c r="M2291">
        <v>120</v>
      </c>
      <c r="N2291">
        <f t="shared" si="284"/>
        <v>2280</v>
      </c>
      <c r="O2291">
        <f t="shared" si="285"/>
        <v>228</v>
      </c>
      <c r="P2291" t="str">
        <f t="shared" si="286"/>
        <v>Large Order</v>
      </c>
      <c r="Q2291" t="str">
        <f t="shared" si="287"/>
        <v>Weekend</v>
      </c>
    </row>
    <row r="2292" spans="1:17" x14ac:dyDescent="0.35">
      <c r="A2292" t="s">
        <v>2442</v>
      </c>
      <c r="B2292" s="7">
        <v>45578</v>
      </c>
      <c r="C2292" s="13">
        <f t="shared" si="281"/>
        <v>2024</v>
      </c>
      <c r="D2292" s="7" t="str">
        <f t="shared" si="282"/>
        <v>Oct</v>
      </c>
      <c r="E2292" s="7" t="str">
        <f t="shared" si="283"/>
        <v>Sun</v>
      </c>
      <c r="F2292" t="s">
        <v>304</v>
      </c>
      <c r="G2292" t="s">
        <v>70</v>
      </c>
      <c r="H2292" t="s">
        <v>11</v>
      </c>
      <c r="I2292" s="2" t="str">
        <f t="shared" si="280"/>
        <v>East</v>
      </c>
      <c r="J2292" t="s">
        <v>12</v>
      </c>
      <c r="K2292" t="s">
        <v>13</v>
      </c>
      <c r="L2292">
        <v>5</v>
      </c>
      <c r="M2292">
        <v>120</v>
      </c>
      <c r="N2292">
        <f t="shared" si="284"/>
        <v>600</v>
      </c>
      <c r="O2292">
        <f t="shared" si="285"/>
        <v>60</v>
      </c>
      <c r="P2292" t="str">
        <f t="shared" si="286"/>
        <v>Large Order</v>
      </c>
      <c r="Q2292" t="str">
        <f t="shared" si="287"/>
        <v>Weekend</v>
      </c>
    </row>
    <row r="2293" spans="1:17" x14ac:dyDescent="0.35">
      <c r="A2293" t="s">
        <v>2443</v>
      </c>
      <c r="B2293" s="7">
        <v>45619</v>
      </c>
      <c r="C2293" s="13">
        <f t="shared" si="281"/>
        <v>2024</v>
      </c>
      <c r="D2293" s="7" t="str">
        <f t="shared" si="282"/>
        <v>Nov</v>
      </c>
      <c r="E2293" s="7" t="str">
        <f t="shared" si="283"/>
        <v>Sat</v>
      </c>
      <c r="F2293" t="s">
        <v>541</v>
      </c>
      <c r="G2293" t="s">
        <v>35</v>
      </c>
      <c r="H2293" t="s">
        <v>11</v>
      </c>
      <c r="I2293" s="2" t="str">
        <f t="shared" si="280"/>
        <v>North</v>
      </c>
      <c r="J2293" t="s">
        <v>42</v>
      </c>
      <c r="K2293" t="s">
        <v>23</v>
      </c>
      <c r="L2293">
        <v>6</v>
      </c>
      <c r="M2293">
        <v>120</v>
      </c>
      <c r="N2293">
        <f t="shared" si="284"/>
        <v>720</v>
      </c>
      <c r="O2293">
        <f t="shared" si="285"/>
        <v>72</v>
      </c>
      <c r="P2293" t="str">
        <f t="shared" si="286"/>
        <v>Large Order</v>
      </c>
      <c r="Q2293" t="str">
        <f t="shared" si="287"/>
        <v>Weekend</v>
      </c>
    </row>
    <row r="2294" spans="1:17" x14ac:dyDescent="0.35">
      <c r="A2294" t="s">
        <v>2444</v>
      </c>
      <c r="B2294" s="7">
        <v>45644</v>
      </c>
      <c r="C2294" s="13">
        <f t="shared" si="281"/>
        <v>2024</v>
      </c>
      <c r="D2294" s="7" t="str">
        <f t="shared" si="282"/>
        <v>Dec</v>
      </c>
      <c r="E2294" s="7" t="str">
        <f t="shared" si="283"/>
        <v>Wed</v>
      </c>
      <c r="F2294" t="s">
        <v>736</v>
      </c>
      <c r="G2294" t="s">
        <v>197</v>
      </c>
      <c r="H2294" t="s">
        <v>11</v>
      </c>
      <c r="I2294" s="2" t="str">
        <f t="shared" si="280"/>
        <v>Central</v>
      </c>
      <c r="J2294" t="s">
        <v>12</v>
      </c>
      <c r="K2294" t="s">
        <v>32</v>
      </c>
      <c r="L2294">
        <v>16</v>
      </c>
      <c r="M2294">
        <v>120</v>
      </c>
      <c r="N2294">
        <f t="shared" si="284"/>
        <v>1920</v>
      </c>
      <c r="O2294">
        <f t="shared" si="285"/>
        <v>192</v>
      </c>
      <c r="P2294" t="str">
        <f t="shared" si="286"/>
        <v>Large Order</v>
      </c>
      <c r="Q2294" t="str">
        <f t="shared" si="287"/>
        <v>Weekday</v>
      </c>
    </row>
    <row r="2295" spans="1:17" x14ac:dyDescent="0.35">
      <c r="A2295" t="s">
        <v>2445</v>
      </c>
      <c r="B2295" s="7">
        <v>45326</v>
      </c>
      <c r="C2295" s="13">
        <f t="shared" si="281"/>
        <v>2024</v>
      </c>
      <c r="D2295" s="7" t="str">
        <f t="shared" si="282"/>
        <v>Feb</v>
      </c>
      <c r="E2295" s="7" t="str">
        <f t="shared" si="283"/>
        <v>Sun</v>
      </c>
      <c r="F2295" t="s">
        <v>327</v>
      </c>
      <c r="G2295" t="s">
        <v>84</v>
      </c>
      <c r="H2295" t="s">
        <v>17</v>
      </c>
      <c r="I2295" s="2" t="str">
        <f t="shared" si="280"/>
        <v>North</v>
      </c>
      <c r="J2295" t="s">
        <v>306</v>
      </c>
      <c r="K2295" t="s">
        <v>23</v>
      </c>
      <c r="L2295">
        <v>19</v>
      </c>
      <c r="M2295">
        <v>120</v>
      </c>
      <c r="N2295">
        <f t="shared" si="284"/>
        <v>2280</v>
      </c>
      <c r="O2295">
        <f t="shared" si="285"/>
        <v>228</v>
      </c>
      <c r="P2295" t="str">
        <f t="shared" si="286"/>
        <v>Large Order</v>
      </c>
      <c r="Q2295" t="str">
        <f t="shared" si="287"/>
        <v>Weekend</v>
      </c>
    </row>
    <row r="2296" spans="1:17" x14ac:dyDescent="0.35">
      <c r="A2296" t="s">
        <v>2446</v>
      </c>
      <c r="B2296" s="7">
        <v>45424</v>
      </c>
      <c r="C2296" s="13">
        <f t="shared" si="281"/>
        <v>2024</v>
      </c>
      <c r="D2296" s="7" t="str">
        <f t="shared" si="282"/>
        <v>May</v>
      </c>
      <c r="E2296" s="7" t="str">
        <f t="shared" si="283"/>
        <v>Sun</v>
      </c>
      <c r="F2296" t="s">
        <v>451</v>
      </c>
      <c r="G2296" t="s">
        <v>41</v>
      </c>
      <c r="H2296" t="s">
        <v>17</v>
      </c>
      <c r="I2296" s="2" t="str">
        <f t="shared" si="280"/>
        <v>North</v>
      </c>
      <c r="J2296" t="s">
        <v>12</v>
      </c>
      <c r="K2296" t="s">
        <v>32</v>
      </c>
      <c r="L2296">
        <v>17</v>
      </c>
      <c r="M2296">
        <v>120</v>
      </c>
      <c r="N2296">
        <f t="shared" si="284"/>
        <v>2040</v>
      </c>
      <c r="O2296">
        <f t="shared" si="285"/>
        <v>204</v>
      </c>
      <c r="P2296" t="str">
        <f t="shared" si="286"/>
        <v>Large Order</v>
      </c>
      <c r="Q2296" t="str">
        <f t="shared" si="287"/>
        <v>Weekend</v>
      </c>
    </row>
    <row r="2297" spans="1:17" x14ac:dyDescent="0.35">
      <c r="A2297" t="s">
        <v>2447</v>
      </c>
      <c r="B2297" s="7">
        <v>45300</v>
      </c>
      <c r="C2297" s="13">
        <f t="shared" si="281"/>
        <v>2024</v>
      </c>
      <c r="D2297" s="7" t="str">
        <f t="shared" si="282"/>
        <v>Jan</v>
      </c>
      <c r="E2297" s="7" t="str">
        <f t="shared" si="283"/>
        <v>Tue</v>
      </c>
      <c r="F2297" t="s">
        <v>86</v>
      </c>
      <c r="G2297" t="s">
        <v>45</v>
      </c>
      <c r="H2297" t="s">
        <v>22</v>
      </c>
      <c r="I2297" s="2" t="str">
        <f t="shared" si="280"/>
        <v>North</v>
      </c>
      <c r="J2297" t="s">
        <v>12</v>
      </c>
      <c r="K2297" t="s">
        <v>28</v>
      </c>
      <c r="L2297">
        <v>11</v>
      </c>
      <c r="M2297">
        <v>120</v>
      </c>
      <c r="N2297">
        <f t="shared" si="284"/>
        <v>1320</v>
      </c>
      <c r="O2297">
        <f t="shared" si="285"/>
        <v>132</v>
      </c>
      <c r="P2297" t="str">
        <f t="shared" si="286"/>
        <v>Large Order</v>
      </c>
      <c r="Q2297" t="str">
        <f t="shared" si="287"/>
        <v>Weekday</v>
      </c>
    </row>
    <row r="2298" spans="1:17" x14ac:dyDescent="0.35">
      <c r="A2298" t="s">
        <v>2448</v>
      </c>
      <c r="B2298" s="7">
        <v>45646</v>
      </c>
      <c r="C2298" s="13">
        <f t="shared" si="281"/>
        <v>2024</v>
      </c>
      <c r="D2298" s="7" t="str">
        <f t="shared" si="282"/>
        <v>Dec</v>
      </c>
      <c r="E2298" s="7" t="str">
        <f t="shared" si="283"/>
        <v>Fri</v>
      </c>
      <c r="F2298" t="s">
        <v>99</v>
      </c>
      <c r="G2298" t="s">
        <v>48</v>
      </c>
      <c r="H2298" t="s">
        <v>11</v>
      </c>
      <c r="I2298" s="2" t="str">
        <f t="shared" si="280"/>
        <v>Central</v>
      </c>
      <c r="J2298" t="s">
        <v>12</v>
      </c>
      <c r="K2298" t="s">
        <v>32</v>
      </c>
      <c r="L2298">
        <v>12</v>
      </c>
      <c r="M2298">
        <v>120</v>
      </c>
      <c r="N2298">
        <f t="shared" si="284"/>
        <v>1440</v>
      </c>
      <c r="O2298">
        <f t="shared" si="285"/>
        <v>144</v>
      </c>
      <c r="P2298" t="str">
        <f t="shared" si="286"/>
        <v>Large Order</v>
      </c>
      <c r="Q2298" t="str">
        <f t="shared" si="287"/>
        <v>Weekday</v>
      </c>
    </row>
    <row r="2299" spans="1:17" x14ac:dyDescent="0.35">
      <c r="A2299" t="s">
        <v>2449</v>
      </c>
      <c r="B2299" s="7">
        <v>45474</v>
      </c>
      <c r="C2299" s="13">
        <f t="shared" si="281"/>
        <v>2024</v>
      </c>
      <c r="D2299" s="7" t="str">
        <f t="shared" si="282"/>
        <v>Jul</v>
      </c>
      <c r="E2299" s="7" t="str">
        <f t="shared" si="283"/>
        <v>Mon</v>
      </c>
      <c r="F2299" t="s">
        <v>9</v>
      </c>
      <c r="G2299" t="s">
        <v>74</v>
      </c>
      <c r="H2299" t="s">
        <v>17</v>
      </c>
      <c r="I2299" s="2" t="str">
        <f t="shared" si="280"/>
        <v>Central</v>
      </c>
      <c r="J2299" t="s">
        <v>306</v>
      </c>
      <c r="K2299" t="s">
        <v>13</v>
      </c>
      <c r="L2299">
        <v>17</v>
      </c>
      <c r="M2299">
        <v>120</v>
      </c>
      <c r="N2299">
        <f t="shared" si="284"/>
        <v>2040</v>
      </c>
      <c r="O2299">
        <f t="shared" si="285"/>
        <v>204</v>
      </c>
      <c r="P2299" t="str">
        <f t="shared" si="286"/>
        <v>Large Order</v>
      </c>
      <c r="Q2299" t="str">
        <f t="shared" si="287"/>
        <v>Weekday</v>
      </c>
    </row>
    <row r="2300" spans="1:17" x14ac:dyDescent="0.35">
      <c r="A2300" t="s">
        <v>2450</v>
      </c>
      <c r="B2300" s="7">
        <v>45613</v>
      </c>
      <c r="C2300" s="13">
        <f t="shared" si="281"/>
        <v>2024</v>
      </c>
      <c r="D2300" s="7" t="str">
        <f t="shared" si="282"/>
        <v>Nov</v>
      </c>
      <c r="E2300" s="7" t="str">
        <f t="shared" si="283"/>
        <v>Sun</v>
      </c>
      <c r="F2300" t="s">
        <v>44</v>
      </c>
      <c r="G2300" t="s">
        <v>119</v>
      </c>
      <c r="H2300" t="s">
        <v>11</v>
      </c>
      <c r="I2300" s="2" t="str">
        <f t="shared" si="280"/>
        <v>East</v>
      </c>
      <c r="J2300" t="s">
        <v>306</v>
      </c>
      <c r="K2300" t="s">
        <v>28</v>
      </c>
      <c r="L2300">
        <v>18</v>
      </c>
      <c r="M2300">
        <v>120</v>
      </c>
      <c r="N2300">
        <f t="shared" si="284"/>
        <v>2160</v>
      </c>
      <c r="O2300">
        <f t="shared" si="285"/>
        <v>216</v>
      </c>
      <c r="P2300" t="str">
        <f t="shared" si="286"/>
        <v>Large Order</v>
      </c>
      <c r="Q2300" t="str">
        <f t="shared" si="287"/>
        <v>Weekend</v>
      </c>
    </row>
    <row r="2301" spans="1:17" x14ac:dyDescent="0.35">
      <c r="A2301" t="s">
        <v>2451</v>
      </c>
      <c r="B2301" s="7">
        <v>45453</v>
      </c>
      <c r="C2301" s="13">
        <f t="shared" si="281"/>
        <v>2024</v>
      </c>
      <c r="D2301" s="7" t="str">
        <f t="shared" si="282"/>
        <v>Jun</v>
      </c>
      <c r="E2301" s="7" t="str">
        <f t="shared" si="283"/>
        <v>Mon</v>
      </c>
      <c r="F2301" t="s">
        <v>455</v>
      </c>
      <c r="G2301" t="s">
        <v>74</v>
      </c>
      <c r="H2301" t="s">
        <v>17</v>
      </c>
      <c r="I2301" s="2" t="str">
        <f t="shared" si="280"/>
        <v>East</v>
      </c>
      <c r="J2301" t="s">
        <v>42</v>
      </c>
      <c r="K2301" t="s">
        <v>13</v>
      </c>
      <c r="L2301">
        <v>18</v>
      </c>
      <c r="M2301">
        <v>120</v>
      </c>
      <c r="N2301">
        <f t="shared" si="284"/>
        <v>2160</v>
      </c>
      <c r="O2301">
        <f t="shared" si="285"/>
        <v>216</v>
      </c>
      <c r="P2301" t="str">
        <f t="shared" si="286"/>
        <v>Large Order</v>
      </c>
      <c r="Q2301" t="str">
        <f t="shared" si="287"/>
        <v>Weekday</v>
      </c>
    </row>
    <row r="2302" spans="1:17" x14ac:dyDescent="0.35">
      <c r="A2302" t="s">
        <v>2452</v>
      </c>
      <c r="B2302" s="7">
        <v>45365</v>
      </c>
      <c r="C2302" s="13">
        <f t="shared" si="281"/>
        <v>2024</v>
      </c>
      <c r="D2302" s="7" t="str">
        <f t="shared" si="282"/>
        <v>Mar</v>
      </c>
      <c r="E2302" s="7" t="str">
        <f t="shared" si="283"/>
        <v>Thu</v>
      </c>
      <c r="F2302" t="s">
        <v>142</v>
      </c>
      <c r="G2302" t="s">
        <v>16</v>
      </c>
      <c r="H2302" t="s">
        <v>22</v>
      </c>
      <c r="I2302" s="2" t="str">
        <f t="shared" si="280"/>
        <v>Central</v>
      </c>
      <c r="J2302" t="s">
        <v>42</v>
      </c>
      <c r="K2302" t="s">
        <v>32</v>
      </c>
      <c r="L2302">
        <v>16</v>
      </c>
      <c r="M2302">
        <v>120</v>
      </c>
      <c r="N2302">
        <f t="shared" si="284"/>
        <v>1920</v>
      </c>
      <c r="O2302">
        <f t="shared" si="285"/>
        <v>192</v>
      </c>
      <c r="P2302" t="str">
        <f t="shared" si="286"/>
        <v>Large Order</v>
      </c>
      <c r="Q2302" t="str">
        <f t="shared" si="287"/>
        <v>Weekday</v>
      </c>
    </row>
    <row r="2303" spans="1:17" x14ac:dyDescent="0.35">
      <c r="A2303" t="s">
        <v>2453</v>
      </c>
      <c r="B2303" s="7">
        <v>45375</v>
      </c>
      <c r="C2303" s="13">
        <f t="shared" si="281"/>
        <v>2024</v>
      </c>
      <c r="D2303" s="7" t="str">
        <f t="shared" si="282"/>
        <v>Mar</v>
      </c>
      <c r="E2303" s="7" t="str">
        <f t="shared" si="283"/>
        <v>Sun</v>
      </c>
      <c r="F2303" t="s">
        <v>15</v>
      </c>
      <c r="G2303" t="s">
        <v>65</v>
      </c>
      <c r="H2303" t="s">
        <v>11</v>
      </c>
      <c r="I2303" s="2" t="str">
        <f t="shared" si="280"/>
        <v>Central</v>
      </c>
      <c r="J2303" t="s">
        <v>306</v>
      </c>
      <c r="K2303" t="s">
        <v>28</v>
      </c>
      <c r="L2303">
        <v>7</v>
      </c>
      <c r="M2303">
        <v>120</v>
      </c>
      <c r="N2303">
        <f t="shared" si="284"/>
        <v>840</v>
      </c>
      <c r="O2303">
        <f t="shared" si="285"/>
        <v>84</v>
      </c>
      <c r="P2303" t="str">
        <f t="shared" si="286"/>
        <v>Large Order</v>
      </c>
      <c r="Q2303" t="str">
        <f t="shared" si="287"/>
        <v>Weekend</v>
      </c>
    </row>
    <row r="2304" spans="1:17" x14ac:dyDescent="0.35">
      <c r="A2304" t="s">
        <v>2454</v>
      </c>
      <c r="B2304" s="7">
        <v>45578</v>
      </c>
      <c r="C2304" s="13">
        <f t="shared" si="281"/>
        <v>2024</v>
      </c>
      <c r="D2304" s="7" t="str">
        <f t="shared" si="282"/>
        <v>Oct</v>
      </c>
      <c r="E2304" s="7" t="str">
        <f t="shared" si="283"/>
        <v>Sun</v>
      </c>
      <c r="F2304" t="s">
        <v>594</v>
      </c>
      <c r="G2304" t="s">
        <v>62</v>
      </c>
      <c r="H2304" t="s">
        <v>22</v>
      </c>
      <c r="I2304" s="2" t="str">
        <f t="shared" si="280"/>
        <v>West</v>
      </c>
      <c r="J2304" t="s">
        <v>306</v>
      </c>
      <c r="K2304" t="s">
        <v>36</v>
      </c>
      <c r="L2304">
        <v>4</v>
      </c>
      <c r="M2304">
        <v>120</v>
      </c>
      <c r="N2304">
        <f t="shared" si="284"/>
        <v>480</v>
      </c>
      <c r="O2304">
        <f t="shared" si="285"/>
        <v>48</v>
      </c>
      <c r="P2304" t="str">
        <f t="shared" si="286"/>
        <v>Standard Order</v>
      </c>
      <c r="Q2304" t="str">
        <f t="shared" si="287"/>
        <v>Weekend</v>
      </c>
    </row>
    <row r="2305" spans="1:17" x14ac:dyDescent="0.35">
      <c r="A2305" t="s">
        <v>2455</v>
      </c>
      <c r="B2305" s="7">
        <v>45331</v>
      </c>
      <c r="C2305" s="13">
        <f t="shared" si="281"/>
        <v>2024</v>
      </c>
      <c r="D2305" s="7" t="str">
        <f t="shared" si="282"/>
        <v>Feb</v>
      </c>
      <c r="E2305" s="7" t="str">
        <f t="shared" si="283"/>
        <v>Fri</v>
      </c>
      <c r="F2305" t="s">
        <v>40</v>
      </c>
      <c r="G2305" t="s">
        <v>16</v>
      </c>
      <c r="H2305" t="s">
        <v>11</v>
      </c>
      <c r="I2305" s="2" t="str">
        <f t="shared" si="280"/>
        <v>East</v>
      </c>
      <c r="J2305" t="s">
        <v>27</v>
      </c>
      <c r="K2305" t="s">
        <v>32</v>
      </c>
      <c r="L2305">
        <v>10</v>
      </c>
      <c r="M2305">
        <v>120</v>
      </c>
      <c r="N2305">
        <f t="shared" si="284"/>
        <v>1200</v>
      </c>
      <c r="O2305">
        <f t="shared" si="285"/>
        <v>120</v>
      </c>
      <c r="P2305" t="str">
        <f t="shared" si="286"/>
        <v>Large Order</v>
      </c>
      <c r="Q2305" t="str">
        <f t="shared" si="287"/>
        <v>Weekday</v>
      </c>
    </row>
    <row r="2306" spans="1:17" x14ac:dyDescent="0.35">
      <c r="A2306" t="s">
        <v>2456</v>
      </c>
      <c r="B2306" s="7">
        <v>45363</v>
      </c>
      <c r="C2306" s="13">
        <f t="shared" si="281"/>
        <v>2024</v>
      </c>
      <c r="D2306" s="7" t="str">
        <f t="shared" si="282"/>
        <v>Mar</v>
      </c>
      <c r="E2306" s="7" t="str">
        <f t="shared" si="283"/>
        <v>Tue</v>
      </c>
      <c r="F2306" t="s">
        <v>396</v>
      </c>
      <c r="G2306" t="s">
        <v>109</v>
      </c>
      <c r="H2306" t="s">
        <v>22</v>
      </c>
      <c r="I2306" s="2" t="str">
        <f t="shared" si="280"/>
        <v>South</v>
      </c>
      <c r="J2306" t="s">
        <v>42</v>
      </c>
      <c r="K2306" t="s">
        <v>28</v>
      </c>
      <c r="L2306">
        <v>10</v>
      </c>
      <c r="M2306">
        <v>120</v>
      </c>
      <c r="N2306">
        <f t="shared" si="284"/>
        <v>1200</v>
      </c>
      <c r="O2306">
        <f t="shared" si="285"/>
        <v>120</v>
      </c>
      <c r="P2306" t="str">
        <f t="shared" si="286"/>
        <v>Large Order</v>
      </c>
      <c r="Q2306" t="str">
        <f t="shared" si="287"/>
        <v>Weekday</v>
      </c>
    </row>
    <row r="2307" spans="1:17" x14ac:dyDescent="0.35">
      <c r="A2307" t="s">
        <v>2457</v>
      </c>
      <c r="B2307" s="7">
        <v>45352</v>
      </c>
      <c r="C2307" s="13">
        <f t="shared" si="281"/>
        <v>2024</v>
      </c>
      <c r="D2307" s="7" t="str">
        <f t="shared" si="282"/>
        <v>Mar</v>
      </c>
      <c r="E2307" s="7" t="str">
        <f t="shared" si="283"/>
        <v>Fri</v>
      </c>
      <c r="F2307" t="s">
        <v>240</v>
      </c>
      <c r="G2307" t="s">
        <v>16</v>
      </c>
      <c r="H2307" t="s">
        <v>22</v>
      </c>
      <c r="I2307" s="2" t="str">
        <f t="shared" ref="I2307:I2370" si="288">TRIM(J2308)</f>
        <v>North</v>
      </c>
      <c r="J2307" t="s">
        <v>56</v>
      </c>
      <c r="K2307" t="s">
        <v>28</v>
      </c>
      <c r="L2307">
        <v>10</v>
      </c>
      <c r="M2307">
        <v>120</v>
      </c>
      <c r="N2307">
        <f t="shared" si="284"/>
        <v>1200</v>
      </c>
      <c r="O2307">
        <f t="shared" si="285"/>
        <v>120</v>
      </c>
      <c r="P2307" t="str">
        <f t="shared" si="286"/>
        <v>Large Order</v>
      </c>
      <c r="Q2307" t="str">
        <f t="shared" si="287"/>
        <v>Weekday</v>
      </c>
    </row>
    <row r="2308" spans="1:17" x14ac:dyDescent="0.35">
      <c r="A2308" t="s">
        <v>2458</v>
      </c>
      <c r="B2308" s="7">
        <v>45358</v>
      </c>
      <c r="C2308" s="13">
        <f t="shared" ref="C2308:C2371" si="289">YEAR(B2308)</f>
        <v>2024</v>
      </c>
      <c r="D2308" s="7" t="str">
        <f t="shared" ref="D2308:D2371" si="290">TEXT(B2308,"mmm")</f>
        <v>Mar</v>
      </c>
      <c r="E2308" s="7" t="str">
        <f t="shared" ref="E2308:E2371" si="291">TEXT(B2308,"ddd")</f>
        <v>Thu</v>
      </c>
      <c r="F2308" t="s">
        <v>81</v>
      </c>
      <c r="G2308" t="s">
        <v>87</v>
      </c>
      <c r="H2308" t="s">
        <v>22</v>
      </c>
      <c r="I2308" s="2" t="str">
        <f t="shared" si="288"/>
        <v>North</v>
      </c>
      <c r="J2308" t="s">
        <v>12</v>
      </c>
      <c r="K2308" t="s">
        <v>13</v>
      </c>
      <c r="L2308">
        <v>1</v>
      </c>
      <c r="M2308">
        <v>120</v>
      </c>
      <c r="N2308">
        <f t="shared" ref="N2308:N2371" si="292">M2308*L2308</f>
        <v>120</v>
      </c>
      <c r="O2308">
        <f t="shared" ref="O2308:O2371" si="293">N2308*0.1</f>
        <v>12</v>
      </c>
      <c r="P2308" t="str">
        <f t="shared" ref="P2308:P2371" si="294">IF(N2308&gt;500,"Large Order","Standard Order")</f>
        <v>Standard Order</v>
      </c>
      <c r="Q2308" t="str">
        <f t="shared" ref="Q2308:Q2371" si="295">IF(OR(TRIM(E2308)="Sat",TRIM(E2308)="Sun"),"Weekend","Weekday")</f>
        <v>Weekday</v>
      </c>
    </row>
    <row r="2309" spans="1:17" x14ac:dyDescent="0.35">
      <c r="A2309" t="s">
        <v>2459</v>
      </c>
      <c r="B2309" s="7">
        <v>45512</v>
      </c>
      <c r="C2309" s="13">
        <f t="shared" si="289"/>
        <v>2024</v>
      </c>
      <c r="D2309" s="7" t="str">
        <f t="shared" si="290"/>
        <v>Aug</v>
      </c>
      <c r="E2309" s="7" t="str">
        <f t="shared" si="291"/>
        <v>Thu</v>
      </c>
      <c r="F2309" t="s">
        <v>116</v>
      </c>
      <c r="G2309" t="s">
        <v>65</v>
      </c>
      <c r="H2309" t="s">
        <v>11</v>
      </c>
      <c r="I2309" s="2" t="str">
        <f t="shared" si="288"/>
        <v>East</v>
      </c>
      <c r="J2309" t="s">
        <v>12</v>
      </c>
      <c r="K2309" t="s">
        <v>36</v>
      </c>
      <c r="L2309">
        <v>19</v>
      </c>
      <c r="M2309">
        <v>120</v>
      </c>
      <c r="N2309">
        <f t="shared" si="292"/>
        <v>2280</v>
      </c>
      <c r="O2309">
        <f t="shared" si="293"/>
        <v>228</v>
      </c>
      <c r="P2309" t="str">
        <f t="shared" si="294"/>
        <v>Large Order</v>
      </c>
      <c r="Q2309" t="str">
        <f t="shared" si="295"/>
        <v>Weekday</v>
      </c>
    </row>
    <row r="2310" spans="1:17" x14ac:dyDescent="0.35">
      <c r="A2310" t="s">
        <v>2460</v>
      </c>
      <c r="B2310" s="7">
        <v>45352</v>
      </c>
      <c r="C2310" s="13">
        <f t="shared" si="289"/>
        <v>2024</v>
      </c>
      <c r="D2310" s="7" t="str">
        <f t="shared" si="290"/>
        <v>Mar</v>
      </c>
      <c r="E2310" s="7" t="str">
        <f t="shared" si="291"/>
        <v>Fri</v>
      </c>
      <c r="F2310" t="s">
        <v>230</v>
      </c>
      <c r="G2310" t="s">
        <v>79</v>
      </c>
      <c r="H2310" t="s">
        <v>11</v>
      </c>
      <c r="I2310" s="2" t="str">
        <f t="shared" si="288"/>
        <v>South</v>
      </c>
      <c r="J2310" t="s">
        <v>42</v>
      </c>
      <c r="K2310" t="s">
        <v>13</v>
      </c>
      <c r="L2310">
        <v>4</v>
      </c>
      <c r="M2310">
        <v>120</v>
      </c>
      <c r="N2310">
        <f t="shared" si="292"/>
        <v>480</v>
      </c>
      <c r="O2310">
        <f t="shared" si="293"/>
        <v>48</v>
      </c>
      <c r="P2310" t="str">
        <f t="shared" si="294"/>
        <v>Standard Order</v>
      </c>
      <c r="Q2310" t="str">
        <f t="shared" si="295"/>
        <v>Weekday</v>
      </c>
    </row>
    <row r="2311" spans="1:17" x14ac:dyDescent="0.35">
      <c r="A2311" t="s">
        <v>2461</v>
      </c>
      <c r="B2311" s="7">
        <v>45600</v>
      </c>
      <c r="C2311" s="13">
        <f t="shared" si="289"/>
        <v>2024</v>
      </c>
      <c r="D2311" s="7" t="str">
        <f t="shared" si="290"/>
        <v>Nov</v>
      </c>
      <c r="E2311" s="7" t="str">
        <f t="shared" si="291"/>
        <v>Mon</v>
      </c>
      <c r="F2311" t="s">
        <v>95</v>
      </c>
      <c r="G2311" t="s">
        <v>59</v>
      </c>
      <c r="H2311" t="s">
        <v>11</v>
      </c>
      <c r="I2311" s="2" t="str">
        <f t="shared" si="288"/>
        <v>South</v>
      </c>
      <c r="J2311" t="s">
        <v>56</v>
      </c>
      <c r="K2311" t="s">
        <v>32</v>
      </c>
      <c r="L2311">
        <v>1</v>
      </c>
      <c r="M2311">
        <v>120</v>
      </c>
      <c r="N2311">
        <f t="shared" si="292"/>
        <v>120</v>
      </c>
      <c r="O2311">
        <f t="shared" si="293"/>
        <v>12</v>
      </c>
      <c r="P2311" t="str">
        <f t="shared" si="294"/>
        <v>Standard Order</v>
      </c>
      <c r="Q2311" t="str">
        <f t="shared" si="295"/>
        <v>Weekday</v>
      </c>
    </row>
    <row r="2312" spans="1:17" x14ac:dyDescent="0.35">
      <c r="A2312" t="s">
        <v>2462</v>
      </c>
      <c r="B2312" s="7">
        <v>45434</v>
      </c>
      <c r="C2312" s="13">
        <f t="shared" si="289"/>
        <v>2024</v>
      </c>
      <c r="D2312" s="7" t="str">
        <f t="shared" si="290"/>
        <v>May</v>
      </c>
      <c r="E2312" s="7" t="str">
        <f t="shared" si="291"/>
        <v>Wed</v>
      </c>
      <c r="F2312" t="s">
        <v>361</v>
      </c>
      <c r="G2312" t="s">
        <v>48</v>
      </c>
      <c r="H2312" t="s">
        <v>17</v>
      </c>
      <c r="I2312" s="2" t="str">
        <f t="shared" si="288"/>
        <v>North</v>
      </c>
      <c r="J2312" t="s">
        <v>56</v>
      </c>
      <c r="K2312" t="s">
        <v>36</v>
      </c>
      <c r="L2312">
        <v>20</v>
      </c>
      <c r="M2312">
        <v>120</v>
      </c>
      <c r="N2312">
        <f t="shared" si="292"/>
        <v>2400</v>
      </c>
      <c r="O2312">
        <f t="shared" si="293"/>
        <v>240</v>
      </c>
      <c r="P2312" t="str">
        <f t="shared" si="294"/>
        <v>Large Order</v>
      </c>
      <c r="Q2312" t="str">
        <f t="shared" si="295"/>
        <v>Weekday</v>
      </c>
    </row>
    <row r="2313" spans="1:17" x14ac:dyDescent="0.35">
      <c r="A2313" t="s">
        <v>2463</v>
      </c>
      <c r="B2313" s="7">
        <v>45583</v>
      </c>
      <c r="C2313" s="13">
        <f t="shared" si="289"/>
        <v>2024</v>
      </c>
      <c r="D2313" s="7" t="str">
        <f t="shared" si="290"/>
        <v>Oct</v>
      </c>
      <c r="E2313" s="7" t="str">
        <f t="shared" si="291"/>
        <v>Fri</v>
      </c>
      <c r="F2313" t="s">
        <v>58</v>
      </c>
      <c r="G2313" t="s">
        <v>102</v>
      </c>
      <c r="H2313" t="s">
        <v>22</v>
      </c>
      <c r="I2313" s="2" t="str">
        <f t="shared" si="288"/>
        <v>North</v>
      </c>
      <c r="J2313" t="s">
        <v>12</v>
      </c>
      <c r="K2313" t="s">
        <v>36</v>
      </c>
      <c r="L2313">
        <v>7</v>
      </c>
      <c r="M2313">
        <v>120</v>
      </c>
      <c r="N2313">
        <f t="shared" si="292"/>
        <v>840</v>
      </c>
      <c r="O2313">
        <f t="shared" si="293"/>
        <v>84</v>
      </c>
      <c r="P2313" t="str">
        <f t="shared" si="294"/>
        <v>Large Order</v>
      </c>
      <c r="Q2313" t="str">
        <f t="shared" si="295"/>
        <v>Weekday</v>
      </c>
    </row>
    <row r="2314" spans="1:17" x14ac:dyDescent="0.35">
      <c r="A2314" t="s">
        <v>2464</v>
      </c>
      <c r="B2314" s="7">
        <v>45436</v>
      </c>
      <c r="C2314" s="13">
        <f t="shared" si="289"/>
        <v>2024</v>
      </c>
      <c r="D2314" s="7" t="str">
        <f t="shared" si="290"/>
        <v>May</v>
      </c>
      <c r="E2314" s="7" t="str">
        <f t="shared" si="291"/>
        <v>Fri</v>
      </c>
      <c r="F2314" t="s">
        <v>30</v>
      </c>
      <c r="G2314" t="s">
        <v>119</v>
      </c>
      <c r="H2314" t="s">
        <v>22</v>
      </c>
      <c r="I2314" s="2" t="str">
        <f t="shared" si="288"/>
        <v>Central</v>
      </c>
      <c r="J2314" t="s">
        <v>12</v>
      </c>
      <c r="K2314" t="s">
        <v>13</v>
      </c>
      <c r="L2314">
        <v>7</v>
      </c>
      <c r="M2314">
        <v>120</v>
      </c>
      <c r="N2314">
        <f t="shared" si="292"/>
        <v>840</v>
      </c>
      <c r="O2314">
        <f t="shared" si="293"/>
        <v>84</v>
      </c>
      <c r="P2314" t="str">
        <f t="shared" si="294"/>
        <v>Large Order</v>
      </c>
      <c r="Q2314" t="str">
        <f t="shared" si="295"/>
        <v>Weekday</v>
      </c>
    </row>
    <row r="2315" spans="1:17" x14ac:dyDescent="0.35">
      <c r="A2315" t="s">
        <v>2465</v>
      </c>
      <c r="B2315" s="7">
        <v>45654</v>
      </c>
      <c r="C2315" s="13">
        <f t="shared" si="289"/>
        <v>2024</v>
      </c>
      <c r="D2315" s="7" t="str">
        <f t="shared" si="290"/>
        <v>Dec</v>
      </c>
      <c r="E2315" s="7" t="str">
        <f t="shared" si="291"/>
        <v>Sat</v>
      </c>
      <c r="F2315" t="s">
        <v>553</v>
      </c>
      <c r="G2315" t="s">
        <v>48</v>
      </c>
      <c r="H2315" t="s">
        <v>22</v>
      </c>
      <c r="I2315" s="2" t="str">
        <f t="shared" si="288"/>
        <v>West</v>
      </c>
      <c r="J2315" t="s">
        <v>306</v>
      </c>
      <c r="K2315" t="s">
        <v>28</v>
      </c>
      <c r="L2315">
        <v>15</v>
      </c>
      <c r="M2315">
        <v>120</v>
      </c>
      <c r="N2315">
        <f t="shared" si="292"/>
        <v>1800</v>
      </c>
      <c r="O2315">
        <f t="shared" si="293"/>
        <v>180</v>
      </c>
      <c r="P2315" t="str">
        <f t="shared" si="294"/>
        <v>Large Order</v>
      </c>
      <c r="Q2315" t="str">
        <f t="shared" si="295"/>
        <v>Weekend</v>
      </c>
    </row>
    <row r="2316" spans="1:17" x14ac:dyDescent="0.35">
      <c r="A2316" t="s">
        <v>2466</v>
      </c>
      <c r="B2316" s="7">
        <v>45346</v>
      </c>
      <c r="C2316" s="13">
        <f t="shared" si="289"/>
        <v>2024</v>
      </c>
      <c r="D2316" s="7" t="str">
        <f t="shared" si="290"/>
        <v>Feb</v>
      </c>
      <c r="E2316" s="7" t="str">
        <f t="shared" si="291"/>
        <v>Sat</v>
      </c>
      <c r="F2316" t="s">
        <v>44</v>
      </c>
      <c r="G2316" t="s">
        <v>48</v>
      </c>
      <c r="H2316" t="s">
        <v>17</v>
      </c>
      <c r="I2316" s="2" t="str">
        <f t="shared" si="288"/>
        <v>West</v>
      </c>
      <c r="J2316" t="s">
        <v>27</v>
      </c>
      <c r="K2316" t="s">
        <v>28</v>
      </c>
      <c r="L2316">
        <v>17</v>
      </c>
      <c r="M2316">
        <v>120</v>
      </c>
      <c r="N2316">
        <f t="shared" si="292"/>
        <v>2040</v>
      </c>
      <c r="O2316">
        <f t="shared" si="293"/>
        <v>204</v>
      </c>
      <c r="P2316" t="str">
        <f t="shared" si="294"/>
        <v>Large Order</v>
      </c>
      <c r="Q2316" t="str">
        <f t="shared" si="295"/>
        <v>Weekend</v>
      </c>
    </row>
    <row r="2317" spans="1:17" x14ac:dyDescent="0.35">
      <c r="A2317" t="s">
        <v>2467</v>
      </c>
      <c r="B2317" s="7">
        <v>45349</v>
      </c>
      <c r="C2317" s="13">
        <f t="shared" si="289"/>
        <v>2024</v>
      </c>
      <c r="D2317" s="7" t="str">
        <f t="shared" si="290"/>
        <v>Feb</v>
      </c>
      <c r="E2317" s="7" t="str">
        <f t="shared" si="291"/>
        <v>Tue</v>
      </c>
      <c r="F2317" t="s">
        <v>332</v>
      </c>
      <c r="G2317" t="s">
        <v>72</v>
      </c>
      <c r="H2317" t="s">
        <v>11</v>
      </c>
      <c r="I2317" s="2" t="str">
        <f t="shared" si="288"/>
        <v>North</v>
      </c>
      <c r="J2317" t="s">
        <v>27</v>
      </c>
      <c r="K2317" t="s">
        <v>13</v>
      </c>
      <c r="L2317">
        <v>17</v>
      </c>
      <c r="M2317">
        <v>120</v>
      </c>
      <c r="N2317">
        <f t="shared" si="292"/>
        <v>2040</v>
      </c>
      <c r="O2317">
        <f t="shared" si="293"/>
        <v>204</v>
      </c>
      <c r="P2317" t="str">
        <f t="shared" si="294"/>
        <v>Large Order</v>
      </c>
      <c r="Q2317" t="str">
        <f t="shared" si="295"/>
        <v>Weekday</v>
      </c>
    </row>
    <row r="2318" spans="1:17" x14ac:dyDescent="0.35">
      <c r="A2318" t="s">
        <v>2468</v>
      </c>
      <c r="B2318" s="7">
        <v>45476</v>
      </c>
      <c r="C2318" s="13">
        <f t="shared" si="289"/>
        <v>2024</v>
      </c>
      <c r="D2318" s="7" t="str">
        <f t="shared" si="290"/>
        <v>Jul</v>
      </c>
      <c r="E2318" s="7" t="str">
        <f t="shared" si="291"/>
        <v>Wed</v>
      </c>
      <c r="F2318" t="s">
        <v>369</v>
      </c>
      <c r="G2318" t="s">
        <v>74</v>
      </c>
      <c r="H2318" t="s">
        <v>22</v>
      </c>
      <c r="I2318" s="2" t="str">
        <f t="shared" si="288"/>
        <v>East</v>
      </c>
      <c r="J2318" t="s">
        <v>12</v>
      </c>
      <c r="K2318" t="s">
        <v>13</v>
      </c>
      <c r="L2318">
        <v>11</v>
      </c>
      <c r="M2318">
        <v>120</v>
      </c>
      <c r="N2318">
        <f t="shared" si="292"/>
        <v>1320</v>
      </c>
      <c r="O2318">
        <f t="shared" si="293"/>
        <v>132</v>
      </c>
      <c r="P2318" t="str">
        <f t="shared" si="294"/>
        <v>Large Order</v>
      </c>
      <c r="Q2318" t="str">
        <f t="shared" si="295"/>
        <v>Weekday</v>
      </c>
    </row>
    <row r="2319" spans="1:17" x14ac:dyDescent="0.35">
      <c r="A2319" t="s">
        <v>2469</v>
      </c>
      <c r="B2319" s="7">
        <v>45489</v>
      </c>
      <c r="C2319" s="13">
        <f t="shared" si="289"/>
        <v>2024</v>
      </c>
      <c r="D2319" s="7" t="str">
        <f t="shared" si="290"/>
        <v>Jul</v>
      </c>
      <c r="E2319" s="7" t="str">
        <f t="shared" si="291"/>
        <v>Tue</v>
      </c>
      <c r="F2319" t="s">
        <v>55</v>
      </c>
      <c r="G2319" t="s">
        <v>70</v>
      </c>
      <c r="H2319" t="s">
        <v>22</v>
      </c>
      <c r="I2319" s="2" t="str">
        <f t="shared" si="288"/>
        <v>West</v>
      </c>
      <c r="J2319" t="s">
        <v>42</v>
      </c>
      <c r="K2319" t="s">
        <v>23</v>
      </c>
      <c r="L2319">
        <v>8</v>
      </c>
      <c r="M2319">
        <v>120</v>
      </c>
      <c r="N2319">
        <f t="shared" si="292"/>
        <v>960</v>
      </c>
      <c r="O2319">
        <f t="shared" si="293"/>
        <v>96</v>
      </c>
      <c r="P2319" t="str">
        <f t="shared" si="294"/>
        <v>Large Order</v>
      </c>
      <c r="Q2319" t="str">
        <f t="shared" si="295"/>
        <v>Weekday</v>
      </c>
    </row>
    <row r="2320" spans="1:17" x14ac:dyDescent="0.35">
      <c r="A2320" t="s">
        <v>2470</v>
      </c>
      <c r="B2320" s="7">
        <v>45440</v>
      </c>
      <c r="C2320" s="13">
        <f t="shared" si="289"/>
        <v>2024</v>
      </c>
      <c r="D2320" s="7" t="str">
        <f t="shared" si="290"/>
        <v>May</v>
      </c>
      <c r="E2320" s="7" t="str">
        <f t="shared" si="291"/>
        <v>Tue</v>
      </c>
      <c r="F2320" t="s">
        <v>309</v>
      </c>
      <c r="G2320" t="s">
        <v>65</v>
      </c>
      <c r="H2320" t="s">
        <v>11</v>
      </c>
      <c r="I2320" s="2" t="str">
        <f t="shared" si="288"/>
        <v>West</v>
      </c>
      <c r="J2320" t="s">
        <v>27</v>
      </c>
      <c r="K2320" t="s">
        <v>32</v>
      </c>
      <c r="L2320">
        <v>6</v>
      </c>
      <c r="M2320">
        <v>120</v>
      </c>
      <c r="N2320">
        <f t="shared" si="292"/>
        <v>720</v>
      </c>
      <c r="O2320">
        <f t="shared" si="293"/>
        <v>72</v>
      </c>
      <c r="P2320" t="str">
        <f t="shared" si="294"/>
        <v>Large Order</v>
      </c>
      <c r="Q2320" t="str">
        <f t="shared" si="295"/>
        <v>Weekday</v>
      </c>
    </row>
    <row r="2321" spans="1:17" x14ac:dyDescent="0.35">
      <c r="A2321" t="s">
        <v>2471</v>
      </c>
      <c r="B2321" s="7">
        <v>45637</v>
      </c>
      <c r="C2321" s="13">
        <f t="shared" si="289"/>
        <v>2024</v>
      </c>
      <c r="D2321" s="7" t="str">
        <f t="shared" si="290"/>
        <v>Dec</v>
      </c>
      <c r="E2321" s="7" t="str">
        <f t="shared" si="291"/>
        <v>Wed</v>
      </c>
      <c r="F2321" t="s">
        <v>374</v>
      </c>
      <c r="G2321" t="s">
        <v>41</v>
      </c>
      <c r="H2321" t="s">
        <v>11</v>
      </c>
      <c r="I2321" s="2" t="str">
        <f t="shared" si="288"/>
        <v>West</v>
      </c>
      <c r="J2321" t="s">
        <v>27</v>
      </c>
      <c r="K2321" t="s">
        <v>23</v>
      </c>
      <c r="L2321">
        <v>17</v>
      </c>
      <c r="M2321">
        <v>120</v>
      </c>
      <c r="N2321">
        <f t="shared" si="292"/>
        <v>2040</v>
      </c>
      <c r="O2321">
        <f t="shared" si="293"/>
        <v>204</v>
      </c>
      <c r="P2321" t="str">
        <f t="shared" si="294"/>
        <v>Large Order</v>
      </c>
      <c r="Q2321" t="str">
        <f t="shared" si="295"/>
        <v>Weekday</v>
      </c>
    </row>
    <row r="2322" spans="1:17" x14ac:dyDescent="0.35">
      <c r="A2322" t="s">
        <v>2472</v>
      </c>
      <c r="B2322" s="7">
        <v>45335</v>
      </c>
      <c r="C2322" s="13">
        <f t="shared" si="289"/>
        <v>2024</v>
      </c>
      <c r="D2322" s="7" t="str">
        <f t="shared" si="290"/>
        <v>Feb</v>
      </c>
      <c r="E2322" s="7" t="str">
        <f t="shared" si="291"/>
        <v>Tue</v>
      </c>
      <c r="F2322" t="s">
        <v>114</v>
      </c>
      <c r="G2322" t="s">
        <v>16</v>
      </c>
      <c r="H2322" t="s">
        <v>17</v>
      </c>
      <c r="I2322" s="2" t="str">
        <f t="shared" si="288"/>
        <v>East</v>
      </c>
      <c r="J2322" t="s">
        <v>27</v>
      </c>
      <c r="K2322" t="s">
        <v>36</v>
      </c>
      <c r="L2322">
        <v>4</v>
      </c>
      <c r="M2322">
        <v>120</v>
      </c>
      <c r="N2322">
        <f t="shared" si="292"/>
        <v>480</v>
      </c>
      <c r="O2322">
        <f t="shared" si="293"/>
        <v>48</v>
      </c>
      <c r="P2322" t="str">
        <f t="shared" si="294"/>
        <v>Standard Order</v>
      </c>
      <c r="Q2322" t="str">
        <f t="shared" si="295"/>
        <v>Weekday</v>
      </c>
    </row>
    <row r="2323" spans="1:17" x14ac:dyDescent="0.35">
      <c r="A2323" t="s">
        <v>2473</v>
      </c>
      <c r="B2323" s="7">
        <v>45378</v>
      </c>
      <c r="C2323" s="13">
        <f t="shared" si="289"/>
        <v>2024</v>
      </c>
      <c r="D2323" s="7" t="str">
        <f t="shared" si="290"/>
        <v>Mar</v>
      </c>
      <c r="E2323" s="7" t="str">
        <f t="shared" si="291"/>
        <v>Wed</v>
      </c>
      <c r="F2323" t="s">
        <v>58</v>
      </c>
      <c r="G2323" t="s">
        <v>48</v>
      </c>
      <c r="H2323" t="s">
        <v>11</v>
      </c>
      <c r="I2323" s="2" t="str">
        <f t="shared" si="288"/>
        <v>West</v>
      </c>
      <c r="J2323" t="s">
        <v>42</v>
      </c>
      <c r="K2323" t="s">
        <v>28</v>
      </c>
      <c r="L2323">
        <v>20</v>
      </c>
      <c r="M2323">
        <v>120</v>
      </c>
      <c r="N2323">
        <f t="shared" si="292"/>
        <v>2400</v>
      </c>
      <c r="O2323">
        <f t="shared" si="293"/>
        <v>240</v>
      </c>
      <c r="P2323" t="str">
        <f t="shared" si="294"/>
        <v>Large Order</v>
      </c>
      <c r="Q2323" t="str">
        <f t="shared" si="295"/>
        <v>Weekday</v>
      </c>
    </row>
    <row r="2324" spans="1:17" x14ac:dyDescent="0.35">
      <c r="A2324" t="s">
        <v>2474</v>
      </c>
      <c r="B2324" s="7">
        <v>45498</v>
      </c>
      <c r="C2324" s="13">
        <f t="shared" si="289"/>
        <v>2024</v>
      </c>
      <c r="D2324" s="7" t="str">
        <f t="shared" si="290"/>
        <v>Jul</v>
      </c>
      <c r="E2324" s="7" t="str">
        <f t="shared" si="291"/>
        <v>Thu</v>
      </c>
      <c r="F2324" t="s">
        <v>114</v>
      </c>
      <c r="G2324" t="s">
        <v>197</v>
      </c>
      <c r="H2324" t="s">
        <v>17</v>
      </c>
      <c r="I2324" s="2" t="str">
        <f t="shared" si="288"/>
        <v>Central</v>
      </c>
      <c r="J2324" t="s">
        <v>27</v>
      </c>
      <c r="K2324" t="s">
        <v>32</v>
      </c>
      <c r="L2324">
        <v>19</v>
      </c>
      <c r="M2324">
        <v>120</v>
      </c>
      <c r="N2324">
        <f t="shared" si="292"/>
        <v>2280</v>
      </c>
      <c r="O2324">
        <f t="shared" si="293"/>
        <v>228</v>
      </c>
      <c r="P2324" t="str">
        <f t="shared" si="294"/>
        <v>Large Order</v>
      </c>
      <c r="Q2324" t="str">
        <f t="shared" si="295"/>
        <v>Weekday</v>
      </c>
    </row>
    <row r="2325" spans="1:17" x14ac:dyDescent="0.35">
      <c r="A2325" t="s">
        <v>2475</v>
      </c>
      <c r="B2325" s="7">
        <v>45621</v>
      </c>
      <c r="C2325" s="13">
        <f t="shared" si="289"/>
        <v>2024</v>
      </c>
      <c r="D2325" s="7" t="str">
        <f t="shared" si="290"/>
        <v>Nov</v>
      </c>
      <c r="E2325" s="7" t="str">
        <f t="shared" si="291"/>
        <v>Mon</v>
      </c>
      <c r="F2325" t="s">
        <v>341</v>
      </c>
      <c r="G2325" t="s">
        <v>48</v>
      </c>
      <c r="H2325" t="s">
        <v>17</v>
      </c>
      <c r="I2325" s="2" t="str">
        <f t="shared" si="288"/>
        <v>North</v>
      </c>
      <c r="J2325" t="s">
        <v>306</v>
      </c>
      <c r="K2325" t="s">
        <v>23</v>
      </c>
      <c r="L2325">
        <v>16</v>
      </c>
      <c r="M2325">
        <v>120</v>
      </c>
      <c r="N2325">
        <f t="shared" si="292"/>
        <v>1920</v>
      </c>
      <c r="O2325">
        <f t="shared" si="293"/>
        <v>192</v>
      </c>
      <c r="P2325" t="str">
        <f t="shared" si="294"/>
        <v>Large Order</v>
      </c>
      <c r="Q2325" t="str">
        <f t="shared" si="295"/>
        <v>Weekday</v>
      </c>
    </row>
    <row r="2326" spans="1:17" x14ac:dyDescent="0.35">
      <c r="A2326" t="s">
        <v>2476</v>
      </c>
      <c r="B2326" s="7">
        <v>45367</v>
      </c>
      <c r="C2326" s="13">
        <f t="shared" si="289"/>
        <v>2024</v>
      </c>
      <c r="D2326" s="7" t="str">
        <f t="shared" si="290"/>
        <v>Mar</v>
      </c>
      <c r="E2326" s="7" t="str">
        <f t="shared" si="291"/>
        <v>Sat</v>
      </c>
      <c r="F2326" t="s">
        <v>337</v>
      </c>
      <c r="G2326" t="s">
        <v>70</v>
      </c>
      <c r="H2326" t="s">
        <v>11</v>
      </c>
      <c r="I2326" s="2" t="str">
        <f t="shared" si="288"/>
        <v>North</v>
      </c>
      <c r="J2326" t="s">
        <v>12</v>
      </c>
      <c r="K2326" t="s">
        <v>32</v>
      </c>
      <c r="L2326">
        <v>16</v>
      </c>
      <c r="M2326">
        <v>120</v>
      </c>
      <c r="N2326">
        <f t="shared" si="292"/>
        <v>1920</v>
      </c>
      <c r="O2326">
        <f t="shared" si="293"/>
        <v>192</v>
      </c>
      <c r="P2326" t="str">
        <f t="shared" si="294"/>
        <v>Large Order</v>
      </c>
      <c r="Q2326" t="str">
        <f t="shared" si="295"/>
        <v>Weekend</v>
      </c>
    </row>
    <row r="2327" spans="1:17" x14ac:dyDescent="0.35">
      <c r="A2327" t="s">
        <v>2477</v>
      </c>
      <c r="B2327" s="7">
        <v>45613</v>
      </c>
      <c r="C2327" s="13">
        <f t="shared" si="289"/>
        <v>2024</v>
      </c>
      <c r="D2327" s="7" t="str">
        <f t="shared" si="290"/>
        <v>Nov</v>
      </c>
      <c r="E2327" s="7" t="str">
        <f t="shared" si="291"/>
        <v>Sun</v>
      </c>
      <c r="F2327" t="s">
        <v>99</v>
      </c>
      <c r="G2327" t="s">
        <v>96</v>
      </c>
      <c r="H2327" t="s">
        <v>11</v>
      </c>
      <c r="I2327" s="2" t="str">
        <f t="shared" si="288"/>
        <v>East</v>
      </c>
      <c r="J2327" t="s">
        <v>12</v>
      </c>
      <c r="K2327" t="s">
        <v>13</v>
      </c>
      <c r="L2327">
        <v>16</v>
      </c>
      <c r="M2327">
        <v>120</v>
      </c>
      <c r="N2327">
        <f t="shared" si="292"/>
        <v>1920</v>
      </c>
      <c r="O2327">
        <f t="shared" si="293"/>
        <v>192</v>
      </c>
      <c r="P2327" t="str">
        <f t="shared" si="294"/>
        <v>Large Order</v>
      </c>
      <c r="Q2327" t="str">
        <f t="shared" si="295"/>
        <v>Weekend</v>
      </c>
    </row>
    <row r="2328" spans="1:17" x14ac:dyDescent="0.35">
      <c r="A2328" t="s">
        <v>2478</v>
      </c>
      <c r="B2328" s="7">
        <v>45383</v>
      </c>
      <c r="C2328" s="13">
        <f t="shared" si="289"/>
        <v>2024</v>
      </c>
      <c r="D2328" s="7" t="str">
        <f t="shared" si="290"/>
        <v>Apr</v>
      </c>
      <c r="E2328" s="7" t="str">
        <f t="shared" si="291"/>
        <v>Mon</v>
      </c>
      <c r="F2328" t="s">
        <v>159</v>
      </c>
      <c r="G2328" t="s">
        <v>109</v>
      </c>
      <c r="H2328" t="s">
        <v>22</v>
      </c>
      <c r="I2328" s="2" t="str">
        <f t="shared" si="288"/>
        <v>Central</v>
      </c>
      <c r="J2328" t="s">
        <v>42</v>
      </c>
      <c r="K2328" t="s">
        <v>28</v>
      </c>
      <c r="L2328">
        <v>10</v>
      </c>
      <c r="M2328">
        <v>120</v>
      </c>
      <c r="N2328">
        <f t="shared" si="292"/>
        <v>1200</v>
      </c>
      <c r="O2328">
        <f t="shared" si="293"/>
        <v>120</v>
      </c>
      <c r="P2328" t="str">
        <f t="shared" si="294"/>
        <v>Large Order</v>
      </c>
      <c r="Q2328" t="str">
        <f t="shared" si="295"/>
        <v>Weekday</v>
      </c>
    </row>
    <row r="2329" spans="1:17" x14ac:dyDescent="0.35">
      <c r="A2329" t="s">
        <v>2479</v>
      </c>
      <c r="B2329" s="7">
        <v>45341</v>
      </c>
      <c r="C2329" s="13">
        <f t="shared" si="289"/>
        <v>2024</v>
      </c>
      <c r="D2329" s="7" t="str">
        <f t="shared" si="290"/>
        <v>Feb</v>
      </c>
      <c r="E2329" s="7" t="str">
        <f t="shared" si="291"/>
        <v>Mon</v>
      </c>
      <c r="F2329" t="s">
        <v>332</v>
      </c>
      <c r="G2329" t="s">
        <v>10</v>
      </c>
      <c r="H2329" t="s">
        <v>22</v>
      </c>
      <c r="I2329" s="2" t="str">
        <f t="shared" si="288"/>
        <v>East</v>
      </c>
      <c r="J2329" t="s">
        <v>306</v>
      </c>
      <c r="K2329" t="s">
        <v>23</v>
      </c>
      <c r="L2329">
        <v>15</v>
      </c>
      <c r="M2329">
        <v>120</v>
      </c>
      <c r="N2329">
        <f t="shared" si="292"/>
        <v>1800</v>
      </c>
      <c r="O2329">
        <f t="shared" si="293"/>
        <v>180</v>
      </c>
      <c r="P2329" t="str">
        <f t="shared" si="294"/>
        <v>Large Order</v>
      </c>
      <c r="Q2329" t="str">
        <f t="shared" si="295"/>
        <v>Weekday</v>
      </c>
    </row>
    <row r="2330" spans="1:17" x14ac:dyDescent="0.35">
      <c r="A2330" t="s">
        <v>2480</v>
      </c>
      <c r="B2330" s="7">
        <v>45630</v>
      </c>
      <c r="C2330" s="13">
        <f t="shared" si="289"/>
        <v>2024</v>
      </c>
      <c r="D2330" s="7" t="str">
        <f t="shared" si="290"/>
        <v>Dec</v>
      </c>
      <c r="E2330" s="7" t="str">
        <f t="shared" si="291"/>
        <v>Wed</v>
      </c>
      <c r="F2330" t="s">
        <v>432</v>
      </c>
      <c r="G2330" t="s">
        <v>35</v>
      </c>
      <c r="H2330" t="s">
        <v>22</v>
      </c>
      <c r="I2330" s="2" t="str">
        <f t="shared" si="288"/>
        <v>West</v>
      </c>
      <c r="J2330" t="s">
        <v>42</v>
      </c>
      <c r="K2330" t="s">
        <v>36</v>
      </c>
      <c r="L2330">
        <v>11</v>
      </c>
      <c r="M2330">
        <v>120</v>
      </c>
      <c r="N2330">
        <f t="shared" si="292"/>
        <v>1320</v>
      </c>
      <c r="O2330">
        <f t="shared" si="293"/>
        <v>132</v>
      </c>
      <c r="P2330" t="str">
        <f t="shared" si="294"/>
        <v>Large Order</v>
      </c>
      <c r="Q2330" t="str">
        <f t="shared" si="295"/>
        <v>Weekday</v>
      </c>
    </row>
    <row r="2331" spans="1:17" x14ac:dyDescent="0.35">
      <c r="A2331" t="s">
        <v>2481</v>
      </c>
      <c r="B2331" s="7">
        <v>45568</v>
      </c>
      <c r="C2331" s="13">
        <f t="shared" si="289"/>
        <v>2024</v>
      </c>
      <c r="D2331" s="7" t="str">
        <f t="shared" si="290"/>
        <v>Oct</v>
      </c>
      <c r="E2331" s="7" t="str">
        <f t="shared" si="291"/>
        <v>Thu</v>
      </c>
      <c r="F2331" t="s">
        <v>591</v>
      </c>
      <c r="G2331" t="s">
        <v>96</v>
      </c>
      <c r="H2331" t="s">
        <v>11</v>
      </c>
      <c r="I2331" s="2" t="str">
        <f t="shared" si="288"/>
        <v>North</v>
      </c>
      <c r="J2331" t="s">
        <v>27</v>
      </c>
      <c r="K2331" t="s">
        <v>13</v>
      </c>
      <c r="L2331">
        <v>13</v>
      </c>
      <c r="M2331">
        <v>120</v>
      </c>
      <c r="N2331">
        <f t="shared" si="292"/>
        <v>1560</v>
      </c>
      <c r="O2331">
        <f t="shared" si="293"/>
        <v>156</v>
      </c>
      <c r="P2331" t="str">
        <f t="shared" si="294"/>
        <v>Large Order</v>
      </c>
      <c r="Q2331" t="str">
        <f t="shared" si="295"/>
        <v>Weekday</v>
      </c>
    </row>
    <row r="2332" spans="1:17" x14ac:dyDescent="0.35">
      <c r="A2332" t="s">
        <v>2482</v>
      </c>
      <c r="B2332" s="7">
        <v>45484</v>
      </c>
      <c r="C2332" s="13">
        <f t="shared" si="289"/>
        <v>2024</v>
      </c>
      <c r="D2332" s="7" t="str">
        <f t="shared" si="290"/>
        <v>Jul</v>
      </c>
      <c r="E2332" s="7" t="str">
        <f t="shared" si="291"/>
        <v>Thu</v>
      </c>
      <c r="F2332" t="s">
        <v>396</v>
      </c>
      <c r="G2332" t="s">
        <v>70</v>
      </c>
      <c r="H2332" t="s">
        <v>11</v>
      </c>
      <c r="I2332" s="2" t="str">
        <f t="shared" si="288"/>
        <v>West</v>
      </c>
      <c r="J2332" t="s">
        <v>12</v>
      </c>
      <c r="K2332" t="s">
        <v>28</v>
      </c>
      <c r="L2332">
        <v>18</v>
      </c>
      <c r="M2332">
        <v>120</v>
      </c>
      <c r="N2332">
        <f t="shared" si="292"/>
        <v>2160</v>
      </c>
      <c r="O2332">
        <f t="shared" si="293"/>
        <v>216</v>
      </c>
      <c r="P2332" t="str">
        <f t="shared" si="294"/>
        <v>Large Order</v>
      </c>
      <c r="Q2332" t="str">
        <f t="shared" si="295"/>
        <v>Weekday</v>
      </c>
    </row>
    <row r="2333" spans="1:17" x14ac:dyDescent="0.35">
      <c r="A2333" t="s">
        <v>2483</v>
      </c>
      <c r="B2333" s="7">
        <v>45447</v>
      </c>
      <c r="C2333" s="13">
        <f t="shared" si="289"/>
        <v>2024</v>
      </c>
      <c r="D2333" s="7" t="str">
        <f t="shared" si="290"/>
        <v>Jun</v>
      </c>
      <c r="E2333" s="7" t="str">
        <f t="shared" si="291"/>
        <v>Tue</v>
      </c>
      <c r="F2333" t="s">
        <v>369</v>
      </c>
      <c r="G2333" t="s">
        <v>45</v>
      </c>
      <c r="H2333" t="s">
        <v>17</v>
      </c>
      <c r="I2333" s="2" t="str">
        <f t="shared" si="288"/>
        <v>West</v>
      </c>
      <c r="J2333" t="s">
        <v>27</v>
      </c>
      <c r="K2333" t="s">
        <v>28</v>
      </c>
      <c r="L2333">
        <v>10</v>
      </c>
      <c r="M2333">
        <v>120</v>
      </c>
      <c r="N2333">
        <f t="shared" si="292"/>
        <v>1200</v>
      </c>
      <c r="O2333">
        <f t="shared" si="293"/>
        <v>120</v>
      </c>
      <c r="P2333" t="str">
        <f t="shared" si="294"/>
        <v>Large Order</v>
      </c>
      <c r="Q2333" t="str">
        <f t="shared" si="295"/>
        <v>Weekday</v>
      </c>
    </row>
    <row r="2334" spans="1:17" x14ac:dyDescent="0.35">
      <c r="A2334" t="s">
        <v>2484</v>
      </c>
      <c r="B2334" s="7">
        <v>45541</v>
      </c>
      <c r="C2334" s="13">
        <f t="shared" si="289"/>
        <v>2024</v>
      </c>
      <c r="D2334" s="7" t="str">
        <f t="shared" si="290"/>
        <v>Sep</v>
      </c>
      <c r="E2334" s="7" t="str">
        <f t="shared" si="291"/>
        <v>Fri</v>
      </c>
      <c r="F2334" t="s">
        <v>332</v>
      </c>
      <c r="G2334" t="s">
        <v>102</v>
      </c>
      <c r="H2334" t="s">
        <v>22</v>
      </c>
      <c r="I2334" s="2" t="str">
        <f t="shared" si="288"/>
        <v>North</v>
      </c>
      <c r="J2334" t="s">
        <v>27</v>
      </c>
      <c r="K2334" t="s">
        <v>36</v>
      </c>
      <c r="L2334">
        <v>18</v>
      </c>
      <c r="M2334">
        <v>120</v>
      </c>
      <c r="N2334">
        <f t="shared" si="292"/>
        <v>2160</v>
      </c>
      <c r="O2334">
        <f t="shared" si="293"/>
        <v>216</v>
      </c>
      <c r="P2334" t="str">
        <f t="shared" si="294"/>
        <v>Large Order</v>
      </c>
      <c r="Q2334" t="str">
        <f t="shared" si="295"/>
        <v>Weekday</v>
      </c>
    </row>
    <row r="2335" spans="1:17" x14ac:dyDescent="0.35">
      <c r="A2335" t="s">
        <v>2485</v>
      </c>
      <c r="B2335" s="7">
        <v>45535</v>
      </c>
      <c r="C2335" s="13">
        <f t="shared" si="289"/>
        <v>2024</v>
      </c>
      <c r="D2335" s="7" t="str">
        <f t="shared" si="290"/>
        <v>Aug</v>
      </c>
      <c r="E2335" s="7" t="str">
        <f t="shared" si="291"/>
        <v>Sat</v>
      </c>
      <c r="F2335" t="s">
        <v>642</v>
      </c>
      <c r="G2335" t="s">
        <v>45</v>
      </c>
      <c r="H2335" t="s">
        <v>22</v>
      </c>
      <c r="I2335" s="2" t="str">
        <f t="shared" si="288"/>
        <v>East</v>
      </c>
      <c r="J2335" t="s">
        <v>12</v>
      </c>
      <c r="K2335" t="s">
        <v>23</v>
      </c>
      <c r="L2335">
        <v>9</v>
      </c>
      <c r="M2335">
        <v>120</v>
      </c>
      <c r="N2335">
        <f t="shared" si="292"/>
        <v>1080</v>
      </c>
      <c r="O2335">
        <f t="shared" si="293"/>
        <v>108</v>
      </c>
      <c r="P2335" t="str">
        <f t="shared" si="294"/>
        <v>Large Order</v>
      </c>
      <c r="Q2335" t="str">
        <f t="shared" si="295"/>
        <v>Weekend</v>
      </c>
    </row>
    <row r="2336" spans="1:17" x14ac:dyDescent="0.35">
      <c r="A2336" t="s">
        <v>2486</v>
      </c>
      <c r="B2336" s="7">
        <v>45485</v>
      </c>
      <c r="C2336" s="13">
        <f t="shared" si="289"/>
        <v>2024</v>
      </c>
      <c r="D2336" s="7" t="str">
        <f t="shared" si="290"/>
        <v>Jul</v>
      </c>
      <c r="E2336" s="7" t="str">
        <f t="shared" si="291"/>
        <v>Fri</v>
      </c>
      <c r="F2336" t="s">
        <v>594</v>
      </c>
      <c r="G2336" t="s">
        <v>41</v>
      </c>
      <c r="H2336" t="s">
        <v>17</v>
      </c>
      <c r="I2336" s="2" t="str">
        <f t="shared" si="288"/>
        <v>Central</v>
      </c>
      <c r="J2336" t="s">
        <v>42</v>
      </c>
      <c r="K2336" t="s">
        <v>32</v>
      </c>
      <c r="L2336">
        <v>2</v>
      </c>
      <c r="M2336">
        <v>120</v>
      </c>
      <c r="N2336">
        <f t="shared" si="292"/>
        <v>240</v>
      </c>
      <c r="O2336">
        <f t="shared" si="293"/>
        <v>24</v>
      </c>
      <c r="P2336" t="str">
        <f t="shared" si="294"/>
        <v>Standard Order</v>
      </c>
      <c r="Q2336" t="str">
        <f t="shared" si="295"/>
        <v>Weekday</v>
      </c>
    </row>
    <row r="2337" spans="1:17" x14ac:dyDescent="0.35">
      <c r="A2337" t="s">
        <v>2487</v>
      </c>
      <c r="B2337" s="7">
        <v>45315</v>
      </c>
      <c r="C2337" s="13">
        <f t="shared" si="289"/>
        <v>2024</v>
      </c>
      <c r="D2337" s="7" t="str">
        <f t="shared" si="290"/>
        <v>Jan</v>
      </c>
      <c r="E2337" s="7" t="str">
        <f t="shared" si="291"/>
        <v>Wed</v>
      </c>
      <c r="F2337" t="s">
        <v>34</v>
      </c>
      <c r="G2337" t="s">
        <v>48</v>
      </c>
      <c r="H2337" t="s">
        <v>17</v>
      </c>
      <c r="I2337" s="2" t="str">
        <f t="shared" si="288"/>
        <v>East</v>
      </c>
      <c r="J2337" t="s">
        <v>306</v>
      </c>
      <c r="K2337" t="s">
        <v>13</v>
      </c>
      <c r="L2337">
        <v>11</v>
      </c>
      <c r="M2337">
        <v>120</v>
      </c>
      <c r="N2337">
        <f t="shared" si="292"/>
        <v>1320</v>
      </c>
      <c r="O2337">
        <f t="shared" si="293"/>
        <v>132</v>
      </c>
      <c r="P2337" t="str">
        <f t="shared" si="294"/>
        <v>Large Order</v>
      </c>
      <c r="Q2337" t="str">
        <f t="shared" si="295"/>
        <v>Weekday</v>
      </c>
    </row>
    <row r="2338" spans="1:17" x14ac:dyDescent="0.35">
      <c r="A2338" t="s">
        <v>2488</v>
      </c>
      <c r="B2338" s="7">
        <v>45511</v>
      </c>
      <c r="C2338" s="13">
        <f t="shared" si="289"/>
        <v>2024</v>
      </c>
      <c r="D2338" s="7" t="str">
        <f t="shared" si="290"/>
        <v>Aug</v>
      </c>
      <c r="E2338" s="7" t="str">
        <f t="shared" si="291"/>
        <v>Wed</v>
      </c>
      <c r="F2338" t="s">
        <v>20</v>
      </c>
      <c r="G2338" t="s">
        <v>48</v>
      </c>
      <c r="H2338" t="s">
        <v>17</v>
      </c>
      <c r="I2338" s="2" t="str">
        <f t="shared" si="288"/>
        <v>North</v>
      </c>
      <c r="J2338" t="s">
        <v>42</v>
      </c>
      <c r="K2338" t="s">
        <v>13</v>
      </c>
      <c r="L2338">
        <v>8</v>
      </c>
      <c r="M2338">
        <v>120</v>
      </c>
      <c r="N2338">
        <f t="shared" si="292"/>
        <v>960</v>
      </c>
      <c r="O2338">
        <f t="shared" si="293"/>
        <v>96</v>
      </c>
      <c r="P2338" t="str">
        <f t="shared" si="294"/>
        <v>Large Order</v>
      </c>
      <c r="Q2338" t="str">
        <f t="shared" si="295"/>
        <v>Weekday</v>
      </c>
    </row>
    <row r="2339" spans="1:17" x14ac:dyDescent="0.35">
      <c r="A2339" t="s">
        <v>2489</v>
      </c>
      <c r="B2339" s="7">
        <v>45623</v>
      </c>
      <c r="C2339" s="13">
        <f t="shared" si="289"/>
        <v>2024</v>
      </c>
      <c r="D2339" s="7" t="str">
        <f t="shared" si="290"/>
        <v>Nov</v>
      </c>
      <c r="E2339" s="7" t="str">
        <f t="shared" si="291"/>
        <v>Wed</v>
      </c>
      <c r="F2339" t="s">
        <v>147</v>
      </c>
      <c r="G2339" t="s">
        <v>59</v>
      </c>
      <c r="H2339" t="s">
        <v>11</v>
      </c>
      <c r="I2339" s="2" t="str">
        <f t="shared" si="288"/>
        <v>West</v>
      </c>
      <c r="J2339" t="s">
        <v>12</v>
      </c>
      <c r="K2339" t="s">
        <v>32</v>
      </c>
      <c r="L2339">
        <v>4</v>
      </c>
      <c r="M2339">
        <v>120</v>
      </c>
      <c r="N2339">
        <f t="shared" si="292"/>
        <v>480</v>
      </c>
      <c r="O2339">
        <f t="shared" si="293"/>
        <v>48</v>
      </c>
      <c r="P2339" t="str">
        <f t="shared" si="294"/>
        <v>Standard Order</v>
      </c>
      <c r="Q2339" t="str">
        <f t="shared" si="295"/>
        <v>Weekday</v>
      </c>
    </row>
    <row r="2340" spans="1:17" x14ac:dyDescent="0.35">
      <c r="A2340" t="s">
        <v>2490</v>
      </c>
      <c r="B2340" s="7">
        <v>45302</v>
      </c>
      <c r="C2340" s="13">
        <f t="shared" si="289"/>
        <v>2024</v>
      </c>
      <c r="D2340" s="7" t="str">
        <f t="shared" si="290"/>
        <v>Jan</v>
      </c>
      <c r="E2340" s="7" t="str">
        <f t="shared" si="291"/>
        <v>Thu</v>
      </c>
      <c r="F2340" t="s">
        <v>312</v>
      </c>
      <c r="G2340" t="s">
        <v>72</v>
      </c>
      <c r="H2340" t="s">
        <v>11</v>
      </c>
      <c r="I2340" s="2" t="str">
        <f t="shared" si="288"/>
        <v>West</v>
      </c>
      <c r="J2340" t="s">
        <v>27</v>
      </c>
      <c r="K2340" t="s">
        <v>23</v>
      </c>
      <c r="L2340">
        <v>19</v>
      </c>
      <c r="M2340">
        <v>120</v>
      </c>
      <c r="N2340">
        <f t="shared" si="292"/>
        <v>2280</v>
      </c>
      <c r="O2340">
        <f t="shared" si="293"/>
        <v>228</v>
      </c>
      <c r="P2340" t="str">
        <f t="shared" si="294"/>
        <v>Large Order</v>
      </c>
      <c r="Q2340" t="str">
        <f t="shared" si="295"/>
        <v>Weekday</v>
      </c>
    </row>
    <row r="2341" spans="1:17" x14ac:dyDescent="0.35">
      <c r="A2341" t="s">
        <v>2491</v>
      </c>
      <c r="B2341" s="7">
        <v>45507</v>
      </c>
      <c r="C2341" s="13">
        <f t="shared" si="289"/>
        <v>2024</v>
      </c>
      <c r="D2341" s="7" t="str">
        <f t="shared" si="290"/>
        <v>Aug</v>
      </c>
      <c r="E2341" s="7" t="str">
        <f t="shared" si="291"/>
        <v>Sat</v>
      </c>
      <c r="F2341" t="s">
        <v>101</v>
      </c>
      <c r="G2341" t="s">
        <v>96</v>
      </c>
      <c r="H2341" t="s">
        <v>22</v>
      </c>
      <c r="I2341" s="2" t="str">
        <f t="shared" si="288"/>
        <v>Central</v>
      </c>
      <c r="J2341" t="s">
        <v>27</v>
      </c>
      <c r="K2341" t="s">
        <v>36</v>
      </c>
      <c r="L2341">
        <v>1</v>
      </c>
      <c r="M2341">
        <v>120</v>
      </c>
      <c r="N2341">
        <f t="shared" si="292"/>
        <v>120</v>
      </c>
      <c r="O2341">
        <f t="shared" si="293"/>
        <v>12</v>
      </c>
      <c r="P2341" t="str">
        <f t="shared" si="294"/>
        <v>Standard Order</v>
      </c>
      <c r="Q2341" t="str">
        <f t="shared" si="295"/>
        <v>Weekend</v>
      </c>
    </row>
    <row r="2342" spans="1:17" x14ac:dyDescent="0.35">
      <c r="A2342" t="s">
        <v>2492</v>
      </c>
      <c r="B2342" s="7">
        <v>45485</v>
      </c>
      <c r="C2342" s="13">
        <f t="shared" si="289"/>
        <v>2024</v>
      </c>
      <c r="D2342" s="7" t="str">
        <f t="shared" si="290"/>
        <v>Jul</v>
      </c>
      <c r="E2342" s="7" t="str">
        <f t="shared" si="291"/>
        <v>Fri</v>
      </c>
      <c r="F2342" t="s">
        <v>314</v>
      </c>
      <c r="G2342" t="s">
        <v>31</v>
      </c>
      <c r="H2342" t="s">
        <v>17</v>
      </c>
      <c r="I2342" s="2" t="str">
        <f t="shared" si="288"/>
        <v>Central</v>
      </c>
      <c r="J2342" t="s">
        <v>306</v>
      </c>
      <c r="K2342" t="s">
        <v>13</v>
      </c>
      <c r="L2342">
        <v>16</v>
      </c>
      <c r="M2342">
        <v>120</v>
      </c>
      <c r="N2342">
        <f t="shared" si="292"/>
        <v>1920</v>
      </c>
      <c r="O2342">
        <f t="shared" si="293"/>
        <v>192</v>
      </c>
      <c r="P2342" t="str">
        <f t="shared" si="294"/>
        <v>Large Order</v>
      </c>
      <c r="Q2342" t="str">
        <f t="shared" si="295"/>
        <v>Weekday</v>
      </c>
    </row>
    <row r="2343" spans="1:17" x14ac:dyDescent="0.35">
      <c r="A2343" t="s">
        <v>2493</v>
      </c>
      <c r="B2343" s="7">
        <v>45637</v>
      </c>
      <c r="C2343" s="13">
        <f t="shared" si="289"/>
        <v>2024</v>
      </c>
      <c r="D2343" s="7" t="str">
        <f t="shared" si="290"/>
        <v>Dec</v>
      </c>
      <c r="E2343" s="7" t="str">
        <f t="shared" si="291"/>
        <v>Wed</v>
      </c>
      <c r="F2343" t="s">
        <v>95</v>
      </c>
      <c r="G2343" t="s">
        <v>72</v>
      </c>
      <c r="H2343" t="s">
        <v>17</v>
      </c>
      <c r="I2343" s="2" t="str">
        <f t="shared" si="288"/>
        <v>North</v>
      </c>
      <c r="J2343" t="s">
        <v>306</v>
      </c>
      <c r="K2343" t="s">
        <v>32</v>
      </c>
      <c r="L2343">
        <v>6</v>
      </c>
      <c r="M2343">
        <v>120</v>
      </c>
      <c r="N2343">
        <f t="shared" si="292"/>
        <v>720</v>
      </c>
      <c r="O2343">
        <f t="shared" si="293"/>
        <v>72</v>
      </c>
      <c r="P2343" t="str">
        <f t="shared" si="294"/>
        <v>Large Order</v>
      </c>
      <c r="Q2343" t="str">
        <f t="shared" si="295"/>
        <v>Weekday</v>
      </c>
    </row>
    <row r="2344" spans="1:17" x14ac:dyDescent="0.35">
      <c r="A2344" t="s">
        <v>2494</v>
      </c>
      <c r="B2344" s="7">
        <v>45478</v>
      </c>
      <c r="C2344" s="13">
        <f t="shared" si="289"/>
        <v>2024</v>
      </c>
      <c r="D2344" s="7" t="str">
        <f t="shared" si="290"/>
        <v>Jul</v>
      </c>
      <c r="E2344" s="7" t="str">
        <f t="shared" si="291"/>
        <v>Fri</v>
      </c>
      <c r="F2344" t="s">
        <v>348</v>
      </c>
      <c r="G2344" t="s">
        <v>65</v>
      </c>
      <c r="H2344" t="s">
        <v>17</v>
      </c>
      <c r="I2344" s="2" t="str">
        <f t="shared" si="288"/>
        <v>South</v>
      </c>
      <c r="J2344" t="s">
        <v>12</v>
      </c>
      <c r="K2344" t="s">
        <v>36</v>
      </c>
      <c r="L2344">
        <v>7</v>
      </c>
      <c r="M2344">
        <v>120</v>
      </c>
      <c r="N2344">
        <f t="shared" si="292"/>
        <v>840</v>
      </c>
      <c r="O2344">
        <f t="shared" si="293"/>
        <v>84</v>
      </c>
      <c r="P2344" t="str">
        <f t="shared" si="294"/>
        <v>Large Order</v>
      </c>
      <c r="Q2344" t="str">
        <f t="shared" si="295"/>
        <v>Weekday</v>
      </c>
    </row>
    <row r="2345" spans="1:17" x14ac:dyDescent="0.35">
      <c r="A2345" t="s">
        <v>2495</v>
      </c>
      <c r="B2345" s="7">
        <v>45316</v>
      </c>
      <c r="C2345" s="13">
        <f t="shared" si="289"/>
        <v>2024</v>
      </c>
      <c r="D2345" s="7" t="str">
        <f t="shared" si="290"/>
        <v>Jan</v>
      </c>
      <c r="E2345" s="7" t="str">
        <f t="shared" si="291"/>
        <v>Thu</v>
      </c>
      <c r="F2345" t="s">
        <v>68</v>
      </c>
      <c r="G2345" t="s">
        <v>59</v>
      </c>
      <c r="H2345" t="s">
        <v>17</v>
      </c>
      <c r="I2345" s="2" t="str">
        <f t="shared" si="288"/>
        <v>East</v>
      </c>
      <c r="J2345" t="s">
        <v>56</v>
      </c>
      <c r="K2345" t="s">
        <v>36</v>
      </c>
      <c r="L2345">
        <v>3</v>
      </c>
      <c r="M2345">
        <v>120</v>
      </c>
      <c r="N2345">
        <f t="shared" si="292"/>
        <v>360</v>
      </c>
      <c r="O2345">
        <f t="shared" si="293"/>
        <v>36</v>
      </c>
      <c r="P2345" t="str">
        <f t="shared" si="294"/>
        <v>Standard Order</v>
      </c>
      <c r="Q2345" t="str">
        <f t="shared" si="295"/>
        <v>Weekday</v>
      </c>
    </row>
    <row r="2346" spans="1:17" x14ac:dyDescent="0.35">
      <c r="A2346" t="s">
        <v>2496</v>
      </c>
      <c r="B2346" s="7">
        <v>45588</v>
      </c>
      <c r="C2346" s="13">
        <f t="shared" si="289"/>
        <v>2024</v>
      </c>
      <c r="D2346" s="7" t="str">
        <f t="shared" si="290"/>
        <v>Oct</v>
      </c>
      <c r="E2346" s="7" t="str">
        <f t="shared" si="291"/>
        <v>Wed</v>
      </c>
      <c r="F2346" t="s">
        <v>108</v>
      </c>
      <c r="G2346" t="s">
        <v>59</v>
      </c>
      <c r="H2346" t="s">
        <v>17</v>
      </c>
      <c r="I2346" s="2" t="str">
        <f t="shared" si="288"/>
        <v>North</v>
      </c>
      <c r="J2346" t="s">
        <v>42</v>
      </c>
      <c r="K2346" t="s">
        <v>13</v>
      </c>
      <c r="L2346">
        <v>19</v>
      </c>
      <c r="M2346">
        <v>120</v>
      </c>
      <c r="N2346">
        <f t="shared" si="292"/>
        <v>2280</v>
      </c>
      <c r="O2346">
        <f t="shared" si="293"/>
        <v>228</v>
      </c>
      <c r="P2346" t="str">
        <f t="shared" si="294"/>
        <v>Large Order</v>
      </c>
      <c r="Q2346" t="str">
        <f t="shared" si="295"/>
        <v>Weekday</v>
      </c>
    </row>
    <row r="2347" spans="1:17" x14ac:dyDescent="0.35">
      <c r="A2347" t="s">
        <v>2497</v>
      </c>
      <c r="B2347" s="7">
        <v>45535</v>
      </c>
      <c r="C2347" s="13">
        <f t="shared" si="289"/>
        <v>2024</v>
      </c>
      <c r="D2347" s="7" t="str">
        <f t="shared" si="290"/>
        <v>Aug</v>
      </c>
      <c r="E2347" s="7" t="str">
        <f t="shared" si="291"/>
        <v>Sat</v>
      </c>
      <c r="F2347" t="s">
        <v>309</v>
      </c>
      <c r="G2347" t="s">
        <v>65</v>
      </c>
      <c r="H2347" t="s">
        <v>17</v>
      </c>
      <c r="I2347" s="2" t="str">
        <f t="shared" si="288"/>
        <v>South</v>
      </c>
      <c r="J2347" t="s">
        <v>12</v>
      </c>
      <c r="K2347" t="s">
        <v>32</v>
      </c>
      <c r="L2347">
        <v>17</v>
      </c>
      <c r="M2347">
        <v>120</v>
      </c>
      <c r="N2347">
        <f t="shared" si="292"/>
        <v>2040</v>
      </c>
      <c r="O2347">
        <f t="shared" si="293"/>
        <v>204</v>
      </c>
      <c r="P2347" t="str">
        <f t="shared" si="294"/>
        <v>Large Order</v>
      </c>
      <c r="Q2347" t="str">
        <f t="shared" si="295"/>
        <v>Weekend</v>
      </c>
    </row>
    <row r="2348" spans="1:17" x14ac:dyDescent="0.35">
      <c r="A2348" t="s">
        <v>2498</v>
      </c>
      <c r="B2348" s="7">
        <v>45513</v>
      </c>
      <c r="C2348" s="13">
        <f t="shared" si="289"/>
        <v>2024</v>
      </c>
      <c r="D2348" s="7" t="str">
        <f t="shared" si="290"/>
        <v>Aug</v>
      </c>
      <c r="E2348" s="7" t="str">
        <f t="shared" si="291"/>
        <v>Fri</v>
      </c>
      <c r="F2348" t="s">
        <v>371</v>
      </c>
      <c r="G2348" t="s">
        <v>174</v>
      </c>
      <c r="H2348" t="s">
        <v>17</v>
      </c>
      <c r="I2348" s="2" t="str">
        <f t="shared" si="288"/>
        <v>South</v>
      </c>
      <c r="J2348" t="s">
        <v>56</v>
      </c>
      <c r="K2348" t="s">
        <v>23</v>
      </c>
      <c r="L2348">
        <v>13</v>
      </c>
      <c r="M2348">
        <v>120</v>
      </c>
      <c r="N2348">
        <f t="shared" si="292"/>
        <v>1560</v>
      </c>
      <c r="O2348">
        <f t="shared" si="293"/>
        <v>156</v>
      </c>
      <c r="P2348" t="str">
        <f t="shared" si="294"/>
        <v>Large Order</v>
      </c>
      <c r="Q2348" t="str">
        <f t="shared" si="295"/>
        <v>Weekday</v>
      </c>
    </row>
    <row r="2349" spans="1:17" x14ac:dyDescent="0.35">
      <c r="A2349" t="s">
        <v>2499</v>
      </c>
      <c r="B2349" s="7">
        <v>45555</v>
      </c>
      <c r="C2349" s="13">
        <f t="shared" si="289"/>
        <v>2024</v>
      </c>
      <c r="D2349" s="7" t="str">
        <f t="shared" si="290"/>
        <v>Sep</v>
      </c>
      <c r="E2349" s="7" t="str">
        <f t="shared" si="291"/>
        <v>Fri</v>
      </c>
      <c r="F2349" t="s">
        <v>366</v>
      </c>
      <c r="G2349" t="s">
        <v>41</v>
      </c>
      <c r="H2349" t="s">
        <v>22</v>
      </c>
      <c r="I2349" s="2" t="str">
        <f t="shared" si="288"/>
        <v>West</v>
      </c>
      <c r="J2349" t="s">
        <v>56</v>
      </c>
      <c r="K2349" t="s">
        <v>13</v>
      </c>
      <c r="L2349">
        <v>17</v>
      </c>
      <c r="M2349">
        <v>120</v>
      </c>
      <c r="N2349">
        <f t="shared" si="292"/>
        <v>2040</v>
      </c>
      <c r="O2349">
        <f t="shared" si="293"/>
        <v>204</v>
      </c>
      <c r="P2349" t="str">
        <f t="shared" si="294"/>
        <v>Large Order</v>
      </c>
      <c r="Q2349" t="str">
        <f t="shared" si="295"/>
        <v>Weekday</v>
      </c>
    </row>
    <row r="2350" spans="1:17" x14ac:dyDescent="0.35">
      <c r="A2350" t="s">
        <v>2500</v>
      </c>
      <c r="B2350" s="7">
        <v>45587</v>
      </c>
      <c r="C2350" s="13">
        <f t="shared" si="289"/>
        <v>2024</v>
      </c>
      <c r="D2350" s="7" t="str">
        <f t="shared" si="290"/>
        <v>Oct</v>
      </c>
      <c r="E2350" s="7" t="str">
        <f t="shared" si="291"/>
        <v>Tue</v>
      </c>
      <c r="F2350" t="s">
        <v>432</v>
      </c>
      <c r="G2350" t="s">
        <v>65</v>
      </c>
      <c r="H2350" t="s">
        <v>22</v>
      </c>
      <c r="I2350" s="2" t="str">
        <f t="shared" si="288"/>
        <v>North</v>
      </c>
      <c r="J2350" t="s">
        <v>27</v>
      </c>
      <c r="K2350" t="s">
        <v>32</v>
      </c>
      <c r="L2350">
        <v>18</v>
      </c>
      <c r="M2350">
        <v>120</v>
      </c>
      <c r="N2350">
        <f t="shared" si="292"/>
        <v>2160</v>
      </c>
      <c r="O2350">
        <f t="shared" si="293"/>
        <v>216</v>
      </c>
      <c r="P2350" t="str">
        <f t="shared" si="294"/>
        <v>Large Order</v>
      </c>
      <c r="Q2350" t="str">
        <f t="shared" si="295"/>
        <v>Weekday</v>
      </c>
    </row>
    <row r="2351" spans="1:17" x14ac:dyDescent="0.35">
      <c r="A2351" t="s">
        <v>2501</v>
      </c>
      <c r="B2351" s="7">
        <v>45514</v>
      </c>
      <c r="C2351" s="13">
        <f t="shared" si="289"/>
        <v>2024</v>
      </c>
      <c r="D2351" s="7" t="str">
        <f t="shared" si="290"/>
        <v>Aug</v>
      </c>
      <c r="E2351" s="7" t="str">
        <f t="shared" si="291"/>
        <v>Sat</v>
      </c>
      <c r="F2351" t="s">
        <v>614</v>
      </c>
      <c r="G2351" t="s">
        <v>84</v>
      </c>
      <c r="H2351" t="s">
        <v>22</v>
      </c>
      <c r="I2351" s="2" t="str">
        <f t="shared" si="288"/>
        <v>East</v>
      </c>
      <c r="J2351" t="s">
        <v>12</v>
      </c>
      <c r="K2351" t="s">
        <v>36</v>
      </c>
      <c r="L2351">
        <v>7</v>
      </c>
      <c r="M2351">
        <v>120</v>
      </c>
      <c r="N2351">
        <f t="shared" si="292"/>
        <v>840</v>
      </c>
      <c r="O2351">
        <f t="shared" si="293"/>
        <v>84</v>
      </c>
      <c r="P2351" t="str">
        <f t="shared" si="294"/>
        <v>Large Order</v>
      </c>
      <c r="Q2351" t="str">
        <f t="shared" si="295"/>
        <v>Weekend</v>
      </c>
    </row>
    <row r="2352" spans="1:17" x14ac:dyDescent="0.35">
      <c r="A2352" t="s">
        <v>2502</v>
      </c>
      <c r="B2352" s="7">
        <v>45367</v>
      </c>
      <c r="C2352" s="13">
        <f t="shared" si="289"/>
        <v>2024</v>
      </c>
      <c r="D2352" s="7" t="str">
        <f t="shared" si="290"/>
        <v>Mar</v>
      </c>
      <c r="E2352" s="7" t="str">
        <f t="shared" si="291"/>
        <v>Sat</v>
      </c>
      <c r="F2352" t="s">
        <v>93</v>
      </c>
      <c r="G2352" t="s">
        <v>16</v>
      </c>
      <c r="H2352" t="s">
        <v>22</v>
      </c>
      <c r="I2352" s="2" t="str">
        <f t="shared" si="288"/>
        <v>East</v>
      </c>
      <c r="J2352" t="s">
        <v>42</v>
      </c>
      <c r="K2352" t="s">
        <v>23</v>
      </c>
      <c r="L2352">
        <v>14</v>
      </c>
      <c r="M2352">
        <v>120</v>
      </c>
      <c r="N2352">
        <f t="shared" si="292"/>
        <v>1680</v>
      </c>
      <c r="O2352">
        <f t="shared" si="293"/>
        <v>168</v>
      </c>
      <c r="P2352" t="str">
        <f t="shared" si="294"/>
        <v>Large Order</v>
      </c>
      <c r="Q2352" t="str">
        <f t="shared" si="295"/>
        <v>Weekend</v>
      </c>
    </row>
    <row r="2353" spans="1:17" x14ac:dyDescent="0.35">
      <c r="A2353" t="s">
        <v>2503</v>
      </c>
      <c r="B2353" s="7">
        <v>45324</v>
      </c>
      <c r="C2353" s="13">
        <f t="shared" si="289"/>
        <v>2024</v>
      </c>
      <c r="D2353" s="7" t="str">
        <f t="shared" si="290"/>
        <v>Feb</v>
      </c>
      <c r="E2353" s="7" t="str">
        <f t="shared" si="291"/>
        <v>Fri</v>
      </c>
      <c r="F2353" t="s">
        <v>541</v>
      </c>
      <c r="G2353" t="s">
        <v>65</v>
      </c>
      <c r="H2353" t="s">
        <v>17</v>
      </c>
      <c r="I2353" s="2" t="str">
        <f t="shared" si="288"/>
        <v>North</v>
      </c>
      <c r="J2353" t="s">
        <v>42</v>
      </c>
      <c r="K2353" t="s">
        <v>32</v>
      </c>
      <c r="L2353">
        <v>6</v>
      </c>
      <c r="M2353">
        <v>120</v>
      </c>
      <c r="N2353">
        <f t="shared" si="292"/>
        <v>720</v>
      </c>
      <c r="O2353">
        <f t="shared" si="293"/>
        <v>72</v>
      </c>
      <c r="P2353" t="str">
        <f t="shared" si="294"/>
        <v>Large Order</v>
      </c>
      <c r="Q2353" t="str">
        <f t="shared" si="295"/>
        <v>Weekday</v>
      </c>
    </row>
    <row r="2354" spans="1:17" x14ac:dyDescent="0.35">
      <c r="A2354" t="s">
        <v>2504</v>
      </c>
      <c r="B2354" s="7">
        <v>45599</v>
      </c>
      <c r="C2354" s="13">
        <f t="shared" si="289"/>
        <v>2024</v>
      </c>
      <c r="D2354" s="7" t="str">
        <f t="shared" si="290"/>
        <v>Nov</v>
      </c>
      <c r="E2354" s="7" t="str">
        <f t="shared" si="291"/>
        <v>Sun</v>
      </c>
      <c r="F2354" t="s">
        <v>93</v>
      </c>
      <c r="G2354" t="s">
        <v>31</v>
      </c>
      <c r="H2354" t="s">
        <v>11</v>
      </c>
      <c r="I2354" s="2" t="str">
        <f t="shared" si="288"/>
        <v>West</v>
      </c>
      <c r="J2354" t="s">
        <v>12</v>
      </c>
      <c r="K2354" t="s">
        <v>28</v>
      </c>
      <c r="L2354">
        <v>7</v>
      </c>
      <c r="M2354">
        <v>120</v>
      </c>
      <c r="N2354">
        <f t="shared" si="292"/>
        <v>840</v>
      </c>
      <c r="O2354">
        <f t="shared" si="293"/>
        <v>84</v>
      </c>
      <c r="P2354" t="str">
        <f t="shared" si="294"/>
        <v>Large Order</v>
      </c>
      <c r="Q2354" t="str">
        <f t="shared" si="295"/>
        <v>Weekend</v>
      </c>
    </row>
    <row r="2355" spans="1:17" x14ac:dyDescent="0.35">
      <c r="A2355" t="s">
        <v>2505</v>
      </c>
      <c r="B2355" s="7">
        <v>45450</v>
      </c>
      <c r="C2355" s="13">
        <f t="shared" si="289"/>
        <v>2024</v>
      </c>
      <c r="D2355" s="7" t="str">
        <f t="shared" si="290"/>
        <v>Jun</v>
      </c>
      <c r="E2355" s="7" t="str">
        <f t="shared" si="291"/>
        <v>Fri</v>
      </c>
      <c r="F2355" t="s">
        <v>319</v>
      </c>
      <c r="G2355" t="s">
        <v>35</v>
      </c>
      <c r="H2355" t="s">
        <v>22</v>
      </c>
      <c r="I2355" s="2" t="str">
        <f t="shared" si="288"/>
        <v>East</v>
      </c>
      <c r="J2355" t="s">
        <v>27</v>
      </c>
      <c r="K2355" t="s">
        <v>23</v>
      </c>
      <c r="L2355">
        <v>2</v>
      </c>
      <c r="M2355">
        <v>120</v>
      </c>
      <c r="N2355">
        <f t="shared" si="292"/>
        <v>240</v>
      </c>
      <c r="O2355">
        <f t="shared" si="293"/>
        <v>24</v>
      </c>
      <c r="P2355" t="str">
        <f t="shared" si="294"/>
        <v>Standard Order</v>
      </c>
      <c r="Q2355" t="str">
        <f t="shared" si="295"/>
        <v>Weekday</v>
      </c>
    </row>
    <row r="2356" spans="1:17" x14ac:dyDescent="0.35">
      <c r="A2356" t="s">
        <v>2506</v>
      </c>
      <c r="B2356" s="7">
        <v>45431</v>
      </c>
      <c r="C2356" s="13">
        <f t="shared" si="289"/>
        <v>2024</v>
      </c>
      <c r="D2356" s="7" t="str">
        <f t="shared" si="290"/>
        <v>May</v>
      </c>
      <c r="E2356" s="7" t="str">
        <f t="shared" si="291"/>
        <v>Sun</v>
      </c>
      <c r="F2356" t="s">
        <v>99</v>
      </c>
      <c r="G2356" t="s">
        <v>96</v>
      </c>
      <c r="H2356" t="s">
        <v>17</v>
      </c>
      <c r="I2356" s="2" t="str">
        <f t="shared" si="288"/>
        <v>North</v>
      </c>
      <c r="J2356" t="s">
        <v>42</v>
      </c>
      <c r="K2356" t="s">
        <v>36</v>
      </c>
      <c r="L2356">
        <v>6</v>
      </c>
      <c r="M2356">
        <v>120</v>
      </c>
      <c r="N2356">
        <f t="shared" si="292"/>
        <v>720</v>
      </c>
      <c r="O2356">
        <f t="shared" si="293"/>
        <v>72</v>
      </c>
      <c r="P2356" t="str">
        <f t="shared" si="294"/>
        <v>Large Order</v>
      </c>
      <c r="Q2356" t="str">
        <f t="shared" si="295"/>
        <v>Weekend</v>
      </c>
    </row>
    <row r="2357" spans="1:17" x14ac:dyDescent="0.35">
      <c r="A2357" t="s">
        <v>2507</v>
      </c>
      <c r="B2357" s="7">
        <v>45313</v>
      </c>
      <c r="C2357" s="13">
        <f t="shared" si="289"/>
        <v>2024</v>
      </c>
      <c r="D2357" s="7" t="str">
        <f t="shared" si="290"/>
        <v>Jan</v>
      </c>
      <c r="E2357" s="7" t="str">
        <f t="shared" si="291"/>
        <v>Mon</v>
      </c>
      <c r="F2357" t="s">
        <v>329</v>
      </c>
      <c r="G2357" t="s">
        <v>35</v>
      </c>
      <c r="H2357" t="s">
        <v>11</v>
      </c>
      <c r="I2357" s="2" t="str">
        <f t="shared" si="288"/>
        <v>North</v>
      </c>
      <c r="J2357" t="s">
        <v>12</v>
      </c>
      <c r="K2357" t="s">
        <v>13</v>
      </c>
      <c r="L2357">
        <v>11</v>
      </c>
      <c r="M2357">
        <v>120</v>
      </c>
      <c r="N2357">
        <f t="shared" si="292"/>
        <v>1320</v>
      </c>
      <c r="O2357">
        <f t="shared" si="293"/>
        <v>132</v>
      </c>
      <c r="P2357" t="str">
        <f t="shared" si="294"/>
        <v>Large Order</v>
      </c>
      <c r="Q2357" t="str">
        <f t="shared" si="295"/>
        <v>Weekday</v>
      </c>
    </row>
    <row r="2358" spans="1:17" x14ac:dyDescent="0.35">
      <c r="A2358" t="s">
        <v>2508</v>
      </c>
      <c r="B2358" s="7">
        <v>45324</v>
      </c>
      <c r="C2358" s="13">
        <f t="shared" si="289"/>
        <v>2024</v>
      </c>
      <c r="D2358" s="7" t="str">
        <f t="shared" si="290"/>
        <v>Feb</v>
      </c>
      <c r="E2358" s="7" t="str">
        <f t="shared" si="291"/>
        <v>Fri</v>
      </c>
      <c r="F2358" t="s">
        <v>408</v>
      </c>
      <c r="G2358" t="s">
        <v>48</v>
      </c>
      <c r="H2358" t="s">
        <v>22</v>
      </c>
      <c r="I2358" s="2" t="str">
        <f t="shared" si="288"/>
        <v>Central</v>
      </c>
      <c r="J2358" t="s">
        <v>12</v>
      </c>
      <c r="K2358" t="s">
        <v>23</v>
      </c>
      <c r="L2358">
        <v>5</v>
      </c>
      <c r="M2358">
        <v>120</v>
      </c>
      <c r="N2358">
        <f t="shared" si="292"/>
        <v>600</v>
      </c>
      <c r="O2358">
        <f t="shared" si="293"/>
        <v>60</v>
      </c>
      <c r="P2358" t="str">
        <f t="shared" si="294"/>
        <v>Large Order</v>
      </c>
      <c r="Q2358" t="str">
        <f t="shared" si="295"/>
        <v>Weekday</v>
      </c>
    </row>
    <row r="2359" spans="1:17" x14ac:dyDescent="0.35">
      <c r="A2359" t="s">
        <v>2509</v>
      </c>
      <c r="B2359" s="7">
        <v>45584</v>
      </c>
      <c r="C2359" s="13">
        <f t="shared" si="289"/>
        <v>2024</v>
      </c>
      <c r="D2359" s="7" t="str">
        <f t="shared" si="290"/>
        <v>Oct</v>
      </c>
      <c r="E2359" s="7" t="str">
        <f t="shared" si="291"/>
        <v>Sat</v>
      </c>
      <c r="F2359" t="s">
        <v>304</v>
      </c>
      <c r="G2359" t="s">
        <v>160</v>
      </c>
      <c r="H2359" t="s">
        <v>11</v>
      </c>
      <c r="I2359" s="2" t="str">
        <f t="shared" si="288"/>
        <v>East</v>
      </c>
      <c r="J2359" t="s">
        <v>306</v>
      </c>
      <c r="K2359" t="s">
        <v>36</v>
      </c>
      <c r="L2359">
        <v>17</v>
      </c>
      <c r="M2359">
        <v>120</v>
      </c>
      <c r="N2359">
        <f t="shared" si="292"/>
        <v>2040</v>
      </c>
      <c r="O2359">
        <f t="shared" si="293"/>
        <v>204</v>
      </c>
      <c r="P2359" t="str">
        <f t="shared" si="294"/>
        <v>Large Order</v>
      </c>
      <c r="Q2359" t="str">
        <f t="shared" si="295"/>
        <v>Weekend</v>
      </c>
    </row>
    <row r="2360" spans="1:17" x14ac:dyDescent="0.35">
      <c r="A2360" t="s">
        <v>2510</v>
      </c>
      <c r="B2360" s="7">
        <v>45338</v>
      </c>
      <c r="C2360" s="13">
        <f t="shared" si="289"/>
        <v>2024</v>
      </c>
      <c r="D2360" s="7" t="str">
        <f t="shared" si="290"/>
        <v>Feb</v>
      </c>
      <c r="E2360" s="7" t="str">
        <f t="shared" si="291"/>
        <v>Fri</v>
      </c>
      <c r="F2360" t="s">
        <v>93</v>
      </c>
      <c r="G2360" t="s">
        <v>109</v>
      </c>
      <c r="H2360" t="s">
        <v>11</v>
      </c>
      <c r="I2360" s="2" t="str">
        <f t="shared" si="288"/>
        <v>North</v>
      </c>
      <c r="J2360" t="s">
        <v>42</v>
      </c>
      <c r="K2360" t="s">
        <v>32</v>
      </c>
      <c r="L2360">
        <v>19</v>
      </c>
      <c r="M2360">
        <v>120</v>
      </c>
      <c r="N2360">
        <f t="shared" si="292"/>
        <v>2280</v>
      </c>
      <c r="O2360">
        <f t="shared" si="293"/>
        <v>228</v>
      </c>
      <c r="P2360" t="str">
        <f t="shared" si="294"/>
        <v>Large Order</v>
      </c>
      <c r="Q2360" t="str">
        <f t="shared" si="295"/>
        <v>Weekday</v>
      </c>
    </row>
    <row r="2361" spans="1:17" x14ac:dyDescent="0.35">
      <c r="A2361" t="s">
        <v>2511</v>
      </c>
      <c r="B2361" s="7">
        <v>45412</v>
      </c>
      <c r="C2361" s="13">
        <f t="shared" si="289"/>
        <v>2024</v>
      </c>
      <c r="D2361" s="7" t="str">
        <f t="shared" si="290"/>
        <v>Apr</v>
      </c>
      <c r="E2361" s="7" t="str">
        <f t="shared" si="291"/>
        <v>Tue</v>
      </c>
      <c r="F2361" t="s">
        <v>309</v>
      </c>
      <c r="G2361" t="s">
        <v>65</v>
      </c>
      <c r="H2361" t="s">
        <v>11</v>
      </c>
      <c r="I2361" s="2" t="str">
        <f t="shared" si="288"/>
        <v>North</v>
      </c>
      <c r="J2361" t="s">
        <v>12</v>
      </c>
      <c r="K2361" t="s">
        <v>28</v>
      </c>
      <c r="L2361">
        <v>7</v>
      </c>
      <c r="M2361">
        <v>120</v>
      </c>
      <c r="N2361">
        <f t="shared" si="292"/>
        <v>840</v>
      </c>
      <c r="O2361">
        <f t="shared" si="293"/>
        <v>84</v>
      </c>
      <c r="P2361" t="str">
        <f t="shared" si="294"/>
        <v>Large Order</v>
      </c>
      <c r="Q2361" t="str">
        <f t="shared" si="295"/>
        <v>Weekday</v>
      </c>
    </row>
    <row r="2362" spans="1:17" x14ac:dyDescent="0.35">
      <c r="A2362" t="s">
        <v>2512</v>
      </c>
      <c r="B2362" s="7">
        <v>45517</v>
      </c>
      <c r="C2362" s="13">
        <f t="shared" si="289"/>
        <v>2024</v>
      </c>
      <c r="D2362" s="7" t="str">
        <f t="shared" si="290"/>
        <v>Aug</v>
      </c>
      <c r="E2362" s="7" t="str">
        <f t="shared" si="291"/>
        <v>Tue</v>
      </c>
      <c r="F2362" t="s">
        <v>408</v>
      </c>
      <c r="G2362" t="s">
        <v>26</v>
      </c>
      <c r="H2362" t="s">
        <v>22</v>
      </c>
      <c r="I2362" s="2" t="str">
        <f t="shared" si="288"/>
        <v>West</v>
      </c>
      <c r="J2362" t="s">
        <v>12</v>
      </c>
      <c r="K2362" t="s">
        <v>23</v>
      </c>
      <c r="L2362">
        <v>18</v>
      </c>
      <c r="M2362">
        <v>120</v>
      </c>
      <c r="N2362">
        <f t="shared" si="292"/>
        <v>2160</v>
      </c>
      <c r="O2362">
        <f t="shared" si="293"/>
        <v>216</v>
      </c>
      <c r="P2362" t="str">
        <f t="shared" si="294"/>
        <v>Large Order</v>
      </c>
      <c r="Q2362" t="str">
        <f t="shared" si="295"/>
        <v>Weekday</v>
      </c>
    </row>
    <row r="2363" spans="1:17" x14ac:dyDescent="0.35">
      <c r="A2363" t="s">
        <v>2513</v>
      </c>
      <c r="B2363" s="7">
        <v>45349</v>
      </c>
      <c r="C2363" s="13">
        <f t="shared" si="289"/>
        <v>2024</v>
      </c>
      <c r="D2363" s="7" t="str">
        <f t="shared" si="290"/>
        <v>Feb</v>
      </c>
      <c r="E2363" s="7" t="str">
        <f t="shared" si="291"/>
        <v>Tue</v>
      </c>
      <c r="F2363" t="s">
        <v>38</v>
      </c>
      <c r="G2363" t="s">
        <v>174</v>
      </c>
      <c r="H2363" t="s">
        <v>17</v>
      </c>
      <c r="I2363" s="2" t="str">
        <f t="shared" si="288"/>
        <v>East</v>
      </c>
      <c r="J2363" t="s">
        <v>27</v>
      </c>
      <c r="K2363" t="s">
        <v>28</v>
      </c>
      <c r="L2363">
        <v>9</v>
      </c>
      <c r="M2363">
        <v>120</v>
      </c>
      <c r="N2363">
        <f t="shared" si="292"/>
        <v>1080</v>
      </c>
      <c r="O2363">
        <f t="shared" si="293"/>
        <v>108</v>
      </c>
      <c r="P2363" t="str">
        <f t="shared" si="294"/>
        <v>Large Order</v>
      </c>
      <c r="Q2363" t="str">
        <f t="shared" si="295"/>
        <v>Weekday</v>
      </c>
    </row>
    <row r="2364" spans="1:17" x14ac:dyDescent="0.35">
      <c r="A2364" t="s">
        <v>2514</v>
      </c>
      <c r="B2364" s="7">
        <v>45366</v>
      </c>
      <c r="C2364" s="13">
        <f t="shared" si="289"/>
        <v>2024</v>
      </c>
      <c r="D2364" s="7" t="str">
        <f t="shared" si="290"/>
        <v>Mar</v>
      </c>
      <c r="E2364" s="7" t="str">
        <f t="shared" si="291"/>
        <v>Fri</v>
      </c>
      <c r="F2364" t="s">
        <v>83</v>
      </c>
      <c r="G2364" t="s">
        <v>35</v>
      </c>
      <c r="H2364" t="s">
        <v>22</v>
      </c>
      <c r="I2364" s="2" t="str">
        <f t="shared" si="288"/>
        <v>North</v>
      </c>
      <c r="J2364" t="s">
        <v>42</v>
      </c>
      <c r="K2364" t="s">
        <v>32</v>
      </c>
      <c r="L2364">
        <v>1</v>
      </c>
      <c r="M2364">
        <v>120</v>
      </c>
      <c r="N2364">
        <f t="shared" si="292"/>
        <v>120</v>
      </c>
      <c r="O2364">
        <f t="shared" si="293"/>
        <v>12</v>
      </c>
      <c r="P2364" t="str">
        <f t="shared" si="294"/>
        <v>Standard Order</v>
      </c>
      <c r="Q2364" t="str">
        <f t="shared" si="295"/>
        <v>Weekday</v>
      </c>
    </row>
    <row r="2365" spans="1:17" x14ac:dyDescent="0.35">
      <c r="A2365" t="s">
        <v>2515</v>
      </c>
      <c r="B2365" s="7">
        <v>45602</v>
      </c>
      <c r="C2365" s="13">
        <f t="shared" si="289"/>
        <v>2024</v>
      </c>
      <c r="D2365" s="7" t="str">
        <f t="shared" si="290"/>
        <v>Nov</v>
      </c>
      <c r="E2365" s="7" t="str">
        <f t="shared" si="291"/>
        <v>Wed</v>
      </c>
      <c r="F2365" t="s">
        <v>122</v>
      </c>
      <c r="G2365" t="s">
        <v>84</v>
      </c>
      <c r="H2365" t="s">
        <v>22</v>
      </c>
      <c r="I2365" s="2" t="str">
        <f t="shared" si="288"/>
        <v>North</v>
      </c>
      <c r="J2365" t="s">
        <v>12</v>
      </c>
      <c r="K2365" t="s">
        <v>28</v>
      </c>
      <c r="L2365">
        <v>9</v>
      </c>
      <c r="M2365">
        <v>120</v>
      </c>
      <c r="N2365">
        <f t="shared" si="292"/>
        <v>1080</v>
      </c>
      <c r="O2365">
        <f t="shared" si="293"/>
        <v>108</v>
      </c>
      <c r="P2365" t="str">
        <f t="shared" si="294"/>
        <v>Large Order</v>
      </c>
      <c r="Q2365" t="str">
        <f t="shared" si="295"/>
        <v>Weekday</v>
      </c>
    </row>
    <row r="2366" spans="1:17" x14ac:dyDescent="0.35">
      <c r="A2366" t="s">
        <v>2516</v>
      </c>
      <c r="B2366" s="7">
        <v>45450</v>
      </c>
      <c r="C2366" s="13">
        <f t="shared" si="289"/>
        <v>2024</v>
      </c>
      <c r="D2366" s="7" t="str">
        <f t="shared" si="290"/>
        <v>Jun</v>
      </c>
      <c r="E2366" s="7" t="str">
        <f t="shared" si="291"/>
        <v>Fri</v>
      </c>
      <c r="F2366" t="s">
        <v>541</v>
      </c>
      <c r="G2366" t="s">
        <v>62</v>
      </c>
      <c r="H2366" t="s">
        <v>17</v>
      </c>
      <c r="I2366" s="2" t="str">
        <f t="shared" si="288"/>
        <v>East</v>
      </c>
      <c r="J2366" t="s">
        <v>12</v>
      </c>
      <c r="K2366" t="s">
        <v>36</v>
      </c>
      <c r="L2366">
        <v>8</v>
      </c>
      <c r="M2366">
        <v>120</v>
      </c>
      <c r="N2366">
        <f t="shared" si="292"/>
        <v>960</v>
      </c>
      <c r="O2366">
        <f t="shared" si="293"/>
        <v>96</v>
      </c>
      <c r="P2366" t="str">
        <f t="shared" si="294"/>
        <v>Large Order</v>
      </c>
      <c r="Q2366" t="str">
        <f t="shared" si="295"/>
        <v>Weekday</v>
      </c>
    </row>
    <row r="2367" spans="1:17" x14ac:dyDescent="0.35">
      <c r="A2367" t="s">
        <v>2517</v>
      </c>
      <c r="B2367" s="7">
        <v>45490</v>
      </c>
      <c r="C2367" s="13">
        <f t="shared" si="289"/>
        <v>2024</v>
      </c>
      <c r="D2367" s="7" t="str">
        <f t="shared" si="290"/>
        <v>Jul</v>
      </c>
      <c r="E2367" s="7" t="str">
        <f t="shared" si="291"/>
        <v>Wed</v>
      </c>
      <c r="F2367" t="s">
        <v>142</v>
      </c>
      <c r="G2367" t="s">
        <v>31</v>
      </c>
      <c r="H2367" t="s">
        <v>17</v>
      </c>
      <c r="I2367" s="2" t="str">
        <f t="shared" si="288"/>
        <v>West</v>
      </c>
      <c r="J2367" t="s">
        <v>42</v>
      </c>
      <c r="K2367" t="s">
        <v>13</v>
      </c>
      <c r="L2367">
        <v>8</v>
      </c>
      <c r="M2367">
        <v>120</v>
      </c>
      <c r="N2367">
        <f t="shared" si="292"/>
        <v>960</v>
      </c>
      <c r="O2367">
        <f t="shared" si="293"/>
        <v>96</v>
      </c>
      <c r="P2367" t="str">
        <f t="shared" si="294"/>
        <v>Large Order</v>
      </c>
      <c r="Q2367" t="str">
        <f t="shared" si="295"/>
        <v>Weekday</v>
      </c>
    </row>
    <row r="2368" spans="1:17" x14ac:dyDescent="0.35">
      <c r="A2368" t="s">
        <v>2518</v>
      </c>
      <c r="B2368" s="7">
        <v>45374</v>
      </c>
      <c r="C2368" s="13">
        <f t="shared" si="289"/>
        <v>2024</v>
      </c>
      <c r="D2368" s="7" t="str">
        <f t="shared" si="290"/>
        <v>Mar</v>
      </c>
      <c r="E2368" s="7" t="str">
        <f t="shared" si="291"/>
        <v>Sat</v>
      </c>
      <c r="F2368" t="s">
        <v>396</v>
      </c>
      <c r="G2368" t="s">
        <v>21</v>
      </c>
      <c r="H2368" t="s">
        <v>17</v>
      </c>
      <c r="I2368" s="2" t="str">
        <f t="shared" si="288"/>
        <v>East</v>
      </c>
      <c r="J2368" t="s">
        <v>27</v>
      </c>
      <c r="K2368" t="s">
        <v>13</v>
      </c>
      <c r="L2368">
        <v>9</v>
      </c>
      <c r="M2368">
        <v>120</v>
      </c>
      <c r="N2368">
        <f t="shared" si="292"/>
        <v>1080</v>
      </c>
      <c r="O2368">
        <f t="shared" si="293"/>
        <v>108</v>
      </c>
      <c r="P2368" t="str">
        <f t="shared" si="294"/>
        <v>Large Order</v>
      </c>
      <c r="Q2368" t="str">
        <f t="shared" si="295"/>
        <v>Weekend</v>
      </c>
    </row>
    <row r="2369" spans="1:17" x14ac:dyDescent="0.35">
      <c r="A2369" t="s">
        <v>2519</v>
      </c>
      <c r="B2369" s="7">
        <v>45543</v>
      </c>
      <c r="C2369" s="13">
        <f t="shared" si="289"/>
        <v>2024</v>
      </c>
      <c r="D2369" s="7" t="str">
        <f t="shared" si="290"/>
        <v>Sep</v>
      </c>
      <c r="E2369" s="7" t="str">
        <f t="shared" si="291"/>
        <v>Sun</v>
      </c>
      <c r="F2369" t="s">
        <v>553</v>
      </c>
      <c r="G2369" t="s">
        <v>84</v>
      </c>
      <c r="H2369" t="s">
        <v>17</v>
      </c>
      <c r="I2369" s="2" t="str">
        <f t="shared" si="288"/>
        <v>East</v>
      </c>
      <c r="J2369" t="s">
        <v>42</v>
      </c>
      <c r="K2369" t="s">
        <v>23</v>
      </c>
      <c r="L2369">
        <v>4</v>
      </c>
      <c r="M2369">
        <v>120</v>
      </c>
      <c r="N2369">
        <f t="shared" si="292"/>
        <v>480</v>
      </c>
      <c r="O2369">
        <f t="shared" si="293"/>
        <v>48</v>
      </c>
      <c r="P2369" t="str">
        <f t="shared" si="294"/>
        <v>Standard Order</v>
      </c>
      <c r="Q2369" t="str">
        <f t="shared" si="295"/>
        <v>Weekend</v>
      </c>
    </row>
    <row r="2370" spans="1:17" x14ac:dyDescent="0.35">
      <c r="A2370" t="s">
        <v>2520</v>
      </c>
      <c r="B2370" s="7">
        <v>45649</v>
      </c>
      <c r="C2370" s="13">
        <f t="shared" si="289"/>
        <v>2024</v>
      </c>
      <c r="D2370" s="7" t="str">
        <f t="shared" si="290"/>
        <v>Dec</v>
      </c>
      <c r="E2370" s="7" t="str">
        <f t="shared" si="291"/>
        <v>Mon</v>
      </c>
      <c r="F2370" t="s">
        <v>86</v>
      </c>
      <c r="G2370" t="s">
        <v>160</v>
      </c>
      <c r="H2370" t="s">
        <v>11</v>
      </c>
      <c r="I2370" s="2" t="str">
        <f t="shared" si="288"/>
        <v>North</v>
      </c>
      <c r="J2370" t="s">
        <v>42</v>
      </c>
      <c r="K2370" t="s">
        <v>23</v>
      </c>
      <c r="L2370">
        <v>20</v>
      </c>
      <c r="M2370">
        <v>120</v>
      </c>
      <c r="N2370">
        <f t="shared" si="292"/>
        <v>2400</v>
      </c>
      <c r="O2370">
        <f t="shared" si="293"/>
        <v>240</v>
      </c>
      <c r="P2370" t="str">
        <f t="shared" si="294"/>
        <v>Large Order</v>
      </c>
      <c r="Q2370" t="str">
        <f t="shared" si="295"/>
        <v>Weekday</v>
      </c>
    </row>
    <row r="2371" spans="1:17" x14ac:dyDescent="0.35">
      <c r="A2371" t="s">
        <v>2521</v>
      </c>
      <c r="B2371" s="7">
        <v>45572</v>
      </c>
      <c r="C2371" s="13">
        <f t="shared" si="289"/>
        <v>2024</v>
      </c>
      <c r="D2371" s="7" t="str">
        <f t="shared" si="290"/>
        <v>Oct</v>
      </c>
      <c r="E2371" s="7" t="str">
        <f t="shared" si="291"/>
        <v>Mon</v>
      </c>
      <c r="F2371" t="s">
        <v>304</v>
      </c>
      <c r="G2371" t="s">
        <v>72</v>
      </c>
      <c r="H2371" t="s">
        <v>17</v>
      </c>
      <c r="I2371" s="2" t="str">
        <f t="shared" ref="I2371:I2434" si="296">TRIM(J2372)</f>
        <v>South</v>
      </c>
      <c r="J2371" t="s">
        <v>12</v>
      </c>
      <c r="K2371" t="s">
        <v>13</v>
      </c>
      <c r="L2371">
        <v>6</v>
      </c>
      <c r="M2371">
        <v>120</v>
      </c>
      <c r="N2371">
        <f t="shared" si="292"/>
        <v>720</v>
      </c>
      <c r="O2371">
        <f t="shared" si="293"/>
        <v>72</v>
      </c>
      <c r="P2371" t="str">
        <f t="shared" si="294"/>
        <v>Large Order</v>
      </c>
      <c r="Q2371" t="str">
        <f t="shared" si="295"/>
        <v>Weekday</v>
      </c>
    </row>
    <row r="2372" spans="1:17" x14ac:dyDescent="0.35">
      <c r="A2372" t="s">
        <v>2522</v>
      </c>
      <c r="B2372" s="7">
        <v>45620</v>
      </c>
      <c r="C2372" s="13">
        <f t="shared" ref="C2372:C2435" si="297">YEAR(B2372)</f>
        <v>2024</v>
      </c>
      <c r="D2372" s="7" t="str">
        <f t="shared" ref="D2372:D2435" si="298">TEXT(B2372,"mmm")</f>
        <v>Nov</v>
      </c>
      <c r="E2372" s="7" t="str">
        <f t="shared" ref="E2372:E2435" si="299">TEXT(B2372,"ddd")</f>
        <v>Sun</v>
      </c>
      <c r="F2372" t="s">
        <v>99</v>
      </c>
      <c r="G2372" t="s">
        <v>96</v>
      </c>
      <c r="H2372" t="s">
        <v>17</v>
      </c>
      <c r="I2372" s="2" t="str">
        <f t="shared" si="296"/>
        <v>South</v>
      </c>
      <c r="J2372" t="s">
        <v>56</v>
      </c>
      <c r="K2372" t="s">
        <v>32</v>
      </c>
      <c r="L2372">
        <v>11</v>
      </c>
      <c r="M2372">
        <v>120</v>
      </c>
      <c r="N2372">
        <f t="shared" ref="N2372:N2435" si="300">M2372*L2372</f>
        <v>1320</v>
      </c>
      <c r="O2372">
        <f t="shared" ref="O2372:O2435" si="301">N2372*0.1</f>
        <v>132</v>
      </c>
      <c r="P2372" t="str">
        <f t="shared" ref="P2372:P2435" si="302">IF(N2372&gt;500,"Large Order","Standard Order")</f>
        <v>Large Order</v>
      </c>
      <c r="Q2372" t="str">
        <f t="shared" ref="Q2372:Q2435" si="303">IF(OR(TRIM(E2372)="Sat",TRIM(E2372)="Sun"),"Weekend","Weekday")</f>
        <v>Weekend</v>
      </c>
    </row>
    <row r="2373" spans="1:17" x14ac:dyDescent="0.35">
      <c r="A2373" t="s">
        <v>2523</v>
      </c>
      <c r="B2373" s="7">
        <v>45348</v>
      </c>
      <c r="C2373" s="13">
        <f t="shared" si="297"/>
        <v>2024</v>
      </c>
      <c r="D2373" s="7" t="str">
        <f t="shared" si="298"/>
        <v>Feb</v>
      </c>
      <c r="E2373" s="7" t="str">
        <f t="shared" si="299"/>
        <v>Mon</v>
      </c>
      <c r="F2373" t="s">
        <v>111</v>
      </c>
      <c r="G2373" t="s">
        <v>197</v>
      </c>
      <c r="H2373" t="s">
        <v>22</v>
      </c>
      <c r="I2373" s="2" t="str">
        <f t="shared" si="296"/>
        <v>South</v>
      </c>
      <c r="J2373" t="s">
        <v>56</v>
      </c>
      <c r="K2373" t="s">
        <v>36</v>
      </c>
      <c r="L2373">
        <v>14</v>
      </c>
      <c r="M2373">
        <v>120</v>
      </c>
      <c r="N2373">
        <f t="shared" si="300"/>
        <v>1680</v>
      </c>
      <c r="O2373">
        <f t="shared" si="301"/>
        <v>168</v>
      </c>
      <c r="P2373" t="str">
        <f t="shared" si="302"/>
        <v>Large Order</v>
      </c>
      <c r="Q2373" t="str">
        <f t="shared" si="303"/>
        <v>Weekday</v>
      </c>
    </row>
    <row r="2374" spans="1:17" x14ac:dyDescent="0.35">
      <c r="A2374" t="s">
        <v>2524</v>
      </c>
      <c r="B2374" s="7">
        <v>45455</v>
      </c>
      <c r="C2374" s="13">
        <f t="shared" si="297"/>
        <v>2024</v>
      </c>
      <c r="D2374" s="7" t="str">
        <f t="shared" si="298"/>
        <v>Jun</v>
      </c>
      <c r="E2374" s="7" t="str">
        <f t="shared" si="299"/>
        <v>Wed</v>
      </c>
      <c r="F2374" t="s">
        <v>430</v>
      </c>
      <c r="G2374" t="s">
        <v>35</v>
      </c>
      <c r="H2374" t="s">
        <v>22</v>
      </c>
      <c r="I2374" s="2" t="str">
        <f t="shared" si="296"/>
        <v>West</v>
      </c>
      <c r="J2374" t="s">
        <v>56</v>
      </c>
      <c r="K2374" t="s">
        <v>32</v>
      </c>
      <c r="L2374">
        <v>6</v>
      </c>
      <c r="M2374">
        <v>120</v>
      </c>
      <c r="N2374">
        <f t="shared" si="300"/>
        <v>720</v>
      </c>
      <c r="O2374">
        <f t="shared" si="301"/>
        <v>72</v>
      </c>
      <c r="P2374" t="str">
        <f t="shared" si="302"/>
        <v>Large Order</v>
      </c>
      <c r="Q2374" t="str">
        <f t="shared" si="303"/>
        <v>Weekday</v>
      </c>
    </row>
    <row r="2375" spans="1:17" x14ac:dyDescent="0.35">
      <c r="A2375" t="s">
        <v>2525</v>
      </c>
      <c r="B2375" s="7">
        <v>45459</v>
      </c>
      <c r="C2375" s="13">
        <f t="shared" si="297"/>
        <v>2024</v>
      </c>
      <c r="D2375" s="7" t="str">
        <f t="shared" si="298"/>
        <v>Jun</v>
      </c>
      <c r="E2375" s="7" t="str">
        <f t="shared" si="299"/>
        <v>Sun</v>
      </c>
      <c r="F2375" t="s">
        <v>55</v>
      </c>
      <c r="G2375" t="s">
        <v>65</v>
      </c>
      <c r="H2375" t="s">
        <v>11</v>
      </c>
      <c r="I2375" s="2" t="str">
        <f t="shared" si="296"/>
        <v>North</v>
      </c>
      <c r="J2375" t="s">
        <v>27</v>
      </c>
      <c r="K2375" t="s">
        <v>32</v>
      </c>
      <c r="L2375">
        <v>6</v>
      </c>
      <c r="M2375">
        <v>120</v>
      </c>
      <c r="N2375">
        <f t="shared" si="300"/>
        <v>720</v>
      </c>
      <c r="O2375">
        <f t="shared" si="301"/>
        <v>72</v>
      </c>
      <c r="P2375" t="str">
        <f t="shared" si="302"/>
        <v>Large Order</v>
      </c>
      <c r="Q2375" t="str">
        <f t="shared" si="303"/>
        <v>Weekend</v>
      </c>
    </row>
    <row r="2376" spans="1:17" x14ac:dyDescent="0.35">
      <c r="A2376" t="s">
        <v>2526</v>
      </c>
      <c r="B2376" s="7">
        <v>45485</v>
      </c>
      <c r="C2376" s="13">
        <f t="shared" si="297"/>
        <v>2024</v>
      </c>
      <c r="D2376" s="7" t="str">
        <f t="shared" si="298"/>
        <v>Jul</v>
      </c>
      <c r="E2376" s="7" t="str">
        <f t="shared" si="299"/>
        <v>Fri</v>
      </c>
      <c r="F2376" t="s">
        <v>314</v>
      </c>
      <c r="G2376" t="s">
        <v>197</v>
      </c>
      <c r="H2376" t="s">
        <v>11</v>
      </c>
      <c r="I2376" s="2" t="str">
        <f t="shared" si="296"/>
        <v>South</v>
      </c>
      <c r="J2376" t="s">
        <v>12</v>
      </c>
      <c r="K2376" t="s">
        <v>36</v>
      </c>
      <c r="L2376">
        <v>20</v>
      </c>
      <c r="M2376">
        <v>120</v>
      </c>
      <c r="N2376">
        <f t="shared" si="300"/>
        <v>2400</v>
      </c>
      <c r="O2376">
        <f t="shared" si="301"/>
        <v>240</v>
      </c>
      <c r="P2376" t="str">
        <f t="shared" si="302"/>
        <v>Large Order</v>
      </c>
      <c r="Q2376" t="str">
        <f t="shared" si="303"/>
        <v>Weekday</v>
      </c>
    </row>
    <row r="2377" spans="1:17" x14ac:dyDescent="0.35">
      <c r="A2377" t="s">
        <v>2527</v>
      </c>
      <c r="B2377" s="7">
        <v>45337</v>
      </c>
      <c r="C2377" s="13">
        <f t="shared" si="297"/>
        <v>2024</v>
      </c>
      <c r="D2377" s="7" t="str">
        <f t="shared" si="298"/>
        <v>Feb</v>
      </c>
      <c r="E2377" s="7" t="str">
        <f t="shared" si="299"/>
        <v>Thu</v>
      </c>
      <c r="F2377" t="s">
        <v>319</v>
      </c>
      <c r="G2377" t="s">
        <v>65</v>
      </c>
      <c r="H2377" t="s">
        <v>17</v>
      </c>
      <c r="I2377" s="2" t="str">
        <f t="shared" si="296"/>
        <v>East</v>
      </c>
      <c r="J2377" t="s">
        <v>56</v>
      </c>
      <c r="K2377" t="s">
        <v>13</v>
      </c>
      <c r="L2377">
        <v>13</v>
      </c>
      <c r="M2377">
        <v>120</v>
      </c>
      <c r="N2377">
        <f t="shared" si="300"/>
        <v>1560</v>
      </c>
      <c r="O2377">
        <f t="shared" si="301"/>
        <v>156</v>
      </c>
      <c r="P2377" t="str">
        <f t="shared" si="302"/>
        <v>Large Order</v>
      </c>
      <c r="Q2377" t="str">
        <f t="shared" si="303"/>
        <v>Weekday</v>
      </c>
    </row>
    <row r="2378" spans="1:17" x14ac:dyDescent="0.35">
      <c r="A2378" t="s">
        <v>2528</v>
      </c>
      <c r="B2378" s="7">
        <v>45599</v>
      </c>
      <c r="C2378" s="13">
        <f t="shared" si="297"/>
        <v>2024</v>
      </c>
      <c r="D2378" s="7" t="str">
        <f t="shared" si="298"/>
        <v>Nov</v>
      </c>
      <c r="E2378" s="7" t="str">
        <f t="shared" si="299"/>
        <v>Sun</v>
      </c>
      <c r="F2378" t="s">
        <v>86</v>
      </c>
      <c r="G2378" t="s">
        <v>16</v>
      </c>
      <c r="H2378" t="s">
        <v>11</v>
      </c>
      <c r="I2378" s="2" t="str">
        <f t="shared" si="296"/>
        <v>West</v>
      </c>
      <c r="J2378" t="s">
        <v>42</v>
      </c>
      <c r="K2378" t="s">
        <v>28</v>
      </c>
      <c r="L2378">
        <v>19</v>
      </c>
      <c r="M2378">
        <v>120</v>
      </c>
      <c r="N2378">
        <f t="shared" si="300"/>
        <v>2280</v>
      </c>
      <c r="O2378">
        <f t="shared" si="301"/>
        <v>228</v>
      </c>
      <c r="P2378" t="str">
        <f t="shared" si="302"/>
        <v>Large Order</v>
      </c>
      <c r="Q2378" t="str">
        <f t="shared" si="303"/>
        <v>Weekend</v>
      </c>
    </row>
    <row r="2379" spans="1:17" x14ac:dyDescent="0.35">
      <c r="A2379" t="s">
        <v>2529</v>
      </c>
      <c r="B2379" s="7">
        <v>45561</v>
      </c>
      <c r="C2379" s="13">
        <f t="shared" si="297"/>
        <v>2024</v>
      </c>
      <c r="D2379" s="7" t="str">
        <f t="shared" si="298"/>
        <v>Sep</v>
      </c>
      <c r="E2379" s="7" t="str">
        <f t="shared" si="299"/>
        <v>Thu</v>
      </c>
      <c r="F2379" t="s">
        <v>348</v>
      </c>
      <c r="G2379" t="s">
        <v>119</v>
      </c>
      <c r="H2379" t="s">
        <v>17</v>
      </c>
      <c r="I2379" s="2" t="str">
        <f t="shared" si="296"/>
        <v>West</v>
      </c>
      <c r="J2379" t="s">
        <v>27</v>
      </c>
      <c r="K2379" t="s">
        <v>13</v>
      </c>
      <c r="L2379">
        <v>8</v>
      </c>
      <c r="M2379">
        <v>120</v>
      </c>
      <c r="N2379">
        <f t="shared" si="300"/>
        <v>960</v>
      </c>
      <c r="O2379">
        <f t="shared" si="301"/>
        <v>96</v>
      </c>
      <c r="P2379" t="str">
        <f t="shared" si="302"/>
        <v>Large Order</v>
      </c>
      <c r="Q2379" t="str">
        <f t="shared" si="303"/>
        <v>Weekday</v>
      </c>
    </row>
    <row r="2380" spans="1:17" x14ac:dyDescent="0.35">
      <c r="A2380" t="s">
        <v>2530</v>
      </c>
      <c r="B2380" s="7">
        <v>45389</v>
      </c>
      <c r="C2380" s="13">
        <f t="shared" si="297"/>
        <v>2024</v>
      </c>
      <c r="D2380" s="7" t="str">
        <f t="shared" si="298"/>
        <v>Apr</v>
      </c>
      <c r="E2380" s="7" t="str">
        <f t="shared" si="299"/>
        <v>Sun</v>
      </c>
      <c r="F2380" t="s">
        <v>728</v>
      </c>
      <c r="G2380" t="s">
        <v>26</v>
      </c>
      <c r="H2380" t="s">
        <v>17</v>
      </c>
      <c r="I2380" s="2" t="str">
        <f t="shared" si="296"/>
        <v>South</v>
      </c>
      <c r="J2380" t="s">
        <v>27</v>
      </c>
      <c r="K2380" t="s">
        <v>23</v>
      </c>
      <c r="L2380">
        <v>5</v>
      </c>
      <c r="M2380">
        <v>120</v>
      </c>
      <c r="N2380">
        <f t="shared" si="300"/>
        <v>600</v>
      </c>
      <c r="O2380">
        <f t="shared" si="301"/>
        <v>60</v>
      </c>
      <c r="P2380" t="str">
        <f t="shared" si="302"/>
        <v>Large Order</v>
      </c>
      <c r="Q2380" t="str">
        <f t="shared" si="303"/>
        <v>Weekend</v>
      </c>
    </row>
    <row r="2381" spans="1:17" x14ac:dyDescent="0.35">
      <c r="A2381" t="s">
        <v>2531</v>
      </c>
      <c r="B2381" s="7">
        <v>45397</v>
      </c>
      <c r="C2381" s="13">
        <f t="shared" si="297"/>
        <v>2024</v>
      </c>
      <c r="D2381" s="7" t="str">
        <f t="shared" si="298"/>
        <v>Apr</v>
      </c>
      <c r="E2381" s="7" t="str">
        <f t="shared" si="299"/>
        <v>Mon</v>
      </c>
      <c r="F2381" t="s">
        <v>327</v>
      </c>
      <c r="G2381" t="s">
        <v>65</v>
      </c>
      <c r="H2381" t="s">
        <v>17</v>
      </c>
      <c r="I2381" s="2" t="str">
        <f t="shared" si="296"/>
        <v>South</v>
      </c>
      <c r="J2381" t="s">
        <v>56</v>
      </c>
      <c r="K2381" t="s">
        <v>23</v>
      </c>
      <c r="L2381">
        <v>6</v>
      </c>
      <c r="M2381">
        <v>120</v>
      </c>
      <c r="N2381">
        <f t="shared" si="300"/>
        <v>720</v>
      </c>
      <c r="O2381">
        <f t="shared" si="301"/>
        <v>72</v>
      </c>
      <c r="P2381" t="str">
        <f t="shared" si="302"/>
        <v>Large Order</v>
      </c>
      <c r="Q2381" t="str">
        <f t="shared" si="303"/>
        <v>Weekday</v>
      </c>
    </row>
    <row r="2382" spans="1:17" x14ac:dyDescent="0.35">
      <c r="A2382" t="s">
        <v>2532</v>
      </c>
      <c r="B2382" s="7">
        <v>45366</v>
      </c>
      <c r="C2382" s="13">
        <f t="shared" si="297"/>
        <v>2024</v>
      </c>
      <c r="D2382" s="7" t="str">
        <f t="shared" si="298"/>
        <v>Mar</v>
      </c>
      <c r="E2382" s="7" t="str">
        <f t="shared" si="299"/>
        <v>Fri</v>
      </c>
      <c r="F2382" t="s">
        <v>64</v>
      </c>
      <c r="G2382" t="s">
        <v>74</v>
      </c>
      <c r="H2382" t="s">
        <v>17</v>
      </c>
      <c r="I2382" s="2" t="str">
        <f t="shared" si="296"/>
        <v>West</v>
      </c>
      <c r="J2382" t="s">
        <v>56</v>
      </c>
      <c r="K2382" t="s">
        <v>36</v>
      </c>
      <c r="L2382">
        <v>15</v>
      </c>
      <c r="M2382">
        <v>120</v>
      </c>
      <c r="N2382">
        <f t="shared" si="300"/>
        <v>1800</v>
      </c>
      <c r="O2382">
        <f t="shared" si="301"/>
        <v>180</v>
      </c>
      <c r="P2382" t="str">
        <f t="shared" si="302"/>
        <v>Large Order</v>
      </c>
      <c r="Q2382" t="str">
        <f t="shared" si="303"/>
        <v>Weekday</v>
      </c>
    </row>
    <row r="2383" spans="1:17" x14ac:dyDescent="0.35">
      <c r="A2383" t="s">
        <v>2533</v>
      </c>
      <c r="B2383" s="7">
        <v>45481</v>
      </c>
      <c r="C2383" s="13">
        <f t="shared" si="297"/>
        <v>2024</v>
      </c>
      <c r="D2383" s="7" t="str">
        <f t="shared" si="298"/>
        <v>Jul</v>
      </c>
      <c r="E2383" s="7" t="str">
        <f t="shared" si="299"/>
        <v>Mon</v>
      </c>
      <c r="F2383" t="s">
        <v>361</v>
      </c>
      <c r="G2383" t="s">
        <v>41</v>
      </c>
      <c r="H2383" t="s">
        <v>22</v>
      </c>
      <c r="I2383" s="2" t="str">
        <f t="shared" si="296"/>
        <v>South</v>
      </c>
      <c r="J2383" t="s">
        <v>27</v>
      </c>
      <c r="K2383" t="s">
        <v>13</v>
      </c>
      <c r="L2383">
        <v>1</v>
      </c>
      <c r="M2383">
        <v>120</v>
      </c>
      <c r="N2383">
        <f t="shared" si="300"/>
        <v>120</v>
      </c>
      <c r="O2383">
        <f t="shared" si="301"/>
        <v>12</v>
      </c>
      <c r="P2383" t="str">
        <f t="shared" si="302"/>
        <v>Standard Order</v>
      </c>
      <c r="Q2383" t="str">
        <f t="shared" si="303"/>
        <v>Weekday</v>
      </c>
    </row>
    <row r="2384" spans="1:17" x14ac:dyDescent="0.35">
      <c r="A2384" t="s">
        <v>2534</v>
      </c>
      <c r="B2384" s="7">
        <v>45457</v>
      </c>
      <c r="C2384" s="13">
        <f t="shared" si="297"/>
        <v>2024</v>
      </c>
      <c r="D2384" s="7" t="str">
        <f t="shared" si="298"/>
        <v>Jun</v>
      </c>
      <c r="E2384" s="7" t="str">
        <f t="shared" si="299"/>
        <v>Fri</v>
      </c>
      <c r="F2384" t="s">
        <v>465</v>
      </c>
      <c r="G2384" t="s">
        <v>31</v>
      </c>
      <c r="H2384" t="s">
        <v>22</v>
      </c>
      <c r="I2384" s="2" t="str">
        <f t="shared" si="296"/>
        <v>North</v>
      </c>
      <c r="J2384" t="s">
        <v>56</v>
      </c>
      <c r="K2384" t="s">
        <v>23</v>
      </c>
      <c r="L2384">
        <v>14</v>
      </c>
      <c r="M2384">
        <v>120</v>
      </c>
      <c r="N2384">
        <f t="shared" si="300"/>
        <v>1680</v>
      </c>
      <c r="O2384">
        <f t="shared" si="301"/>
        <v>168</v>
      </c>
      <c r="P2384" t="str">
        <f t="shared" si="302"/>
        <v>Large Order</v>
      </c>
      <c r="Q2384" t="str">
        <f t="shared" si="303"/>
        <v>Weekday</v>
      </c>
    </row>
    <row r="2385" spans="1:17" x14ac:dyDescent="0.35">
      <c r="A2385" t="s">
        <v>2535</v>
      </c>
      <c r="B2385" s="7">
        <v>45423</v>
      </c>
      <c r="C2385" s="13">
        <f t="shared" si="297"/>
        <v>2024</v>
      </c>
      <c r="D2385" s="7" t="str">
        <f t="shared" si="298"/>
        <v>May</v>
      </c>
      <c r="E2385" s="7" t="str">
        <f t="shared" si="299"/>
        <v>Sat</v>
      </c>
      <c r="F2385" t="s">
        <v>208</v>
      </c>
      <c r="G2385" t="s">
        <v>102</v>
      </c>
      <c r="H2385" t="s">
        <v>22</v>
      </c>
      <c r="I2385" s="2" t="str">
        <f t="shared" si="296"/>
        <v>Central</v>
      </c>
      <c r="J2385" t="s">
        <v>12</v>
      </c>
      <c r="K2385" t="s">
        <v>13</v>
      </c>
      <c r="L2385">
        <v>11</v>
      </c>
      <c r="M2385">
        <v>120</v>
      </c>
      <c r="N2385">
        <f t="shared" si="300"/>
        <v>1320</v>
      </c>
      <c r="O2385">
        <f t="shared" si="301"/>
        <v>132</v>
      </c>
      <c r="P2385" t="str">
        <f t="shared" si="302"/>
        <v>Large Order</v>
      </c>
      <c r="Q2385" t="str">
        <f t="shared" si="303"/>
        <v>Weekend</v>
      </c>
    </row>
    <row r="2386" spans="1:17" x14ac:dyDescent="0.35">
      <c r="A2386" t="s">
        <v>2536</v>
      </c>
      <c r="B2386" s="7">
        <v>45533</v>
      </c>
      <c r="C2386" s="13">
        <f t="shared" si="297"/>
        <v>2024</v>
      </c>
      <c r="D2386" s="7" t="str">
        <f t="shared" si="298"/>
        <v>Aug</v>
      </c>
      <c r="E2386" s="7" t="str">
        <f t="shared" si="299"/>
        <v>Thu</v>
      </c>
      <c r="F2386" t="s">
        <v>182</v>
      </c>
      <c r="G2386" t="s">
        <v>109</v>
      </c>
      <c r="H2386" t="s">
        <v>22</v>
      </c>
      <c r="I2386" s="2" t="str">
        <f t="shared" si="296"/>
        <v>East</v>
      </c>
      <c r="J2386" t="s">
        <v>306</v>
      </c>
      <c r="K2386" t="s">
        <v>13</v>
      </c>
      <c r="L2386">
        <v>1</v>
      </c>
      <c r="M2386">
        <v>120</v>
      </c>
      <c r="N2386">
        <f t="shared" si="300"/>
        <v>120</v>
      </c>
      <c r="O2386">
        <f t="shared" si="301"/>
        <v>12</v>
      </c>
      <c r="P2386" t="str">
        <f t="shared" si="302"/>
        <v>Standard Order</v>
      </c>
      <c r="Q2386" t="str">
        <f t="shared" si="303"/>
        <v>Weekday</v>
      </c>
    </row>
    <row r="2387" spans="1:17" x14ac:dyDescent="0.35">
      <c r="A2387" t="s">
        <v>2537</v>
      </c>
      <c r="B2387" s="7">
        <v>45609</v>
      </c>
      <c r="C2387" s="13">
        <f t="shared" si="297"/>
        <v>2024</v>
      </c>
      <c r="D2387" s="7" t="str">
        <f t="shared" si="298"/>
        <v>Nov</v>
      </c>
      <c r="E2387" s="7" t="str">
        <f t="shared" si="299"/>
        <v>Wed</v>
      </c>
      <c r="F2387" t="s">
        <v>159</v>
      </c>
      <c r="G2387" t="s">
        <v>74</v>
      </c>
      <c r="H2387" t="s">
        <v>17</v>
      </c>
      <c r="I2387" s="2" t="str">
        <f t="shared" si="296"/>
        <v>West</v>
      </c>
      <c r="J2387" t="s">
        <v>42</v>
      </c>
      <c r="K2387" t="s">
        <v>28</v>
      </c>
      <c r="L2387">
        <v>18</v>
      </c>
      <c r="M2387">
        <v>120</v>
      </c>
      <c r="N2387">
        <f t="shared" si="300"/>
        <v>2160</v>
      </c>
      <c r="O2387">
        <f t="shared" si="301"/>
        <v>216</v>
      </c>
      <c r="P2387" t="str">
        <f t="shared" si="302"/>
        <v>Large Order</v>
      </c>
      <c r="Q2387" t="str">
        <f t="shared" si="303"/>
        <v>Weekday</v>
      </c>
    </row>
    <row r="2388" spans="1:17" x14ac:dyDescent="0.35">
      <c r="A2388" t="s">
        <v>2538</v>
      </c>
      <c r="B2388" s="7">
        <v>45383</v>
      </c>
      <c r="C2388" s="13">
        <f t="shared" si="297"/>
        <v>2024</v>
      </c>
      <c r="D2388" s="7" t="str">
        <f t="shared" si="298"/>
        <v>Apr</v>
      </c>
      <c r="E2388" s="7" t="str">
        <f t="shared" si="299"/>
        <v>Mon</v>
      </c>
      <c r="F2388" t="s">
        <v>86</v>
      </c>
      <c r="G2388" t="s">
        <v>45</v>
      </c>
      <c r="H2388" t="s">
        <v>22</v>
      </c>
      <c r="I2388" s="2" t="str">
        <f t="shared" si="296"/>
        <v>South</v>
      </c>
      <c r="J2388" t="s">
        <v>27</v>
      </c>
      <c r="K2388" t="s">
        <v>32</v>
      </c>
      <c r="L2388">
        <v>15</v>
      </c>
      <c r="M2388">
        <v>120</v>
      </c>
      <c r="N2388">
        <f t="shared" si="300"/>
        <v>1800</v>
      </c>
      <c r="O2388">
        <f t="shared" si="301"/>
        <v>180</v>
      </c>
      <c r="P2388" t="str">
        <f t="shared" si="302"/>
        <v>Large Order</v>
      </c>
      <c r="Q2388" t="str">
        <f t="shared" si="303"/>
        <v>Weekday</v>
      </c>
    </row>
    <row r="2389" spans="1:17" x14ac:dyDescent="0.35">
      <c r="A2389" t="s">
        <v>2539</v>
      </c>
      <c r="B2389" s="7">
        <v>45454</v>
      </c>
      <c r="C2389" s="13">
        <f t="shared" si="297"/>
        <v>2024</v>
      </c>
      <c r="D2389" s="7" t="str">
        <f t="shared" si="298"/>
        <v>Jun</v>
      </c>
      <c r="E2389" s="7" t="str">
        <f t="shared" si="299"/>
        <v>Tue</v>
      </c>
      <c r="F2389" t="s">
        <v>369</v>
      </c>
      <c r="G2389" t="s">
        <v>160</v>
      </c>
      <c r="H2389" t="s">
        <v>17</v>
      </c>
      <c r="I2389" s="2" t="str">
        <f t="shared" si="296"/>
        <v>East</v>
      </c>
      <c r="J2389" t="s">
        <v>56</v>
      </c>
      <c r="K2389" t="s">
        <v>32</v>
      </c>
      <c r="L2389">
        <v>4</v>
      </c>
      <c r="M2389">
        <v>120</v>
      </c>
      <c r="N2389">
        <f t="shared" si="300"/>
        <v>480</v>
      </c>
      <c r="O2389">
        <f t="shared" si="301"/>
        <v>48</v>
      </c>
      <c r="P2389" t="str">
        <f t="shared" si="302"/>
        <v>Standard Order</v>
      </c>
      <c r="Q2389" t="str">
        <f t="shared" si="303"/>
        <v>Weekday</v>
      </c>
    </row>
    <row r="2390" spans="1:17" x14ac:dyDescent="0.35">
      <c r="A2390" t="s">
        <v>2540</v>
      </c>
      <c r="B2390" s="7">
        <v>45357</v>
      </c>
      <c r="C2390" s="13">
        <f t="shared" si="297"/>
        <v>2024</v>
      </c>
      <c r="D2390" s="7" t="str">
        <f t="shared" si="298"/>
        <v>Mar</v>
      </c>
      <c r="E2390" s="7" t="str">
        <f t="shared" si="299"/>
        <v>Wed</v>
      </c>
      <c r="F2390" t="s">
        <v>432</v>
      </c>
      <c r="G2390" t="s">
        <v>26</v>
      </c>
      <c r="H2390" t="s">
        <v>22</v>
      </c>
      <c r="I2390" s="2" t="str">
        <f t="shared" si="296"/>
        <v>Central</v>
      </c>
      <c r="J2390" t="s">
        <v>42</v>
      </c>
      <c r="K2390" t="s">
        <v>23</v>
      </c>
      <c r="L2390">
        <v>10</v>
      </c>
      <c r="M2390">
        <v>120</v>
      </c>
      <c r="N2390">
        <f t="shared" si="300"/>
        <v>1200</v>
      </c>
      <c r="O2390">
        <f t="shared" si="301"/>
        <v>120</v>
      </c>
      <c r="P2390" t="str">
        <f t="shared" si="302"/>
        <v>Large Order</v>
      </c>
      <c r="Q2390" t="str">
        <f t="shared" si="303"/>
        <v>Weekday</v>
      </c>
    </row>
    <row r="2391" spans="1:17" x14ac:dyDescent="0.35">
      <c r="A2391" t="s">
        <v>2541</v>
      </c>
      <c r="B2391" s="7">
        <v>45426</v>
      </c>
      <c r="C2391" s="13">
        <f t="shared" si="297"/>
        <v>2024</v>
      </c>
      <c r="D2391" s="7" t="str">
        <f t="shared" si="298"/>
        <v>May</v>
      </c>
      <c r="E2391" s="7" t="str">
        <f t="shared" si="299"/>
        <v>Tue</v>
      </c>
      <c r="F2391" t="s">
        <v>594</v>
      </c>
      <c r="G2391" t="s">
        <v>119</v>
      </c>
      <c r="H2391" t="s">
        <v>17</v>
      </c>
      <c r="I2391" s="2" t="str">
        <f t="shared" si="296"/>
        <v>Central</v>
      </c>
      <c r="J2391" t="s">
        <v>306</v>
      </c>
      <c r="K2391" t="s">
        <v>32</v>
      </c>
      <c r="L2391">
        <v>14</v>
      </c>
      <c r="M2391">
        <v>120</v>
      </c>
      <c r="N2391">
        <f t="shared" si="300"/>
        <v>1680</v>
      </c>
      <c r="O2391">
        <f t="shared" si="301"/>
        <v>168</v>
      </c>
      <c r="P2391" t="str">
        <f t="shared" si="302"/>
        <v>Large Order</v>
      </c>
      <c r="Q2391" t="str">
        <f t="shared" si="303"/>
        <v>Weekday</v>
      </c>
    </row>
    <row r="2392" spans="1:17" x14ac:dyDescent="0.35">
      <c r="A2392" t="s">
        <v>2542</v>
      </c>
      <c r="B2392" s="7">
        <v>45453</v>
      </c>
      <c r="C2392" s="13">
        <f t="shared" si="297"/>
        <v>2024</v>
      </c>
      <c r="D2392" s="7" t="str">
        <f t="shared" si="298"/>
        <v>Jun</v>
      </c>
      <c r="E2392" s="7" t="str">
        <f t="shared" si="299"/>
        <v>Mon</v>
      </c>
      <c r="F2392" t="s">
        <v>304</v>
      </c>
      <c r="G2392" t="s">
        <v>35</v>
      </c>
      <c r="H2392" t="s">
        <v>11</v>
      </c>
      <c r="I2392" s="2" t="str">
        <f t="shared" si="296"/>
        <v>West</v>
      </c>
      <c r="J2392" t="s">
        <v>306</v>
      </c>
      <c r="K2392" t="s">
        <v>23</v>
      </c>
      <c r="L2392">
        <v>2</v>
      </c>
      <c r="M2392">
        <v>120</v>
      </c>
      <c r="N2392">
        <f t="shared" si="300"/>
        <v>240</v>
      </c>
      <c r="O2392">
        <f t="shared" si="301"/>
        <v>24</v>
      </c>
      <c r="P2392" t="str">
        <f t="shared" si="302"/>
        <v>Standard Order</v>
      </c>
      <c r="Q2392" t="str">
        <f t="shared" si="303"/>
        <v>Weekday</v>
      </c>
    </row>
    <row r="2393" spans="1:17" x14ac:dyDescent="0.35">
      <c r="A2393" t="s">
        <v>2543</v>
      </c>
      <c r="B2393" s="7">
        <v>45319</v>
      </c>
      <c r="C2393" s="13">
        <f t="shared" si="297"/>
        <v>2024</v>
      </c>
      <c r="D2393" s="7" t="str">
        <f t="shared" si="298"/>
        <v>Jan</v>
      </c>
      <c r="E2393" s="7" t="str">
        <f t="shared" si="299"/>
        <v>Sun</v>
      </c>
      <c r="F2393" t="s">
        <v>51</v>
      </c>
      <c r="G2393" t="s">
        <v>45</v>
      </c>
      <c r="H2393" t="s">
        <v>11</v>
      </c>
      <c r="I2393" s="2" t="str">
        <f t="shared" si="296"/>
        <v>West</v>
      </c>
      <c r="J2393" t="s">
        <v>27</v>
      </c>
      <c r="K2393" t="s">
        <v>32</v>
      </c>
      <c r="L2393">
        <v>6</v>
      </c>
      <c r="M2393">
        <v>120</v>
      </c>
      <c r="N2393">
        <f t="shared" si="300"/>
        <v>720</v>
      </c>
      <c r="O2393">
        <f t="shared" si="301"/>
        <v>72</v>
      </c>
      <c r="P2393" t="str">
        <f t="shared" si="302"/>
        <v>Large Order</v>
      </c>
      <c r="Q2393" t="str">
        <f t="shared" si="303"/>
        <v>Weekend</v>
      </c>
    </row>
    <row r="2394" spans="1:17" x14ac:dyDescent="0.35">
      <c r="A2394" t="s">
        <v>2544</v>
      </c>
      <c r="B2394" s="7">
        <v>45515</v>
      </c>
      <c r="C2394" s="13">
        <f t="shared" si="297"/>
        <v>2024</v>
      </c>
      <c r="D2394" s="7" t="str">
        <f t="shared" si="298"/>
        <v>Aug</v>
      </c>
      <c r="E2394" s="7" t="str">
        <f t="shared" si="299"/>
        <v>Sun</v>
      </c>
      <c r="F2394" t="s">
        <v>40</v>
      </c>
      <c r="G2394" t="s">
        <v>35</v>
      </c>
      <c r="H2394" t="s">
        <v>11</v>
      </c>
      <c r="I2394" s="2" t="str">
        <f t="shared" si="296"/>
        <v>North</v>
      </c>
      <c r="J2394" t="s">
        <v>27</v>
      </c>
      <c r="K2394" t="s">
        <v>32</v>
      </c>
      <c r="L2394">
        <v>18</v>
      </c>
      <c r="M2394">
        <v>120</v>
      </c>
      <c r="N2394">
        <f t="shared" si="300"/>
        <v>2160</v>
      </c>
      <c r="O2394">
        <f t="shared" si="301"/>
        <v>216</v>
      </c>
      <c r="P2394" t="str">
        <f t="shared" si="302"/>
        <v>Large Order</v>
      </c>
      <c r="Q2394" t="str">
        <f t="shared" si="303"/>
        <v>Weekend</v>
      </c>
    </row>
    <row r="2395" spans="1:17" x14ac:dyDescent="0.35">
      <c r="A2395" t="s">
        <v>2545</v>
      </c>
      <c r="B2395" s="7">
        <v>45544</v>
      </c>
      <c r="C2395" s="13">
        <f t="shared" si="297"/>
        <v>2024</v>
      </c>
      <c r="D2395" s="7" t="str">
        <f t="shared" si="298"/>
        <v>Sep</v>
      </c>
      <c r="E2395" s="7" t="str">
        <f t="shared" si="299"/>
        <v>Mon</v>
      </c>
      <c r="F2395" t="s">
        <v>40</v>
      </c>
      <c r="G2395" t="s">
        <v>84</v>
      </c>
      <c r="H2395" t="s">
        <v>11</v>
      </c>
      <c r="I2395" s="2" t="str">
        <f t="shared" si="296"/>
        <v>Central</v>
      </c>
      <c r="J2395" t="s">
        <v>12</v>
      </c>
      <c r="K2395" t="s">
        <v>32</v>
      </c>
      <c r="L2395">
        <v>3</v>
      </c>
      <c r="M2395">
        <v>120</v>
      </c>
      <c r="N2395">
        <f t="shared" si="300"/>
        <v>360</v>
      </c>
      <c r="O2395">
        <f t="shared" si="301"/>
        <v>36</v>
      </c>
      <c r="P2395" t="str">
        <f t="shared" si="302"/>
        <v>Standard Order</v>
      </c>
      <c r="Q2395" t="str">
        <f t="shared" si="303"/>
        <v>Weekday</v>
      </c>
    </row>
    <row r="2396" spans="1:17" x14ac:dyDescent="0.35">
      <c r="A2396" t="s">
        <v>2546</v>
      </c>
      <c r="B2396" s="7">
        <v>45437</v>
      </c>
      <c r="C2396" s="13">
        <f t="shared" si="297"/>
        <v>2024</v>
      </c>
      <c r="D2396" s="7" t="str">
        <f t="shared" si="298"/>
        <v>May</v>
      </c>
      <c r="E2396" s="7" t="str">
        <f t="shared" si="299"/>
        <v>Sat</v>
      </c>
      <c r="F2396" t="s">
        <v>44</v>
      </c>
      <c r="G2396" t="s">
        <v>45</v>
      </c>
      <c r="H2396" t="s">
        <v>22</v>
      </c>
      <c r="I2396" s="2" t="str">
        <f t="shared" si="296"/>
        <v>Central</v>
      </c>
      <c r="J2396" t="s">
        <v>306</v>
      </c>
      <c r="K2396" t="s">
        <v>32</v>
      </c>
      <c r="L2396">
        <v>19</v>
      </c>
      <c r="M2396">
        <v>120</v>
      </c>
      <c r="N2396">
        <f t="shared" si="300"/>
        <v>2280</v>
      </c>
      <c r="O2396">
        <f t="shared" si="301"/>
        <v>228</v>
      </c>
      <c r="P2396" t="str">
        <f t="shared" si="302"/>
        <v>Large Order</v>
      </c>
      <c r="Q2396" t="str">
        <f t="shared" si="303"/>
        <v>Weekend</v>
      </c>
    </row>
    <row r="2397" spans="1:17" x14ac:dyDescent="0.35">
      <c r="A2397" t="s">
        <v>2547</v>
      </c>
      <c r="B2397" s="7">
        <v>45591</v>
      </c>
      <c r="C2397" s="13">
        <f t="shared" si="297"/>
        <v>2024</v>
      </c>
      <c r="D2397" s="7" t="str">
        <f t="shared" si="298"/>
        <v>Oct</v>
      </c>
      <c r="E2397" s="7" t="str">
        <f t="shared" si="299"/>
        <v>Sat</v>
      </c>
      <c r="F2397" t="s">
        <v>133</v>
      </c>
      <c r="G2397" t="s">
        <v>59</v>
      </c>
      <c r="H2397" t="s">
        <v>11</v>
      </c>
      <c r="I2397" s="2" t="str">
        <f t="shared" si="296"/>
        <v>North</v>
      </c>
      <c r="J2397" t="s">
        <v>306</v>
      </c>
      <c r="K2397" t="s">
        <v>36</v>
      </c>
      <c r="L2397">
        <v>6</v>
      </c>
      <c r="M2397">
        <v>120</v>
      </c>
      <c r="N2397">
        <f t="shared" si="300"/>
        <v>720</v>
      </c>
      <c r="O2397">
        <f t="shared" si="301"/>
        <v>72</v>
      </c>
      <c r="P2397" t="str">
        <f t="shared" si="302"/>
        <v>Large Order</v>
      </c>
      <c r="Q2397" t="str">
        <f t="shared" si="303"/>
        <v>Weekend</v>
      </c>
    </row>
    <row r="2398" spans="1:17" x14ac:dyDescent="0.35">
      <c r="A2398" t="s">
        <v>2548</v>
      </c>
      <c r="B2398" s="7">
        <v>45331</v>
      </c>
      <c r="C2398" s="13">
        <f t="shared" si="297"/>
        <v>2024</v>
      </c>
      <c r="D2398" s="7" t="str">
        <f t="shared" si="298"/>
        <v>Feb</v>
      </c>
      <c r="E2398" s="7" t="str">
        <f t="shared" si="299"/>
        <v>Fri</v>
      </c>
      <c r="F2398" t="s">
        <v>78</v>
      </c>
      <c r="G2398" t="s">
        <v>119</v>
      </c>
      <c r="H2398" t="s">
        <v>17</v>
      </c>
      <c r="I2398" s="2" t="str">
        <f t="shared" si="296"/>
        <v>Central</v>
      </c>
      <c r="J2398" t="s">
        <v>12</v>
      </c>
      <c r="K2398" t="s">
        <v>32</v>
      </c>
      <c r="L2398">
        <v>1</v>
      </c>
      <c r="M2398">
        <v>120</v>
      </c>
      <c r="N2398">
        <f t="shared" si="300"/>
        <v>120</v>
      </c>
      <c r="O2398">
        <f t="shared" si="301"/>
        <v>12</v>
      </c>
      <c r="P2398" t="str">
        <f t="shared" si="302"/>
        <v>Standard Order</v>
      </c>
      <c r="Q2398" t="str">
        <f t="shared" si="303"/>
        <v>Weekday</v>
      </c>
    </row>
    <row r="2399" spans="1:17" x14ac:dyDescent="0.35">
      <c r="A2399" t="s">
        <v>2549</v>
      </c>
      <c r="B2399" s="7">
        <v>45640</v>
      </c>
      <c r="C2399" s="13">
        <f t="shared" si="297"/>
        <v>2024</v>
      </c>
      <c r="D2399" s="7" t="str">
        <f t="shared" si="298"/>
        <v>Dec</v>
      </c>
      <c r="E2399" s="7" t="str">
        <f t="shared" si="299"/>
        <v>Sat</v>
      </c>
      <c r="F2399" t="s">
        <v>114</v>
      </c>
      <c r="G2399" t="s">
        <v>31</v>
      </c>
      <c r="H2399" t="s">
        <v>17</v>
      </c>
      <c r="I2399" s="2" t="str">
        <f t="shared" si="296"/>
        <v>West</v>
      </c>
      <c r="J2399" t="s">
        <v>306</v>
      </c>
      <c r="K2399" t="s">
        <v>13</v>
      </c>
      <c r="L2399">
        <v>11</v>
      </c>
      <c r="M2399">
        <v>120</v>
      </c>
      <c r="N2399">
        <f t="shared" si="300"/>
        <v>1320</v>
      </c>
      <c r="O2399">
        <f t="shared" si="301"/>
        <v>132</v>
      </c>
      <c r="P2399" t="str">
        <f t="shared" si="302"/>
        <v>Large Order</v>
      </c>
      <c r="Q2399" t="str">
        <f t="shared" si="303"/>
        <v>Weekend</v>
      </c>
    </row>
    <row r="2400" spans="1:17" x14ac:dyDescent="0.35">
      <c r="A2400" t="s">
        <v>2550</v>
      </c>
      <c r="B2400" s="7">
        <v>45333</v>
      </c>
      <c r="C2400" s="13">
        <f t="shared" si="297"/>
        <v>2024</v>
      </c>
      <c r="D2400" s="7" t="str">
        <f t="shared" si="298"/>
        <v>Feb</v>
      </c>
      <c r="E2400" s="7" t="str">
        <f t="shared" si="299"/>
        <v>Sun</v>
      </c>
      <c r="F2400" t="s">
        <v>366</v>
      </c>
      <c r="G2400" t="s">
        <v>62</v>
      </c>
      <c r="H2400" t="s">
        <v>22</v>
      </c>
      <c r="I2400" s="2" t="str">
        <f t="shared" si="296"/>
        <v>Central</v>
      </c>
      <c r="J2400" t="s">
        <v>27</v>
      </c>
      <c r="K2400" t="s">
        <v>23</v>
      </c>
      <c r="L2400">
        <v>9</v>
      </c>
      <c r="M2400">
        <v>120</v>
      </c>
      <c r="N2400">
        <f t="shared" si="300"/>
        <v>1080</v>
      </c>
      <c r="O2400">
        <f t="shared" si="301"/>
        <v>108</v>
      </c>
      <c r="P2400" t="str">
        <f t="shared" si="302"/>
        <v>Large Order</v>
      </c>
      <c r="Q2400" t="str">
        <f t="shared" si="303"/>
        <v>Weekend</v>
      </c>
    </row>
    <row r="2401" spans="1:17" x14ac:dyDescent="0.35">
      <c r="A2401" t="s">
        <v>2551</v>
      </c>
      <c r="B2401" s="7">
        <v>45294</v>
      </c>
      <c r="C2401" s="13">
        <f t="shared" si="297"/>
        <v>2024</v>
      </c>
      <c r="D2401" s="7" t="str">
        <f t="shared" si="298"/>
        <v>Jan</v>
      </c>
      <c r="E2401" s="7" t="str">
        <f t="shared" si="299"/>
        <v>Wed</v>
      </c>
      <c r="F2401" t="s">
        <v>118</v>
      </c>
      <c r="G2401" t="s">
        <v>79</v>
      </c>
      <c r="H2401" t="s">
        <v>22</v>
      </c>
      <c r="I2401" s="2" t="str">
        <f t="shared" si="296"/>
        <v>East</v>
      </c>
      <c r="J2401" t="s">
        <v>306</v>
      </c>
      <c r="K2401" t="s">
        <v>23</v>
      </c>
      <c r="L2401">
        <v>11</v>
      </c>
      <c r="M2401">
        <v>120</v>
      </c>
      <c r="N2401">
        <f t="shared" si="300"/>
        <v>1320</v>
      </c>
      <c r="O2401">
        <f t="shared" si="301"/>
        <v>132</v>
      </c>
      <c r="P2401" t="str">
        <f t="shared" si="302"/>
        <v>Large Order</v>
      </c>
      <c r="Q2401" t="str">
        <f t="shared" si="303"/>
        <v>Weekday</v>
      </c>
    </row>
    <row r="2402" spans="1:17" x14ac:dyDescent="0.35">
      <c r="A2402" t="s">
        <v>2552</v>
      </c>
      <c r="B2402" s="7">
        <v>45583</v>
      </c>
      <c r="C2402" s="13">
        <f t="shared" si="297"/>
        <v>2024</v>
      </c>
      <c r="D2402" s="7" t="str">
        <f t="shared" si="298"/>
        <v>Oct</v>
      </c>
      <c r="E2402" s="7" t="str">
        <f t="shared" si="299"/>
        <v>Fri</v>
      </c>
      <c r="F2402" t="s">
        <v>34</v>
      </c>
      <c r="G2402" t="s">
        <v>65</v>
      </c>
      <c r="H2402" t="s">
        <v>11</v>
      </c>
      <c r="I2402" s="2" t="str">
        <f t="shared" si="296"/>
        <v>West</v>
      </c>
      <c r="J2402" t="s">
        <v>42</v>
      </c>
      <c r="K2402" t="s">
        <v>32</v>
      </c>
      <c r="L2402">
        <v>2</v>
      </c>
      <c r="M2402">
        <v>120</v>
      </c>
      <c r="N2402">
        <f t="shared" si="300"/>
        <v>240</v>
      </c>
      <c r="O2402">
        <f t="shared" si="301"/>
        <v>24</v>
      </c>
      <c r="P2402" t="str">
        <f t="shared" si="302"/>
        <v>Standard Order</v>
      </c>
      <c r="Q2402" t="str">
        <f t="shared" si="303"/>
        <v>Weekday</v>
      </c>
    </row>
    <row r="2403" spans="1:17" x14ac:dyDescent="0.35">
      <c r="A2403" t="s">
        <v>2553</v>
      </c>
      <c r="B2403" s="7">
        <v>45572</v>
      </c>
      <c r="C2403" s="13">
        <f t="shared" si="297"/>
        <v>2024</v>
      </c>
      <c r="D2403" s="7" t="str">
        <f t="shared" si="298"/>
        <v>Oct</v>
      </c>
      <c r="E2403" s="7" t="str">
        <f t="shared" si="299"/>
        <v>Mon</v>
      </c>
      <c r="F2403" t="s">
        <v>493</v>
      </c>
      <c r="G2403" t="s">
        <v>31</v>
      </c>
      <c r="H2403" t="s">
        <v>11</v>
      </c>
      <c r="I2403" s="2" t="str">
        <f t="shared" si="296"/>
        <v>South</v>
      </c>
      <c r="J2403" t="s">
        <v>27</v>
      </c>
      <c r="K2403" t="s">
        <v>32</v>
      </c>
      <c r="L2403">
        <v>6</v>
      </c>
      <c r="M2403">
        <v>120</v>
      </c>
      <c r="N2403">
        <f t="shared" si="300"/>
        <v>720</v>
      </c>
      <c r="O2403">
        <f t="shared" si="301"/>
        <v>72</v>
      </c>
      <c r="P2403" t="str">
        <f t="shared" si="302"/>
        <v>Large Order</v>
      </c>
      <c r="Q2403" t="str">
        <f t="shared" si="303"/>
        <v>Weekday</v>
      </c>
    </row>
    <row r="2404" spans="1:17" x14ac:dyDescent="0.35">
      <c r="A2404" t="s">
        <v>2554</v>
      </c>
      <c r="B2404" s="7">
        <v>45496</v>
      </c>
      <c r="C2404" s="13">
        <f t="shared" si="297"/>
        <v>2024</v>
      </c>
      <c r="D2404" s="7" t="str">
        <f t="shared" si="298"/>
        <v>Jul</v>
      </c>
      <c r="E2404" s="7" t="str">
        <f t="shared" si="299"/>
        <v>Tue</v>
      </c>
      <c r="F2404" t="s">
        <v>203</v>
      </c>
      <c r="G2404" t="s">
        <v>96</v>
      </c>
      <c r="H2404" t="s">
        <v>11</v>
      </c>
      <c r="I2404" s="2" t="str">
        <f t="shared" si="296"/>
        <v>West</v>
      </c>
      <c r="J2404" t="s">
        <v>56</v>
      </c>
      <c r="K2404" t="s">
        <v>23</v>
      </c>
      <c r="L2404">
        <v>13</v>
      </c>
      <c r="M2404">
        <v>120</v>
      </c>
      <c r="N2404">
        <f t="shared" si="300"/>
        <v>1560</v>
      </c>
      <c r="O2404">
        <f t="shared" si="301"/>
        <v>156</v>
      </c>
      <c r="P2404" t="str">
        <f t="shared" si="302"/>
        <v>Large Order</v>
      </c>
      <c r="Q2404" t="str">
        <f t="shared" si="303"/>
        <v>Weekday</v>
      </c>
    </row>
    <row r="2405" spans="1:17" x14ac:dyDescent="0.35">
      <c r="A2405" t="s">
        <v>2555</v>
      </c>
      <c r="B2405" s="7">
        <v>45626</v>
      </c>
      <c r="C2405" s="13">
        <f t="shared" si="297"/>
        <v>2024</v>
      </c>
      <c r="D2405" s="7" t="str">
        <f t="shared" si="298"/>
        <v>Nov</v>
      </c>
      <c r="E2405" s="7" t="str">
        <f t="shared" si="299"/>
        <v>Sat</v>
      </c>
      <c r="F2405" t="s">
        <v>125</v>
      </c>
      <c r="G2405" t="s">
        <v>102</v>
      </c>
      <c r="H2405" t="s">
        <v>17</v>
      </c>
      <c r="I2405" s="2" t="str">
        <f t="shared" si="296"/>
        <v>North</v>
      </c>
      <c r="J2405" t="s">
        <v>27</v>
      </c>
      <c r="K2405" t="s">
        <v>23</v>
      </c>
      <c r="L2405">
        <v>10</v>
      </c>
      <c r="M2405">
        <v>120</v>
      </c>
      <c r="N2405">
        <f t="shared" si="300"/>
        <v>1200</v>
      </c>
      <c r="O2405">
        <f t="shared" si="301"/>
        <v>120</v>
      </c>
      <c r="P2405" t="str">
        <f t="shared" si="302"/>
        <v>Large Order</v>
      </c>
      <c r="Q2405" t="str">
        <f t="shared" si="303"/>
        <v>Weekend</v>
      </c>
    </row>
    <row r="2406" spans="1:17" x14ac:dyDescent="0.35">
      <c r="A2406" t="s">
        <v>2556</v>
      </c>
      <c r="B2406" s="7">
        <v>45600</v>
      </c>
      <c r="C2406" s="13">
        <f t="shared" si="297"/>
        <v>2024</v>
      </c>
      <c r="D2406" s="7" t="str">
        <f t="shared" si="298"/>
        <v>Nov</v>
      </c>
      <c r="E2406" s="7" t="str">
        <f t="shared" si="299"/>
        <v>Mon</v>
      </c>
      <c r="F2406" t="s">
        <v>34</v>
      </c>
      <c r="G2406" t="s">
        <v>48</v>
      </c>
      <c r="H2406" t="s">
        <v>22</v>
      </c>
      <c r="I2406" s="2" t="str">
        <f t="shared" si="296"/>
        <v>Central</v>
      </c>
      <c r="J2406" t="s">
        <v>12</v>
      </c>
      <c r="K2406" t="s">
        <v>32</v>
      </c>
      <c r="L2406">
        <v>17</v>
      </c>
      <c r="M2406">
        <v>120</v>
      </c>
      <c r="N2406">
        <f t="shared" si="300"/>
        <v>2040</v>
      </c>
      <c r="O2406">
        <f t="shared" si="301"/>
        <v>204</v>
      </c>
      <c r="P2406" t="str">
        <f t="shared" si="302"/>
        <v>Large Order</v>
      </c>
      <c r="Q2406" t="str">
        <f t="shared" si="303"/>
        <v>Weekday</v>
      </c>
    </row>
    <row r="2407" spans="1:17" x14ac:dyDescent="0.35">
      <c r="A2407" t="s">
        <v>2557</v>
      </c>
      <c r="B2407" s="7">
        <v>45520</v>
      </c>
      <c r="C2407" s="13">
        <f t="shared" si="297"/>
        <v>2024</v>
      </c>
      <c r="D2407" s="7" t="str">
        <f t="shared" si="298"/>
        <v>Aug</v>
      </c>
      <c r="E2407" s="7" t="str">
        <f t="shared" si="299"/>
        <v>Fri</v>
      </c>
      <c r="F2407" t="s">
        <v>53</v>
      </c>
      <c r="G2407" t="s">
        <v>35</v>
      </c>
      <c r="H2407" t="s">
        <v>17</v>
      </c>
      <c r="I2407" s="2" t="str">
        <f t="shared" si="296"/>
        <v>West</v>
      </c>
      <c r="J2407" t="s">
        <v>306</v>
      </c>
      <c r="K2407" t="s">
        <v>36</v>
      </c>
      <c r="L2407">
        <v>14</v>
      </c>
      <c r="M2407">
        <v>120</v>
      </c>
      <c r="N2407">
        <f t="shared" si="300"/>
        <v>1680</v>
      </c>
      <c r="O2407">
        <f t="shared" si="301"/>
        <v>168</v>
      </c>
      <c r="P2407" t="str">
        <f t="shared" si="302"/>
        <v>Large Order</v>
      </c>
      <c r="Q2407" t="str">
        <f t="shared" si="303"/>
        <v>Weekday</v>
      </c>
    </row>
    <row r="2408" spans="1:17" x14ac:dyDescent="0.35">
      <c r="A2408" t="s">
        <v>2558</v>
      </c>
      <c r="B2408" s="7">
        <v>45508</v>
      </c>
      <c r="C2408" s="13">
        <f t="shared" si="297"/>
        <v>2024</v>
      </c>
      <c r="D2408" s="7" t="str">
        <f t="shared" si="298"/>
        <v>Aug</v>
      </c>
      <c r="E2408" s="7" t="str">
        <f t="shared" si="299"/>
        <v>Sun</v>
      </c>
      <c r="F2408" t="s">
        <v>200</v>
      </c>
      <c r="G2408" t="s">
        <v>109</v>
      </c>
      <c r="H2408" t="s">
        <v>11</v>
      </c>
      <c r="I2408" s="2" t="str">
        <f t="shared" si="296"/>
        <v>South</v>
      </c>
      <c r="J2408" t="s">
        <v>27</v>
      </c>
      <c r="K2408" t="s">
        <v>23</v>
      </c>
      <c r="L2408">
        <v>3</v>
      </c>
      <c r="M2408">
        <v>120</v>
      </c>
      <c r="N2408">
        <f t="shared" si="300"/>
        <v>360</v>
      </c>
      <c r="O2408">
        <f t="shared" si="301"/>
        <v>36</v>
      </c>
      <c r="P2408" t="str">
        <f t="shared" si="302"/>
        <v>Standard Order</v>
      </c>
      <c r="Q2408" t="str">
        <f t="shared" si="303"/>
        <v>Weekend</v>
      </c>
    </row>
    <row r="2409" spans="1:17" x14ac:dyDescent="0.35">
      <c r="A2409" t="s">
        <v>2559</v>
      </c>
      <c r="B2409" s="7">
        <v>45466</v>
      </c>
      <c r="C2409" s="13">
        <f t="shared" si="297"/>
        <v>2024</v>
      </c>
      <c r="D2409" s="7" t="str">
        <f t="shared" si="298"/>
        <v>Jun</v>
      </c>
      <c r="E2409" s="7" t="str">
        <f t="shared" si="299"/>
        <v>Sun</v>
      </c>
      <c r="F2409" t="s">
        <v>319</v>
      </c>
      <c r="G2409" t="s">
        <v>41</v>
      </c>
      <c r="H2409" t="s">
        <v>11</v>
      </c>
      <c r="I2409" s="2" t="str">
        <f t="shared" si="296"/>
        <v>West</v>
      </c>
      <c r="J2409" t="s">
        <v>56</v>
      </c>
      <c r="K2409" t="s">
        <v>23</v>
      </c>
      <c r="L2409">
        <v>17</v>
      </c>
      <c r="M2409">
        <v>120</v>
      </c>
      <c r="N2409">
        <f t="shared" si="300"/>
        <v>2040</v>
      </c>
      <c r="O2409">
        <f t="shared" si="301"/>
        <v>204</v>
      </c>
      <c r="P2409" t="str">
        <f t="shared" si="302"/>
        <v>Large Order</v>
      </c>
      <c r="Q2409" t="str">
        <f t="shared" si="303"/>
        <v>Weekend</v>
      </c>
    </row>
    <row r="2410" spans="1:17" x14ac:dyDescent="0.35">
      <c r="A2410" t="s">
        <v>2560</v>
      </c>
      <c r="B2410" s="7">
        <v>45560</v>
      </c>
      <c r="C2410" s="13">
        <f t="shared" si="297"/>
        <v>2024</v>
      </c>
      <c r="D2410" s="7" t="str">
        <f t="shared" si="298"/>
        <v>Sep</v>
      </c>
      <c r="E2410" s="7" t="str">
        <f t="shared" si="299"/>
        <v>Wed</v>
      </c>
      <c r="F2410" t="s">
        <v>81</v>
      </c>
      <c r="G2410" t="s">
        <v>74</v>
      </c>
      <c r="H2410" t="s">
        <v>17</v>
      </c>
      <c r="I2410" s="2" t="str">
        <f t="shared" si="296"/>
        <v>Central</v>
      </c>
      <c r="J2410" t="s">
        <v>27</v>
      </c>
      <c r="K2410" t="s">
        <v>13</v>
      </c>
      <c r="L2410">
        <v>16</v>
      </c>
      <c r="M2410">
        <v>120</v>
      </c>
      <c r="N2410">
        <f t="shared" si="300"/>
        <v>1920</v>
      </c>
      <c r="O2410">
        <f t="shared" si="301"/>
        <v>192</v>
      </c>
      <c r="P2410" t="str">
        <f t="shared" si="302"/>
        <v>Large Order</v>
      </c>
      <c r="Q2410" t="str">
        <f t="shared" si="303"/>
        <v>Weekday</v>
      </c>
    </row>
    <row r="2411" spans="1:17" x14ac:dyDescent="0.35">
      <c r="A2411" t="s">
        <v>2561</v>
      </c>
      <c r="B2411" s="7">
        <v>45357</v>
      </c>
      <c r="C2411" s="13">
        <f t="shared" si="297"/>
        <v>2024</v>
      </c>
      <c r="D2411" s="7" t="str">
        <f t="shared" si="298"/>
        <v>Mar</v>
      </c>
      <c r="E2411" s="7" t="str">
        <f t="shared" si="299"/>
        <v>Wed</v>
      </c>
      <c r="F2411" t="s">
        <v>455</v>
      </c>
      <c r="G2411" t="s">
        <v>74</v>
      </c>
      <c r="H2411" t="s">
        <v>11</v>
      </c>
      <c r="I2411" s="2" t="str">
        <f t="shared" si="296"/>
        <v>North</v>
      </c>
      <c r="J2411" t="s">
        <v>306</v>
      </c>
      <c r="K2411" t="s">
        <v>23</v>
      </c>
      <c r="L2411">
        <v>10</v>
      </c>
      <c r="M2411">
        <v>120</v>
      </c>
      <c r="N2411">
        <f t="shared" si="300"/>
        <v>1200</v>
      </c>
      <c r="O2411">
        <f t="shared" si="301"/>
        <v>120</v>
      </c>
      <c r="P2411" t="str">
        <f t="shared" si="302"/>
        <v>Large Order</v>
      </c>
      <c r="Q2411" t="str">
        <f t="shared" si="303"/>
        <v>Weekday</v>
      </c>
    </row>
    <row r="2412" spans="1:17" x14ac:dyDescent="0.35">
      <c r="A2412" t="s">
        <v>2562</v>
      </c>
      <c r="B2412" s="7">
        <v>45574</v>
      </c>
      <c r="C2412" s="13">
        <f t="shared" si="297"/>
        <v>2024</v>
      </c>
      <c r="D2412" s="7" t="str">
        <f t="shared" si="298"/>
        <v>Oct</v>
      </c>
      <c r="E2412" s="7" t="str">
        <f t="shared" si="299"/>
        <v>Wed</v>
      </c>
      <c r="F2412" t="s">
        <v>208</v>
      </c>
      <c r="G2412" t="s">
        <v>79</v>
      </c>
      <c r="H2412" t="s">
        <v>22</v>
      </c>
      <c r="I2412" s="2" t="str">
        <f t="shared" si="296"/>
        <v>East</v>
      </c>
      <c r="J2412" t="s">
        <v>12</v>
      </c>
      <c r="K2412" t="s">
        <v>36</v>
      </c>
      <c r="L2412">
        <v>14</v>
      </c>
      <c r="M2412">
        <v>120</v>
      </c>
      <c r="N2412">
        <f t="shared" si="300"/>
        <v>1680</v>
      </c>
      <c r="O2412">
        <f t="shared" si="301"/>
        <v>168</v>
      </c>
      <c r="P2412" t="str">
        <f t="shared" si="302"/>
        <v>Large Order</v>
      </c>
      <c r="Q2412" t="str">
        <f t="shared" si="303"/>
        <v>Weekday</v>
      </c>
    </row>
    <row r="2413" spans="1:17" x14ac:dyDescent="0.35">
      <c r="A2413" t="s">
        <v>2563</v>
      </c>
      <c r="B2413" s="7">
        <v>45529</v>
      </c>
      <c r="C2413" s="13">
        <f t="shared" si="297"/>
        <v>2024</v>
      </c>
      <c r="D2413" s="7" t="str">
        <f t="shared" si="298"/>
        <v>Aug</v>
      </c>
      <c r="E2413" s="7" t="str">
        <f t="shared" si="299"/>
        <v>Sun</v>
      </c>
      <c r="F2413" t="s">
        <v>371</v>
      </c>
      <c r="G2413" t="s">
        <v>84</v>
      </c>
      <c r="H2413" t="s">
        <v>22</v>
      </c>
      <c r="I2413" s="2" t="str">
        <f t="shared" si="296"/>
        <v>West</v>
      </c>
      <c r="J2413" t="s">
        <v>42</v>
      </c>
      <c r="K2413" t="s">
        <v>32</v>
      </c>
      <c r="L2413">
        <v>9</v>
      </c>
      <c r="M2413">
        <v>120</v>
      </c>
      <c r="N2413">
        <f t="shared" si="300"/>
        <v>1080</v>
      </c>
      <c r="O2413">
        <f t="shared" si="301"/>
        <v>108</v>
      </c>
      <c r="P2413" t="str">
        <f t="shared" si="302"/>
        <v>Large Order</v>
      </c>
      <c r="Q2413" t="str">
        <f t="shared" si="303"/>
        <v>Weekend</v>
      </c>
    </row>
    <row r="2414" spans="1:17" x14ac:dyDescent="0.35">
      <c r="A2414" t="s">
        <v>2564</v>
      </c>
      <c r="B2414" s="7">
        <v>45549</v>
      </c>
      <c r="C2414" s="13">
        <f t="shared" si="297"/>
        <v>2024</v>
      </c>
      <c r="D2414" s="7" t="str">
        <f t="shared" si="298"/>
        <v>Sep</v>
      </c>
      <c r="E2414" s="7" t="str">
        <f t="shared" si="299"/>
        <v>Sat</v>
      </c>
      <c r="F2414" t="s">
        <v>138</v>
      </c>
      <c r="G2414" t="s">
        <v>102</v>
      </c>
      <c r="H2414" t="s">
        <v>22</v>
      </c>
      <c r="I2414" s="2" t="str">
        <f t="shared" si="296"/>
        <v>East</v>
      </c>
      <c r="J2414" t="s">
        <v>27</v>
      </c>
      <c r="K2414" t="s">
        <v>28</v>
      </c>
      <c r="L2414">
        <v>6</v>
      </c>
      <c r="M2414">
        <v>120</v>
      </c>
      <c r="N2414">
        <f t="shared" si="300"/>
        <v>720</v>
      </c>
      <c r="O2414">
        <f t="shared" si="301"/>
        <v>72</v>
      </c>
      <c r="P2414" t="str">
        <f t="shared" si="302"/>
        <v>Large Order</v>
      </c>
      <c r="Q2414" t="str">
        <f t="shared" si="303"/>
        <v>Weekend</v>
      </c>
    </row>
    <row r="2415" spans="1:17" x14ac:dyDescent="0.35">
      <c r="A2415" t="s">
        <v>2565</v>
      </c>
      <c r="B2415" s="7">
        <v>45315</v>
      </c>
      <c r="C2415" s="13">
        <f t="shared" si="297"/>
        <v>2024</v>
      </c>
      <c r="D2415" s="7" t="str">
        <f t="shared" si="298"/>
        <v>Jan</v>
      </c>
      <c r="E2415" s="7" t="str">
        <f t="shared" si="299"/>
        <v>Wed</v>
      </c>
      <c r="F2415" t="s">
        <v>81</v>
      </c>
      <c r="G2415" t="s">
        <v>87</v>
      </c>
      <c r="H2415" t="s">
        <v>22</v>
      </c>
      <c r="I2415" s="2" t="str">
        <f t="shared" si="296"/>
        <v>East</v>
      </c>
      <c r="J2415" t="s">
        <v>42</v>
      </c>
      <c r="K2415" t="s">
        <v>32</v>
      </c>
      <c r="L2415">
        <v>19</v>
      </c>
      <c r="M2415">
        <v>120</v>
      </c>
      <c r="N2415">
        <f t="shared" si="300"/>
        <v>2280</v>
      </c>
      <c r="O2415">
        <f t="shared" si="301"/>
        <v>228</v>
      </c>
      <c r="P2415" t="str">
        <f t="shared" si="302"/>
        <v>Large Order</v>
      </c>
      <c r="Q2415" t="str">
        <f t="shared" si="303"/>
        <v>Weekday</v>
      </c>
    </row>
    <row r="2416" spans="1:17" x14ac:dyDescent="0.35">
      <c r="A2416" t="s">
        <v>2566</v>
      </c>
      <c r="B2416" s="7">
        <v>45635</v>
      </c>
      <c r="C2416" s="13">
        <f t="shared" si="297"/>
        <v>2024</v>
      </c>
      <c r="D2416" s="7" t="str">
        <f t="shared" si="298"/>
        <v>Dec</v>
      </c>
      <c r="E2416" s="7" t="str">
        <f t="shared" si="299"/>
        <v>Mon</v>
      </c>
      <c r="F2416" t="s">
        <v>430</v>
      </c>
      <c r="G2416" t="s">
        <v>109</v>
      </c>
      <c r="H2416" t="s">
        <v>17</v>
      </c>
      <c r="I2416" s="2" t="str">
        <f t="shared" si="296"/>
        <v>West</v>
      </c>
      <c r="J2416" t="s">
        <v>42</v>
      </c>
      <c r="K2416" t="s">
        <v>28</v>
      </c>
      <c r="L2416">
        <v>7</v>
      </c>
      <c r="M2416">
        <v>120</v>
      </c>
      <c r="N2416">
        <f t="shared" si="300"/>
        <v>840</v>
      </c>
      <c r="O2416">
        <f t="shared" si="301"/>
        <v>84</v>
      </c>
      <c r="P2416" t="str">
        <f t="shared" si="302"/>
        <v>Large Order</v>
      </c>
      <c r="Q2416" t="str">
        <f t="shared" si="303"/>
        <v>Weekday</v>
      </c>
    </row>
    <row r="2417" spans="1:17" x14ac:dyDescent="0.35">
      <c r="A2417" t="s">
        <v>2567</v>
      </c>
      <c r="B2417" s="7">
        <v>45601</v>
      </c>
      <c r="C2417" s="13">
        <f t="shared" si="297"/>
        <v>2024</v>
      </c>
      <c r="D2417" s="7" t="str">
        <f t="shared" si="298"/>
        <v>Nov</v>
      </c>
      <c r="E2417" s="7" t="str">
        <f t="shared" si="299"/>
        <v>Tue</v>
      </c>
      <c r="F2417" t="s">
        <v>86</v>
      </c>
      <c r="G2417" t="s">
        <v>41</v>
      </c>
      <c r="H2417" t="s">
        <v>11</v>
      </c>
      <c r="I2417" s="2" t="str">
        <f t="shared" si="296"/>
        <v>West</v>
      </c>
      <c r="J2417" t="s">
        <v>27</v>
      </c>
      <c r="K2417" t="s">
        <v>36</v>
      </c>
      <c r="L2417">
        <v>1</v>
      </c>
      <c r="M2417">
        <v>120</v>
      </c>
      <c r="N2417">
        <f t="shared" si="300"/>
        <v>120</v>
      </c>
      <c r="O2417">
        <f t="shared" si="301"/>
        <v>12</v>
      </c>
      <c r="P2417" t="str">
        <f t="shared" si="302"/>
        <v>Standard Order</v>
      </c>
      <c r="Q2417" t="str">
        <f t="shared" si="303"/>
        <v>Weekday</v>
      </c>
    </row>
    <row r="2418" spans="1:17" x14ac:dyDescent="0.35">
      <c r="A2418" t="s">
        <v>2568</v>
      </c>
      <c r="B2418" s="7">
        <v>45351</v>
      </c>
      <c r="C2418" s="13">
        <f t="shared" si="297"/>
        <v>2024</v>
      </c>
      <c r="D2418" s="7" t="str">
        <f t="shared" si="298"/>
        <v>Feb</v>
      </c>
      <c r="E2418" s="7" t="str">
        <f t="shared" si="299"/>
        <v>Thu</v>
      </c>
      <c r="F2418" t="s">
        <v>142</v>
      </c>
      <c r="G2418" t="s">
        <v>45</v>
      </c>
      <c r="H2418" t="s">
        <v>22</v>
      </c>
      <c r="I2418" s="2" t="str">
        <f t="shared" si="296"/>
        <v>Central</v>
      </c>
      <c r="J2418" t="s">
        <v>27</v>
      </c>
      <c r="K2418" t="s">
        <v>23</v>
      </c>
      <c r="L2418">
        <v>13</v>
      </c>
      <c r="M2418">
        <v>120</v>
      </c>
      <c r="N2418">
        <f t="shared" si="300"/>
        <v>1560</v>
      </c>
      <c r="O2418">
        <f t="shared" si="301"/>
        <v>156</v>
      </c>
      <c r="P2418" t="str">
        <f t="shared" si="302"/>
        <v>Large Order</v>
      </c>
      <c r="Q2418" t="str">
        <f t="shared" si="303"/>
        <v>Weekday</v>
      </c>
    </row>
    <row r="2419" spans="1:17" x14ac:dyDescent="0.35">
      <c r="A2419" t="s">
        <v>2569</v>
      </c>
      <c r="B2419" s="7">
        <v>45600</v>
      </c>
      <c r="C2419" s="13">
        <f t="shared" si="297"/>
        <v>2024</v>
      </c>
      <c r="D2419" s="7" t="str">
        <f t="shared" si="298"/>
        <v>Nov</v>
      </c>
      <c r="E2419" s="7" t="str">
        <f t="shared" si="299"/>
        <v>Mon</v>
      </c>
      <c r="F2419" t="s">
        <v>329</v>
      </c>
      <c r="G2419" t="s">
        <v>35</v>
      </c>
      <c r="H2419" t="s">
        <v>17</v>
      </c>
      <c r="I2419" s="2" t="str">
        <f t="shared" si="296"/>
        <v>North</v>
      </c>
      <c r="J2419" t="s">
        <v>306</v>
      </c>
      <c r="K2419" t="s">
        <v>36</v>
      </c>
      <c r="L2419">
        <v>12</v>
      </c>
      <c r="M2419">
        <v>120</v>
      </c>
      <c r="N2419">
        <f t="shared" si="300"/>
        <v>1440</v>
      </c>
      <c r="O2419">
        <f t="shared" si="301"/>
        <v>144</v>
      </c>
      <c r="P2419" t="str">
        <f t="shared" si="302"/>
        <v>Large Order</v>
      </c>
      <c r="Q2419" t="str">
        <f t="shared" si="303"/>
        <v>Weekday</v>
      </c>
    </row>
    <row r="2420" spans="1:17" x14ac:dyDescent="0.35">
      <c r="A2420" t="s">
        <v>2570</v>
      </c>
      <c r="B2420" s="7">
        <v>45645</v>
      </c>
      <c r="C2420" s="13">
        <f t="shared" si="297"/>
        <v>2024</v>
      </c>
      <c r="D2420" s="7" t="str">
        <f t="shared" si="298"/>
        <v>Dec</v>
      </c>
      <c r="E2420" s="7" t="str">
        <f t="shared" si="299"/>
        <v>Thu</v>
      </c>
      <c r="F2420" t="s">
        <v>422</v>
      </c>
      <c r="G2420" t="s">
        <v>31</v>
      </c>
      <c r="H2420" t="s">
        <v>17</v>
      </c>
      <c r="I2420" s="2" t="str">
        <f t="shared" si="296"/>
        <v>North</v>
      </c>
      <c r="J2420" t="s">
        <v>12</v>
      </c>
      <c r="K2420" t="s">
        <v>28</v>
      </c>
      <c r="L2420">
        <v>5</v>
      </c>
      <c r="M2420">
        <v>120</v>
      </c>
      <c r="N2420">
        <f t="shared" si="300"/>
        <v>600</v>
      </c>
      <c r="O2420">
        <f t="shared" si="301"/>
        <v>60</v>
      </c>
      <c r="P2420" t="str">
        <f t="shared" si="302"/>
        <v>Large Order</v>
      </c>
      <c r="Q2420" t="str">
        <f t="shared" si="303"/>
        <v>Weekday</v>
      </c>
    </row>
    <row r="2421" spans="1:17" x14ac:dyDescent="0.35">
      <c r="A2421" t="s">
        <v>2571</v>
      </c>
      <c r="B2421" s="7">
        <v>45349</v>
      </c>
      <c r="C2421" s="13">
        <f t="shared" si="297"/>
        <v>2024</v>
      </c>
      <c r="D2421" s="7" t="str">
        <f t="shared" si="298"/>
        <v>Feb</v>
      </c>
      <c r="E2421" s="7" t="str">
        <f t="shared" si="299"/>
        <v>Tue</v>
      </c>
      <c r="F2421" t="s">
        <v>138</v>
      </c>
      <c r="G2421" t="s">
        <v>62</v>
      </c>
      <c r="H2421" t="s">
        <v>11</v>
      </c>
      <c r="I2421" s="2" t="str">
        <f t="shared" si="296"/>
        <v>Central</v>
      </c>
      <c r="J2421" t="s">
        <v>12</v>
      </c>
      <c r="K2421" t="s">
        <v>28</v>
      </c>
      <c r="L2421">
        <v>16</v>
      </c>
      <c r="M2421">
        <v>120</v>
      </c>
      <c r="N2421">
        <f t="shared" si="300"/>
        <v>1920</v>
      </c>
      <c r="O2421">
        <f t="shared" si="301"/>
        <v>192</v>
      </c>
      <c r="P2421" t="str">
        <f t="shared" si="302"/>
        <v>Large Order</v>
      </c>
      <c r="Q2421" t="str">
        <f t="shared" si="303"/>
        <v>Weekday</v>
      </c>
    </row>
    <row r="2422" spans="1:17" x14ac:dyDescent="0.35">
      <c r="A2422" t="s">
        <v>2572</v>
      </c>
      <c r="B2422" s="7">
        <v>45624</v>
      </c>
      <c r="C2422" s="13">
        <f t="shared" si="297"/>
        <v>2024</v>
      </c>
      <c r="D2422" s="7" t="str">
        <f t="shared" si="298"/>
        <v>Nov</v>
      </c>
      <c r="E2422" s="7" t="str">
        <f t="shared" si="299"/>
        <v>Thu</v>
      </c>
      <c r="F2422" t="s">
        <v>93</v>
      </c>
      <c r="G2422" t="s">
        <v>87</v>
      </c>
      <c r="H2422" t="s">
        <v>22</v>
      </c>
      <c r="I2422" s="2" t="str">
        <f t="shared" si="296"/>
        <v>North</v>
      </c>
      <c r="J2422" t="s">
        <v>306</v>
      </c>
      <c r="K2422" t="s">
        <v>28</v>
      </c>
      <c r="L2422">
        <v>3</v>
      </c>
      <c r="M2422">
        <v>120</v>
      </c>
      <c r="N2422">
        <f t="shared" si="300"/>
        <v>360</v>
      </c>
      <c r="O2422">
        <f t="shared" si="301"/>
        <v>36</v>
      </c>
      <c r="P2422" t="str">
        <f t="shared" si="302"/>
        <v>Standard Order</v>
      </c>
      <c r="Q2422" t="str">
        <f t="shared" si="303"/>
        <v>Weekday</v>
      </c>
    </row>
    <row r="2423" spans="1:17" x14ac:dyDescent="0.35">
      <c r="A2423" t="s">
        <v>2573</v>
      </c>
      <c r="B2423" s="7">
        <v>45529</v>
      </c>
      <c r="C2423" s="13">
        <f t="shared" si="297"/>
        <v>2024</v>
      </c>
      <c r="D2423" s="7" t="str">
        <f t="shared" si="298"/>
        <v>Aug</v>
      </c>
      <c r="E2423" s="7" t="str">
        <f t="shared" si="299"/>
        <v>Sun</v>
      </c>
      <c r="F2423" t="s">
        <v>167</v>
      </c>
      <c r="G2423" t="s">
        <v>35</v>
      </c>
      <c r="H2423" t="s">
        <v>17</v>
      </c>
      <c r="I2423" s="2" t="str">
        <f t="shared" si="296"/>
        <v>North</v>
      </c>
      <c r="J2423" t="s">
        <v>12</v>
      </c>
      <c r="K2423" t="s">
        <v>13</v>
      </c>
      <c r="L2423">
        <v>6</v>
      </c>
      <c r="M2423">
        <v>120</v>
      </c>
      <c r="N2423">
        <f t="shared" si="300"/>
        <v>720</v>
      </c>
      <c r="O2423">
        <f t="shared" si="301"/>
        <v>72</v>
      </c>
      <c r="P2423" t="str">
        <f t="shared" si="302"/>
        <v>Large Order</v>
      </c>
      <c r="Q2423" t="str">
        <f t="shared" si="303"/>
        <v>Weekend</v>
      </c>
    </row>
    <row r="2424" spans="1:17" x14ac:dyDescent="0.35">
      <c r="A2424" t="s">
        <v>2574</v>
      </c>
      <c r="B2424" s="7">
        <v>45651</v>
      </c>
      <c r="C2424" s="13">
        <f t="shared" si="297"/>
        <v>2024</v>
      </c>
      <c r="D2424" s="7" t="str">
        <f t="shared" si="298"/>
        <v>Dec</v>
      </c>
      <c r="E2424" s="7" t="str">
        <f t="shared" si="299"/>
        <v>Wed</v>
      </c>
      <c r="F2424" t="s">
        <v>396</v>
      </c>
      <c r="G2424" t="s">
        <v>35</v>
      </c>
      <c r="H2424" t="s">
        <v>17</v>
      </c>
      <c r="I2424" s="2" t="str">
        <f t="shared" si="296"/>
        <v>East</v>
      </c>
      <c r="J2424" t="s">
        <v>12</v>
      </c>
      <c r="K2424" t="s">
        <v>23</v>
      </c>
      <c r="L2424">
        <v>19</v>
      </c>
      <c r="M2424">
        <v>120</v>
      </c>
      <c r="N2424">
        <f t="shared" si="300"/>
        <v>2280</v>
      </c>
      <c r="O2424">
        <f t="shared" si="301"/>
        <v>228</v>
      </c>
      <c r="P2424" t="str">
        <f t="shared" si="302"/>
        <v>Large Order</v>
      </c>
      <c r="Q2424" t="str">
        <f t="shared" si="303"/>
        <v>Weekday</v>
      </c>
    </row>
    <row r="2425" spans="1:17" x14ac:dyDescent="0.35">
      <c r="A2425" t="s">
        <v>2575</v>
      </c>
      <c r="B2425" s="7">
        <v>45442</v>
      </c>
      <c r="C2425" s="13">
        <f t="shared" si="297"/>
        <v>2024</v>
      </c>
      <c r="D2425" s="7" t="str">
        <f t="shared" si="298"/>
        <v>May</v>
      </c>
      <c r="E2425" s="7" t="str">
        <f t="shared" si="299"/>
        <v>Thu</v>
      </c>
      <c r="F2425" t="s">
        <v>614</v>
      </c>
      <c r="G2425" t="s">
        <v>31</v>
      </c>
      <c r="H2425" t="s">
        <v>11</v>
      </c>
      <c r="I2425" s="2" t="str">
        <f t="shared" si="296"/>
        <v>Central</v>
      </c>
      <c r="J2425" t="s">
        <v>42</v>
      </c>
      <c r="K2425" t="s">
        <v>13</v>
      </c>
      <c r="L2425">
        <v>4</v>
      </c>
      <c r="M2425">
        <v>120</v>
      </c>
      <c r="N2425">
        <f t="shared" si="300"/>
        <v>480</v>
      </c>
      <c r="O2425">
        <f t="shared" si="301"/>
        <v>48</v>
      </c>
      <c r="P2425" t="str">
        <f t="shared" si="302"/>
        <v>Standard Order</v>
      </c>
      <c r="Q2425" t="str">
        <f t="shared" si="303"/>
        <v>Weekday</v>
      </c>
    </row>
    <row r="2426" spans="1:17" x14ac:dyDescent="0.35">
      <c r="A2426" t="s">
        <v>2576</v>
      </c>
      <c r="B2426" s="7">
        <v>45513</v>
      </c>
      <c r="C2426" s="13">
        <f t="shared" si="297"/>
        <v>2024</v>
      </c>
      <c r="D2426" s="7" t="str">
        <f t="shared" si="298"/>
        <v>Aug</v>
      </c>
      <c r="E2426" s="7" t="str">
        <f t="shared" si="299"/>
        <v>Fri</v>
      </c>
      <c r="F2426" t="s">
        <v>572</v>
      </c>
      <c r="G2426" t="s">
        <v>35</v>
      </c>
      <c r="H2426" t="s">
        <v>22</v>
      </c>
      <c r="I2426" s="2" t="str">
        <f t="shared" si="296"/>
        <v>Central</v>
      </c>
      <c r="J2426" t="s">
        <v>306</v>
      </c>
      <c r="K2426" t="s">
        <v>36</v>
      </c>
      <c r="L2426">
        <v>18</v>
      </c>
      <c r="M2426">
        <v>120</v>
      </c>
      <c r="N2426">
        <f t="shared" si="300"/>
        <v>2160</v>
      </c>
      <c r="O2426">
        <f t="shared" si="301"/>
        <v>216</v>
      </c>
      <c r="P2426" t="str">
        <f t="shared" si="302"/>
        <v>Large Order</v>
      </c>
      <c r="Q2426" t="str">
        <f t="shared" si="303"/>
        <v>Weekday</v>
      </c>
    </row>
    <row r="2427" spans="1:17" x14ac:dyDescent="0.35">
      <c r="A2427" t="s">
        <v>2577</v>
      </c>
      <c r="B2427" s="7">
        <v>45310</v>
      </c>
      <c r="C2427" s="13">
        <f t="shared" si="297"/>
        <v>2024</v>
      </c>
      <c r="D2427" s="7" t="str">
        <f t="shared" si="298"/>
        <v>Jan</v>
      </c>
      <c r="E2427" s="7" t="str">
        <f t="shared" si="299"/>
        <v>Fri</v>
      </c>
      <c r="F2427" t="s">
        <v>374</v>
      </c>
      <c r="G2427" t="s">
        <v>31</v>
      </c>
      <c r="H2427" t="s">
        <v>17</v>
      </c>
      <c r="I2427" s="2" t="str">
        <f t="shared" si="296"/>
        <v>Central</v>
      </c>
      <c r="J2427" t="s">
        <v>306</v>
      </c>
      <c r="K2427" t="s">
        <v>36</v>
      </c>
      <c r="L2427">
        <v>20</v>
      </c>
      <c r="M2427">
        <v>120</v>
      </c>
      <c r="N2427">
        <f t="shared" si="300"/>
        <v>2400</v>
      </c>
      <c r="O2427">
        <f t="shared" si="301"/>
        <v>240</v>
      </c>
      <c r="P2427" t="str">
        <f t="shared" si="302"/>
        <v>Large Order</v>
      </c>
      <c r="Q2427" t="str">
        <f t="shared" si="303"/>
        <v>Weekday</v>
      </c>
    </row>
    <row r="2428" spans="1:17" x14ac:dyDescent="0.35">
      <c r="A2428" t="s">
        <v>2578</v>
      </c>
      <c r="B2428" s="7">
        <v>45541</v>
      </c>
      <c r="C2428" s="13">
        <f t="shared" si="297"/>
        <v>2024</v>
      </c>
      <c r="D2428" s="7" t="str">
        <f t="shared" si="298"/>
        <v>Sep</v>
      </c>
      <c r="E2428" s="7" t="str">
        <f t="shared" si="299"/>
        <v>Fri</v>
      </c>
      <c r="F2428" t="s">
        <v>51</v>
      </c>
      <c r="G2428" t="s">
        <v>62</v>
      </c>
      <c r="H2428" t="s">
        <v>11</v>
      </c>
      <c r="I2428" s="2" t="str">
        <f t="shared" si="296"/>
        <v>West</v>
      </c>
      <c r="J2428" t="s">
        <v>306</v>
      </c>
      <c r="K2428" t="s">
        <v>13</v>
      </c>
      <c r="L2428">
        <v>14</v>
      </c>
      <c r="M2428">
        <v>120</v>
      </c>
      <c r="N2428">
        <f t="shared" si="300"/>
        <v>1680</v>
      </c>
      <c r="O2428">
        <f t="shared" si="301"/>
        <v>168</v>
      </c>
      <c r="P2428" t="str">
        <f t="shared" si="302"/>
        <v>Large Order</v>
      </c>
      <c r="Q2428" t="str">
        <f t="shared" si="303"/>
        <v>Weekday</v>
      </c>
    </row>
    <row r="2429" spans="1:17" x14ac:dyDescent="0.35">
      <c r="A2429" t="s">
        <v>2579</v>
      </c>
      <c r="B2429" s="7">
        <v>45575</v>
      </c>
      <c r="C2429" s="13">
        <f t="shared" si="297"/>
        <v>2024</v>
      </c>
      <c r="D2429" s="7" t="str">
        <f t="shared" si="298"/>
        <v>Oct</v>
      </c>
      <c r="E2429" s="7" t="str">
        <f t="shared" si="299"/>
        <v>Thu</v>
      </c>
      <c r="F2429" t="s">
        <v>58</v>
      </c>
      <c r="G2429" t="s">
        <v>26</v>
      </c>
      <c r="H2429" t="s">
        <v>22</v>
      </c>
      <c r="I2429" s="2" t="str">
        <f t="shared" si="296"/>
        <v>West</v>
      </c>
      <c r="J2429" t="s">
        <v>27</v>
      </c>
      <c r="K2429" t="s">
        <v>23</v>
      </c>
      <c r="L2429">
        <v>4</v>
      </c>
      <c r="M2429">
        <v>120</v>
      </c>
      <c r="N2429">
        <f t="shared" si="300"/>
        <v>480</v>
      </c>
      <c r="O2429">
        <f t="shared" si="301"/>
        <v>48</v>
      </c>
      <c r="P2429" t="str">
        <f t="shared" si="302"/>
        <v>Standard Order</v>
      </c>
      <c r="Q2429" t="str">
        <f t="shared" si="303"/>
        <v>Weekday</v>
      </c>
    </row>
    <row r="2430" spans="1:17" x14ac:dyDescent="0.35">
      <c r="A2430" t="s">
        <v>2580</v>
      </c>
      <c r="B2430" s="7">
        <v>45622</v>
      </c>
      <c r="C2430" s="13">
        <f t="shared" si="297"/>
        <v>2024</v>
      </c>
      <c r="D2430" s="7" t="str">
        <f t="shared" si="298"/>
        <v>Nov</v>
      </c>
      <c r="E2430" s="7" t="str">
        <f t="shared" si="299"/>
        <v>Tue</v>
      </c>
      <c r="F2430" t="s">
        <v>20</v>
      </c>
      <c r="G2430" t="s">
        <v>70</v>
      </c>
      <c r="H2430" t="s">
        <v>22</v>
      </c>
      <c r="I2430" s="2" t="str">
        <f t="shared" si="296"/>
        <v>South</v>
      </c>
      <c r="J2430" t="s">
        <v>27</v>
      </c>
      <c r="K2430" t="s">
        <v>13</v>
      </c>
      <c r="L2430">
        <v>6</v>
      </c>
      <c r="M2430">
        <v>120</v>
      </c>
      <c r="N2430">
        <f t="shared" si="300"/>
        <v>720</v>
      </c>
      <c r="O2430">
        <f t="shared" si="301"/>
        <v>72</v>
      </c>
      <c r="P2430" t="str">
        <f t="shared" si="302"/>
        <v>Large Order</v>
      </c>
      <c r="Q2430" t="str">
        <f t="shared" si="303"/>
        <v>Weekday</v>
      </c>
    </row>
    <row r="2431" spans="1:17" x14ac:dyDescent="0.35">
      <c r="A2431" t="s">
        <v>2581</v>
      </c>
      <c r="B2431" s="7">
        <v>45390</v>
      </c>
      <c r="C2431" s="13">
        <f t="shared" si="297"/>
        <v>2024</v>
      </c>
      <c r="D2431" s="7" t="str">
        <f t="shared" si="298"/>
        <v>Apr</v>
      </c>
      <c r="E2431" s="7" t="str">
        <f t="shared" si="299"/>
        <v>Mon</v>
      </c>
      <c r="F2431" t="s">
        <v>553</v>
      </c>
      <c r="G2431" t="s">
        <v>48</v>
      </c>
      <c r="H2431" t="s">
        <v>17</v>
      </c>
      <c r="I2431" s="2" t="str">
        <f t="shared" si="296"/>
        <v>West</v>
      </c>
      <c r="J2431" t="s">
        <v>56</v>
      </c>
      <c r="K2431" t="s">
        <v>36</v>
      </c>
      <c r="L2431">
        <v>8</v>
      </c>
      <c r="M2431">
        <v>120</v>
      </c>
      <c r="N2431">
        <f t="shared" si="300"/>
        <v>960</v>
      </c>
      <c r="O2431">
        <f t="shared" si="301"/>
        <v>96</v>
      </c>
      <c r="P2431" t="str">
        <f t="shared" si="302"/>
        <v>Large Order</v>
      </c>
      <c r="Q2431" t="str">
        <f t="shared" si="303"/>
        <v>Weekday</v>
      </c>
    </row>
    <row r="2432" spans="1:17" x14ac:dyDescent="0.35">
      <c r="A2432" t="s">
        <v>2582</v>
      </c>
      <c r="B2432" s="7">
        <v>45642</v>
      </c>
      <c r="C2432" s="13">
        <f t="shared" si="297"/>
        <v>2024</v>
      </c>
      <c r="D2432" s="7" t="str">
        <f t="shared" si="298"/>
        <v>Dec</v>
      </c>
      <c r="E2432" s="7" t="str">
        <f t="shared" si="299"/>
        <v>Mon</v>
      </c>
      <c r="F2432" t="s">
        <v>47</v>
      </c>
      <c r="G2432" t="s">
        <v>109</v>
      </c>
      <c r="H2432" t="s">
        <v>22</v>
      </c>
      <c r="I2432" s="2" t="str">
        <f t="shared" si="296"/>
        <v>East</v>
      </c>
      <c r="J2432" t="s">
        <v>27</v>
      </c>
      <c r="K2432" t="s">
        <v>28</v>
      </c>
      <c r="L2432">
        <v>10</v>
      </c>
      <c r="M2432">
        <v>120</v>
      </c>
      <c r="N2432">
        <f t="shared" si="300"/>
        <v>1200</v>
      </c>
      <c r="O2432">
        <f t="shared" si="301"/>
        <v>120</v>
      </c>
      <c r="P2432" t="str">
        <f t="shared" si="302"/>
        <v>Large Order</v>
      </c>
      <c r="Q2432" t="str">
        <f t="shared" si="303"/>
        <v>Weekday</v>
      </c>
    </row>
    <row r="2433" spans="1:17" x14ac:dyDescent="0.35">
      <c r="A2433" t="s">
        <v>2583</v>
      </c>
      <c r="B2433" s="7">
        <v>45491</v>
      </c>
      <c r="C2433" s="13">
        <f t="shared" si="297"/>
        <v>2024</v>
      </c>
      <c r="D2433" s="7" t="str">
        <f t="shared" si="298"/>
        <v>Jul</v>
      </c>
      <c r="E2433" s="7" t="str">
        <f t="shared" si="299"/>
        <v>Thu</v>
      </c>
      <c r="F2433" t="s">
        <v>572</v>
      </c>
      <c r="G2433" t="s">
        <v>41</v>
      </c>
      <c r="H2433" t="s">
        <v>22</v>
      </c>
      <c r="I2433" s="2" t="str">
        <f t="shared" si="296"/>
        <v>West</v>
      </c>
      <c r="J2433" t="s">
        <v>42</v>
      </c>
      <c r="K2433" t="s">
        <v>23</v>
      </c>
      <c r="L2433">
        <v>6</v>
      </c>
      <c r="M2433">
        <v>120</v>
      </c>
      <c r="N2433">
        <f t="shared" si="300"/>
        <v>720</v>
      </c>
      <c r="O2433">
        <f t="shared" si="301"/>
        <v>72</v>
      </c>
      <c r="P2433" t="str">
        <f t="shared" si="302"/>
        <v>Large Order</v>
      </c>
      <c r="Q2433" t="str">
        <f t="shared" si="303"/>
        <v>Weekday</v>
      </c>
    </row>
    <row r="2434" spans="1:17" x14ac:dyDescent="0.35">
      <c r="A2434" t="s">
        <v>2584</v>
      </c>
      <c r="B2434" s="7">
        <v>45436</v>
      </c>
      <c r="C2434" s="13">
        <f t="shared" si="297"/>
        <v>2024</v>
      </c>
      <c r="D2434" s="7" t="str">
        <f t="shared" si="298"/>
        <v>May</v>
      </c>
      <c r="E2434" s="7" t="str">
        <f t="shared" si="299"/>
        <v>Fri</v>
      </c>
      <c r="F2434" t="s">
        <v>465</v>
      </c>
      <c r="G2434" t="s">
        <v>84</v>
      </c>
      <c r="H2434" t="s">
        <v>11</v>
      </c>
      <c r="I2434" s="2" t="str">
        <f t="shared" si="296"/>
        <v>West</v>
      </c>
      <c r="J2434" t="s">
        <v>27</v>
      </c>
      <c r="K2434" t="s">
        <v>28</v>
      </c>
      <c r="L2434">
        <v>6</v>
      </c>
      <c r="M2434">
        <v>120</v>
      </c>
      <c r="N2434">
        <f t="shared" si="300"/>
        <v>720</v>
      </c>
      <c r="O2434">
        <f t="shared" si="301"/>
        <v>72</v>
      </c>
      <c r="P2434" t="str">
        <f t="shared" si="302"/>
        <v>Large Order</v>
      </c>
      <c r="Q2434" t="str">
        <f t="shared" si="303"/>
        <v>Weekday</v>
      </c>
    </row>
    <row r="2435" spans="1:17" x14ac:dyDescent="0.35">
      <c r="A2435" t="s">
        <v>2585</v>
      </c>
      <c r="B2435" s="7">
        <v>45602</v>
      </c>
      <c r="C2435" s="13">
        <f t="shared" si="297"/>
        <v>2024</v>
      </c>
      <c r="D2435" s="7" t="str">
        <f t="shared" si="298"/>
        <v>Nov</v>
      </c>
      <c r="E2435" s="7" t="str">
        <f t="shared" si="299"/>
        <v>Wed</v>
      </c>
      <c r="F2435" t="s">
        <v>374</v>
      </c>
      <c r="G2435" t="s">
        <v>102</v>
      </c>
      <c r="H2435" t="s">
        <v>17</v>
      </c>
      <c r="I2435" s="2" t="str">
        <f t="shared" ref="I2435:I2498" si="304">TRIM(J2436)</f>
        <v>East</v>
      </c>
      <c r="J2435" t="s">
        <v>27</v>
      </c>
      <c r="K2435" t="s">
        <v>32</v>
      </c>
      <c r="L2435">
        <v>8</v>
      </c>
      <c r="M2435">
        <v>120</v>
      </c>
      <c r="N2435">
        <f t="shared" si="300"/>
        <v>960</v>
      </c>
      <c r="O2435">
        <f t="shared" si="301"/>
        <v>96</v>
      </c>
      <c r="P2435" t="str">
        <f t="shared" si="302"/>
        <v>Large Order</v>
      </c>
      <c r="Q2435" t="str">
        <f t="shared" si="303"/>
        <v>Weekday</v>
      </c>
    </row>
    <row r="2436" spans="1:17" x14ac:dyDescent="0.35">
      <c r="A2436" t="s">
        <v>2586</v>
      </c>
      <c r="B2436" s="7">
        <v>45316</v>
      </c>
      <c r="C2436" s="13">
        <f t="shared" ref="C2436:C2499" si="305">YEAR(B2436)</f>
        <v>2024</v>
      </c>
      <c r="D2436" s="7" t="str">
        <f t="shared" ref="D2436:D2499" si="306">TEXT(B2436,"mmm")</f>
        <v>Jan</v>
      </c>
      <c r="E2436" s="7" t="str">
        <f t="shared" ref="E2436:E2499" si="307">TEXT(B2436,"ddd")</f>
        <v>Thu</v>
      </c>
      <c r="F2436" t="s">
        <v>138</v>
      </c>
      <c r="G2436" t="s">
        <v>48</v>
      </c>
      <c r="H2436" t="s">
        <v>17</v>
      </c>
      <c r="I2436" s="2" t="str">
        <f t="shared" si="304"/>
        <v>West</v>
      </c>
      <c r="J2436" t="s">
        <v>42</v>
      </c>
      <c r="K2436" t="s">
        <v>28</v>
      </c>
      <c r="L2436">
        <v>6</v>
      </c>
      <c r="M2436">
        <v>120</v>
      </c>
      <c r="N2436">
        <f t="shared" ref="N2436:N2499" si="308">M2436*L2436</f>
        <v>720</v>
      </c>
      <c r="O2436">
        <f t="shared" ref="O2436:O2499" si="309">N2436*0.1</f>
        <v>72</v>
      </c>
      <c r="P2436" t="str">
        <f t="shared" ref="P2436:P2499" si="310">IF(N2436&gt;500,"Large Order","Standard Order")</f>
        <v>Large Order</v>
      </c>
      <c r="Q2436" t="str">
        <f t="shared" ref="Q2436:Q2499" si="311">IF(OR(TRIM(E2436)="Sat",TRIM(E2436)="Sun"),"Weekend","Weekday")</f>
        <v>Weekday</v>
      </c>
    </row>
    <row r="2437" spans="1:17" x14ac:dyDescent="0.35">
      <c r="A2437" t="s">
        <v>2587</v>
      </c>
      <c r="B2437" s="7">
        <v>45549</v>
      </c>
      <c r="C2437" s="13">
        <f t="shared" si="305"/>
        <v>2024</v>
      </c>
      <c r="D2437" s="7" t="str">
        <f t="shared" si="306"/>
        <v>Sep</v>
      </c>
      <c r="E2437" s="7" t="str">
        <f t="shared" si="307"/>
        <v>Sat</v>
      </c>
      <c r="F2437" t="s">
        <v>122</v>
      </c>
      <c r="G2437" t="s">
        <v>10</v>
      </c>
      <c r="H2437" t="s">
        <v>17</v>
      </c>
      <c r="I2437" s="2" t="str">
        <f t="shared" si="304"/>
        <v>East</v>
      </c>
      <c r="J2437" t="s">
        <v>27</v>
      </c>
      <c r="K2437" t="s">
        <v>13</v>
      </c>
      <c r="L2437">
        <v>20</v>
      </c>
      <c r="M2437">
        <v>120</v>
      </c>
      <c r="N2437">
        <f t="shared" si="308"/>
        <v>2400</v>
      </c>
      <c r="O2437">
        <f t="shared" si="309"/>
        <v>240</v>
      </c>
      <c r="P2437" t="str">
        <f t="shared" si="310"/>
        <v>Large Order</v>
      </c>
      <c r="Q2437" t="str">
        <f t="shared" si="311"/>
        <v>Weekend</v>
      </c>
    </row>
    <row r="2438" spans="1:17" x14ac:dyDescent="0.35">
      <c r="A2438" t="s">
        <v>2588</v>
      </c>
      <c r="B2438" s="7">
        <v>45579</v>
      </c>
      <c r="C2438" s="13">
        <f t="shared" si="305"/>
        <v>2024</v>
      </c>
      <c r="D2438" s="7" t="str">
        <f t="shared" si="306"/>
        <v>Oct</v>
      </c>
      <c r="E2438" s="7" t="str">
        <f t="shared" si="307"/>
        <v>Mon</v>
      </c>
      <c r="F2438" t="s">
        <v>240</v>
      </c>
      <c r="G2438" t="s">
        <v>35</v>
      </c>
      <c r="H2438" t="s">
        <v>17</v>
      </c>
      <c r="I2438" s="2" t="str">
        <f t="shared" si="304"/>
        <v>Central</v>
      </c>
      <c r="J2438" t="s">
        <v>42</v>
      </c>
      <c r="K2438" t="s">
        <v>32</v>
      </c>
      <c r="L2438">
        <v>2</v>
      </c>
      <c r="M2438">
        <v>120</v>
      </c>
      <c r="N2438">
        <f t="shared" si="308"/>
        <v>240</v>
      </c>
      <c r="O2438">
        <f t="shared" si="309"/>
        <v>24</v>
      </c>
      <c r="P2438" t="str">
        <f t="shared" si="310"/>
        <v>Standard Order</v>
      </c>
      <c r="Q2438" t="str">
        <f t="shared" si="311"/>
        <v>Weekday</v>
      </c>
    </row>
    <row r="2439" spans="1:17" x14ac:dyDescent="0.35">
      <c r="A2439" t="s">
        <v>2589</v>
      </c>
      <c r="B2439" s="7">
        <v>45577</v>
      </c>
      <c r="C2439" s="13">
        <f t="shared" si="305"/>
        <v>2024</v>
      </c>
      <c r="D2439" s="7" t="str">
        <f t="shared" si="306"/>
        <v>Oct</v>
      </c>
      <c r="E2439" s="7" t="str">
        <f t="shared" si="307"/>
        <v>Sat</v>
      </c>
      <c r="F2439" t="s">
        <v>101</v>
      </c>
      <c r="G2439" t="s">
        <v>16</v>
      </c>
      <c r="H2439" t="s">
        <v>22</v>
      </c>
      <c r="I2439" s="2" t="str">
        <f t="shared" si="304"/>
        <v>North</v>
      </c>
      <c r="J2439" t="s">
        <v>306</v>
      </c>
      <c r="K2439" t="s">
        <v>36</v>
      </c>
      <c r="L2439">
        <v>4</v>
      </c>
      <c r="M2439">
        <v>120</v>
      </c>
      <c r="N2439">
        <f t="shared" si="308"/>
        <v>480</v>
      </c>
      <c r="O2439">
        <f t="shared" si="309"/>
        <v>48</v>
      </c>
      <c r="P2439" t="str">
        <f t="shared" si="310"/>
        <v>Standard Order</v>
      </c>
      <c r="Q2439" t="str">
        <f t="shared" si="311"/>
        <v>Weekend</v>
      </c>
    </row>
    <row r="2440" spans="1:17" x14ac:dyDescent="0.35">
      <c r="A2440" t="s">
        <v>2590</v>
      </c>
      <c r="B2440" s="7">
        <v>45516</v>
      </c>
      <c r="C2440" s="13">
        <f t="shared" si="305"/>
        <v>2024</v>
      </c>
      <c r="D2440" s="7" t="str">
        <f t="shared" si="306"/>
        <v>Aug</v>
      </c>
      <c r="E2440" s="7" t="str">
        <f t="shared" si="307"/>
        <v>Mon</v>
      </c>
      <c r="F2440" t="s">
        <v>366</v>
      </c>
      <c r="G2440" t="s">
        <v>119</v>
      </c>
      <c r="H2440" t="s">
        <v>11</v>
      </c>
      <c r="I2440" s="2" t="str">
        <f t="shared" si="304"/>
        <v>North</v>
      </c>
      <c r="J2440" t="s">
        <v>12</v>
      </c>
      <c r="K2440" t="s">
        <v>36</v>
      </c>
      <c r="L2440">
        <v>20</v>
      </c>
      <c r="M2440">
        <v>120</v>
      </c>
      <c r="N2440">
        <f t="shared" si="308"/>
        <v>2400</v>
      </c>
      <c r="O2440">
        <f t="shared" si="309"/>
        <v>240</v>
      </c>
      <c r="P2440" t="str">
        <f t="shared" si="310"/>
        <v>Large Order</v>
      </c>
      <c r="Q2440" t="str">
        <f t="shared" si="311"/>
        <v>Weekday</v>
      </c>
    </row>
    <row r="2441" spans="1:17" x14ac:dyDescent="0.35">
      <c r="A2441" t="s">
        <v>2591</v>
      </c>
      <c r="B2441" s="7">
        <v>45344</v>
      </c>
      <c r="C2441" s="13">
        <f t="shared" si="305"/>
        <v>2024</v>
      </c>
      <c r="D2441" s="7" t="str">
        <f t="shared" si="306"/>
        <v>Feb</v>
      </c>
      <c r="E2441" s="7" t="str">
        <f t="shared" si="307"/>
        <v>Thu</v>
      </c>
      <c r="F2441" t="s">
        <v>642</v>
      </c>
      <c r="G2441" t="s">
        <v>79</v>
      </c>
      <c r="H2441" t="s">
        <v>22</v>
      </c>
      <c r="I2441" s="2" t="str">
        <f t="shared" si="304"/>
        <v>West</v>
      </c>
      <c r="J2441" t="s">
        <v>12</v>
      </c>
      <c r="K2441" t="s">
        <v>28</v>
      </c>
      <c r="L2441">
        <v>4</v>
      </c>
      <c r="M2441">
        <v>120</v>
      </c>
      <c r="N2441">
        <f t="shared" si="308"/>
        <v>480</v>
      </c>
      <c r="O2441">
        <f t="shared" si="309"/>
        <v>48</v>
      </c>
      <c r="P2441" t="str">
        <f t="shared" si="310"/>
        <v>Standard Order</v>
      </c>
      <c r="Q2441" t="str">
        <f t="shared" si="311"/>
        <v>Weekday</v>
      </c>
    </row>
    <row r="2442" spans="1:17" x14ac:dyDescent="0.35">
      <c r="A2442" t="s">
        <v>2592</v>
      </c>
      <c r="B2442" s="7">
        <v>45477</v>
      </c>
      <c r="C2442" s="13">
        <f t="shared" si="305"/>
        <v>2024</v>
      </c>
      <c r="D2442" s="7" t="str">
        <f t="shared" si="306"/>
        <v>Jul</v>
      </c>
      <c r="E2442" s="7" t="str">
        <f t="shared" si="307"/>
        <v>Thu</v>
      </c>
      <c r="F2442" t="s">
        <v>111</v>
      </c>
      <c r="G2442" t="s">
        <v>84</v>
      </c>
      <c r="H2442" t="s">
        <v>17</v>
      </c>
      <c r="I2442" s="2" t="str">
        <f t="shared" si="304"/>
        <v>East</v>
      </c>
      <c r="J2442" t="s">
        <v>27</v>
      </c>
      <c r="K2442" t="s">
        <v>36</v>
      </c>
      <c r="L2442">
        <v>16</v>
      </c>
      <c r="M2442">
        <v>120</v>
      </c>
      <c r="N2442">
        <f t="shared" si="308"/>
        <v>1920</v>
      </c>
      <c r="O2442">
        <f t="shared" si="309"/>
        <v>192</v>
      </c>
      <c r="P2442" t="str">
        <f t="shared" si="310"/>
        <v>Large Order</v>
      </c>
      <c r="Q2442" t="str">
        <f t="shared" si="311"/>
        <v>Weekday</v>
      </c>
    </row>
    <row r="2443" spans="1:17" x14ac:dyDescent="0.35">
      <c r="A2443" t="s">
        <v>2593</v>
      </c>
      <c r="B2443" s="7">
        <v>45342</v>
      </c>
      <c r="C2443" s="13">
        <f t="shared" si="305"/>
        <v>2024</v>
      </c>
      <c r="D2443" s="7" t="str">
        <f t="shared" si="306"/>
        <v>Feb</v>
      </c>
      <c r="E2443" s="7" t="str">
        <f t="shared" si="307"/>
        <v>Tue</v>
      </c>
      <c r="F2443" t="s">
        <v>125</v>
      </c>
      <c r="G2443" t="s">
        <v>21</v>
      </c>
      <c r="H2443" t="s">
        <v>17</v>
      </c>
      <c r="I2443" s="2" t="str">
        <f t="shared" si="304"/>
        <v>South</v>
      </c>
      <c r="J2443" t="s">
        <v>42</v>
      </c>
      <c r="K2443" t="s">
        <v>28</v>
      </c>
      <c r="L2443">
        <v>4</v>
      </c>
      <c r="M2443">
        <v>120</v>
      </c>
      <c r="N2443">
        <f t="shared" si="308"/>
        <v>480</v>
      </c>
      <c r="O2443">
        <f t="shared" si="309"/>
        <v>48</v>
      </c>
      <c r="P2443" t="str">
        <f t="shared" si="310"/>
        <v>Standard Order</v>
      </c>
      <c r="Q2443" t="str">
        <f t="shared" si="311"/>
        <v>Weekday</v>
      </c>
    </row>
    <row r="2444" spans="1:17" x14ac:dyDescent="0.35">
      <c r="A2444" t="s">
        <v>2594</v>
      </c>
      <c r="B2444" s="7">
        <v>45516</v>
      </c>
      <c r="C2444" s="13">
        <f t="shared" si="305"/>
        <v>2024</v>
      </c>
      <c r="D2444" s="7" t="str">
        <f t="shared" si="306"/>
        <v>Aug</v>
      </c>
      <c r="E2444" s="7" t="str">
        <f t="shared" si="307"/>
        <v>Mon</v>
      </c>
      <c r="F2444" t="s">
        <v>572</v>
      </c>
      <c r="G2444" t="s">
        <v>119</v>
      </c>
      <c r="H2444" t="s">
        <v>11</v>
      </c>
      <c r="I2444" s="2" t="str">
        <f t="shared" si="304"/>
        <v>West</v>
      </c>
      <c r="J2444" t="s">
        <v>56</v>
      </c>
      <c r="K2444" t="s">
        <v>23</v>
      </c>
      <c r="L2444">
        <v>11</v>
      </c>
      <c r="M2444">
        <v>120</v>
      </c>
      <c r="N2444">
        <f t="shared" si="308"/>
        <v>1320</v>
      </c>
      <c r="O2444">
        <f t="shared" si="309"/>
        <v>132</v>
      </c>
      <c r="P2444" t="str">
        <f t="shared" si="310"/>
        <v>Large Order</v>
      </c>
      <c r="Q2444" t="str">
        <f t="shared" si="311"/>
        <v>Weekday</v>
      </c>
    </row>
    <row r="2445" spans="1:17" x14ac:dyDescent="0.35">
      <c r="A2445" t="s">
        <v>2595</v>
      </c>
      <c r="B2445" s="7">
        <v>45379</v>
      </c>
      <c r="C2445" s="13">
        <f t="shared" si="305"/>
        <v>2024</v>
      </c>
      <c r="D2445" s="7" t="str">
        <f t="shared" si="306"/>
        <v>Mar</v>
      </c>
      <c r="E2445" s="7" t="str">
        <f t="shared" si="307"/>
        <v>Thu</v>
      </c>
      <c r="F2445" t="s">
        <v>81</v>
      </c>
      <c r="G2445" t="s">
        <v>26</v>
      </c>
      <c r="H2445" t="s">
        <v>17</v>
      </c>
      <c r="I2445" s="2" t="str">
        <f t="shared" si="304"/>
        <v>West</v>
      </c>
      <c r="J2445" t="s">
        <v>27</v>
      </c>
      <c r="K2445" t="s">
        <v>32</v>
      </c>
      <c r="L2445">
        <v>8</v>
      </c>
      <c r="M2445">
        <v>120</v>
      </c>
      <c r="N2445">
        <f t="shared" si="308"/>
        <v>960</v>
      </c>
      <c r="O2445">
        <f t="shared" si="309"/>
        <v>96</v>
      </c>
      <c r="P2445" t="str">
        <f t="shared" si="310"/>
        <v>Large Order</v>
      </c>
      <c r="Q2445" t="str">
        <f t="shared" si="311"/>
        <v>Weekday</v>
      </c>
    </row>
    <row r="2446" spans="1:17" x14ac:dyDescent="0.35">
      <c r="A2446" t="s">
        <v>2596</v>
      </c>
      <c r="B2446" s="7">
        <v>45563</v>
      </c>
      <c r="C2446" s="13">
        <f t="shared" si="305"/>
        <v>2024</v>
      </c>
      <c r="D2446" s="7" t="str">
        <f t="shared" si="306"/>
        <v>Sep</v>
      </c>
      <c r="E2446" s="7" t="str">
        <f t="shared" si="307"/>
        <v>Sat</v>
      </c>
      <c r="F2446" t="s">
        <v>572</v>
      </c>
      <c r="G2446" t="s">
        <v>197</v>
      </c>
      <c r="H2446" t="s">
        <v>11</v>
      </c>
      <c r="I2446" s="2" t="str">
        <f t="shared" si="304"/>
        <v>West</v>
      </c>
      <c r="J2446" t="s">
        <v>27</v>
      </c>
      <c r="K2446" t="s">
        <v>23</v>
      </c>
      <c r="L2446">
        <v>14</v>
      </c>
      <c r="M2446">
        <v>120</v>
      </c>
      <c r="N2446">
        <f t="shared" si="308"/>
        <v>1680</v>
      </c>
      <c r="O2446">
        <f t="shared" si="309"/>
        <v>168</v>
      </c>
      <c r="P2446" t="str">
        <f t="shared" si="310"/>
        <v>Large Order</v>
      </c>
      <c r="Q2446" t="str">
        <f t="shared" si="311"/>
        <v>Weekend</v>
      </c>
    </row>
    <row r="2447" spans="1:17" x14ac:dyDescent="0.35">
      <c r="A2447" t="s">
        <v>2597</v>
      </c>
      <c r="B2447" s="7">
        <v>45556</v>
      </c>
      <c r="C2447" s="13">
        <f t="shared" si="305"/>
        <v>2024</v>
      </c>
      <c r="D2447" s="7" t="str">
        <f t="shared" si="306"/>
        <v>Sep</v>
      </c>
      <c r="E2447" s="7" t="str">
        <f t="shared" si="307"/>
        <v>Sat</v>
      </c>
      <c r="F2447" t="s">
        <v>455</v>
      </c>
      <c r="G2447" t="s">
        <v>48</v>
      </c>
      <c r="H2447" t="s">
        <v>11</v>
      </c>
      <c r="I2447" s="2" t="str">
        <f t="shared" si="304"/>
        <v>East</v>
      </c>
      <c r="J2447" t="s">
        <v>27</v>
      </c>
      <c r="K2447" t="s">
        <v>28</v>
      </c>
      <c r="L2447">
        <v>1</v>
      </c>
      <c r="M2447">
        <v>120</v>
      </c>
      <c r="N2447">
        <f t="shared" si="308"/>
        <v>120</v>
      </c>
      <c r="O2447">
        <f t="shared" si="309"/>
        <v>12</v>
      </c>
      <c r="P2447" t="str">
        <f t="shared" si="310"/>
        <v>Standard Order</v>
      </c>
      <c r="Q2447" t="str">
        <f t="shared" si="311"/>
        <v>Weekend</v>
      </c>
    </row>
    <row r="2448" spans="1:17" x14ac:dyDescent="0.35">
      <c r="A2448" t="s">
        <v>2598</v>
      </c>
      <c r="B2448" s="7">
        <v>45556</v>
      </c>
      <c r="C2448" s="13">
        <f t="shared" si="305"/>
        <v>2024</v>
      </c>
      <c r="D2448" s="7" t="str">
        <f t="shared" si="306"/>
        <v>Sep</v>
      </c>
      <c r="E2448" s="7" t="str">
        <f t="shared" si="307"/>
        <v>Sat</v>
      </c>
      <c r="F2448" t="s">
        <v>58</v>
      </c>
      <c r="G2448" t="s">
        <v>10</v>
      </c>
      <c r="H2448" t="s">
        <v>17</v>
      </c>
      <c r="I2448" s="2" t="str">
        <f t="shared" si="304"/>
        <v>South</v>
      </c>
      <c r="J2448" t="s">
        <v>42</v>
      </c>
      <c r="K2448" t="s">
        <v>23</v>
      </c>
      <c r="L2448">
        <v>6</v>
      </c>
      <c r="M2448">
        <v>120</v>
      </c>
      <c r="N2448">
        <f t="shared" si="308"/>
        <v>720</v>
      </c>
      <c r="O2448">
        <f t="shared" si="309"/>
        <v>72</v>
      </c>
      <c r="P2448" t="str">
        <f t="shared" si="310"/>
        <v>Large Order</v>
      </c>
      <c r="Q2448" t="str">
        <f t="shared" si="311"/>
        <v>Weekend</v>
      </c>
    </row>
    <row r="2449" spans="1:17" x14ac:dyDescent="0.35">
      <c r="A2449" t="s">
        <v>2599</v>
      </c>
      <c r="B2449" s="7">
        <v>45493</v>
      </c>
      <c r="C2449" s="13">
        <f t="shared" si="305"/>
        <v>2024</v>
      </c>
      <c r="D2449" s="7" t="str">
        <f t="shared" si="306"/>
        <v>Jul</v>
      </c>
      <c r="E2449" s="7" t="str">
        <f t="shared" si="307"/>
        <v>Sat</v>
      </c>
      <c r="F2449" t="s">
        <v>332</v>
      </c>
      <c r="G2449" t="s">
        <v>79</v>
      </c>
      <c r="H2449" t="s">
        <v>22</v>
      </c>
      <c r="I2449" s="2" t="str">
        <f t="shared" si="304"/>
        <v>West</v>
      </c>
      <c r="J2449" t="s">
        <v>56</v>
      </c>
      <c r="K2449" t="s">
        <v>36</v>
      </c>
      <c r="L2449">
        <v>2</v>
      </c>
      <c r="M2449">
        <v>120</v>
      </c>
      <c r="N2449">
        <f t="shared" si="308"/>
        <v>240</v>
      </c>
      <c r="O2449">
        <f t="shared" si="309"/>
        <v>24</v>
      </c>
      <c r="P2449" t="str">
        <f t="shared" si="310"/>
        <v>Standard Order</v>
      </c>
      <c r="Q2449" t="str">
        <f t="shared" si="311"/>
        <v>Weekend</v>
      </c>
    </row>
    <row r="2450" spans="1:17" x14ac:dyDescent="0.35">
      <c r="A2450" t="s">
        <v>2600</v>
      </c>
      <c r="B2450" s="7">
        <v>45630</v>
      </c>
      <c r="C2450" s="13">
        <f t="shared" si="305"/>
        <v>2024</v>
      </c>
      <c r="D2450" s="7" t="str">
        <f t="shared" si="306"/>
        <v>Dec</v>
      </c>
      <c r="E2450" s="7" t="str">
        <f t="shared" si="307"/>
        <v>Wed</v>
      </c>
      <c r="F2450" t="s">
        <v>363</v>
      </c>
      <c r="G2450" t="s">
        <v>74</v>
      </c>
      <c r="H2450" t="s">
        <v>17</v>
      </c>
      <c r="I2450" s="2" t="str">
        <f t="shared" si="304"/>
        <v>Central</v>
      </c>
      <c r="J2450" t="s">
        <v>27</v>
      </c>
      <c r="K2450" t="s">
        <v>36</v>
      </c>
      <c r="L2450">
        <v>10</v>
      </c>
      <c r="M2450">
        <v>120</v>
      </c>
      <c r="N2450">
        <f t="shared" si="308"/>
        <v>1200</v>
      </c>
      <c r="O2450">
        <f t="shared" si="309"/>
        <v>120</v>
      </c>
      <c r="P2450" t="str">
        <f t="shared" si="310"/>
        <v>Large Order</v>
      </c>
      <c r="Q2450" t="str">
        <f t="shared" si="311"/>
        <v>Weekday</v>
      </c>
    </row>
    <row r="2451" spans="1:17" x14ac:dyDescent="0.35">
      <c r="A2451" t="s">
        <v>2601</v>
      </c>
      <c r="B2451" s="7">
        <v>45452</v>
      </c>
      <c r="C2451" s="13">
        <f t="shared" si="305"/>
        <v>2024</v>
      </c>
      <c r="D2451" s="7" t="str">
        <f t="shared" si="306"/>
        <v>Jun</v>
      </c>
      <c r="E2451" s="7" t="str">
        <f t="shared" si="307"/>
        <v>Sun</v>
      </c>
      <c r="F2451" t="s">
        <v>20</v>
      </c>
      <c r="G2451" t="s">
        <v>96</v>
      </c>
      <c r="H2451" t="s">
        <v>17</v>
      </c>
      <c r="I2451" s="2" t="str">
        <f t="shared" si="304"/>
        <v>Central</v>
      </c>
      <c r="J2451" t="s">
        <v>306</v>
      </c>
      <c r="K2451" t="s">
        <v>36</v>
      </c>
      <c r="L2451">
        <v>5</v>
      </c>
      <c r="M2451">
        <v>120</v>
      </c>
      <c r="N2451">
        <f t="shared" si="308"/>
        <v>600</v>
      </c>
      <c r="O2451">
        <f t="shared" si="309"/>
        <v>60</v>
      </c>
      <c r="P2451" t="str">
        <f t="shared" si="310"/>
        <v>Large Order</v>
      </c>
      <c r="Q2451" t="str">
        <f t="shared" si="311"/>
        <v>Weekend</v>
      </c>
    </row>
    <row r="2452" spans="1:17" x14ac:dyDescent="0.35">
      <c r="A2452" t="s">
        <v>2602</v>
      </c>
      <c r="B2452" s="7">
        <v>45520</v>
      </c>
      <c r="C2452" s="13">
        <f t="shared" si="305"/>
        <v>2024</v>
      </c>
      <c r="D2452" s="7" t="str">
        <f t="shared" si="306"/>
        <v>Aug</v>
      </c>
      <c r="E2452" s="7" t="str">
        <f t="shared" si="307"/>
        <v>Fri</v>
      </c>
      <c r="F2452" t="s">
        <v>736</v>
      </c>
      <c r="G2452" t="s">
        <v>65</v>
      </c>
      <c r="H2452" t="s">
        <v>22</v>
      </c>
      <c r="I2452" s="2" t="str">
        <f t="shared" si="304"/>
        <v>East</v>
      </c>
      <c r="J2452" t="s">
        <v>306</v>
      </c>
      <c r="K2452" t="s">
        <v>36</v>
      </c>
      <c r="L2452">
        <v>15</v>
      </c>
      <c r="M2452">
        <v>120</v>
      </c>
      <c r="N2452">
        <f t="shared" si="308"/>
        <v>1800</v>
      </c>
      <c r="O2452">
        <f t="shared" si="309"/>
        <v>180</v>
      </c>
      <c r="P2452" t="str">
        <f t="shared" si="310"/>
        <v>Large Order</v>
      </c>
      <c r="Q2452" t="str">
        <f t="shared" si="311"/>
        <v>Weekday</v>
      </c>
    </row>
    <row r="2453" spans="1:17" x14ac:dyDescent="0.35">
      <c r="A2453" t="s">
        <v>2603</v>
      </c>
      <c r="B2453" s="7">
        <v>45624</v>
      </c>
      <c r="C2453" s="13">
        <f t="shared" si="305"/>
        <v>2024</v>
      </c>
      <c r="D2453" s="7" t="str">
        <f t="shared" si="306"/>
        <v>Nov</v>
      </c>
      <c r="E2453" s="7" t="str">
        <f t="shared" si="307"/>
        <v>Thu</v>
      </c>
      <c r="F2453" t="s">
        <v>341</v>
      </c>
      <c r="G2453" t="s">
        <v>119</v>
      </c>
      <c r="H2453" t="s">
        <v>11</v>
      </c>
      <c r="I2453" s="2" t="str">
        <f t="shared" si="304"/>
        <v>South</v>
      </c>
      <c r="J2453" t="s">
        <v>42</v>
      </c>
      <c r="K2453" t="s">
        <v>13</v>
      </c>
      <c r="L2453">
        <v>2</v>
      </c>
      <c r="M2453">
        <v>120</v>
      </c>
      <c r="N2453">
        <f t="shared" si="308"/>
        <v>240</v>
      </c>
      <c r="O2453">
        <f t="shared" si="309"/>
        <v>24</v>
      </c>
      <c r="P2453" t="str">
        <f t="shared" si="310"/>
        <v>Standard Order</v>
      </c>
      <c r="Q2453" t="str">
        <f t="shared" si="311"/>
        <v>Weekday</v>
      </c>
    </row>
    <row r="2454" spans="1:17" x14ac:dyDescent="0.35">
      <c r="A2454" t="s">
        <v>2604</v>
      </c>
      <c r="B2454" s="7">
        <v>45491</v>
      </c>
      <c r="C2454" s="13">
        <f t="shared" si="305"/>
        <v>2024</v>
      </c>
      <c r="D2454" s="7" t="str">
        <f t="shared" si="306"/>
        <v>Jul</v>
      </c>
      <c r="E2454" s="7" t="str">
        <f t="shared" si="307"/>
        <v>Thu</v>
      </c>
      <c r="F2454" t="s">
        <v>329</v>
      </c>
      <c r="G2454" t="s">
        <v>84</v>
      </c>
      <c r="H2454" t="s">
        <v>22</v>
      </c>
      <c r="I2454" s="2" t="str">
        <f t="shared" si="304"/>
        <v>Central</v>
      </c>
      <c r="J2454" t="s">
        <v>56</v>
      </c>
      <c r="K2454" t="s">
        <v>36</v>
      </c>
      <c r="L2454">
        <v>18</v>
      </c>
      <c r="M2454">
        <v>120</v>
      </c>
      <c r="N2454">
        <f t="shared" si="308"/>
        <v>2160</v>
      </c>
      <c r="O2454">
        <f t="shared" si="309"/>
        <v>216</v>
      </c>
      <c r="P2454" t="str">
        <f t="shared" si="310"/>
        <v>Large Order</v>
      </c>
      <c r="Q2454" t="str">
        <f t="shared" si="311"/>
        <v>Weekday</v>
      </c>
    </row>
    <row r="2455" spans="1:17" x14ac:dyDescent="0.35">
      <c r="A2455" t="s">
        <v>2605</v>
      </c>
      <c r="B2455" s="7">
        <v>45339</v>
      </c>
      <c r="C2455" s="13">
        <f t="shared" si="305"/>
        <v>2024</v>
      </c>
      <c r="D2455" s="7" t="str">
        <f t="shared" si="306"/>
        <v>Feb</v>
      </c>
      <c r="E2455" s="7" t="str">
        <f t="shared" si="307"/>
        <v>Sat</v>
      </c>
      <c r="F2455" t="s">
        <v>345</v>
      </c>
      <c r="G2455" t="s">
        <v>174</v>
      </c>
      <c r="H2455" t="s">
        <v>17</v>
      </c>
      <c r="I2455" s="2" t="str">
        <f t="shared" si="304"/>
        <v>East</v>
      </c>
      <c r="J2455" t="s">
        <v>306</v>
      </c>
      <c r="K2455" t="s">
        <v>32</v>
      </c>
      <c r="L2455">
        <v>6</v>
      </c>
      <c r="M2455">
        <v>120</v>
      </c>
      <c r="N2455">
        <f t="shared" si="308"/>
        <v>720</v>
      </c>
      <c r="O2455">
        <f t="shared" si="309"/>
        <v>72</v>
      </c>
      <c r="P2455" t="str">
        <f t="shared" si="310"/>
        <v>Large Order</v>
      </c>
      <c r="Q2455" t="str">
        <f t="shared" si="311"/>
        <v>Weekend</v>
      </c>
    </row>
    <row r="2456" spans="1:17" x14ac:dyDescent="0.35">
      <c r="A2456" t="s">
        <v>2606</v>
      </c>
      <c r="B2456" s="7">
        <v>45568</v>
      </c>
      <c r="C2456" s="13">
        <f t="shared" si="305"/>
        <v>2024</v>
      </c>
      <c r="D2456" s="7" t="str">
        <f t="shared" si="306"/>
        <v>Oct</v>
      </c>
      <c r="E2456" s="7" t="str">
        <f t="shared" si="307"/>
        <v>Thu</v>
      </c>
      <c r="F2456" t="s">
        <v>449</v>
      </c>
      <c r="G2456" t="s">
        <v>26</v>
      </c>
      <c r="H2456" t="s">
        <v>11</v>
      </c>
      <c r="I2456" s="2" t="str">
        <f t="shared" si="304"/>
        <v>Central</v>
      </c>
      <c r="J2456" t="s">
        <v>42</v>
      </c>
      <c r="K2456" t="s">
        <v>23</v>
      </c>
      <c r="L2456">
        <v>17</v>
      </c>
      <c r="M2456">
        <v>120</v>
      </c>
      <c r="N2456">
        <f t="shared" si="308"/>
        <v>2040</v>
      </c>
      <c r="O2456">
        <f t="shared" si="309"/>
        <v>204</v>
      </c>
      <c r="P2456" t="str">
        <f t="shared" si="310"/>
        <v>Large Order</v>
      </c>
      <c r="Q2456" t="str">
        <f t="shared" si="311"/>
        <v>Weekday</v>
      </c>
    </row>
    <row r="2457" spans="1:17" x14ac:dyDescent="0.35">
      <c r="A2457" t="s">
        <v>2607</v>
      </c>
      <c r="B2457" s="7">
        <v>45322</v>
      </c>
      <c r="C2457" s="13">
        <f t="shared" si="305"/>
        <v>2024</v>
      </c>
      <c r="D2457" s="7" t="str">
        <f t="shared" si="306"/>
        <v>Jan</v>
      </c>
      <c r="E2457" s="7" t="str">
        <f t="shared" si="307"/>
        <v>Wed</v>
      </c>
      <c r="F2457" t="s">
        <v>200</v>
      </c>
      <c r="G2457" t="s">
        <v>26</v>
      </c>
      <c r="H2457" t="s">
        <v>22</v>
      </c>
      <c r="I2457" s="2" t="str">
        <f t="shared" si="304"/>
        <v>Central</v>
      </c>
      <c r="J2457" t="s">
        <v>306</v>
      </c>
      <c r="K2457" t="s">
        <v>32</v>
      </c>
      <c r="L2457">
        <v>4</v>
      </c>
      <c r="M2457">
        <v>120</v>
      </c>
      <c r="N2457">
        <f t="shared" si="308"/>
        <v>480</v>
      </c>
      <c r="O2457">
        <f t="shared" si="309"/>
        <v>48</v>
      </c>
      <c r="P2457" t="str">
        <f t="shared" si="310"/>
        <v>Standard Order</v>
      </c>
      <c r="Q2457" t="str">
        <f t="shared" si="311"/>
        <v>Weekday</v>
      </c>
    </row>
    <row r="2458" spans="1:17" x14ac:dyDescent="0.35">
      <c r="A2458" t="s">
        <v>2608</v>
      </c>
      <c r="B2458" s="7">
        <v>45625</v>
      </c>
      <c r="C2458" s="13">
        <f t="shared" si="305"/>
        <v>2024</v>
      </c>
      <c r="D2458" s="7" t="str">
        <f t="shared" si="306"/>
        <v>Nov</v>
      </c>
      <c r="E2458" s="7" t="str">
        <f t="shared" si="307"/>
        <v>Fri</v>
      </c>
      <c r="F2458" t="s">
        <v>114</v>
      </c>
      <c r="G2458" t="s">
        <v>70</v>
      </c>
      <c r="H2458" t="s">
        <v>17</v>
      </c>
      <c r="I2458" s="2" t="str">
        <f t="shared" si="304"/>
        <v>Central</v>
      </c>
      <c r="J2458" t="s">
        <v>306</v>
      </c>
      <c r="K2458" t="s">
        <v>13</v>
      </c>
      <c r="L2458">
        <v>15</v>
      </c>
      <c r="M2458">
        <v>120</v>
      </c>
      <c r="N2458">
        <f t="shared" si="308"/>
        <v>1800</v>
      </c>
      <c r="O2458">
        <f t="shared" si="309"/>
        <v>180</v>
      </c>
      <c r="P2458" t="str">
        <f t="shared" si="310"/>
        <v>Large Order</v>
      </c>
      <c r="Q2458" t="str">
        <f t="shared" si="311"/>
        <v>Weekday</v>
      </c>
    </row>
    <row r="2459" spans="1:17" x14ac:dyDescent="0.35">
      <c r="A2459" t="s">
        <v>2609</v>
      </c>
      <c r="B2459" s="7">
        <v>45412</v>
      </c>
      <c r="C2459" s="13">
        <f t="shared" si="305"/>
        <v>2024</v>
      </c>
      <c r="D2459" s="7" t="str">
        <f t="shared" si="306"/>
        <v>Apr</v>
      </c>
      <c r="E2459" s="7" t="str">
        <f t="shared" si="307"/>
        <v>Tue</v>
      </c>
      <c r="F2459" t="s">
        <v>323</v>
      </c>
      <c r="G2459" t="s">
        <v>59</v>
      </c>
      <c r="H2459" t="s">
        <v>22</v>
      </c>
      <c r="I2459" s="2" t="str">
        <f t="shared" si="304"/>
        <v>South</v>
      </c>
      <c r="J2459" t="s">
        <v>306</v>
      </c>
      <c r="K2459" t="s">
        <v>36</v>
      </c>
      <c r="L2459">
        <v>8</v>
      </c>
      <c r="M2459">
        <v>120</v>
      </c>
      <c r="N2459">
        <f t="shared" si="308"/>
        <v>960</v>
      </c>
      <c r="O2459">
        <f t="shared" si="309"/>
        <v>96</v>
      </c>
      <c r="P2459" t="str">
        <f t="shared" si="310"/>
        <v>Large Order</v>
      </c>
      <c r="Q2459" t="str">
        <f t="shared" si="311"/>
        <v>Weekday</v>
      </c>
    </row>
    <row r="2460" spans="1:17" x14ac:dyDescent="0.35">
      <c r="A2460" t="s">
        <v>2610</v>
      </c>
      <c r="B2460" s="7">
        <v>45437</v>
      </c>
      <c r="C2460" s="13">
        <f t="shared" si="305"/>
        <v>2024</v>
      </c>
      <c r="D2460" s="7" t="str">
        <f t="shared" si="306"/>
        <v>May</v>
      </c>
      <c r="E2460" s="7" t="str">
        <f t="shared" si="307"/>
        <v>Sat</v>
      </c>
      <c r="F2460" t="s">
        <v>317</v>
      </c>
      <c r="G2460" t="s">
        <v>62</v>
      </c>
      <c r="H2460" t="s">
        <v>22</v>
      </c>
      <c r="I2460" s="2" t="str">
        <f t="shared" si="304"/>
        <v>South</v>
      </c>
      <c r="J2460" t="s">
        <v>56</v>
      </c>
      <c r="K2460" t="s">
        <v>23</v>
      </c>
      <c r="L2460">
        <v>17</v>
      </c>
      <c r="M2460">
        <v>120</v>
      </c>
      <c r="N2460">
        <f t="shared" si="308"/>
        <v>2040</v>
      </c>
      <c r="O2460">
        <f t="shared" si="309"/>
        <v>204</v>
      </c>
      <c r="P2460" t="str">
        <f t="shared" si="310"/>
        <v>Large Order</v>
      </c>
      <c r="Q2460" t="str">
        <f t="shared" si="311"/>
        <v>Weekend</v>
      </c>
    </row>
    <row r="2461" spans="1:17" x14ac:dyDescent="0.35">
      <c r="A2461" t="s">
        <v>2611</v>
      </c>
      <c r="B2461" s="7">
        <v>45345</v>
      </c>
      <c r="C2461" s="13">
        <f t="shared" si="305"/>
        <v>2024</v>
      </c>
      <c r="D2461" s="7" t="str">
        <f t="shared" si="306"/>
        <v>Feb</v>
      </c>
      <c r="E2461" s="7" t="str">
        <f t="shared" si="307"/>
        <v>Fri</v>
      </c>
      <c r="F2461" t="s">
        <v>187</v>
      </c>
      <c r="G2461" t="s">
        <v>160</v>
      </c>
      <c r="H2461" t="s">
        <v>22</v>
      </c>
      <c r="I2461" s="2" t="str">
        <f t="shared" si="304"/>
        <v>North</v>
      </c>
      <c r="J2461" t="s">
        <v>56</v>
      </c>
      <c r="K2461" t="s">
        <v>32</v>
      </c>
      <c r="L2461">
        <v>15</v>
      </c>
      <c r="M2461">
        <v>120</v>
      </c>
      <c r="N2461">
        <f t="shared" si="308"/>
        <v>1800</v>
      </c>
      <c r="O2461">
        <f t="shared" si="309"/>
        <v>180</v>
      </c>
      <c r="P2461" t="str">
        <f t="shared" si="310"/>
        <v>Large Order</v>
      </c>
      <c r="Q2461" t="str">
        <f t="shared" si="311"/>
        <v>Weekday</v>
      </c>
    </row>
    <row r="2462" spans="1:17" x14ac:dyDescent="0.35">
      <c r="A2462" t="s">
        <v>2612</v>
      </c>
      <c r="B2462" s="7">
        <v>45656</v>
      </c>
      <c r="C2462" s="13">
        <f t="shared" si="305"/>
        <v>2024</v>
      </c>
      <c r="D2462" s="7" t="str">
        <f t="shared" si="306"/>
        <v>Dec</v>
      </c>
      <c r="E2462" s="7" t="str">
        <f t="shared" si="307"/>
        <v>Mon</v>
      </c>
      <c r="F2462" t="s">
        <v>309</v>
      </c>
      <c r="G2462" t="s">
        <v>87</v>
      </c>
      <c r="H2462" t="s">
        <v>11</v>
      </c>
      <c r="I2462" s="2" t="str">
        <f t="shared" si="304"/>
        <v>East</v>
      </c>
      <c r="J2462" t="s">
        <v>12</v>
      </c>
      <c r="K2462" t="s">
        <v>13</v>
      </c>
      <c r="L2462">
        <v>14</v>
      </c>
      <c r="M2462">
        <v>120</v>
      </c>
      <c r="N2462">
        <f t="shared" si="308"/>
        <v>1680</v>
      </c>
      <c r="O2462">
        <f t="shared" si="309"/>
        <v>168</v>
      </c>
      <c r="P2462" t="str">
        <f t="shared" si="310"/>
        <v>Large Order</v>
      </c>
      <c r="Q2462" t="str">
        <f t="shared" si="311"/>
        <v>Weekday</v>
      </c>
    </row>
    <row r="2463" spans="1:17" x14ac:dyDescent="0.35">
      <c r="A2463" t="s">
        <v>2613</v>
      </c>
      <c r="B2463" s="7">
        <v>45535</v>
      </c>
      <c r="C2463" s="13">
        <f t="shared" si="305"/>
        <v>2024</v>
      </c>
      <c r="D2463" s="7" t="str">
        <f t="shared" si="306"/>
        <v>Aug</v>
      </c>
      <c r="E2463" s="7" t="str">
        <f t="shared" si="307"/>
        <v>Sat</v>
      </c>
      <c r="F2463" t="s">
        <v>133</v>
      </c>
      <c r="G2463" t="s">
        <v>70</v>
      </c>
      <c r="H2463" t="s">
        <v>11</v>
      </c>
      <c r="I2463" s="2" t="str">
        <f t="shared" si="304"/>
        <v>Central</v>
      </c>
      <c r="J2463" t="s">
        <v>42</v>
      </c>
      <c r="K2463" t="s">
        <v>36</v>
      </c>
      <c r="L2463">
        <v>13</v>
      </c>
      <c r="M2463">
        <v>120</v>
      </c>
      <c r="N2463">
        <f t="shared" si="308"/>
        <v>1560</v>
      </c>
      <c r="O2463">
        <f t="shared" si="309"/>
        <v>156</v>
      </c>
      <c r="P2463" t="str">
        <f t="shared" si="310"/>
        <v>Large Order</v>
      </c>
      <c r="Q2463" t="str">
        <f t="shared" si="311"/>
        <v>Weekend</v>
      </c>
    </row>
    <row r="2464" spans="1:17" x14ac:dyDescent="0.35">
      <c r="A2464" t="s">
        <v>2614</v>
      </c>
      <c r="B2464" s="7">
        <v>45557</v>
      </c>
      <c r="C2464" s="13">
        <f t="shared" si="305"/>
        <v>2024</v>
      </c>
      <c r="D2464" s="7" t="str">
        <f t="shared" si="306"/>
        <v>Sep</v>
      </c>
      <c r="E2464" s="7" t="str">
        <f t="shared" si="307"/>
        <v>Sun</v>
      </c>
      <c r="F2464" t="s">
        <v>420</v>
      </c>
      <c r="G2464" t="s">
        <v>31</v>
      </c>
      <c r="H2464" t="s">
        <v>17</v>
      </c>
      <c r="I2464" s="2" t="str">
        <f t="shared" si="304"/>
        <v>South</v>
      </c>
      <c r="J2464" t="s">
        <v>306</v>
      </c>
      <c r="K2464" t="s">
        <v>23</v>
      </c>
      <c r="L2464">
        <v>14</v>
      </c>
      <c r="M2464">
        <v>120</v>
      </c>
      <c r="N2464">
        <f t="shared" si="308"/>
        <v>1680</v>
      </c>
      <c r="O2464">
        <f t="shared" si="309"/>
        <v>168</v>
      </c>
      <c r="P2464" t="str">
        <f t="shared" si="310"/>
        <v>Large Order</v>
      </c>
      <c r="Q2464" t="str">
        <f t="shared" si="311"/>
        <v>Weekend</v>
      </c>
    </row>
    <row r="2465" spans="1:17" x14ac:dyDescent="0.35">
      <c r="A2465" t="s">
        <v>2615</v>
      </c>
      <c r="B2465" s="7">
        <v>45644</v>
      </c>
      <c r="C2465" s="13">
        <f t="shared" si="305"/>
        <v>2024</v>
      </c>
      <c r="D2465" s="7" t="str">
        <f t="shared" si="306"/>
        <v>Dec</v>
      </c>
      <c r="E2465" s="7" t="str">
        <f t="shared" si="307"/>
        <v>Wed</v>
      </c>
      <c r="F2465" t="s">
        <v>374</v>
      </c>
      <c r="G2465" t="s">
        <v>84</v>
      </c>
      <c r="H2465" t="s">
        <v>17</v>
      </c>
      <c r="I2465" s="2" t="str">
        <f t="shared" si="304"/>
        <v>Central</v>
      </c>
      <c r="J2465" t="s">
        <v>56</v>
      </c>
      <c r="K2465" t="s">
        <v>28</v>
      </c>
      <c r="L2465">
        <v>17</v>
      </c>
      <c r="M2465">
        <v>120</v>
      </c>
      <c r="N2465">
        <f t="shared" si="308"/>
        <v>2040</v>
      </c>
      <c r="O2465">
        <f t="shared" si="309"/>
        <v>204</v>
      </c>
      <c r="P2465" t="str">
        <f t="shared" si="310"/>
        <v>Large Order</v>
      </c>
      <c r="Q2465" t="str">
        <f t="shared" si="311"/>
        <v>Weekday</v>
      </c>
    </row>
    <row r="2466" spans="1:17" x14ac:dyDescent="0.35">
      <c r="A2466" t="s">
        <v>2616</v>
      </c>
      <c r="B2466" s="7">
        <v>45656</v>
      </c>
      <c r="C2466" s="13">
        <f t="shared" si="305"/>
        <v>2024</v>
      </c>
      <c r="D2466" s="7" t="str">
        <f t="shared" si="306"/>
        <v>Dec</v>
      </c>
      <c r="E2466" s="7" t="str">
        <f t="shared" si="307"/>
        <v>Mon</v>
      </c>
      <c r="F2466" t="s">
        <v>366</v>
      </c>
      <c r="G2466" t="s">
        <v>16</v>
      </c>
      <c r="H2466" t="s">
        <v>22</v>
      </c>
      <c r="I2466" s="2" t="str">
        <f t="shared" si="304"/>
        <v>South</v>
      </c>
      <c r="J2466" t="s">
        <v>306</v>
      </c>
      <c r="K2466" t="s">
        <v>36</v>
      </c>
      <c r="L2466">
        <v>4</v>
      </c>
      <c r="M2466">
        <v>120</v>
      </c>
      <c r="N2466">
        <f t="shared" si="308"/>
        <v>480</v>
      </c>
      <c r="O2466">
        <f t="shared" si="309"/>
        <v>48</v>
      </c>
      <c r="P2466" t="str">
        <f t="shared" si="310"/>
        <v>Standard Order</v>
      </c>
      <c r="Q2466" t="str">
        <f t="shared" si="311"/>
        <v>Weekday</v>
      </c>
    </row>
    <row r="2467" spans="1:17" x14ac:dyDescent="0.35">
      <c r="A2467" t="s">
        <v>2617</v>
      </c>
      <c r="B2467" s="7">
        <v>45525</v>
      </c>
      <c r="C2467" s="13">
        <f t="shared" si="305"/>
        <v>2024</v>
      </c>
      <c r="D2467" s="7" t="str">
        <f t="shared" si="306"/>
        <v>Aug</v>
      </c>
      <c r="E2467" s="7" t="str">
        <f t="shared" si="307"/>
        <v>Wed</v>
      </c>
      <c r="F2467" t="s">
        <v>553</v>
      </c>
      <c r="G2467" t="s">
        <v>79</v>
      </c>
      <c r="H2467" t="s">
        <v>22</v>
      </c>
      <c r="I2467" s="2" t="str">
        <f t="shared" si="304"/>
        <v>North</v>
      </c>
      <c r="J2467" t="s">
        <v>56</v>
      </c>
      <c r="K2467" t="s">
        <v>36</v>
      </c>
      <c r="L2467">
        <v>12</v>
      </c>
      <c r="M2467">
        <v>120</v>
      </c>
      <c r="N2467">
        <f t="shared" si="308"/>
        <v>1440</v>
      </c>
      <c r="O2467">
        <f t="shared" si="309"/>
        <v>144</v>
      </c>
      <c r="P2467" t="str">
        <f t="shared" si="310"/>
        <v>Large Order</v>
      </c>
      <c r="Q2467" t="str">
        <f t="shared" si="311"/>
        <v>Weekday</v>
      </c>
    </row>
    <row r="2468" spans="1:17" x14ac:dyDescent="0.35">
      <c r="A2468" t="s">
        <v>2618</v>
      </c>
      <c r="B2468" s="7">
        <v>45352</v>
      </c>
      <c r="C2468" s="13">
        <f t="shared" si="305"/>
        <v>2024</v>
      </c>
      <c r="D2468" s="7" t="str">
        <f t="shared" si="306"/>
        <v>Mar</v>
      </c>
      <c r="E2468" s="7" t="str">
        <f t="shared" si="307"/>
        <v>Fri</v>
      </c>
      <c r="F2468" t="s">
        <v>493</v>
      </c>
      <c r="G2468" t="s">
        <v>87</v>
      </c>
      <c r="H2468" t="s">
        <v>11</v>
      </c>
      <c r="I2468" s="2" t="str">
        <f t="shared" si="304"/>
        <v>East</v>
      </c>
      <c r="J2468" t="s">
        <v>12</v>
      </c>
      <c r="K2468" t="s">
        <v>32</v>
      </c>
      <c r="L2468">
        <v>19</v>
      </c>
      <c r="M2468">
        <v>120</v>
      </c>
      <c r="N2468">
        <f t="shared" si="308"/>
        <v>2280</v>
      </c>
      <c r="O2468">
        <f t="shared" si="309"/>
        <v>228</v>
      </c>
      <c r="P2468" t="str">
        <f t="shared" si="310"/>
        <v>Large Order</v>
      </c>
      <c r="Q2468" t="str">
        <f t="shared" si="311"/>
        <v>Weekday</v>
      </c>
    </row>
    <row r="2469" spans="1:17" x14ac:dyDescent="0.35">
      <c r="A2469" t="s">
        <v>2619</v>
      </c>
      <c r="B2469" s="7">
        <v>45559</v>
      </c>
      <c r="C2469" s="13">
        <f t="shared" si="305"/>
        <v>2024</v>
      </c>
      <c r="D2469" s="7" t="str">
        <f t="shared" si="306"/>
        <v>Sep</v>
      </c>
      <c r="E2469" s="7" t="str">
        <f t="shared" si="307"/>
        <v>Tue</v>
      </c>
      <c r="F2469" t="s">
        <v>125</v>
      </c>
      <c r="G2469" t="s">
        <v>102</v>
      </c>
      <c r="H2469" t="s">
        <v>17</v>
      </c>
      <c r="I2469" s="2" t="str">
        <f t="shared" si="304"/>
        <v>West</v>
      </c>
      <c r="J2469" t="s">
        <v>42</v>
      </c>
      <c r="K2469" t="s">
        <v>32</v>
      </c>
      <c r="L2469">
        <v>10</v>
      </c>
      <c r="M2469">
        <v>120</v>
      </c>
      <c r="N2469">
        <f t="shared" si="308"/>
        <v>1200</v>
      </c>
      <c r="O2469">
        <f t="shared" si="309"/>
        <v>120</v>
      </c>
      <c r="P2469" t="str">
        <f t="shared" si="310"/>
        <v>Large Order</v>
      </c>
      <c r="Q2469" t="str">
        <f t="shared" si="311"/>
        <v>Weekday</v>
      </c>
    </row>
    <row r="2470" spans="1:17" x14ac:dyDescent="0.35">
      <c r="A2470" t="s">
        <v>2620</v>
      </c>
      <c r="B2470" s="7">
        <v>45306</v>
      </c>
      <c r="C2470" s="13">
        <f t="shared" si="305"/>
        <v>2024</v>
      </c>
      <c r="D2470" s="7" t="str">
        <f t="shared" si="306"/>
        <v>Jan</v>
      </c>
      <c r="E2470" s="7" t="str">
        <f t="shared" si="307"/>
        <v>Mon</v>
      </c>
      <c r="F2470" t="s">
        <v>167</v>
      </c>
      <c r="G2470" t="s">
        <v>16</v>
      </c>
      <c r="H2470" t="s">
        <v>22</v>
      </c>
      <c r="I2470" s="2" t="str">
        <f t="shared" si="304"/>
        <v>North</v>
      </c>
      <c r="J2470" t="s">
        <v>27</v>
      </c>
      <c r="K2470" t="s">
        <v>13</v>
      </c>
      <c r="L2470">
        <v>10</v>
      </c>
      <c r="M2470">
        <v>120</v>
      </c>
      <c r="N2470">
        <f t="shared" si="308"/>
        <v>1200</v>
      </c>
      <c r="O2470">
        <f t="shared" si="309"/>
        <v>120</v>
      </c>
      <c r="P2470" t="str">
        <f t="shared" si="310"/>
        <v>Large Order</v>
      </c>
      <c r="Q2470" t="str">
        <f t="shared" si="311"/>
        <v>Weekday</v>
      </c>
    </row>
    <row r="2471" spans="1:17" x14ac:dyDescent="0.35">
      <c r="A2471" t="s">
        <v>2621</v>
      </c>
      <c r="B2471" s="7">
        <v>45402</v>
      </c>
      <c r="C2471" s="13">
        <f t="shared" si="305"/>
        <v>2024</v>
      </c>
      <c r="D2471" s="7" t="str">
        <f t="shared" si="306"/>
        <v>Apr</v>
      </c>
      <c r="E2471" s="7" t="str">
        <f t="shared" si="307"/>
        <v>Sat</v>
      </c>
      <c r="F2471" t="s">
        <v>44</v>
      </c>
      <c r="G2471" t="s">
        <v>84</v>
      </c>
      <c r="H2471" t="s">
        <v>17</v>
      </c>
      <c r="I2471" s="2" t="str">
        <f t="shared" si="304"/>
        <v>East</v>
      </c>
      <c r="J2471" t="s">
        <v>12</v>
      </c>
      <c r="K2471" t="s">
        <v>13</v>
      </c>
      <c r="L2471">
        <v>18</v>
      </c>
      <c r="M2471">
        <v>120</v>
      </c>
      <c r="N2471">
        <f t="shared" si="308"/>
        <v>2160</v>
      </c>
      <c r="O2471">
        <f t="shared" si="309"/>
        <v>216</v>
      </c>
      <c r="P2471" t="str">
        <f t="shared" si="310"/>
        <v>Large Order</v>
      </c>
      <c r="Q2471" t="str">
        <f t="shared" si="311"/>
        <v>Weekend</v>
      </c>
    </row>
    <row r="2472" spans="1:17" x14ac:dyDescent="0.35">
      <c r="A2472" t="s">
        <v>2622</v>
      </c>
      <c r="B2472" s="7">
        <v>45314</v>
      </c>
      <c r="C2472" s="13">
        <f t="shared" si="305"/>
        <v>2024</v>
      </c>
      <c r="D2472" s="7" t="str">
        <f t="shared" si="306"/>
        <v>Jan</v>
      </c>
      <c r="E2472" s="7" t="str">
        <f t="shared" si="307"/>
        <v>Tue</v>
      </c>
      <c r="F2472" t="s">
        <v>572</v>
      </c>
      <c r="G2472" t="s">
        <v>35</v>
      </c>
      <c r="H2472" t="s">
        <v>22</v>
      </c>
      <c r="I2472" s="2" t="str">
        <f t="shared" si="304"/>
        <v>South</v>
      </c>
      <c r="J2472" t="s">
        <v>42</v>
      </c>
      <c r="K2472" t="s">
        <v>36</v>
      </c>
      <c r="L2472">
        <v>15</v>
      </c>
      <c r="M2472">
        <v>120</v>
      </c>
      <c r="N2472">
        <f t="shared" si="308"/>
        <v>1800</v>
      </c>
      <c r="O2472">
        <f t="shared" si="309"/>
        <v>180</v>
      </c>
      <c r="P2472" t="str">
        <f t="shared" si="310"/>
        <v>Large Order</v>
      </c>
      <c r="Q2472" t="str">
        <f t="shared" si="311"/>
        <v>Weekday</v>
      </c>
    </row>
    <row r="2473" spans="1:17" x14ac:dyDescent="0.35">
      <c r="A2473" t="s">
        <v>2623</v>
      </c>
      <c r="B2473" s="7">
        <v>45485</v>
      </c>
      <c r="C2473" s="13">
        <f t="shared" si="305"/>
        <v>2024</v>
      </c>
      <c r="D2473" s="7" t="str">
        <f t="shared" si="306"/>
        <v>Jul</v>
      </c>
      <c r="E2473" s="7" t="str">
        <f t="shared" si="307"/>
        <v>Fri</v>
      </c>
      <c r="F2473" t="s">
        <v>553</v>
      </c>
      <c r="G2473" t="s">
        <v>84</v>
      </c>
      <c r="H2473" t="s">
        <v>22</v>
      </c>
      <c r="I2473" s="2" t="str">
        <f t="shared" si="304"/>
        <v>East</v>
      </c>
      <c r="J2473" t="s">
        <v>56</v>
      </c>
      <c r="K2473" t="s">
        <v>28</v>
      </c>
      <c r="L2473">
        <v>17</v>
      </c>
      <c r="M2473">
        <v>120</v>
      </c>
      <c r="N2473">
        <f t="shared" si="308"/>
        <v>2040</v>
      </c>
      <c r="O2473">
        <f t="shared" si="309"/>
        <v>204</v>
      </c>
      <c r="P2473" t="str">
        <f t="shared" si="310"/>
        <v>Large Order</v>
      </c>
      <c r="Q2473" t="str">
        <f t="shared" si="311"/>
        <v>Weekday</v>
      </c>
    </row>
    <row r="2474" spans="1:17" x14ac:dyDescent="0.35">
      <c r="A2474" t="s">
        <v>2624</v>
      </c>
      <c r="B2474" s="7">
        <v>45522</v>
      </c>
      <c r="C2474" s="13">
        <f t="shared" si="305"/>
        <v>2024</v>
      </c>
      <c r="D2474" s="7" t="str">
        <f t="shared" si="306"/>
        <v>Aug</v>
      </c>
      <c r="E2474" s="7" t="str">
        <f t="shared" si="307"/>
        <v>Sun</v>
      </c>
      <c r="F2474" t="s">
        <v>317</v>
      </c>
      <c r="G2474" t="s">
        <v>70</v>
      </c>
      <c r="H2474" t="s">
        <v>11</v>
      </c>
      <c r="I2474" s="2" t="str">
        <f t="shared" si="304"/>
        <v>East</v>
      </c>
      <c r="J2474" t="s">
        <v>42</v>
      </c>
      <c r="K2474" t="s">
        <v>13</v>
      </c>
      <c r="L2474">
        <v>20</v>
      </c>
      <c r="M2474">
        <v>120</v>
      </c>
      <c r="N2474">
        <f t="shared" si="308"/>
        <v>2400</v>
      </c>
      <c r="O2474">
        <f t="shared" si="309"/>
        <v>240</v>
      </c>
      <c r="P2474" t="str">
        <f t="shared" si="310"/>
        <v>Large Order</v>
      </c>
      <c r="Q2474" t="str">
        <f t="shared" si="311"/>
        <v>Weekend</v>
      </c>
    </row>
    <row r="2475" spans="1:17" x14ac:dyDescent="0.35">
      <c r="A2475" t="s">
        <v>2625</v>
      </c>
      <c r="B2475" s="7">
        <v>45501</v>
      </c>
      <c r="C2475" s="13">
        <f t="shared" si="305"/>
        <v>2024</v>
      </c>
      <c r="D2475" s="7" t="str">
        <f t="shared" si="306"/>
        <v>Jul</v>
      </c>
      <c r="E2475" s="7" t="str">
        <f t="shared" si="307"/>
        <v>Sun</v>
      </c>
      <c r="F2475" t="s">
        <v>53</v>
      </c>
      <c r="G2475" t="s">
        <v>197</v>
      </c>
      <c r="H2475" t="s">
        <v>17</v>
      </c>
      <c r="I2475" s="2" t="str">
        <f t="shared" si="304"/>
        <v>North</v>
      </c>
      <c r="J2475" t="s">
        <v>42</v>
      </c>
      <c r="K2475" t="s">
        <v>36</v>
      </c>
      <c r="L2475">
        <v>2</v>
      </c>
      <c r="M2475">
        <v>120</v>
      </c>
      <c r="N2475">
        <f t="shared" si="308"/>
        <v>240</v>
      </c>
      <c r="O2475">
        <f t="shared" si="309"/>
        <v>24</v>
      </c>
      <c r="P2475" t="str">
        <f t="shared" si="310"/>
        <v>Standard Order</v>
      </c>
      <c r="Q2475" t="str">
        <f t="shared" si="311"/>
        <v>Weekend</v>
      </c>
    </row>
    <row r="2476" spans="1:17" x14ac:dyDescent="0.35">
      <c r="A2476" t="s">
        <v>2626</v>
      </c>
      <c r="B2476" s="7">
        <v>45518</v>
      </c>
      <c r="C2476" s="13">
        <f t="shared" si="305"/>
        <v>2024</v>
      </c>
      <c r="D2476" s="7" t="str">
        <f t="shared" si="306"/>
        <v>Aug</v>
      </c>
      <c r="E2476" s="7" t="str">
        <f t="shared" si="307"/>
        <v>Wed</v>
      </c>
      <c r="F2476" t="s">
        <v>304</v>
      </c>
      <c r="G2476" t="s">
        <v>26</v>
      </c>
      <c r="H2476" t="s">
        <v>22</v>
      </c>
      <c r="I2476" s="2" t="str">
        <f t="shared" si="304"/>
        <v>North</v>
      </c>
      <c r="J2476" t="s">
        <v>12</v>
      </c>
      <c r="K2476" t="s">
        <v>28</v>
      </c>
      <c r="L2476">
        <v>1</v>
      </c>
      <c r="M2476">
        <v>120</v>
      </c>
      <c r="N2476">
        <f t="shared" si="308"/>
        <v>120</v>
      </c>
      <c r="O2476">
        <f t="shared" si="309"/>
        <v>12</v>
      </c>
      <c r="P2476" t="str">
        <f t="shared" si="310"/>
        <v>Standard Order</v>
      </c>
      <c r="Q2476" t="str">
        <f t="shared" si="311"/>
        <v>Weekday</v>
      </c>
    </row>
    <row r="2477" spans="1:17" x14ac:dyDescent="0.35">
      <c r="A2477" t="s">
        <v>2627</v>
      </c>
      <c r="B2477" s="7">
        <v>45654</v>
      </c>
      <c r="C2477" s="13">
        <f t="shared" si="305"/>
        <v>2024</v>
      </c>
      <c r="D2477" s="7" t="str">
        <f t="shared" si="306"/>
        <v>Dec</v>
      </c>
      <c r="E2477" s="7" t="str">
        <f t="shared" si="307"/>
        <v>Sat</v>
      </c>
      <c r="F2477" t="s">
        <v>147</v>
      </c>
      <c r="G2477" t="s">
        <v>174</v>
      </c>
      <c r="H2477" t="s">
        <v>22</v>
      </c>
      <c r="I2477" s="2" t="str">
        <f t="shared" si="304"/>
        <v>Central</v>
      </c>
      <c r="J2477" t="s">
        <v>12</v>
      </c>
      <c r="K2477" t="s">
        <v>36</v>
      </c>
      <c r="L2477">
        <v>3</v>
      </c>
      <c r="M2477">
        <v>120</v>
      </c>
      <c r="N2477">
        <f t="shared" si="308"/>
        <v>360</v>
      </c>
      <c r="O2477">
        <f t="shared" si="309"/>
        <v>36</v>
      </c>
      <c r="P2477" t="str">
        <f t="shared" si="310"/>
        <v>Standard Order</v>
      </c>
      <c r="Q2477" t="str">
        <f t="shared" si="311"/>
        <v>Weekend</v>
      </c>
    </row>
    <row r="2478" spans="1:17" x14ac:dyDescent="0.35">
      <c r="A2478" t="s">
        <v>2628</v>
      </c>
      <c r="B2478" s="7">
        <v>45608</v>
      </c>
      <c r="C2478" s="13">
        <f t="shared" si="305"/>
        <v>2024</v>
      </c>
      <c r="D2478" s="7" t="str">
        <f t="shared" si="306"/>
        <v>Nov</v>
      </c>
      <c r="E2478" s="7" t="str">
        <f t="shared" si="307"/>
        <v>Tue</v>
      </c>
      <c r="F2478" t="s">
        <v>591</v>
      </c>
      <c r="G2478" t="s">
        <v>59</v>
      </c>
      <c r="H2478" t="s">
        <v>11</v>
      </c>
      <c r="I2478" s="2" t="str">
        <f t="shared" si="304"/>
        <v>Central</v>
      </c>
      <c r="J2478" t="s">
        <v>306</v>
      </c>
      <c r="K2478" t="s">
        <v>36</v>
      </c>
      <c r="L2478">
        <v>7</v>
      </c>
      <c r="M2478">
        <v>120</v>
      </c>
      <c r="N2478">
        <f t="shared" si="308"/>
        <v>840</v>
      </c>
      <c r="O2478">
        <f t="shared" si="309"/>
        <v>84</v>
      </c>
      <c r="P2478" t="str">
        <f t="shared" si="310"/>
        <v>Large Order</v>
      </c>
      <c r="Q2478" t="str">
        <f t="shared" si="311"/>
        <v>Weekday</v>
      </c>
    </row>
    <row r="2479" spans="1:17" x14ac:dyDescent="0.35">
      <c r="A2479" t="s">
        <v>2629</v>
      </c>
      <c r="B2479" s="7">
        <v>45549</v>
      </c>
      <c r="C2479" s="13">
        <f t="shared" si="305"/>
        <v>2024</v>
      </c>
      <c r="D2479" s="7" t="str">
        <f t="shared" si="306"/>
        <v>Sep</v>
      </c>
      <c r="E2479" s="7" t="str">
        <f t="shared" si="307"/>
        <v>Sat</v>
      </c>
      <c r="F2479" t="s">
        <v>138</v>
      </c>
      <c r="G2479" t="s">
        <v>102</v>
      </c>
      <c r="H2479" t="s">
        <v>22</v>
      </c>
      <c r="I2479" s="2" t="str">
        <f t="shared" si="304"/>
        <v>West</v>
      </c>
      <c r="J2479" t="s">
        <v>306</v>
      </c>
      <c r="K2479" t="s">
        <v>28</v>
      </c>
      <c r="L2479">
        <v>1</v>
      </c>
      <c r="M2479">
        <v>120</v>
      </c>
      <c r="N2479">
        <f t="shared" si="308"/>
        <v>120</v>
      </c>
      <c r="O2479">
        <f t="shared" si="309"/>
        <v>12</v>
      </c>
      <c r="P2479" t="str">
        <f t="shared" si="310"/>
        <v>Standard Order</v>
      </c>
      <c r="Q2479" t="str">
        <f t="shared" si="311"/>
        <v>Weekend</v>
      </c>
    </row>
    <row r="2480" spans="1:17" x14ac:dyDescent="0.35">
      <c r="A2480" t="s">
        <v>2630</v>
      </c>
      <c r="B2480" s="7">
        <v>45397</v>
      </c>
      <c r="C2480" s="13">
        <f t="shared" si="305"/>
        <v>2024</v>
      </c>
      <c r="D2480" s="7" t="str">
        <f t="shared" si="306"/>
        <v>Apr</v>
      </c>
      <c r="E2480" s="7" t="str">
        <f t="shared" si="307"/>
        <v>Mon</v>
      </c>
      <c r="F2480" t="s">
        <v>78</v>
      </c>
      <c r="G2480" t="s">
        <v>62</v>
      </c>
      <c r="H2480" t="s">
        <v>22</v>
      </c>
      <c r="I2480" s="2" t="str">
        <f t="shared" si="304"/>
        <v>North</v>
      </c>
      <c r="J2480" t="s">
        <v>27</v>
      </c>
      <c r="K2480" t="s">
        <v>13</v>
      </c>
      <c r="L2480">
        <v>18</v>
      </c>
      <c r="M2480">
        <v>120</v>
      </c>
      <c r="N2480">
        <f t="shared" si="308"/>
        <v>2160</v>
      </c>
      <c r="O2480">
        <f t="shared" si="309"/>
        <v>216</v>
      </c>
      <c r="P2480" t="str">
        <f t="shared" si="310"/>
        <v>Large Order</v>
      </c>
      <c r="Q2480" t="str">
        <f t="shared" si="311"/>
        <v>Weekday</v>
      </c>
    </row>
    <row r="2481" spans="1:17" x14ac:dyDescent="0.35">
      <c r="A2481" t="s">
        <v>2631</v>
      </c>
      <c r="B2481" s="7">
        <v>45497</v>
      </c>
      <c r="C2481" s="13">
        <f t="shared" si="305"/>
        <v>2024</v>
      </c>
      <c r="D2481" s="7" t="str">
        <f t="shared" si="306"/>
        <v>Jul</v>
      </c>
      <c r="E2481" s="7" t="str">
        <f t="shared" si="307"/>
        <v>Wed</v>
      </c>
      <c r="F2481" t="s">
        <v>449</v>
      </c>
      <c r="G2481" t="s">
        <v>79</v>
      </c>
      <c r="H2481" t="s">
        <v>17</v>
      </c>
      <c r="I2481" s="2" t="str">
        <f t="shared" si="304"/>
        <v>East</v>
      </c>
      <c r="J2481" t="s">
        <v>12</v>
      </c>
      <c r="K2481" t="s">
        <v>32</v>
      </c>
      <c r="L2481">
        <v>14</v>
      </c>
      <c r="M2481">
        <v>120</v>
      </c>
      <c r="N2481">
        <f t="shared" si="308"/>
        <v>1680</v>
      </c>
      <c r="O2481">
        <f t="shared" si="309"/>
        <v>168</v>
      </c>
      <c r="P2481" t="str">
        <f t="shared" si="310"/>
        <v>Large Order</v>
      </c>
      <c r="Q2481" t="str">
        <f t="shared" si="311"/>
        <v>Weekday</v>
      </c>
    </row>
    <row r="2482" spans="1:17" x14ac:dyDescent="0.35">
      <c r="A2482" t="s">
        <v>2632</v>
      </c>
      <c r="B2482" s="7">
        <v>45304</v>
      </c>
      <c r="C2482" s="13">
        <f t="shared" si="305"/>
        <v>2024</v>
      </c>
      <c r="D2482" s="7" t="str">
        <f t="shared" si="306"/>
        <v>Jan</v>
      </c>
      <c r="E2482" s="7" t="str">
        <f t="shared" si="307"/>
        <v>Sat</v>
      </c>
      <c r="F2482" t="s">
        <v>339</v>
      </c>
      <c r="G2482" t="s">
        <v>72</v>
      </c>
      <c r="H2482" t="s">
        <v>17</v>
      </c>
      <c r="I2482" s="2" t="str">
        <f t="shared" si="304"/>
        <v>South</v>
      </c>
      <c r="J2482" t="s">
        <v>42</v>
      </c>
      <c r="K2482" t="s">
        <v>13</v>
      </c>
      <c r="L2482">
        <v>4</v>
      </c>
      <c r="M2482">
        <v>120</v>
      </c>
      <c r="N2482">
        <f t="shared" si="308"/>
        <v>480</v>
      </c>
      <c r="O2482">
        <f t="shared" si="309"/>
        <v>48</v>
      </c>
      <c r="P2482" t="str">
        <f t="shared" si="310"/>
        <v>Standard Order</v>
      </c>
      <c r="Q2482" t="str">
        <f t="shared" si="311"/>
        <v>Weekend</v>
      </c>
    </row>
    <row r="2483" spans="1:17" x14ac:dyDescent="0.35">
      <c r="A2483" t="s">
        <v>2633</v>
      </c>
      <c r="B2483" s="7">
        <v>45569</v>
      </c>
      <c r="C2483" s="13">
        <f t="shared" si="305"/>
        <v>2024</v>
      </c>
      <c r="D2483" s="7" t="str">
        <f t="shared" si="306"/>
        <v>Oct</v>
      </c>
      <c r="E2483" s="7" t="str">
        <f t="shared" si="307"/>
        <v>Fri</v>
      </c>
      <c r="F2483" t="s">
        <v>30</v>
      </c>
      <c r="G2483" t="s">
        <v>74</v>
      </c>
      <c r="H2483" t="s">
        <v>11</v>
      </c>
      <c r="I2483" s="2" t="str">
        <f t="shared" si="304"/>
        <v>Central</v>
      </c>
      <c r="J2483" t="s">
        <v>56</v>
      </c>
      <c r="K2483" t="s">
        <v>32</v>
      </c>
      <c r="L2483">
        <v>3</v>
      </c>
      <c r="M2483">
        <v>120</v>
      </c>
      <c r="N2483">
        <f t="shared" si="308"/>
        <v>360</v>
      </c>
      <c r="O2483">
        <f t="shared" si="309"/>
        <v>36</v>
      </c>
      <c r="P2483" t="str">
        <f t="shared" si="310"/>
        <v>Standard Order</v>
      </c>
      <c r="Q2483" t="str">
        <f t="shared" si="311"/>
        <v>Weekday</v>
      </c>
    </row>
    <row r="2484" spans="1:17" x14ac:dyDescent="0.35">
      <c r="A2484" t="s">
        <v>2634</v>
      </c>
      <c r="B2484" s="7">
        <v>45500</v>
      </c>
      <c r="C2484" s="13">
        <f t="shared" si="305"/>
        <v>2024</v>
      </c>
      <c r="D2484" s="7" t="str">
        <f t="shared" si="306"/>
        <v>Jul</v>
      </c>
      <c r="E2484" s="7" t="str">
        <f t="shared" si="307"/>
        <v>Sat</v>
      </c>
      <c r="F2484" t="s">
        <v>422</v>
      </c>
      <c r="G2484" t="s">
        <v>45</v>
      </c>
      <c r="H2484" t="s">
        <v>11</v>
      </c>
      <c r="I2484" s="2" t="str">
        <f t="shared" si="304"/>
        <v>East</v>
      </c>
      <c r="J2484" t="s">
        <v>306</v>
      </c>
      <c r="K2484" t="s">
        <v>32</v>
      </c>
      <c r="L2484">
        <v>6</v>
      </c>
      <c r="M2484">
        <v>120</v>
      </c>
      <c r="N2484">
        <f t="shared" si="308"/>
        <v>720</v>
      </c>
      <c r="O2484">
        <f t="shared" si="309"/>
        <v>72</v>
      </c>
      <c r="P2484" t="str">
        <f t="shared" si="310"/>
        <v>Large Order</v>
      </c>
      <c r="Q2484" t="str">
        <f t="shared" si="311"/>
        <v>Weekend</v>
      </c>
    </row>
    <row r="2485" spans="1:17" x14ac:dyDescent="0.35">
      <c r="A2485" t="s">
        <v>2635</v>
      </c>
      <c r="B2485" s="7">
        <v>45321</v>
      </c>
      <c r="C2485" s="13">
        <f t="shared" si="305"/>
        <v>2024</v>
      </c>
      <c r="D2485" s="7" t="str">
        <f t="shared" si="306"/>
        <v>Jan</v>
      </c>
      <c r="E2485" s="7" t="str">
        <f t="shared" si="307"/>
        <v>Tue</v>
      </c>
      <c r="F2485" t="s">
        <v>68</v>
      </c>
      <c r="G2485" t="s">
        <v>31</v>
      </c>
      <c r="H2485" t="s">
        <v>11</v>
      </c>
      <c r="I2485" s="2" t="str">
        <f t="shared" si="304"/>
        <v>South</v>
      </c>
      <c r="J2485" t="s">
        <v>42</v>
      </c>
      <c r="K2485" t="s">
        <v>28</v>
      </c>
      <c r="L2485">
        <v>14</v>
      </c>
      <c r="M2485">
        <v>120</v>
      </c>
      <c r="N2485">
        <f t="shared" si="308"/>
        <v>1680</v>
      </c>
      <c r="O2485">
        <f t="shared" si="309"/>
        <v>168</v>
      </c>
      <c r="P2485" t="str">
        <f t="shared" si="310"/>
        <v>Large Order</v>
      </c>
      <c r="Q2485" t="str">
        <f t="shared" si="311"/>
        <v>Weekday</v>
      </c>
    </row>
    <row r="2486" spans="1:17" x14ac:dyDescent="0.35">
      <c r="A2486" t="s">
        <v>2636</v>
      </c>
      <c r="B2486" s="7">
        <v>45424</v>
      </c>
      <c r="C2486" s="13">
        <f t="shared" si="305"/>
        <v>2024</v>
      </c>
      <c r="D2486" s="7" t="str">
        <f t="shared" si="306"/>
        <v>May</v>
      </c>
      <c r="E2486" s="7" t="str">
        <f t="shared" si="307"/>
        <v>Sun</v>
      </c>
      <c r="F2486" t="s">
        <v>159</v>
      </c>
      <c r="G2486" t="s">
        <v>102</v>
      </c>
      <c r="H2486" t="s">
        <v>11</v>
      </c>
      <c r="I2486" s="2" t="str">
        <f t="shared" si="304"/>
        <v>West</v>
      </c>
      <c r="J2486" t="s">
        <v>56</v>
      </c>
      <c r="K2486" t="s">
        <v>28</v>
      </c>
      <c r="L2486">
        <v>20</v>
      </c>
      <c r="M2486">
        <v>120</v>
      </c>
      <c r="N2486">
        <f t="shared" si="308"/>
        <v>2400</v>
      </c>
      <c r="O2486">
        <f t="shared" si="309"/>
        <v>240</v>
      </c>
      <c r="P2486" t="str">
        <f t="shared" si="310"/>
        <v>Large Order</v>
      </c>
      <c r="Q2486" t="str">
        <f t="shared" si="311"/>
        <v>Weekend</v>
      </c>
    </row>
    <row r="2487" spans="1:17" x14ac:dyDescent="0.35">
      <c r="A2487" t="s">
        <v>2637</v>
      </c>
      <c r="B2487" s="7">
        <v>45544</v>
      </c>
      <c r="C2487" s="13">
        <f t="shared" si="305"/>
        <v>2024</v>
      </c>
      <c r="D2487" s="7" t="str">
        <f t="shared" si="306"/>
        <v>Sep</v>
      </c>
      <c r="E2487" s="7" t="str">
        <f t="shared" si="307"/>
        <v>Mon</v>
      </c>
      <c r="F2487" t="s">
        <v>345</v>
      </c>
      <c r="G2487" t="s">
        <v>119</v>
      </c>
      <c r="H2487" t="s">
        <v>22</v>
      </c>
      <c r="I2487" s="2" t="str">
        <f t="shared" si="304"/>
        <v>West</v>
      </c>
      <c r="J2487" t="s">
        <v>27</v>
      </c>
      <c r="K2487" t="s">
        <v>13</v>
      </c>
      <c r="L2487">
        <v>9</v>
      </c>
      <c r="M2487">
        <v>120</v>
      </c>
      <c r="N2487">
        <f t="shared" si="308"/>
        <v>1080</v>
      </c>
      <c r="O2487">
        <f t="shared" si="309"/>
        <v>108</v>
      </c>
      <c r="P2487" t="str">
        <f t="shared" si="310"/>
        <v>Large Order</v>
      </c>
      <c r="Q2487" t="str">
        <f t="shared" si="311"/>
        <v>Weekday</v>
      </c>
    </row>
    <row r="2488" spans="1:17" x14ac:dyDescent="0.35">
      <c r="A2488" t="s">
        <v>2638</v>
      </c>
      <c r="B2488" s="7">
        <v>45529</v>
      </c>
      <c r="C2488" s="13">
        <f t="shared" si="305"/>
        <v>2024</v>
      </c>
      <c r="D2488" s="7" t="str">
        <f t="shared" si="306"/>
        <v>Aug</v>
      </c>
      <c r="E2488" s="7" t="str">
        <f t="shared" si="307"/>
        <v>Sun</v>
      </c>
      <c r="F2488" t="s">
        <v>378</v>
      </c>
      <c r="G2488" t="s">
        <v>87</v>
      </c>
      <c r="H2488" t="s">
        <v>11</v>
      </c>
      <c r="I2488" s="2" t="str">
        <f t="shared" si="304"/>
        <v>North</v>
      </c>
      <c r="J2488" t="s">
        <v>27</v>
      </c>
      <c r="K2488" t="s">
        <v>13</v>
      </c>
      <c r="L2488">
        <v>14</v>
      </c>
      <c r="M2488">
        <v>120</v>
      </c>
      <c r="N2488">
        <f t="shared" si="308"/>
        <v>1680</v>
      </c>
      <c r="O2488">
        <f t="shared" si="309"/>
        <v>168</v>
      </c>
      <c r="P2488" t="str">
        <f t="shared" si="310"/>
        <v>Large Order</v>
      </c>
      <c r="Q2488" t="str">
        <f t="shared" si="311"/>
        <v>Weekend</v>
      </c>
    </row>
    <row r="2489" spans="1:17" x14ac:dyDescent="0.35">
      <c r="A2489" t="s">
        <v>2639</v>
      </c>
      <c r="B2489" s="7">
        <v>45301</v>
      </c>
      <c r="C2489" s="13">
        <f t="shared" si="305"/>
        <v>2024</v>
      </c>
      <c r="D2489" s="7" t="str">
        <f t="shared" si="306"/>
        <v>Jan</v>
      </c>
      <c r="E2489" s="7" t="str">
        <f t="shared" si="307"/>
        <v>Wed</v>
      </c>
      <c r="F2489" t="s">
        <v>101</v>
      </c>
      <c r="G2489" t="s">
        <v>174</v>
      </c>
      <c r="H2489" t="s">
        <v>22</v>
      </c>
      <c r="I2489" s="2" t="str">
        <f t="shared" si="304"/>
        <v>West</v>
      </c>
      <c r="J2489" t="s">
        <v>12</v>
      </c>
      <c r="K2489" t="s">
        <v>28</v>
      </c>
      <c r="L2489">
        <v>18</v>
      </c>
      <c r="M2489">
        <v>120</v>
      </c>
      <c r="N2489">
        <f t="shared" si="308"/>
        <v>2160</v>
      </c>
      <c r="O2489">
        <f t="shared" si="309"/>
        <v>216</v>
      </c>
      <c r="P2489" t="str">
        <f t="shared" si="310"/>
        <v>Large Order</v>
      </c>
      <c r="Q2489" t="str">
        <f t="shared" si="311"/>
        <v>Weekday</v>
      </c>
    </row>
    <row r="2490" spans="1:17" x14ac:dyDescent="0.35">
      <c r="A2490" t="s">
        <v>2640</v>
      </c>
      <c r="B2490" s="7">
        <v>45356</v>
      </c>
      <c r="C2490" s="13">
        <f t="shared" si="305"/>
        <v>2024</v>
      </c>
      <c r="D2490" s="7" t="str">
        <f t="shared" si="306"/>
        <v>Mar</v>
      </c>
      <c r="E2490" s="7" t="str">
        <f t="shared" si="307"/>
        <v>Tue</v>
      </c>
      <c r="F2490" t="s">
        <v>68</v>
      </c>
      <c r="G2490" t="s">
        <v>59</v>
      </c>
      <c r="H2490" t="s">
        <v>17</v>
      </c>
      <c r="I2490" s="2" t="str">
        <f t="shared" si="304"/>
        <v>South</v>
      </c>
      <c r="J2490" t="s">
        <v>27</v>
      </c>
      <c r="K2490" t="s">
        <v>13</v>
      </c>
      <c r="L2490">
        <v>17</v>
      </c>
      <c r="M2490">
        <v>120</v>
      </c>
      <c r="N2490">
        <f t="shared" si="308"/>
        <v>2040</v>
      </c>
      <c r="O2490">
        <f t="shared" si="309"/>
        <v>204</v>
      </c>
      <c r="P2490" t="str">
        <f t="shared" si="310"/>
        <v>Large Order</v>
      </c>
      <c r="Q2490" t="str">
        <f t="shared" si="311"/>
        <v>Weekday</v>
      </c>
    </row>
    <row r="2491" spans="1:17" x14ac:dyDescent="0.35">
      <c r="A2491" t="s">
        <v>2641</v>
      </c>
      <c r="B2491" s="7">
        <v>45364</v>
      </c>
      <c r="C2491" s="13">
        <f t="shared" si="305"/>
        <v>2024</v>
      </c>
      <c r="D2491" s="7" t="str">
        <f t="shared" si="306"/>
        <v>Mar</v>
      </c>
      <c r="E2491" s="7" t="str">
        <f t="shared" si="307"/>
        <v>Wed</v>
      </c>
      <c r="F2491" t="s">
        <v>200</v>
      </c>
      <c r="G2491" t="s">
        <v>174</v>
      </c>
      <c r="H2491" t="s">
        <v>11</v>
      </c>
      <c r="I2491" s="2" t="str">
        <f t="shared" si="304"/>
        <v>West</v>
      </c>
      <c r="J2491" t="s">
        <v>56</v>
      </c>
      <c r="K2491" t="s">
        <v>36</v>
      </c>
      <c r="L2491">
        <v>14</v>
      </c>
      <c r="M2491">
        <v>120</v>
      </c>
      <c r="N2491">
        <f t="shared" si="308"/>
        <v>1680</v>
      </c>
      <c r="O2491">
        <f t="shared" si="309"/>
        <v>168</v>
      </c>
      <c r="P2491" t="str">
        <f t="shared" si="310"/>
        <v>Large Order</v>
      </c>
      <c r="Q2491" t="str">
        <f t="shared" si="311"/>
        <v>Weekday</v>
      </c>
    </row>
    <row r="2492" spans="1:17" x14ac:dyDescent="0.35">
      <c r="A2492" t="s">
        <v>2642</v>
      </c>
      <c r="B2492" s="7">
        <v>45576</v>
      </c>
      <c r="C2492" s="13">
        <f t="shared" si="305"/>
        <v>2024</v>
      </c>
      <c r="D2492" s="7" t="str">
        <f t="shared" si="306"/>
        <v>Oct</v>
      </c>
      <c r="E2492" s="7" t="str">
        <f t="shared" si="307"/>
        <v>Fri</v>
      </c>
      <c r="F2492" t="s">
        <v>430</v>
      </c>
      <c r="G2492" t="s">
        <v>79</v>
      </c>
      <c r="H2492" t="s">
        <v>11</v>
      </c>
      <c r="I2492" s="2" t="str">
        <f t="shared" si="304"/>
        <v>East</v>
      </c>
      <c r="J2492" t="s">
        <v>27</v>
      </c>
      <c r="K2492" t="s">
        <v>36</v>
      </c>
      <c r="L2492">
        <v>10</v>
      </c>
      <c r="M2492">
        <v>120</v>
      </c>
      <c r="N2492">
        <f t="shared" si="308"/>
        <v>1200</v>
      </c>
      <c r="O2492">
        <f t="shared" si="309"/>
        <v>120</v>
      </c>
      <c r="P2492" t="str">
        <f t="shared" si="310"/>
        <v>Large Order</v>
      </c>
      <c r="Q2492" t="str">
        <f t="shared" si="311"/>
        <v>Weekday</v>
      </c>
    </row>
    <row r="2493" spans="1:17" x14ac:dyDescent="0.35">
      <c r="A2493" t="s">
        <v>2643</v>
      </c>
      <c r="B2493" s="7">
        <v>45377</v>
      </c>
      <c r="C2493" s="13">
        <f t="shared" si="305"/>
        <v>2024</v>
      </c>
      <c r="D2493" s="7" t="str">
        <f t="shared" si="306"/>
        <v>Mar</v>
      </c>
      <c r="E2493" s="7" t="str">
        <f t="shared" si="307"/>
        <v>Tue</v>
      </c>
      <c r="F2493" t="s">
        <v>25</v>
      </c>
      <c r="G2493" t="s">
        <v>79</v>
      </c>
      <c r="H2493" t="s">
        <v>17</v>
      </c>
      <c r="I2493" s="2" t="str">
        <f t="shared" si="304"/>
        <v>Central</v>
      </c>
      <c r="J2493" t="s">
        <v>42</v>
      </c>
      <c r="K2493" t="s">
        <v>36</v>
      </c>
      <c r="L2493">
        <v>9</v>
      </c>
      <c r="M2493">
        <v>120</v>
      </c>
      <c r="N2493">
        <f t="shared" si="308"/>
        <v>1080</v>
      </c>
      <c r="O2493">
        <f t="shared" si="309"/>
        <v>108</v>
      </c>
      <c r="P2493" t="str">
        <f t="shared" si="310"/>
        <v>Large Order</v>
      </c>
      <c r="Q2493" t="str">
        <f t="shared" si="311"/>
        <v>Weekday</v>
      </c>
    </row>
    <row r="2494" spans="1:17" x14ac:dyDescent="0.35">
      <c r="A2494" t="s">
        <v>2644</v>
      </c>
      <c r="B2494" s="7">
        <v>45486</v>
      </c>
      <c r="C2494" s="13">
        <f t="shared" si="305"/>
        <v>2024</v>
      </c>
      <c r="D2494" s="7" t="str">
        <f t="shared" si="306"/>
        <v>Jul</v>
      </c>
      <c r="E2494" s="7" t="str">
        <f t="shared" si="307"/>
        <v>Sat</v>
      </c>
      <c r="F2494" t="s">
        <v>20</v>
      </c>
      <c r="G2494" t="s">
        <v>21</v>
      </c>
      <c r="H2494" t="s">
        <v>11</v>
      </c>
      <c r="I2494" s="2" t="str">
        <f t="shared" si="304"/>
        <v>North</v>
      </c>
      <c r="J2494" t="s">
        <v>306</v>
      </c>
      <c r="K2494" t="s">
        <v>36</v>
      </c>
      <c r="L2494">
        <v>10</v>
      </c>
      <c r="M2494">
        <v>120</v>
      </c>
      <c r="N2494">
        <f t="shared" si="308"/>
        <v>1200</v>
      </c>
      <c r="O2494">
        <f t="shared" si="309"/>
        <v>120</v>
      </c>
      <c r="P2494" t="str">
        <f t="shared" si="310"/>
        <v>Large Order</v>
      </c>
      <c r="Q2494" t="str">
        <f t="shared" si="311"/>
        <v>Weekend</v>
      </c>
    </row>
    <row r="2495" spans="1:17" x14ac:dyDescent="0.35">
      <c r="A2495" t="s">
        <v>2645</v>
      </c>
      <c r="B2495" s="7">
        <v>45565</v>
      </c>
      <c r="C2495" s="13">
        <f t="shared" si="305"/>
        <v>2024</v>
      </c>
      <c r="D2495" s="7" t="str">
        <f t="shared" si="306"/>
        <v>Sep</v>
      </c>
      <c r="E2495" s="7" t="str">
        <f t="shared" si="307"/>
        <v>Mon</v>
      </c>
      <c r="F2495" t="s">
        <v>614</v>
      </c>
      <c r="G2495" t="s">
        <v>10</v>
      </c>
      <c r="H2495" t="s">
        <v>17</v>
      </c>
      <c r="I2495" s="2" t="str">
        <f t="shared" si="304"/>
        <v>Central</v>
      </c>
      <c r="J2495" t="s">
        <v>12</v>
      </c>
      <c r="K2495" t="s">
        <v>23</v>
      </c>
      <c r="L2495">
        <v>4</v>
      </c>
      <c r="M2495">
        <v>120</v>
      </c>
      <c r="N2495">
        <f t="shared" si="308"/>
        <v>480</v>
      </c>
      <c r="O2495">
        <f t="shared" si="309"/>
        <v>48</v>
      </c>
      <c r="P2495" t="str">
        <f t="shared" si="310"/>
        <v>Standard Order</v>
      </c>
      <c r="Q2495" t="str">
        <f t="shared" si="311"/>
        <v>Weekday</v>
      </c>
    </row>
    <row r="2496" spans="1:17" x14ac:dyDescent="0.35">
      <c r="A2496" t="s">
        <v>2646</v>
      </c>
      <c r="B2496" s="7">
        <v>45576</v>
      </c>
      <c r="C2496" s="13">
        <f t="shared" si="305"/>
        <v>2024</v>
      </c>
      <c r="D2496" s="7" t="str">
        <f t="shared" si="306"/>
        <v>Oct</v>
      </c>
      <c r="E2496" s="7" t="str">
        <f t="shared" si="307"/>
        <v>Fri</v>
      </c>
      <c r="F2496" t="s">
        <v>89</v>
      </c>
      <c r="G2496" t="s">
        <v>87</v>
      </c>
      <c r="H2496" t="s">
        <v>11</v>
      </c>
      <c r="I2496" s="2" t="str">
        <f t="shared" si="304"/>
        <v>West</v>
      </c>
      <c r="J2496" t="s">
        <v>306</v>
      </c>
      <c r="K2496" t="s">
        <v>36</v>
      </c>
      <c r="L2496">
        <v>11</v>
      </c>
      <c r="M2496">
        <v>120</v>
      </c>
      <c r="N2496">
        <f t="shared" si="308"/>
        <v>1320</v>
      </c>
      <c r="O2496">
        <f t="shared" si="309"/>
        <v>132</v>
      </c>
      <c r="P2496" t="str">
        <f t="shared" si="310"/>
        <v>Large Order</v>
      </c>
      <c r="Q2496" t="str">
        <f t="shared" si="311"/>
        <v>Weekday</v>
      </c>
    </row>
    <row r="2497" spans="1:17" x14ac:dyDescent="0.35">
      <c r="A2497" t="s">
        <v>2647</v>
      </c>
      <c r="B2497" s="7">
        <v>45467</v>
      </c>
      <c r="C2497" s="13">
        <f t="shared" si="305"/>
        <v>2024</v>
      </c>
      <c r="D2497" s="7" t="str">
        <f t="shared" si="306"/>
        <v>Jun</v>
      </c>
      <c r="E2497" s="7" t="str">
        <f t="shared" si="307"/>
        <v>Mon</v>
      </c>
      <c r="F2497" t="s">
        <v>541</v>
      </c>
      <c r="G2497" t="s">
        <v>26</v>
      </c>
      <c r="H2497" t="s">
        <v>22</v>
      </c>
      <c r="I2497" s="2" t="str">
        <f t="shared" si="304"/>
        <v>Central</v>
      </c>
      <c r="J2497" t="s">
        <v>27</v>
      </c>
      <c r="K2497" t="s">
        <v>32</v>
      </c>
      <c r="L2497">
        <v>8</v>
      </c>
      <c r="M2497">
        <v>120</v>
      </c>
      <c r="N2497">
        <f t="shared" si="308"/>
        <v>960</v>
      </c>
      <c r="O2497">
        <f t="shared" si="309"/>
        <v>96</v>
      </c>
      <c r="P2497" t="str">
        <f t="shared" si="310"/>
        <v>Large Order</v>
      </c>
      <c r="Q2497" t="str">
        <f t="shared" si="311"/>
        <v>Weekday</v>
      </c>
    </row>
    <row r="2498" spans="1:17" x14ac:dyDescent="0.35">
      <c r="A2498" t="s">
        <v>2648</v>
      </c>
      <c r="B2498" s="7">
        <v>45456</v>
      </c>
      <c r="C2498" s="13">
        <f t="shared" si="305"/>
        <v>2024</v>
      </c>
      <c r="D2498" s="7" t="str">
        <f t="shared" si="306"/>
        <v>Jun</v>
      </c>
      <c r="E2498" s="7" t="str">
        <f t="shared" si="307"/>
        <v>Thu</v>
      </c>
      <c r="F2498" t="s">
        <v>47</v>
      </c>
      <c r="G2498" t="s">
        <v>65</v>
      </c>
      <c r="H2498" t="s">
        <v>17</v>
      </c>
      <c r="I2498" s="2" t="str">
        <f t="shared" si="304"/>
        <v>West</v>
      </c>
      <c r="J2498" t="s">
        <v>306</v>
      </c>
      <c r="K2498" t="s">
        <v>32</v>
      </c>
      <c r="L2498">
        <v>1</v>
      </c>
      <c r="M2498">
        <v>120</v>
      </c>
      <c r="N2498">
        <f t="shared" si="308"/>
        <v>120</v>
      </c>
      <c r="O2498">
        <f t="shared" si="309"/>
        <v>12</v>
      </c>
      <c r="P2498" t="str">
        <f t="shared" si="310"/>
        <v>Standard Order</v>
      </c>
      <c r="Q2498" t="str">
        <f t="shared" si="311"/>
        <v>Weekday</v>
      </c>
    </row>
    <row r="2499" spans="1:17" x14ac:dyDescent="0.35">
      <c r="A2499" t="s">
        <v>2649</v>
      </c>
      <c r="B2499" s="7">
        <v>45360</v>
      </c>
      <c r="C2499" s="13">
        <f t="shared" si="305"/>
        <v>2024</v>
      </c>
      <c r="D2499" s="7" t="str">
        <f t="shared" si="306"/>
        <v>Mar</v>
      </c>
      <c r="E2499" s="7" t="str">
        <f t="shared" si="307"/>
        <v>Sat</v>
      </c>
      <c r="F2499" t="s">
        <v>736</v>
      </c>
      <c r="G2499" t="s">
        <v>96</v>
      </c>
      <c r="H2499" t="s">
        <v>22</v>
      </c>
      <c r="I2499" s="2" t="str">
        <f t="shared" ref="I2499:I2562" si="312">TRIM(J2500)</f>
        <v>West</v>
      </c>
      <c r="J2499" t="s">
        <v>27</v>
      </c>
      <c r="K2499" t="s">
        <v>13</v>
      </c>
      <c r="L2499">
        <v>1</v>
      </c>
      <c r="M2499">
        <v>120</v>
      </c>
      <c r="N2499">
        <f t="shared" si="308"/>
        <v>120</v>
      </c>
      <c r="O2499">
        <f t="shared" si="309"/>
        <v>12</v>
      </c>
      <c r="P2499" t="str">
        <f t="shared" si="310"/>
        <v>Standard Order</v>
      </c>
      <c r="Q2499" t="str">
        <f t="shared" si="311"/>
        <v>Weekend</v>
      </c>
    </row>
    <row r="2500" spans="1:17" x14ac:dyDescent="0.35">
      <c r="A2500" t="s">
        <v>2650</v>
      </c>
      <c r="B2500" s="7">
        <v>45503</v>
      </c>
      <c r="C2500" s="13">
        <f t="shared" ref="C2500:C2563" si="313">YEAR(B2500)</f>
        <v>2024</v>
      </c>
      <c r="D2500" s="7" t="str">
        <f t="shared" ref="D2500:D2563" si="314">TEXT(B2500,"mmm")</f>
        <v>Jul</v>
      </c>
      <c r="E2500" s="7" t="str">
        <f t="shared" ref="E2500:E2563" si="315">TEXT(B2500,"ddd")</f>
        <v>Tue</v>
      </c>
      <c r="F2500" t="s">
        <v>642</v>
      </c>
      <c r="G2500" t="s">
        <v>62</v>
      </c>
      <c r="H2500" t="s">
        <v>22</v>
      </c>
      <c r="I2500" s="2" t="str">
        <f t="shared" si="312"/>
        <v>North</v>
      </c>
      <c r="J2500" t="s">
        <v>27</v>
      </c>
      <c r="K2500" t="s">
        <v>23</v>
      </c>
      <c r="L2500">
        <v>18</v>
      </c>
      <c r="M2500">
        <v>120</v>
      </c>
      <c r="N2500">
        <f t="shared" ref="N2500:N2563" si="316">M2500*L2500</f>
        <v>2160</v>
      </c>
      <c r="O2500">
        <f t="shared" ref="O2500:O2563" si="317">N2500*0.1</f>
        <v>216</v>
      </c>
      <c r="P2500" t="str">
        <f t="shared" ref="P2500:P2563" si="318">IF(N2500&gt;500,"Large Order","Standard Order")</f>
        <v>Large Order</v>
      </c>
      <c r="Q2500" t="str">
        <f t="shared" ref="Q2500:Q2563" si="319">IF(OR(TRIM(E2500)="Sat",TRIM(E2500)="Sun"),"Weekend","Weekday")</f>
        <v>Weekday</v>
      </c>
    </row>
    <row r="2501" spans="1:17" x14ac:dyDescent="0.35">
      <c r="A2501" t="s">
        <v>2651</v>
      </c>
      <c r="B2501" s="7">
        <v>45624</v>
      </c>
      <c r="C2501" s="13">
        <f t="shared" si="313"/>
        <v>2024</v>
      </c>
      <c r="D2501" s="7" t="str">
        <f t="shared" si="314"/>
        <v>Nov</v>
      </c>
      <c r="E2501" s="7" t="str">
        <f t="shared" si="315"/>
        <v>Thu</v>
      </c>
      <c r="F2501" t="s">
        <v>350</v>
      </c>
      <c r="G2501" t="s">
        <v>10</v>
      </c>
      <c r="H2501" t="s">
        <v>22</v>
      </c>
      <c r="I2501" s="2" t="str">
        <f t="shared" si="312"/>
        <v>South</v>
      </c>
      <c r="J2501" t="s">
        <v>12</v>
      </c>
      <c r="K2501" t="s">
        <v>23</v>
      </c>
      <c r="L2501">
        <v>4</v>
      </c>
      <c r="M2501">
        <v>120</v>
      </c>
      <c r="N2501">
        <f t="shared" si="316"/>
        <v>480</v>
      </c>
      <c r="O2501">
        <f t="shared" si="317"/>
        <v>48</v>
      </c>
      <c r="P2501" t="str">
        <f t="shared" si="318"/>
        <v>Standard Order</v>
      </c>
      <c r="Q2501" t="str">
        <f t="shared" si="319"/>
        <v>Weekday</v>
      </c>
    </row>
    <row r="2502" spans="1:17" x14ac:dyDescent="0.35">
      <c r="A2502" t="s">
        <v>2652</v>
      </c>
      <c r="B2502" s="7">
        <v>45484</v>
      </c>
      <c r="C2502" s="13">
        <f t="shared" si="313"/>
        <v>2024</v>
      </c>
      <c r="D2502" s="7" t="str">
        <f t="shared" si="314"/>
        <v>Jul</v>
      </c>
      <c r="E2502" s="7" t="str">
        <f t="shared" si="315"/>
        <v>Thu</v>
      </c>
      <c r="F2502" t="s">
        <v>327</v>
      </c>
      <c r="G2502" t="s">
        <v>48</v>
      </c>
      <c r="H2502" t="s">
        <v>17</v>
      </c>
      <c r="I2502" s="2" t="str">
        <f t="shared" si="312"/>
        <v>North</v>
      </c>
      <c r="J2502" t="s">
        <v>56</v>
      </c>
      <c r="K2502" t="s">
        <v>13</v>
      </c>
      <c r="L2502">
        <v>4</v>
      </c>
      <c r="M2502">
        <v>120</v>
      </c>
      <c r="N2502">
        <f t="shared" si="316"/>
        <v>480</v>
      </c>
      <c r="O2502">
        <f t="shared" si="317"/>
        <v>48</v>
      </c>
      <c r="P2502" t="str">
        <f t="shared" si="318"/>
        <v>Standard Order</v>
      </c>
      <c r="Q2502" t="str">
        <f t="shared" si="319"/>
        <v>Weekday</v>
      </c>
    </row>
    <row r="2503" spans="1:17" x14ac:dyDescent="0.35">
      <c r="A2503" t="s">
        <v>2653</v>
      </c>
      <c r="B2503" s="7">
        <v>45390</v>
      </c>
      <c r="C2503" s="13">
        <f t="shared" si="313"/>
        <v>2024</v>
      </c>
      <c r="D2503" s="7" t="str">
        <f t="shared" si="314"/>
        <v>Apr</v>
      </c>
      <c r="E2503" s="7" t="str">
        <f t="shared" si="315"/>
        <v>Mon</v>
      </c>
      <c r="F2503" t="s">
        <v>396</v>
      </c>
      <c r="G2503" t="s">
        <v>96</v>
      </c>
      <c r="H2503" t="s">
        <v>11</v>
      </c>
      <c r="I2503" s="2" t="str">
        <f t="shared" si="312"/>
        <v>South</v>
      </c>
      <c r="J2503" t="s">
        <v>12</v>
      </c>
      <c r="K2503" t="s">
        <v>32</v>
      </c>
      <c r="L2503">
        <v>12</v>
      </c>
      <c r="M2503">
        <v>120</v>
      </c>
      <c r="N2503">
        <f t="shared" si="316"/>
        <v>1440</v>
      </c>
      <c r="O2503">
        <f t="shared" si="317"/>
        <v>144</v>
      </c>
      <c r="P2503" t="str">
        <f t="shared" si="318"/>
        <v>Large Order</v>
      </c>
      <c r="Q2503" t="str">
        <f t="shared" si="319"/>
        <v>Weekday</v>
      </c>
    </row>
    <row r="2504" spans="1:17" x14ac:dyDescent="0.35">
      <c r="A2504" t="s">
        <v>2654</v>
      </c>
      <c r="B2504" s="7">
        <v>45606</v>
      </c>
      <c r="C2504" s="13">
        <f t="shared" si="313"/>
        <v>2024</v>
      </c>
      <c r="D2504" s="7" t="str">
        <f t="shared" si="314"/>
        <v>Nov</v>
      </c>
      <c r="E2504" s="7" t="str">
        <f t="shared" si="315"/>
        <v>Sun</v>
      </c>
      <c r="F2504" t="s">
        <v>451</v>
      </c>
      <c r="G2504" t="s">
        <v>74</v>
      </c>
      <c r="H2504" t="s">
        <v>22</v>
      </c>
      <c r="I2504" s="2" t="str">
        <f t="shared" si="312"/>
        <v>Central</v>
      </c>
      <c r="J2504" t="s">
        <v>56</v>
      </c>
      <c r="K2504" t="s">
        <v>28</v>
      </c>
      <c r="L2504">
        <v>16</v>
      </c>
      <c r="M2504">
        <v>120</v>
      </c>
      <c r="N2504">
        <f t="shared" si="316"/>
        <v>1920</v>
      </c>
      <c r="O2504">
        <f t="shared" si="317"/>
        <v>192</v>
      </c>
      <c r="P2504" t="str">
        <f t="shared" si="318"/>
        <v>Large Order</v>
      </c>
      <c r="Q2504" t="str">
        <f t="shared" si="319"/>
        <v>Weekend</v>
      </c>
    </row>
    <row r="2505" spans="1:17" x14ac:dyDescent="0.35">
      <c r="A2505" t="s">
        <v>2655</v>
      </c>
      <c r="B2505" s="7">
        <v>45310</v>
      </c>
      <c r="C2505" s="13">
        <f t="shared" si="313"/>
        <v>2024</v>
      </c>
      <c r="D2505" s="7" t="str">
        <f t="shared" si="314"/>
        <v>Jan</v>
      </c>
      <c r="E2505" s="7" t="str">
        <f t="shared" si="315"/>
        <v>Fri</v>
      </c>
      <c r="F2505" t="s">
        <v>89</v>
      </c>
      <c r="G2505" t="s">
        <v>35</v>
      </c>
      <c r="H2505" t="s">
        <v>22</v>
      </c>
      <c r="I2505" s="2" t="str">
        <f t="shared" si="312"/>
        <v>Central</v>
      </c>
      <c r="J2505" t="s">
        <v>306</v>
      </c>
      <c r="K2505" t="s">
        <v>28</v>
      </c>
      <c r="L2505">
        <v>1</v>
      </c>
      <c r="M2505">
        <v>120</v>
      </c>
      <c r="N2505">
        <f t="shared" si="316"/>
        <v>120</v>
      </c>
      <c r="O2505">
        <f t="shared" si="317"/>
        <v>12</v>
      </c>
      <c r="P2505" t="str">
        <f t="shared" si="318"/>
        <v>Standard Order</v>
      </c>
      <c r="Q2505" t="str">
        <f t="shared" si="319"/>
        <v>Weekday</v>
      </c>
    </row>
    <row r="2506" spans="1:17" x14ac:dyDescent="0.35">
      <c r="A2506" t="s">
        <v>2656</v>
      </c>
      <c r="B2506" s="7">
        <v>45618</v>
      </c>
      <c r="C2506" s="13">
        <f t="shared" si="313"/>
        <v>2024</v>
      </c>
      <c r="D2506" s="7" t="str">
        <f t="shared" si="314"/>
        <v>Nov</v>
      </c>
      <c r="E2506" s="7" t="str">
        <f t="shared" si="315"/>
        <v>Fri</v>
      </c>
      <c r="F2506" t="s">
        <v>106</v>
      </c>
      <c r="G2506" t="s">
        <v>102</v>
      </c>
      <c r="H2506" t="s">
        <v>17</v>
      </c>
      <c r="I2506" s="2" t="str">
        <f t="shared" si="312"/>
        <v>Central</v>
      </c>
      <c r="J2506" t="s">
        <v>306</v>
      </c>
      <c r="K2506" t="s">
        <v>36</v>
      </c>
      <c r="L2506">
        <v>16</v>
      </c>
      <c r="M2506">
        <v>120</v>
      </c>
      <c r="N2506">
        <f t="shared" si="316"/>
        <v>1920</v>
      </c>
      <c r="O2506">
        <f t="shared" si="317"/>
        <v>192</v>
      </c>
      <c r="P2506" t="str">
        <f t="shared" si="318"/>
        <v>Large Order</v>
      </c>
      <c r="Q2506" t="str">
        <f t="shared" si="319"/>
        <v>Weekday</v>
      </c>
    </row>
    <row r="2507" spans="1:17" x14ac:dyDescent="0.35">
      <c r="A2507" t="s">
        <v>2657</v>
      </c>
      <c r="B2507" s="7">
        <v>45391</v>
      </c>
      <c r="C2507" s="13">
        <f t="shared" si="313"/>
        <v>2024</v>
      </c>
      <c r="D2507" s="7" t="str">
        <f t="shared" si="314"/>
        <v>Apr</v>
      </c>
      <c r="E2507" s="7" t="str">
        <f t="shared" si="315"/>
        <v>Tue</v>
      </c>
      <c r="F2507" t="s">
        <v>371</v>
      </c>
      <c r="G2507" t="s">
        <v>84</v>
      </c>
      <c r="H2507" t="s">
        <v>22</v>
      </c>
      <c r="I2507" s="2" t="str">
        <f t="shared" si="312"/>
        <v>East</v>
      </c>
      <c r="J2507" t="s">
        <v>306</v>
      </c>
      <c r="K2507" t="s">
        <v>36</v>
      </c>
      <c r="L2507">
        <v>6</v>
      </c>
      <c r="M2507">
        <v>120</v>
      </c>
      <c r="N2507">
        <f t="shared" si="316"/>
        <v>720</v>
      </c>
      <c r="O2507">
        <f t="shared" si="317"/>
        <v>72</v>
      </c>
      <c r="P2507" t="str">
        <f t="shared" si="318"/>
        <v>Large Order</v>
      </c>
      <c r="Q2507" t="str">
        <f t="shared" si="319"/>
        <v>Weekday</v>
      </c>
    </row>
    <row r="2508" spans="1:17" x14ac:dyDescent="0.35">
      <c r="A2508" t="s">
        <v>2658</v>
      </c>
      <c r="B2508" s="7">
        <v>45357</v>
      </c>
      <c r="C2508" s="13">
        <f t="shared" si="313"/>
        <v>2024</v>
      </c>
      <c r="D2508" s="7" t="str">
        <f t="shared" si="314"/>
        <v>Mar</v>
      </c>
      <c r="E2508" s="7" t="str">
        <f t="shared" si="315"/>
        <v>Wed</v>
      </c>
      <c r="F2508" t="s">
        <v>323</v>
      </c>
      <c r="G2508" t="s">
        <v>10</v>
      </c>
      <c r="H2508" t="s">
        <v>11</v>
      </c>
      <c r="I2508" s="2" t="str">
        <f t="shared" si="312"/>
        <v>Central</v>
      </c>
      <c r="J2508" t="s">
        <v>42</v>
      </c>
      <c r="K2508" t="s">
        <v>36</v>
      </c>
      <c r="L2508">
        <v>8</v>
      </c>
      <c r="M2508">
        <v>120</v>
      </c>
      <c r="N2508">
        <f t="shared" si="316"/>
        <v>960</v>
      </c>
      <c r="O2508">
        <f t="shared" si="317"/>
        <v>96</v>
      </c>
      <c r="P2508" t="str">
        <f t="shared" si="318"/>
        <v>Large Order</v>
      </c>
      <c r="Q2508" t="str">
        <f t="shared" si="319"/>
        <v>Weekday</v>
      </c>
    </row>
    <row r="2509" spans="1:17" x14ac:dyDescent="0.35">
      <c r="A2509" t="s">
        <v>2659</v>
      </c>
      <c r="B2509" s="7">
        <v>45432</v>
      </c>
      <c r="C2509" s="13">
        <f t="shared" si="313"/>
        <v>2024</v>
      </c>
      <c r="D2509" s="7" t="str">
        <f t="shared" si="314"/>
        <v>May</v>
      </c>
      <c r="E2509" s="7" t="str">
        <f t="shared" si="315"/>
        <v>Mon</v>
      </c>
      <c r="F2509" t="s">
        <v>150</v>
      </c>
      <c r="G2509" t="s">
        <v>41</v>
      </c>
      <c r="H2509" t="s">
        <v>11</v>
      </c>
      <c r="I2509" s="2" t="str">
        <f t="shared" si="312"/>
        <v>North</v>
      </c>
      <c r="J2509" t="s">
        <v>306</v>
      </c>
      <c r="K2509" t="s">
        <v>36</v>
      </c>
      <c r="L2509">
        <v>9</v>
      </c>
      <c r="M2509">
        <v>120</v>
      </c>
      <c r="N2509">
        <f t="shared" si="316"/>
        <v>1080</v>
      </c>
      <c r="O2509">
        <f t="shared" si="317"/>
        <v>108</v>
      </c>
      <c r="P2509" t="str">
        <f t="shared" si="318"/>
        <v>Large Order</v>
      </c>
      <c r="Q2509" t="str">
        <f t="shared" si="319"/>
        <v>Weekday</v>
      </c>
    </row>
    <row r="2510" spans="1:17" x14ac:dyDescent="0.35">
      <c r="A2510" t="s">
        <v>2660</v>
      </c>
      <c r="B2510" s="7">
        <v>45524</v>
      </c>
      <c r="C2510" s="13">
        <f t="shared" si="313"/>
        <v>2024</v>
      </c>
      <c r="D2510" s="7" t="str">
        <f t="shared" si="314"/>
        <v>Aug</v>
      </c>
      <c r="E2510" s="7" t="str">
        <f t="shared" si="315"/>
        <v>Tue</v>
      </c>
      <c r="F2510" t="s">
        <v>25</v>
      </c>
      <c r="G2510" t="s">
        <v>87</v>
      </c>
      <c r="H2510" t="s">
        <v>22</v>
      </c>
      <c r="I2510" s="2" t="str">
        <f t="shared" si="312"/>
        <v>Central</v>
      </c>
      <c r="J2510" t="s">
        <v>12</v>
      </c>
      <c r="K2510" t="s">
        <v>32</v>
      </c>
      <c r="L2510">
        <v>14</v>
      </c>
      <c r="M2510">
        <v>120</v>
      </c>
      <c r="N2510">
        <f t="shared" si="316"/>
        <v>1680</v>
      </c>
      <c r="O2510">
        <f t="shared" si="317"/>
        <v>168</v>
      </c>
      <c r="P2510" t="str">
        <f t="shared" si="318"/>
        <v>Large Order</v>
      </c>
      <c r="Q2510" t="str">
        <f t="shared" si="319"/>
        <v>Weekday</v>
      </c>
    </row>
    <row r="2511" spans="1:17" x14ac:dyDescent="0.35">
      <c r="A2511" t="s">
        <v>2661</v>
      </c>
      <c r="B2511" s="7">
        <v>45500</v>
      </c>
      <c r="C2511" s="13">
        <f t="shared" si="313"/>
        <v>2024</v>
      </c>
      <c r="D2511" s="7" t="str">
        <f t="shared" si="314"/>
        <v>Jul</v>
      </c>
      <c r="E2511" s="7" t="str">
        <f t="shared" si="315"/>
        <v>Sat</v>
      </c>
      <c r="F2511" t="s">
        <v>89</v>
      </c>
      <c r="G2511" t="s">
        <v>102</v>
      </c>
      <c r="H2511" t="s">
        <v>22</v>
      </c>
      <c r="I2511" s="2" t="str">
        <f t="shared" si="312"/>
        <v>East</v>
      </c>
      <c r="J2511" t="s">
        <v>306</v>
      </c>
      <c r="K2511" t="s">
        <v>23</v>
      </c>
      <c r="L2511">
        <v>16</v>
      </c>
      <c r="M2511">
        <v>120</v>
      </c>
      <c r="N2511">
        <f t="shared" si="316"/>
        <v>1920</v>
      </c>
      <c r="O2511">
        <f t="shared" si="317"/>
        <v>192</v>
      </c>
      <c r="P2511" t="str">
        <f t="shared" si="318"/>
        <v>Large Order</v>
      </c>
      <c r="Q2511" t="str">
        <f t="shared" si="319"/>
        <v>Weekend</v>
      </c>
    </row>
    <row r="2512" spans="1:17" x14ac:dyDescent="0.35">
      <c r="A2512" t="s">
        <v>2662</v>
      </c>
      <c r="B2512" s="7">
        <v>45314</v>
      </c>
      <c r="C2512" s="13">
        <f t="shared" si="313"/>
        <v>2024</v>
      </c>
      <c r="D2512" s="7" t="str">
        <f t="shared" si="314"/>
        <v>Jan</v>
      </c>
      <c r="E2512" s="7" t="str">
        <f t="shared" si="315"/>
        <v>Tue</v>
      </c>
      <c r="F2512" t="s">
        <v>329</v>
      </c>
      <c r="G2512" t="s">
        <v>197</v>
      </c>
      <c r="H2512" t="s">
        <v>11</v>
      </c>
      <c r="I2512" s="2" t="str">
        <f t="shared" si="312"/>
        <v>North</v>
      </c>
      <c r="J2512" t="s">
        <v>42</v>
      </c>
      <c r="K2512" t="s">
        <v>23</v>
      </c>
      <c r="L2512">
        <v>18</v>
      </c>
      <c r="M2512">
        <v>120</v>
      </c>
      <c r="N2512">
        <f t="shared" si="316"/>
        <v>2160</v>
      </c>
      <c r="O2512">
        <f t="shared" si="317"/>
        <v>216</v>
      </c>
      <c r="P2512" t="str">
        <f t="shared" si="318"/>
        <v>Large Order</v>
      </c>
      <c r="Q2512" t="str">
        <f t="shared" si="319"/>
        <v>Weekday</v>
      </c>
    </row>
    <row r="2513" spans="1:17" x14ac:dyDescent="0.35">
      <c r="A2513" t="s">
        <v>2663</v>
      </c>
      <c r="B2513" s="7">
        <v>45294</v>
      </c>
      <c r="C2513" s="13">
        <f t="shared" si="313"/>
        <v>2024</v>
      </c>
      <c r="D2513" s="7" t="str">
        <f t="shared" si="314"/>
        <v>Jan</v>
      </c>
      <c r="E2513" s="7" t="str">
        <f t="shared" si="315"/>
        <v>Wed</v>
      </c>
      <c r="F2513" t="s">
        <v>106</v>
      </c>
      <c r="G2513" t="s">
        <v>65</v>
      </c>
      <c r="H2513" t="s">
        <v>17</v>
      </c>
      <c r="I2513" s="2" t="str">
        <f t="shared" si="312"/>
        <v>South</v>
      </c>
      <c r="J2513" t="s">
        <v>12</v>
      </c>
      <c r="K2513" t="s">
        <v>36</v>
      </c>
      <c r="L2513">
        <v>1</v>
      </c>
      <c r="M2513">
        <v>120</v>
      </c>
      <c r="N2513">
        <f t="shared" si="316"/>
        <v>120</v>
      </c>
      <c r="O2513">
        <f t="shared" si="317"/>
        <v>12</v>
      </c>
      <c r="P2513" t="str">
        <f t="shared" si="318"/>
        <v>Standard Order</v>
      </c>
      <c r="Q2513" t="str">
        <f t="shared" si="319"/>
        <v>Weekday</v>
      </c>
    </row>
    <row r="2514" spans="1:17" x14ac:dyDescent="0.35">
      <c r="A2514" t="s">
        <v>2664</v>
      </c>
      <c r="B2514" s="7">
        <v>45407</v>
      </c>
      <c r="C2514" s="13">
        <f t="shared" si="313"/>
        <v>2024</v>
      </c>
      <c r="D2514" s="7" t="str">
        <f t="shared" si="314"/>
        <v>Apr</v>
      </c>
      <c r="E2514" s="7" t="str">
        <f t="shared" si="315"/>
        <v>Thu</v>
      </c>
      <c r="F2514" t="s">
        <v>465</v>
      </c>
      <c r="G2514" t="s">
        <v>87</v>
      </c>
      <c r="H2514" t="s">
        <v>11</v>
      </c>
      <c r="I2514" s="2" t="str">
        <f t="shared" si="312"/>
        <v>North</v>
      </c>
      <c r="J2514" t="s">
        <v>56</v>
      </c>
      <c r="K2514" t="s">
        <v>28</v>
      </c>
      <c r="L2514">
        <v>6</v>
      </c>
      <c r="M2514">
        <v>120</v>
      </c>
      <c r="N2514">
        <f t="shared" si="316"/>
        <v>720</v>
      </c>
      <c r="O2514">
        <f t="shared" si="317"/>
        <v>72</v>
      </c>
      <c r="P2514" t="str">
        <f t="shared" si="318"/>
        <v>Large Order</v>
      </c>
      <c r="Q2514" t="str">
        <f t="shared" si="319"/>
        <v>Weekday</v>
      </c>
    </row>
    <row r="2515" spans="1:17" x14ac:dyDescent="0.35">
      <c r="A2515" t="s">
        <v>2665</v>
      </c>
      <c r="B2515" s="7">
        <v>45324</v>
      </c>
      <c r="C2515" s="13">
        <f t="shared" si="313"/>
        <v>2024</v>
      </c>
      <c r="D2515" s="7" t="str">
        <f t="shared" si="314"/>
        <v>Feb</v>
      </c>
      <c r="E2515" s="7" t="str">
        <f t="shared" si="315"/>
        <v>Fri</v>
      </c>
      <c r="F2515" t="s">
        <v>451</v>
      </c>
      <c r="G2515" t="s">
        <v>21</v>
      </c>
      <c r="H2515" t="s">
        <v>11</v>
      </c>
      <c r="I2515" s="2" t="str">
        <f t="shared" si="312"/>
        <v>South</v>
      </c>
      <c r="J2515" t="s">
        <v>12</v>
      </c>
      <c r="K2515" t="s">
        <v>23</v>
      </c>
      <c r="L2515">
        <v>14</v>
      </c>
      <c r="M2515">
        <v>120</v>
      </c>
      <c r="N2515">
        <f t="shared" si="316"/>
        <v>1680</v>
      </c>
      <c r="O2515">
        <f t="shared" si="317"/>
        <v>168</v>
      </c>
      <c r="P2515" t="str">
        <f t="shared" si="318"/>
        <v>Large Order</v>
      </c>
      <c r="Q2515" t="str">
        <f t="shared" si="319"/>
        <v>Weekday</v>
      </c>
    </row>
    <row r="2516" spans="1:17" x14ac:dyDescent="0.35">
      <c r="A2516" t="s">
        <v>2666</v>
      </c>
      <c r="B2516" s="7">
        <v>45595</v>
      </c>
      <c r="C2516" s="13">
        <f t="shared" si="313"/>
        <v>2024</v>
      </c>
      <c r="D2516" s="7" t="str">
        <f t="shared" si="314"/>
        <v>Oct</v>
      </c>
      <c r="E2516" s="7" t="str">
        <f t="shared" si="315"/>
        <v>Wed</v>
      </c>
      <c r="F2516" t="s">
        <v>451</v>
      </c>
      <c r="G2516" t="s">
        <v>72</v>
      </c>
      <c r="H2516" t="s">
        <v>17</v>
      </c>
      <c r="I2516" s="2" t="str">
        <f t="shared" si="312"/>
        <v>South</v>
      </c>
      <c r="J2516" t="s">
        <v>56</v>
      </c>
      <c r="K2516" t="s">
        <v>13</v>
      </c>
      <c r="L2516">
        <v>16</v>
      </c>
      <c r="M2516">
        <v>120</v>
      </c>
      <c r="N2516">
        <f t="shared" si="316"/>
        <v>1920</v>
      </c>
      <c r="O2516">
        <f t="shared" si="317"/>
        <v>192</v>
      </c>
      <c r="P2516" t="str">
        <f t="shared" si="318"/>
        <v>Large Order</v>
      </c>
      <c r="Q2516" t="str">
        <f t="shared" si="319"/>
        <v>Weekday</v>
      </c>
    </row>
    <row r="2517" spans="1:17" x14ac:dyDescent="0.35">
      <c r="A2517" t="s">
        <v>2667</v>
      </c>
      <c r="B2517" s="7">
        <v>45466</v>
      </c>
      <c r="C2517" s="13">
        <f t="shared" si="313"/>
        <v>2024</v>
      </c>
      <c r="D2517" s="7" t="str">
        <f t="shared" si="314"/>
        <v>Jun</v>
      </c>
      <c r="E2517" s="7" t="str">
        <f t="shared" si="315"/>
        <v>Sun</v>
      </c>
      <c r="F2517" t="s">
        <v>9</v>
      </c>
      <c r="G2517" t="s">
        <v>72</v>
      </c>
      <c r="H2517" t="s">
        <v>22</v>
      </c>
      <c r="I2517" s="2" t="str">
        <f t="shared" si="312"/>
        <v>North</v>
      </c>
      <c r="J2517" t="s">
        <v>56</v>
      </c>
      <c r="K2517" t="s">
        <v>13</v>
      </c>
      <c r="L2517">
        <v>20</v>
      </c>
      <c r="M2517">
        <v>120</v>
      </c>
      <c r="N2517">
        <f t="shared" si="316"/>
        <v>2400</v>
      </c>
      <c r="O2517">
        <f t="shared" si="317"/>
        <v>240</v>
      </c>
      <c r="P2517" t="str">
        <f t="shared" si="318"/>
        <v>Large Order</v>
      </c>
      <c r="Q2517" t="str">
        <f t="shared" si="319"/>
        <v>Weekend</v>
      </c>
    </row>
    <row r="2518" spans="1:17" x14ac:dyDescent="0.35">
      <c r="A2518" t="s">
        <v>2668</v>
      </c>
      <c r="B2518" s="7">
        <v>45340</v>
      </c>
      <c r="C2518" s="13">
        <f t="shared" si="313"/>
        <v>2024</v>
      </c>
      <c r="D2518" s="7" t="str">
        <f t="shared" si="314"/>
        <v>Feb</v>
      </c>
      <c r="E2518" s="7" t="str">
        <f t="shared" si="315"/>
        <v>Sun</v>
      </c>
      <c r="F2518" t="s">
        <v>451</v>
      </c>
      <c r="G2518" t="s">
        <v>70</v>
      </c>
      <c r="H2518" t="s">
        <v>22</v>
      </c>
      <c r="I2518" s="2" t="str">
        <f t="shared" si="312"/>
        <v>South</v>
      </c>
      <c r="J2518" t="s">
        <v>12</v>
      </c>
      <c r="K2518" t="s">
        <v>13</v>
      </c>
      <c r="L2518">
        <v>2</v>
      </c>
      <c r="M2518">
        <v>120</v>
      </c>
      <c r="N2518">
        <f t="shared" si="316"/>
        <v>240</v>
      </c>
      <c r="O2518">
        <f t="shared" si="317"/>
        <v>24</v>
      </c>
      <c r="P2518" t="str">
        <f t="shared" si="318"/>
        <v>Standard Order</v>
      </c>
      <c r="Q2518" t="str">
        <f t="shared" si="319"/>
        <v>Weekend</v>
      </c>
    </row>
    <row r="2519" spans="1:17" x14ac:dyDescent="0.35">
      <c r="A2519" t="s">
        <v>2669</v>
      </c>
      <c r="B2519" s="7">
        <v>45485</v>
      </c>
      <c r="C2519" s="13">
        <f t="shared" si="313"/>
        <v>2024</v>
      </c>
      <c r="D2519" s="7" t="str">
        <f t="shared" si="314"/>
        <v>Jul</v>
      </c>
      <c r="E2519" s="7" t="str">
        <f t="shared" si="315"/>
        <v>Fri</v>
      </c>
      <c r="F2519" t="s">
        <v>38</v>
      </c>
      <c r="G2519" t="s">
        <v>62</v>
      </c>
      <c r="H2519" t="s">
        <v>11</v>
      </c>
      <c r="I2519" s="2" t="str">
        <f t="shared" si="312"/>
        <v>North</v>
      </c>
      <c r="J2519" t="s">
        <v>56</v>
      </c>
      <c r="K2519" t="s">
        <v>13</v>
      </c>
      <c r="L2519">
        <v>15</v>
      </c>
      <c r="M2519">
        <v>120</v>
      </c>
      <c r="N2519">
        <f t="shared" si="316"/>
        <v>1800</v>
      </c>
      <c r="O2519">
        <f t="shared" si="317"/>
        <v>180</v>
      </c>
      <c r="P2519" t="str">
        <f t="shared" si="318"/>
        <v>Large Order</v>
      </c>
      <c r="Q2519" t="str">
        <f t="shared" si="319"/>
        <v>Weekday</v>
      </c>
    </row>
    <row r="2520" spans="1:17" x14ac:dyDescent="0.35">
      <c r="A2520" t="s">
        <v>2670</v>
      </c>
      <c r="B2520" s="7">
        <v>45604</v>
      </c>
      <c r="C2520" s="13">
        <f t="shared" si="313"/>
        <v>2024</v>
      </c>
      <c r="D2520" s="7" t="str">
        <f t="shared" si="314"/>
        <v>Nov</v>
      </c>
      <c r="E2520" s="7" t="str">
        <f t="shared" si="315"/>
        <v>Fri</v>
      </c>
      <c r="F2520" t="s">
        <v>451</v>
      </c>
      <c r="G2520" t="s">
        <v>87</v>
      </c>
      <c r="H2520" t="s">
        <v>11</v>
      </c>
      <c r="I2520" s="2" t="str">
        <f t="shared" si="312"/>
        <v>West</v>
      </c>
      <c r="J2520" t="s">
        <v>12</v>
      </c>
      <c r="K2520" t="s">
        <v>13</v>
      </c>
      <c r="L2520">
        <v>18</v>
      </c>
      <c r="M2520">
        <v>120</v>
      </c>
      <c r="N2520">
        <f t="shared" si="316"/>
        <v>2160</v>
      </c>
      <c r="O2520">
        <f t="shared" si="317"/>
        <v>216</v>
      </c>
      <c r="P2520" t="str">
        <f t="shared" si="318"/>
        <v>Large Order</v>
      </c>
      <c r="Q2520" t="str">
        <f t="shared" si="319"/>
        <v>Weekday</v>
      </c>
    </row>
    <row r="2521" spans="1:17" x14ac:dyDescent="0.35">
      <c r="A2521" t="s">
        <v>2671</v>
      </c>
      <c r="B2521" s="7">
        <v>45487</v>
      </c>
      <c r="C2521" s="13">
        <f t="shared" si="313"/>
        <v>2024</v>
      </c>
      <c r="D2521" s="7" t="str">
        <f t="shared" si="314"/>
        <v>Jul</v>
      </c>
      <c r="E2521" s="7" t="str">
        <f t="shared" si="315"/>
        <v>Sun</v>
      </c>
      <c r="F2521" t="s">
        <v>341</v>
      </c>
      <c r="G2521" t="s">
        <v>102</v>
      </c>
      <c r="H2521" t="s">
        <v>22</v>
      </c>
      <c r="I2521" s="2" t="str">
        <f t="shared" si="312"/>
        <v>West</v>
      </c>
      <c r="J2521" t="s">
        <v>27</v>
      </c>
      <c r="K2521" t="s">
        <v>28</v>
      </c>
      <c r="L2521">
        <v>20</v>
      </c>
      <c r="M2521">
        <v>120</v>
      </c>
      <c r="N2521">
        <f t="shared" si="316"/>
        <v>2400</v>
      </c>
      <c r="O2521">
        <f t="shared" si="317"/>
        <v>240</v>
      </c>
      <c r="P2521" t="str">
        <f t="shared" si="318"/>
        <v>Large Order</v>
      </c>
      <c r="Q2521" t="str">
        <f t="shared" si="319"/>
        <v>Weekend</v>
      </c>
    </row>
    <row r="2522" spans="1:17" x14ac:dyDescent="0.35">
      <c r="A2522" t="s">
        <v>2672</v>
      </c>
      <c r="B2522" s="7">
        <v>45611</v>
      </c>
      <c r="C2522" s="13">
        <f t="shared" si="313"/>
        <v>2024</v>
      </c>
      <c r="D2522" s="7" t="str">
        <f t="shared" si="314"/>
        <v>Nov</v>
      </c>
      <c r="E2522" s="7" t="str">
        <f t="shared" si="315"/>
        <v>Fri</v>
      </c>
      <c r="F2522" t="s">
        <v>142</v>
      </c>
      <c r="G2522" t="s">
        <v>70</v>
      </c>
      <c r="H2522" t="s">
        <v>17</v>
      </c>
      <c r="I2522" s="2" t="str">
        <f t="shared" si="312"/>
        <v>West</v>
      </c>
      <c r="J2522" t="s">
        <v>27</v>
      </c>
      <c r="K2522" t="s">
        <v>23</v>
      </c>
      <c r="L2522">
        <v>20</v>
      </c>
      <c r="M2522">
        <v>120</v>
      </c>
      <c r="N2522">
        <f t="shared" si="316"/>
        <v>2400</v>
      </c>
      <c r="O2522">
        <f t="shared" si="317"/>
        <v>240</v>
      </c>
      <c r="P2522" t="str">
        <f t="shared" si="318"/>
        <v>Large Order</v>
      </c>
      <c r="Q2522" t="str">
        <f t="shared" si="319"/>
        <v>Weekday</v>
      </c>
    </row>
    <row r="2523" spans="1:17" x14ac:dyDescent="0.35">
      <c r="A2523" t="s">
        <v>2673</v>
      </c>
      <c r="B2523" s="7">
        <v>45465</v>
      </c>
      <c r="C2523" s="13">
        <f t="shared" si="313"/>
        <v>2024</v>
      </c>
      <c r="D2523" s="7" t="str">
        <f t="shared" si="314"/>
        <v>Jun</v>
      </c>
      <c r="E2523" s="7" t="str">
        <f t="shared" si="315"/>
        <v>Sat</v>
      </c>
      <c r="F2523" t="s">
        <v>350</v>
      </c>
      <c r="G2523" t="s">
        <v>41</v>
      </c>
      <c r="H2523" t="s">
        <v>11</v>
      </c>
      <c r="I2523" s="2" t="str">
        <f t="shared" si="312"/>
        <v>North</v>
      </c>
      <c r="J2523" t="s">
        <v>27</v>
      </c>
      <c r="K2523" t="s">
        <v>36</v>
      </c>
      <c r="L2523">
        <v>11</v>
      </c>
      <c r="M2523">
        <v>120</v>
      </c>
      <c r="N2523">
        <f t="shared" si="316"/>
        <v>1320</v>
      </c>
      <c r="O2523">
        <f t="shared" si="317"/>
        <v>132</v>
      </c>
      <c r="P2523" t="str">
        <f t="shared" si="318"/>
        <v>Large Order</v>
      </c>
      <c r="Q2523" t="str">
        <f t="shared" si="319"/>
        <v>Weekend</v>
      </c>
    </row>
    <row r="2524" spans="1:17" x14ac:dyDescent="0.35">
      <c r="A2524" t="s">
        <v>2674</v>
      </c>
      <c r="B2524" s="7">
        <v>45347</v>
      </c>
      <c r="C2524" s="13">
        <f t="shared" si="313"/>
        <v>2024</v>
      </c>
      <c r="D2524" s="7" t="str">
        <f t="shared" si="314"/>
        <v>Feb</v>
      </c>
      <c r="E2524" s="7" t="str">
        <f t="shared" si="315"/>
        <v>Sun</v>
      </c>
      <c r="F2524" t="s">
        <v>15</v>
      </c>
      <c r="G2524" t="s">
        <v>96</v>
      </c>
      <c r="H2524" t="s">
        <v>22</v>
      </c>
      <c r="I2524" s="2" t="str">
        <f t="shared" si="312"/>
        <v>East</v>
      </c>
      <c r="J2524" t="s">
        <v>12</v>
      </c>
      <c r="K2524" t="s">
        <v>36</v>
      </c>
      <c r="L2524">
        <v>7</v>
      </c>
      <c r="M2524">
        <v>120</v>
      </c>
      <c r="N2524">
        <f t="shared" si="316"/>
        <v>840</v>
      </c>
      <c r="O2524">
        <f t="shared" si="317"/>
        <v>84</v>
      </c>
      <c r="P2524" t="str">
        <f t="shared" si="318"/>
        <v>Large Order</v>
      </c>
      <c r="Q2524" t="str">
        <f t="shared" si="319"/>
        <v>Weekend</v>
      </c>
    </row>
    <row r="2525" spans="1:17" x14ac:dyDescent="0.35">
      <c r="A2525" t="s">
        <v>2675</v>
      </c>
      <c r="B2525" s="7">
        <v>45356</v>
      </c>
      <c r="C2525" s="13">
        <f t="shared" si="313"/>
        <v>2024</v>
      </c>
      <c r="D2525" s="7" t="str">
        <f t="shared" si="314"/>
        <v>Mar</v>
      </c>
      <c r="E2525" s="7" t="str">
        <f t="shared" si="315"/>
        <v>Tue</v>
      </c>
      <c r="F2525" t="s">
        <v>541</v>
      </c>
      <c r="G2525" t="s">
        <v>160</v>
      </c>
      <c r="H2525" t="s">
        <v>17</v>
      </c>
      <c r="I2525" s="2" t="str">
        <f t="shared" si="312"/>
        <v>North</v>
      </c>
      <c r="J2525" t="s">
        <v>42</v>
      </c>
      <c r="K2525" t="s">
        <v>23</v>
      </c>
      <c r="L2525">
        <v>16</v>
      </c>
      <c r="M2525">
        <v>120</v>
      </c>
      <c r="N2525">
        <f t="shared" si="316"/>
        <v>1920</v>
      </c>
      <c r="O2525">
        <f t="shared" si="317"/>
        <v>192</v>
      </c>
      <c r="P2525" t="str">
        <f t="shared" si="318"/>
        <v>Large Order</v>
      </c>
      <c r="Q2525" t="str">
        <f t="shared" si="319"/>
        <v>Weekday</v>
      </c>
    </row>
    <row r="2526" spans="1:17" x14ac:dyDescent="0.35">
      <c r="A2526" t="s">
        <v>2676</v>
      </c>
      <c r="B2526" s="7">
        <v>45519</v>
      </c>
      <c r="C2526" s="13">
        <f t="shared" si="313"/>
        <v>2024</v>
      </c>
      <c r="D2526" s="7" t="str">
        <f t="shared" si="314"/>
        <v>Aug</v>
      </c>
      <c r="E2526" s="7" t="str">
        <f t="shared" si="315"/>
        <v>Thu</v>
      </c>
      <c r="F2526" t="s">
        <v>44</v>
      </c>
      <c r="G2526" t="s">
        <v>197</v>
      </c>
      <c r="H2526" t="s">
        <v>11</v>
      </c>
      <c r="I2526" s="2" t="str">
        <f t="shared" si="312"/>
        <v>East</v>
      </c>
      <c r="J2526" t="s">
        <v>12</v>
      </c>
      <c r="K2526" t="s">
        <v>13</v>
      </c>
      <c r="L2526">
        <v>5</v>
      </c>
      <c r="M2526">
        <v>120</v>
      </c>
      <c r="N2526">
        <f t="shared" si="316"/>
        <v>600</v>
      </c>
      <c r="O2526">
        <f t="shared" si="317"/>
        <v>60</v>
      </c>
      <c r="P2526" t="str">
        <f t="shared" si="318"/>
        <v>Large Order</v>
      </c>
      <c r="Q2526" t="str">
        <f t="shared" si="319"/>
        <v>Weekday</v>
      </c>
    </row>
    <row r="2527" spans="1:17" x14ac:dyDescent="0.35">
      <c r="A2527" t="s">
        <v>2677</v>
      </c>
      <c r="B2527" s="7">
        <v>45515</v>
      </c>
      <c r="C2527" s="13">
        <f t="shared" si="313"/>
        <v>2024</v>
      </c>
      <c r="D2527" s="7" t="str">
        <f t="shared" si="314"/>
        <v>Aug</v>
      </c>
      <c r="E2527" s="7" t="str">
        <f t="shared" si="315"/>
        <v>Sun</v>
      </c>
      <c r="F2527" t="s">
        <v>345</v>
      </c>
      <c r="G2527" t="s">
        <v>21</v>
      </c>
      <c r="H2527" t="s">
        <v>17</v>
      </c>
      <c r="I2527" s="2" t="str">
        <f t="shared" si="312"/>
        <v>East</v>
      </c>
      <c r="J2527" t="s">
        <v>42</v>
      </c>
      <c r="K2527" t="s">
        <v>36</v>
      </c>
      <c r="L2527">
        <v>18</v>
      </c>
      <c r="M2527">
        <v>120</v>
      </c>
      <c r="N2527">
        <f t="shared" si="316"/>
        <v>2160</v>
      </c>
      <c r="O2527">
        <f t="shared" si="317"/>
        <v>216</v>
      </c>
      <c r="P2527" t="str">
        <f t="shared" si="318"/>
        <v>Large Order</v>
      </c>
      <c r="Q2527" t="str">
        <f t="shared" si="319"/>
        <v>Weekend</v>
      </c>
    </row>
    <row r="2528" spans="1:17" x14ac:dyDescent="0.35">
      <c r="A2528" t="s">
        <v>2678</v>
      </c>
      <c r="B2528" s="7">
        <v>45367</v>
      </c>
      <c r="C2528" s="13">
        <f t="shared" si="313"/>
        <v>2024</v>
      </c>
      <c r="D2528" s="7" t="str">
        <f t="shared" si="314"/>
        <v>Mar</v>
      </c>
      <c r="E2528" s="7" t="str">
        <f t="shared" si="315"/>
        <v>Sat</v>
      </c>
      <c r="F2528" t="s">
        <v>553</v>
      </c>
      <c r="G2528" t="s">
        <v>74</v>
      </c>
      <c r="H2528" t="s">
        <v>22</v>
      </c>
      <c r="I2528" s="2" t="str">
        <f t="shared" si="312"/>
        <v>South</v>
      </c>
      <c r="J2528" t="s">
        <v>42</v>
      </c>
      <c r="K2528" t="s">
        <v>32</v>
      </c>
      <c r="L2528">
        <v>12</v>
      </c>
      <c r="M2528">
        <v>120</v>
      </c>
      <c r="N2528">
        <f t="shared" si="316"/>
        <v>1440</v>
      </c>
      <c r="O2528">
        <f t="shared" si="317"/>
        <v>144</v>
      </c>
      <c r="P2528" t="str">
        <f t="shared" si="318"/>
        <v>Large Order</v>
      </c>
      <c r="Q2528" t="str">
        <f t="shared" si="319"/>
        <v>Weekend</v>
      </c>
    </row>
    <row r="2529" spans="1:17" x14ac:dyDescent="0.35">
      <c r="A2529" t="s">
        <v>2679</v>
      </c>
      <c r="B2529" s="7">
        <v>45557</v>
      </c>
      <c r="C2529" s="13">
        <f t="shared" si="313"/>
        <v>2024</v>
      </c>
      <c r="D2529" s="7" t="str">
        <f t="shared" si="314"/>
        <v>Sep</v>
      </c>
      <c r="E2529" s="7" t="str">
        <f t="shared" si="315"/>
        <v>Sun</v>
      </c>
      <c r="F2529" t="s">
        <v>449</v>
      </c>
      <c r="G2529" t="s">
        <v>41</v>
      </c>
      <c r="H2529" t="s">
        <v>22</v>
      </c>
      <c r="I2529" s="2" t="str">
        <f t="shared" si="312"/>
        <v>South</v>
      </c>
      <c r="J2529" t="s">
        <v>56</v>
      </c>
      <c r="K2529" t="s">
        <v>13</v>
      </c>
      <c r="L2529">
        <v>8</v>
      </c>
      <c r="M2529">
        <v>120</v>
      </c>
      <c r="N2529">
        <f t="shared" si="316"/>
        <v>960</v>
      </c>
      <c r="O2529">
        <f t="shared" si="317"/>
        <v>96</v>
      </c>
      <c r="P2529" t="str">
        <f t="shared" si="318"/>
        <v>Large Order</v>
      </c>
      <c r="Q2529" t="str">
        <f t="shared" si="319"/>
        <v>Weekend</v>
      </c>
    </row>
    <row r="2530" spans="1:17" x14ac:dyDescent="0.35">
      <c r="A2530" t="s">
        <v>2680</v>
      </c>
      <c r="B2530" s="7">
        <v>45578</v>
      </c>
      <c r="C2530" s="13">
        <f t="shared" si="313"/>
        <v>2024</v>
      </c>
      <c r="D2530" s="7" t="str">
        <f t="shared" si="314"/>
        <v>Oct</v>
      </c>
      <c r="E2530" s="7" t="str">
        <f t="shared" si="315"/>
        <v>Sun</v>
      </c>
      <c r="F2530" t="s">
        <v>9</v>
      </c>
      <c r="G2530" t="s">
        <v>87</v>
      </c>
      <c r="H2530" t="s">
        <v>17</v>
      </c>
      <c r="I2530" s="2" t="str">
        <f t="shared" si="312"/>
        <v>West</v>
      </c>
      <c r="J2530" t="s">
        <v>56</v>
      </c>
      <c r="K2530" t="s">
        <v>28</v>
      </c>
      <c r="L2530">
        <v>7</v>
      </c>
      <c r="M2530">
        <v>120</v>
      </c>
      <c r="N2530">
        <f t="shared" si="316"/>
        <v>840</v>
      </c>
      <c r="O2530">
        <f t="shared" si="317"/>
        <v>84</v>
      </c>
      <c r="P2530" t="str">
        <f t="shared" si="318"/>
        <v>Large Order</v>
      </c>
      <c r="Q2530" t="str">
        <f t="shared" si="319"/>
        <v>Weekend</v>
      </c>
    </row>
    <row r="2531" spans="1:17" x14ac:dyDescent="0.35">
      <c r="A2531" t="s">
        <v>2681</v>
      </c>
      <c r="B2531" s="7">
        <v>45466</v>
      </c>
      <c r="C2531" s="13">
        <f t="shared" si="313"/>
        <v>2024</v>
      </c>
      <c r="D2531" s="7" t="str">
        <f t="shared" si="314"/>
        <v>Jun</v>
      </c>
      <c r="E2531" s="7" t="str">
        <f t="shared" si="315"/>
        <v>Sun</v>
      </c>
      <c r="F2531" t="s">
        <v>150</v>
      </c>
      <c r="G2531" t="s">
        <v>41</v>
      </c>
      <c r="H2531" t="s">
        <v>17</v>
      </c>
      <c r="I2531" s="2" t="str">
        <f t="shared" si="312"/>
        <v>West</v>
      </c>
      <c r="J2531" t="s">
        <v>27</v>
      </c>
      <c r="K2531" t="s">
        <v>36</v>
      </c>
      <c r="L2531">
        <v>11</v>
      </c>
      <c r="M2531">
        <v>120</v>
      </c>
      <c r="N2531">
        <f t="shared" si="316"/>
        <v>1320</v>
      </c>
      <c r="O2531">
        <f t="shared" si="317"/>
        <v>132</v>
      </c>
      <c r="P2531" t="str">
        <f t="shared" si="318"/>
        <v>Large Order</v>
      </c>
      <c r="Q2531" t="str">
        <f t="shared" si="319"/>
        <v>Weekend</v>
      </c>
    </row>
    <row r="2532" spans="1:17" x14ac:dyDescent="0.35">
      <c r="A2532" t="s">
        <v>2682</v>
      </c>
      <c r="B2532" s="7">
        <v>45581</v>
      </c>
      <c r="C2532" s="13">
        <f t="shared" si="313"/>
        <v>2024</v>
      </c>
      <c r="D2532" s="7" t="str">
        <f t="shared" si="314"/>
        <v>Oct</v>
      </c>
      <c r="E2532" s="7" t="str">
        <f t="shared" si="315"/>
        <v>Wed</v>
      </c>
      <c r="F2532" t="s">
        <v>118</v>
      </c>
      <c r="G2532" t="s">
        <v>109</v>
      </c>
      <c r="H2532" t="s">
        <v>17</v>
      </c>
      <c r="I2532" s="2" t="str">
        <f t="shared" si="312"/>
        <v>South</v>
      </c>
      <c r="J2532" t="s">
        <v>27</v>
      </c>
      <c r="K2532" t="s">
        <v>32</v>
      </c>
      <c r="L2532">
        <v>6</v>
      </c>
      <c r="M2532">
        <v>120</v>
      </c>
      <c r="N2532">
        <f t="shared" si="316"/>
        <v>720</v>
      </c>
      <c r="O2532">
        <f t="shared" si="317"/>
        <v>72</v>
      </c>
      <c r="P2532" t="str">
        <f t="shared" si="318"/>
        <v>Large Order</v>
      </c>
      <c r="Q2532" t="str">
        <f t="shared" si="319"/>
        <v>Weekday</v>
      </c>
    </row>
    <row r="2533" spans="1:17" x14ac:dyDescent="0.35">
      <c r="A2533" t="s">
        <v>2683</v>
      </c>
      <c r="B2533" s="7">
        <v>45313</v>
      </c>
      <c r="C2533" s="13">
        <f t="shared" si="313"/>
        <v>2024</v>
      </c>
      <c r="D2533" s="7" t="str">
        <f t="shared" si="314"/>
        <v>Jan</v>
      </c>
      <c r="E2533" s="7" t="str">
        <f t="shared" si="315"/>
        <v>Mon</v>
      </c>
      <c r="F2533" t="s">
        <v>432</v>
      </c>
      <c r="G2533" t="s">
        <v>197</v>
      </c>
      <c r="H2533" t="s">
        <v>11</v>
      </c>
      <c r="I2533" s="2" t="str">
        <f t="shared" si="312"/>
        <v>West</v>
      </c>
      <c r="J2533" t="s">
        <v>56</v>
      </c>
      <c r="K2533" t="s">
        <v>28</v>
      </c>
      <c r="L2533">
        <v>15</v>
      </c>
      <c r="M2533">
        <v>120</v>
      </c>
      <c r="N2533">
        <f t="shared" si="316"/>
        <v>1800</v>
      </c>
      <c r="O2533">
        <f t="shared" si="317"/>
        <v>180</v>
      </c>
      <c r="P2533" t="str">
        <f t="shared" si="318"/>
        <v>Large Order</v>
      </c>
      <c r="Q2533" t="str">
        <f t="shared" si="319"/>
        <v>Weekday</v>
      </c>
    </row>
    <row r="2534" spans="1:17" x14ac:dyDescent="0.35">
      <c r="A2534" t="s">
        <v>2684</v>
      </c>
      <c r="B2534" s="7">
        <v>45414</v>
      </c>
      <c r="C2534" s="13">
        <f t="shared" si="313"/>
        <v>2024</v>
      </c>
      <c r="D2534" s="7" t="str">
        <f t="shared" si="314"/>
        <v>May</v>
      </c>
      <c r="E2534" s="7" t="str">
        <f t="shared" si="315"/>
        <v>Thu</v>
      </c>
      <c r="F2534" t="s">
        <v>517</v>
      </c>
      <c r="G2534" t="s">
        <v>84</v>
      </c>
      <c r="H2534" t="s">
        <v>17</v>
      </c>
      <c r="I2534" s="2" t="str">
        <f t="shared" si="312"/>
        <v>East</v>
      </c>
      <c r="J2534" t="s">
        <v>27</v>
      </c>
      <c r="K2534" t="s">
        <v>28</v>
      </c>
      <c r="L2534">
        <v>13</v>
      </c>
      <c r="M2534">
        <v>120</v>
      </c>
      <c r="N2534">
        <f t="shared" si="316"/>
        <v>1560</v>
      </c>
      <c r="O2534">
        <f t="shared" si="317"/>
        <v>156</v>
      </c>
      <c r="P2534" t="str">
        <f t="shared" si="318"/>
        <v>Large Order</v>
      </c>
      <c r="Q2534" t="str">
        <f t="shared" si="319"/>
        <v>Weekday</v>
      </c>
    </row>
    <row r="2535" spans="1:17" x14ac:dyDescent="0.35">
      <c r="A2535" t="s">
        <v>2685</v>
      </c>
      <c r="B2535" s="7">
        <v>45295</v>
      </c>
      <c r="C2535" s="13">
        <f t="shared" si="313"/>
        <v>2024</v>
      </c>
      <c r="D2535" s="7" t="str">
        <f t="shared" si="314"/>
        <v>Jan</v>
      </c>
      <c r="E2535" s="7" t="str">
        <f t="shared" si="315"/>
        <v>Thu</v>
      </c>
      <c r="F2535" t="s">
        <v>83</v>
      </c>
      <c r="G2535" t="s">
        <v>96</v>
      </c>
      <c r="H2535" t="s">
        <v>11</v>
      </c>
      <c r="I2535" s="2" t="str">
        <f t="shared" si="312"/>
        <v>Central</v>
      </c>
      <c r="J2535" t="s">
        <v>42</v>
      </c>
      <c r="K2535" t="s">
        <v>13</v>
      </c>
      <c r="L2535">
        <v>18</v>
      </c>
      <c r="M2535">
        <v>120</v>
      </c>
      <c r="N2535">
        <f t="shared" si="316"/>
        <v>2160</v>
      </c>
      <c r="O2535">
        <f t="shared" si="317"/>
        <v>216</v>
      </c>
      <c r="P2535" t="str">
        <f t="shared" si="318"/>
        <v>Large Order</v>
      </c>
      <c r="Q2535" t="str">
        <f t="shared" si="319"/>
        <v>Weekday</v>
      </c>
    </row>
    <row r="2536" spans="1:17" x14ac:dyDescent="0.35">
      <c r="A2536" t="s">
        <v>2686</v>
      </c>
      <c r="B2536" s="7">
        <v>45440</v>
      </c>
      <c r="C2536" s="13">
        <f t="shared" si="313"/>
        <v>2024</v>
      </c>
      <c r="D2536" s="7" t="str">
        <f t="shared" si="314"/>
        <v>May</v>
      </c>
      <c r="E2536" s="7" t="str">
        <f t="shared" si="315"/>
        <v>Tue</v>
      </c>
      <c r="F2536" t="s">
        <v>396</v>
      </c>
      <c r="G2536" t="s">
        <v>65</v>
      </c>
      <c r="H2536" t="s">
        <v>22</v>
      </c>
      <c r="I2536" s="2" t="str">
        <f t="shared" si="312"/>
        <v>South</v>
      </c>
      <c r="J2536" t="s">
        <v>306</v>
      </c>
      <c r="K2536" t="s">
        <v>32</v>
      </c>
      <c r="L2536">
        <v>2</v>
      </c>
      <c r="M2536">
        <v>120</v>
      </c>
      <c r="N2536">
        <f t="shared" si="316"/>
        <v>240</v>
      </c>
      <c r="O2536">
        <f t="shared" si="317"/>
        <v>24</v>
      </c>
      <c r="P2536" t="str">
        <f t="shared" si="318"/>
        <v>Standard Order</v>
      </c>
      <c r="Q2536" t="str">
        <f t="shared" si="319"/>
        <v>Weekday</v>
      </c>
    </row>
    <row r="2537" spans="1:17" x14ac:dyDescent="0.35">
      <c r="A2537" t="s">
        <v>2687</v>
      </c>
      <c r="B2537" s="7">
        <v>45393</v>
      </c>
      <c r="C2537" s="13">
        <f t="shared" si="313"/>
        <v>2024</v>
      </c>
      <c r="D2537" s="7" t="str">
        <f t="shared" si="314"/>
        <v>Apr</v>
      </c>
      <c r="E2537" s="7" t="str">
        <f t="shared" si="315"/>
        <v>Thu</v>
      </c>
      <c r="F2537" t="s">
        <v>104</v>
      </c>
      <c r="G2537" t="s">
        <v>74</v>
      </c>
      <c r="H2537" t="s">
        <v>11</v>
      </c>
      <c r="I2537" s="2" t="str">
        <f t="shared" si="312"/>
        <v>North</v>
      </c>
      <c r="J2537" t="s">
        <v>56</v>
      </c>
      <c r="K2537" t="s">
        <v>32</v>
      </c>
      <c r="L2537">
        <v>6</v>
      </c>
      <c r="M2537">
        <v>120</v>
      </c>
      <c r="N2537">
        <f t="shared" si="316"/>
        <v>720</v>
      </c>
      <c r="O2537">
        <f t="shared" si="317"/>
        <v>72</v>
      </c>
      <c r="P2537" t="str">
        <f t="shared" si="318"/>
        <v>Large Order</v>
      </c>
      <c r="Q2537" t="str">
        <f t="shared" si="319"/>
        <v>Weekday</v>
      </c>
    </row>
    <row r="2538" spans="1:17" x14ac:dyDescent="0.35">
      <c r="A2538" t="s">
        <v>2688</v>
      </c>
      <c r="B2538" s="7">
        <v>45575</v>
      </c>
      <c r="C2538" s="13">
        <f t="shared" si="313"/>
        <v>2024</v>
      </c>
      <c r="D2538" s="7" t="str">
        <f t="shared" si="314"/>
        <v>Oct</v>
      </c>
      <c r="E2538" s="7" t="str">
        <f t="shared" si="315"/>
        <v>Thu</v>
      </c>
      <c r="F2538" t="s">
        <v>78</v>
      </c>
      <c r="G2538" t="s">
        <v>45</v>
      </c>
      <c r="H2538" t="s">
        <v>11</v>
      </c>
      <c r="I2538" s="2" t="str">
        <f t="shared" si="312"/>
        <v>North</v>
      </c>
      <c r="J2538" t="s">
        <v>12</v>
      </c>
      <c r="K2538" t="s">
        <v>28</v>
      </c>
      <c r="L2538">
        <v>9</v>
      </c>
      <c r="M2538">
        <v>120</v>
      </c>
      <c r="N2538">
        <f t="shared" si="316"/>
        <v>1080</v>
      </c>
      <c r="O2538">
        <f t="shared" si="317"/>
        <v>108</v>
      </c>
      <c r="P2538" t="str">
        <f t="shared" si="318"/>
        <v>Large Order</v>
      </c>
      <c r="Q2538" t="str">
        <f t="shared" si="319"/>
        <v>Weekday</v>
      </c>
    </row>
    <row r="2539" spans="1:17" x14ac:dyDescent="0.35">
      <c r="A2539" t="s">
        <v>2689</v>
      </c>
      <c r="B2539" s="7">
        <v>45302</v>
      </c>
      <c r="C2539" s="13">
        <f t="shared" si="313"/>
        <v>2024</v>
      </c>
      <c r="D2539" s="7" t="str">
        <f t="shared" si="314"/>
        <v>Jan</v>
      </c>
      <c r="E2539" s="7" t="str">
        <f t="shared" si="315"/>
        <v>Thu</v>
      </c>
      <c r="F2539" t="s">
        <v>422</v>
      </c>
      <c r="G2539" t="s">
        <v>16</v>
      </c>
      <c r="H2539" t="s">
        <v>17</v>
      </c>
      <c r="I2539" s="2" t="str">
        <f t="shared" si="312"/>
        <v>South</v>
      </c>
      <c r="J2539" t="s">
        <v>12</v>
      </c>
      <c r="K2539" t="s">
        <v>32</v>
      </c>
      <c r="L2539">
        <v>7</v>
      </c>
      <c r="M2539">
        <v>120</v>
      </c>
      <c r="N2539">
        <f t="shared" si="316"/>
        <v>840</v>
      </c>
      <c r="O2539">
        <f t="shared" si="317"/>
        <v>84</v>
      </c>
      <c r="P2539" t="str">
        <f t="shared" si="318"/>
        <v>Large Order</v>
      </c>
      <c r="Q2539" t="str">
        <f t="shared" si="319"/>
        <v>Weekday</v>
      </c>
    </row>
    <row r="2540" spans="1:17" x14ac:dyDescent="0.35">
      <c r="A2540" t="s">
        <v>2690</v>
      </c>
      <c r="B2540" s="7">
        <v>45414</v>
      </c>
      <c r="C2540" s="13">
        <f t="shared" si="313"/>
        <v>2024</v>
      </c>
      <c r="D2540" s="7" t="str">
        <f t="shared" si="314"/>
        <v>May</v>
      </c>
      <c r="E2540" s="7" t="str">
        <f t="shared" si="315"/>
        <v>Thu</v>
      </c>
      <c r="F2540" t="s">
        <v>200</v>
      </c>
      <c r="G2540" t="s">
        <v>48</v>
      </c>
      <c r="H2540" t="s">
        <v>22</v>
      </c>
      <c r="I2540" s="2" t="str">
        <f t="shared" si="312"/>
        <v>South</v>
      </c>
      <c r="J2540" t="s">
        <v>56</v>
      </c>
      <c r="K2540" t="s">
        <v>36</v>
      </c>
      <c r="L2540">
        <v>20</v>
      </c>
      <c r="M2540">
        <v>120</v>
      </c>
      <c r="N2540">
        <f t="shared" si="316"/>
        <v>2400</v>
      </c>
      <c r="O2540">
        <f t="shared" si="317"/>
        <v>240</v>
      </c>
      <c r="P2540" t="str">
        <f t="shared" si="318"/>
        <v>Large Order</v>
      </c>
      <c r="Q2540" t="str">
        <f t="shared" si="319"/>
        <v>Weekday</v>
      </c>
    </row>
    <row r="2541" spans="1:17" x14ac:dyDescent="0.35">
      <c r="A2541" t="s">
        <v>2691</v>
      </c>
      <c r="B2541" s="7">
        <v>45656</v>
      </c>
      <c r="C2541" s="13">
        <f t="shared" si="313"/>
        <v>2024</v>
      </c>
      <c r="D2541" s="7" t="str">
        <f t="shared" si="314"/>
        <v>Dec</v>
      </c>
      <c r="E2541" s="7" t="str">
        <f t="shared" si="315"/>
        <v>Mon</v>
      </c>
      <c r="F2541" t="s">
        <v>58</v>
      </c>
      <c r="G2541" t="s">
        <v>102</v>
      </c>
      <c r="H2541" t="s">
        <v>11</v>
      </c>
      <c r="I2541" s="2" t="str">
        <f t="shared" si="312"/>
        <v>West</v>
      </c>
      <c r="J2541" t="s">
        <v>56</v>
      </c>
      <c r="K2541" t="s">
        <v>28</v>
      </c>
      <c r="L2541">
        <v>7</v>
      </c>
      <c r="M2541">
        <v>120</v>
      </c>
      <c r="N2541">
        <f t="shared" si="316"/>
        <v>840</v>
      </c>
      <c r="O2541">
        <f t="shared" si="317"/>
        <v>84</v>
      </c>
      <c r="P2541" t="str">
        <f t="shared" si="318"/>
        <v>Large Order</v>
      </c>
      <c r="Q2541" t="str">
        <f t="shared" si="319"/>
        <v>Weekday</v>
      </c>
    </row>
    <row r="2542" spans="1:17" x14ac:dyDescent="0.35">
      <c r="A2542" t="s">
        <v>2692</v>
      </c>
      <c r="B2542" s="7">
        <v>45647</v>
      </c>
      <c r="C2542" s="13">
        <f t="shared" si="313"/>
        <v>2024</v>
      </c>
      <c r="D2542" s="7" t="str">
        <f t="shared" si="314"/>
        <v>Dec</v>
      </c>
      <c r="E2542" s="7" t="str">
        <f t="shared" si="315"/>
        <v>Sat</v>
      </c>
      <c r="F2542" t="s">
        <v>200</v>
      </c>
      <c r="G2542" t="s">
        <v>72</v>
      </c>
      <c r="H2542" t="s">
        <v>22</v>
      </c>
      <c r="I2542" s="2" t="str">
        <f t="shared" si="312"/>
        <v>South</v>
      </c>
      <c r="J2542" t="s">
        <v>27</v>
      </c>
      <c r="K2542" t="s">
        <v>28</v>
      </c>
      <c r="L2542">
        <v>2</v>
      </c>
      <c r="M2542">
        <v>120</v>
      </c>
      <c r="N2542">
        <f t="shared" si="316"/>
        <v>240</v>
      </c>
      <c r="O2542">
        <f t="shared" si="317"/>
        <v>24</v>
      </c>
      <c r="P2542" t="str">
        <f t="shared" si="318"/>
        <v>Standard Order</v>
      </c>
      <c r="Q2542" t="str">
        <f t="shared" si="319"/>
        <v>Weekend</v>
      </c>
    </row>
    <row r="2543" spans="1:17" x14ac:dyDescent="0.35">
      <c r="A2543" t="s">
        <v>2693</v>
      </c>
      <c r="B2543" s="7">
        <v>45592</v>
      </c>
      <c r="C2543" s="13">
        <f t="shared" si="313"/>
        <v>2024</v>
      </c>
      <c r="D2543" s="7" t="str">
        <f t="shared" si="314"/>
        <v>Oct</v>
      </c>
      <c r="E2543" s="7" t="str">
        <f t="shared" si="315"/>
        <v>Sun</v>
      </c>
      <c r="F2543" t="s">
        <v>150</v>
      </c>
      <c r="G2543" t="s">
        <v>174</v>
      </c>
      <c r="H2543" t="s">
        <v>17</v>
      </c>
      <c r="I2543" s="2" t="str">
        <f t="shared" si="312"/>
        <v>West</v>
      </c>
      <c r="J2543" t="s">
        <v>56</v>
      </c>
      <c r="K2543" t="s">
        <v>32</v>
      </c>
      <c r="L2543">
        <v>8</v>
      </c>
      <c r="M2543">
        <v>120</v>
      </c>
      <c r="N2543">
        <f t="shared" si="316"/>
        <v>960</v>
      </c>
      <c r="O2543">
        <f t="shared" si="317"/>
        <v>96</v>
      </c>
      <c r="P2543" t="str">
        <f t="shared" si="318"/>
        <v>Large Order</v>
      </c>
      <c r="Q2543" t="str">
        <f t="shared" si="319"/>
        <v>Weekend</v>
      </c>
    </row>
    <row r="2544" spans="1:17" x14ac:dyDescent="0.35">
      <c r="A2544" t="s">
        <v>2694</v>
      </c>
      <c r="B2544" s="7">
        <v>45435</v>
      </c>
      <c r="C2544" s="13">
        <f t="shared" si="313"/>
        <v>2024</v>
      </c>
      <c r="D2544" s="7" t="str">
        <f t="shared" si="314"/>
        <v>May</v>
      </c>
      <c r="E2544" s="7" t="str">
        <f t="shared" si="315"/>
        <v>Thu</v>
      </c>
      <c r="F2544" t="s">
        <v>34</v>
      </c>
      <c r="G2544" t="s">
        <v>160</v>
      </c>
      <c r="H2544" t="s">
        <v>22</v>
      </c>
      <c r="I2544" s="2" t="str">
        <f t="shared" si="312"/>
        <v>Central</v>
      </c>
      <c r="J2544" t="s">
        <v>27</v>
      </c>
      <c r="K2544" t="s">
        <v>28</v>
      </c>
      <c r="L2544">
        <v>3</v>
      </c>
      <c r="M2544">
        <v>120</v>
      </c>
      <c r="N2544">
        <f t="shared" si="316"/>
        <v>360</v>
      </c>
      <c r="O2544">
        <f t="shared" si="317"/>
        <v>36</v>
      </c>
      <c r="P2544" t="str">
        <f t="shared" si="318"/>
        <v>Standard Order</v>
      </c>
      <c r="Q2544" t="str">
        <f t="shared" si="319"/>
        <v>Weekday</v>
      </c>
    </row>
    <row r="2545" spans="1:17" x14ac:dyDescent="0.35">
      <c r="A2545" t="s">
        <v>2695</v>
      </c>
      <c r="B2545" s="7">
        <v>45631</v>
      </c>
      <c r="C2545" s="13">
        <f t="shared" si="313"/>
        <v>2024</v>
      </c>
      <c r="D2545" s="7" t="str">
        <f t="shared" si="314"/>
        <v>Dec</v>
      </c>
      <c r="E2545" s="7" t="str">
        <f t="shared" si="315"/>
        <v>Thu</v>
      </c>
      <c r="F2545" t="s">
        <v>594</v>
      </c>
      <c r="G2545" t="s">
        <v>10</v>
      </c>
      <c r="H2545" t="s">
        <v>11</v>
      </c>
      <c r="I2545" s="2" t="str">
        <f t="shared" si="312"/>
        <v>East</v>
      </c>
      <c r="J2545" t="s">
        <v>306</v>
      </c>
      <c r="K2545" t="s">
        <v>23</v>
      </c>
      <c r="L2545">
        <v>17</v>
      </c>
      <c r="M2545">
        <v>120</v>
      </c>
      <c r="N2545">
        <f t="shared" si="316"/>
        <v>2040</v>
      </c>
      <c r="O2545">
        <f t="shared" si="317"/>
        <v>204</v>
      </c>
      <c r="P2545" t="str">
        <f t="shared" si="318"/>
        <v>Large Order</v>
      </c>
      <c r="Q2545" t="str">
        <f t="shared" si="319"/>
        <v>Weekday</v>
      </c>
    </row>
    <row r="2546" spans="1:17" x14ac:dyDescent="0.35">
      <c r="A2546" t="s">
        <v>2696</v>
      </c>
      <c r="B2546" s="7">
        <v>45557</v>
      </c>
      <c r="C2546" s="13">
        <f t="shared" si="313"/>
        <v>2024</v>
      </c>
      <c r="D2546" s="7" t="str">
        <f t="shared" si="314"/>
        <v>Sep</v>
      </c>
      <c r="E2546" s="7" t="str">
        <f t="shared" si="315"/>
        <v>Sun</v>
      </c>
      <c r="F2546" t="s">
        <v>319</v>
      </c>
      <c r="G2546" t="s">
        <v>45</v>
      </c>
      <c r="H2546" t="s">
        <v>17</v>
      </c>
      <c r="I2546" s="2" t="str">
        <f t="shared" si="312"/>
        <v>West</v>
      </c>
      <c r="J2546" t="s">
        <v>42</v>
      </c>
      <c r="K2546" t="s">
        <v>36</v>
      </c>
      <c r="L2546">
        <v>16</v>
      </c>
      <c r="M2546">
        <v>120</v>
      </c>
      <c r="N2546">
        <f t="shared" si="316"/>
        <v>1920</v>
      </c>
      <c r="O2546">
        <f t="shared" si="317"/>
        <v>192</v>
      </c>
      <c r="P2546" t="str">
        <f t="shared" si="318"/>
        <v>Large Order</v>
      </c>
      <c r="Q2546" t="str">
        <f t="shared" si="319"/>
        <v>Weekend</v>
      </c>
    </row>
    <row r="2547" spans="1:17" x14ac:dyDescent="0.35">
      <c r="A2547" t="s">
        <v>2697</v>
      </c>
      <c r="B2547" s="7">
        <v>45545</v>
      </c>
      <c r="C2547" s="13">
        <f t="shared" si="313"/>
        <v>2024</v>
      </c>
      <c r="D2547" s="7" t="str">
        <f t="shared" si="314"/>
        <v>Sep</v>
      </c>
      <c r="E2547" s="7" t="str">
        <f t="shared" si="315"/>
        <v>Tue</v>
      </c>
      <c r="F2547" t="s">
        <v>553</v>
      </c>
      <c r="G2547" t="s">
        <v>26</v>
      </c>
      <c r="H2547" t="s">
        <v>22</v>
      </c>
      <c r="I2547" s="2" t="str">
        <f t="shared" si="312"/>
        <v>South</v>
      </c>
      <c r="J2547" t="s">
        <v>27</v>
      </c>
      <c r="K2547" t="s">
        <v>36</v>
      </c>
      <c r="L2547">
        <v>2</v>
      </c>
      <c r="M2547">
        <v>120</v>
      </c>
      <c r="N2547">
        <f t="shared" si="316"/>
        <v>240</v>
      </c>
      <c r="O2547">
        <f t="shared" si="317"/>
        <v>24</v>
      </c>
      <c r="P2547" t="str">
        <f t="shared" si="318"/>
        <v>Standard Order</v>
      </c>
      <c r="Q2547" t="str">
        <f t="shared" si="319"/>
        <v>Weekday</v>
      </c>
    </row>
    <row r="2548" spans="1:17" x14ac:dyDescent="0.35">
      <c r="A2548" t="s">
        <v>2698</v>
      </c>
      <c r="B2548" s="7">
        <v>45395</v>
      </c>
      <c r="C2548" s="13">
        <f t="shared" si="313"/>
        <v>2024</v>
      </c>
      <c r="D2548" s="7" t="str">
        <f t="shared" si="314"/>
        <v>Apr</v>
      </c>
      <c r="E2548" s="7" t="str">
        <f t="shared" si="315"/>
        <v>Sat</v>
      </c>
      <c r="F2548" t="s">
        <v>430</v>
      </c>
      <c r="G2548" t="s">
        <v>197</v>
      </c>
      <c r="H2548" t="s">
        <v>17</v>
      </c>
      <c r="I2548" s="2" t="str">
        <f t="shared" si="312"/>
        <v>Central</v>
      </c>
      <c r="J2548" t="s">
        <v>56</v>
      </c>
      <c r="K2548" t="s">
        <v>32</v>
      </c>
      <c r="L2548">
        <v>14</v>
      </c>
      <c r="M2548">
        <v>120</v>
      </c>
      <c r="N2548">
        <f t="shared" si="316"/>
        <v>1680</v>
      </c>
      <c r="O2548">
        <f t="shared" si="317"/>
        <v>168</v>
      </c>
      <c r="P2548" t="str">
        <f t="shared" si="318"/>
        <v>Large Order</v>
      </c>
      <c r="Q2548" t="str">
        <f t="shared" si="319"/>
        <v>Weekend</v>
      </c>
    </row>
    <row r="2549" spans="1:17" x14ac:dyDescent="0.35">
      <c r="A2549" t="s">
        <v>2699</v>
      </c>
      <c r="B2549" s="7">
        <v>45584</v>
      </c>
      <c r="C2549" s="13">
        <f t="shared" si="313"/>
        <v>2024</v>
      </c>
      <c r="D2549" s="7" t="str">
        <f t="shared" si="314"/>
        <v>Oct</v>
      </c>
      <c r="E2549" s="7" t="str">
        <f t="shared" si="315"/>
        <v>Sat</v>
      </c>
      <c r="F2549" t="s">
        <v>111</v>
      </c>
      <c r="G2549" t="s">
        <v>48</v>
      </c>
      <c r="H2549" t="s">
        <v>17</v>
      </c>
      <c r="I2549" s="2" t="str">
        <f t="shared" si="312"/>
        <v>South</v>
      </c>
      <c r="J2549" t="s">
        <v>306</v>
      </c>
      <c r="K2549" t="s">
        <v>13</v>
      </c>
      <c r="L2549">
        <v>5</v>
      </c>
      <c r="M2549">
        <v>120</v>
      </c>
      <c r="N2549">
        <f t="shared" si="316"/>
        <v>600</v>
      </c>
      <c r="O2549">
        <f t="shared" si="317"/>
        <v>60</v>
      </c>
      <c r="P2549" t="str">
        <f t="shared" si="318"/>
        <v>Large Order</v>
      </c>
      <c r="Q2549" t="str">
        <f t="shared" si="319"/>
        <v>Weekend</v>
      </c>
    </row>
    <row r="2550" spans="1:17" x14ac:dyDescent="0.35">
      <c r="A2550" t="s">
        <v>2700</v>
      </c>
      <c r="B2550" s="7">
        <v>45443</v>
      </c>
      <c r="C2550" s="13">
        <f t="shared" si="313"/>
        <v>2024</v>
      </c>
      <c r="D2550" s="7" t="str">
        <f t="shared" si="314"/>
        <v>May</v>
      </c>
      <c r="E2550" s="7" t="str">
        <f t="shared" si="315"/>
        <v>Fri</v>
      </c>
      <c r="F2550" t="s">
        <v>396</v>
      </c>
      <c r="G2550" t="s">
        <v>160</v>
      </c>
      <c r="H2550" t="s">
        <v>17</v>
      </c>
      <c r="I2550" s="2" t="str">
        <f t="shared" si="312"/>
        <v>West</v>
      </c>
      <c r="J2550" t="s">
        <v>56</v>
      </c>
      <c r="K2550" t="s">
        <v>36</v>
      </c>
      <c r="L2550">
        <v>2</v>
      </c>
      <c r="M2550">
        <v>120</v>
      </c>
      <c r="N2550">
        <f t="shared" si="316"/>
        <v>240</v>
      </c>
      <c r="O2550">
        <f t="shared" si="317"/>
        <v>24</v>
      </c>
      <c r="P2550" t="str">
        <f t="shared" si="318"/>
        <v>Standard Order</v>
      </c>
      <c r="Q2550" t="str">
        <f t="shared" si="319"/>
        <v>Weekday</v>
      </c>
    </row>
    <row r="2551" spans="1:17" x14ac:dyDescent="0.35">
      <c r="A2551" t="s">
        <v>2701</v>
      </c>
      <c r="B2551" s="7">
        <v>45610</v>
      </c>
      <c r="C2551" s="13">
        <f t="shared" si="313"/>
        <v>2024</v>
      </c>
      <c r="D2551" s="7" t="str">
        <f t="shared" si="314"/>
        <v>Nov</v>
      </c>
      <c r="E2551" s="7" t="str">
        <f t="shared" si="315"/>
        <v>Thu</v>
      </c>
      <c r="F2551" t="s">
        <v>47</v>
      </c>
      <c r="G2551" t="s">
        <v>87</v>
      </c>
      <c r="H2551" t="s">
        <v>17</v>
      </c>
      <c r="I2551" s="2" t="str">
        <f t="shared" si="312"/>
        <v>North</v>
      </c>
      <c r="J2551" t="s">
        <v>27</v>
      </c>
      <c r="K2551" t="s">
        <v>23</v>
      </c>
      <c r="L2551">
        <v>14</v>
      </c>
      <c r="M2551">
        <v>120</v>
      </c>
      <c r="N2551">
        <f t="shared" si="316"/>
        <v>1680</v>
      </c>
      <c r="O2551">
        <f t="shared" si="317"/>
        <v>168</v>
      </c>
      <c r="P2551" t="str">
        <f t="shared" si="318"/>
        <v>Large Order</v>
      </c>
      <c r="Q2551" t="str">
        <f t="shared" si="319"/>
        <v>Weekday</v>
      </c>
    </row>
    <row r="2552" spans="1:17" x14ac:dyDescent="0.35">
      <c r="A2552" t="s">
        <v>2702</v>
      </c>
      <c r="B2552" s="7">
        <v>45546</v>
      </c>
      <c r="C2552" s="13">
        <f t="shared" si="313"/>
        <v>2024</v>
      </c>
      <c r="D2552" s="7" t="str">
        <f t="shared" si="314"/>
        <v>Sep</v>
      </c>
      <c r="E2552" s="7" t="str">
        <f t="shared" si="315"/>
        <v>Wed</v>
      </c>
      <c r="F2552" t="s">
        <v>38</v>
      </c>
      <c r="G2552" t="s">
        <v>26</v>
      </c>
      <c r="H2552" t="s">
        <v>17</v>
      </c>
      <c r="I2552" s="2" t="str">
        <f t="shared" si="312"/>
        <v>East</v>
      </c>
      <c r="J2552" t="s">
        <v>12</v>
      </c>
      <c r="K2552" t="s">
        <v>28</v>
      </c>
      <c r="L2552">
        <v>15</v>
      </c>
      <c r="M2552">
        <v>120</v>
      </c>
      <c r="N2552">
        <f t="shared" si="316"/>
        <v>1800</v>
      </c>
      <c r="O2552">
        <f t="shared" si="317"/>
        <v>180</v>
      </c>
      <c r="P2552" t="str">
        <f t="shared" si="318"/>
        <v>Large Order</v>
      </c>
      <c r="Q2552" t="str">
        <f t="shared" si="319"/>
        <v>Weekday</v>
      </c>
    </row>
    <row r="2553" spans="1:17" x14ac:dyDescent="0.35">
      <c r="A2553" t="s">
        <v>2703</v>
      </c>
      <c r="B2553" s="7">
        <v>45622</v>
      </c>
      <c r="C2553" s="13">
        <f t="shared" si="313"/>
        <v>2024</v>
      </c>
      <c r="D2553" s="7" t="str">
        <f t="shared" si="314"/>
        <v>Nov</v>
      </c>
      <c r="E2553" s="7" t="str">
        <f t="shared" si="315"/>
        <v>Tue</v>
      </c>
      <c r="F2553" t="s">
        <v>208</v>
      </c>
      <c r="G2553" t="s">
        <v>48</v>
      </c>
      <c r="H2553" t="s">
        <v>11</v>
      </c>
      <c r="I2553" s="2" t="str">
        <f t="shared" si="312"/>
        <v>North</v>
      </c>
      <c r="J2553" t="s">
        <v>42</v>
      </c>
      <c r="K2553" t="s">
        <v>36</v>
      </c>
      <c r="L2553">
        <v>17</v>
      </c>
      <c r="M2553">
        <v>120</v>
      </c>
      <c r="N2553">
        <f t="shared" si="316"/>
        <v>2040</v>
      </c>
      <c r="O2553">
        <f t="shared" si="317"/>
        <v>204</v>
      </c>
      <c r="P2553" t="str">
        <f t="shared" si="318"/>
        <v>Large Order</v>
      </c>
      <c r="Q2553" t="str">
        <f t="shared" si="319"/>
        <v>Weekday</v>
      </c>
    </row>
    <row r="2554" spans="1:17" x14ac:dyDescent="0.35">
      <c r="A2554" t="s">
        <v>2704</v>
      </c>
      <c r="B2554" s="7">
        <v>45332</v>
      </c>
      <c r="C2554" s="13">
        <f t="shared" si="313"/>
        <v>2024</v>
      </c>
      <c r="D2554" s="7" t="str">
        <f t="shared" si="314"/>
        <v>Feb</v>
      </c>
      <c r="E2554" s="7" t="str">
        <f t="shared" si="315"/>
        <v>Sat</v>
      </c>
      <c r="F2554" t="s">
        <v>728</v>
      </c>
      <c r="G2554" t="s">
        <v>26</v>
      </c>
      <c r="H2554" t="s">
        <v>11</v>
      </c>
      <c r="I2554" s="2" t="str">
        <f t="shared" si="312"/>
        <v>East</v>
      </c>
      <c r="J2554" t="s">
        <v>12</v>
      </c>
      <c r="K2554" t="s">
        <v>13</v>
      </c>
      <c r="L2554">
        <v>3</v>
      </c>
      <c r="M2554">
        <v>120</v>
      </c>
      <c r="N2554">
        <f t="shared" si="316"/>
        <v>360</v>
      </c>
      <c r="O2554">
        <f t="shared" si="317"/>
        <v>36</v>
      </c>
      <c r="P2554" t="str">
        <f t="shared" si="318"/>
        <v>Standard Order</v>
      </c>
      <c r="Q2554" t="str">
        <f t="shared" si="319"/>
        <v>Weekend</v>
      </c>
    </row>
    <row r="2555" spans="1:17" x14ac:dyDescent="0.35">
      <c r="A2555" t="s">
        <v>2705</v>
      </c>
      <c r="B2555" s="7">
        <v>45571</v>
      </c>
      <c r="C2555" s="13">
        <f t="shared" si="313"/>
        <v>2024</v>
      </c>
      <c r="D2555" s="7" t="str">
        <f t="shared" si="314"/>
        <v>Oct</v>
      </c>
      <c r="E2555" s="7" t="str">
        <f t="shared" si="315"/>
        <v>Sun</v>
      </c>
      <c r="F2555" t="s">
        <v>104</v>
      </c>
      <c r="G2555" t="s">
        <v>72</v>
      </c>
      <c r="H2555" t="s">
        <v>11</v>
      </c>
      <c r="I2555" s="2" t="str">
        <f t="shared" si="312"/>
        <v>Central</v>
      </c>
      <c r="J2555" t="s">
        <v>42</v>
      </c>
      <c r="K2555" t="s">
        <v>32</v>
      </c>
      <c r="L2555">
        <v>10</v>
      </c>
      <c r="M2555">
        <v>120</v>
      </c>
      <c r="N2555">
        <f t="shared" si="316"/>
        <v>1200</v>
      </c>
      <c r="O2555">
        <f t="shared" si="317"/>
        <v>120</v>
      </c>
      <c r="P2555" t="str">
        <f t="shared" si="318"/>
        <v>Large Order</v>
      </c>
      <c r="Q2555" t="str">
        <f t="shared" si="319"/>
        <v>Weekend</v>
      </c>
    </row>
    <row r="2556" spans="1:17" x14ac:dyDescent="0.35">
      <c r="A2556" t="s">
        <v>2706</v>
      </c>
      <c r="B2556" s="7">
        <v>45641</v>
      </c>
      <c r="C2556" s="13">
        <f t="shared" si="313"/>
        <v>2024</v>
      </c>
      <c r="D2556" s="7" t="str">
        <f t="shared" si="314"/>
        <v>Dec</v>
      </c>
      <c r="E2556" s="7" t="str">
        <f t="shared" si="315"/>
        <v>Sun</v>
      </c>
      <c r="F2556" t="s">
        <v>89</v>
      </c>
      <c r="G2556" t="s">
        <v>65</v>
      </c>
      <c r="H2556" t="s">
        <v>22</v>
      </c>
      <c r="I2556" s="2" t="str">
        <f t="shared" si="312"/>
        <v>East</v>
      </c>
      <c r="J2556" t="s">
        <v>306</v>
      </c>
      <c r="K2556" t="s">
        <v>28</v>
      </c>
      <c r="L2556">
        <v>18</v>
      </c>
      <c r="M2556">
        <v>120</v>
      </c>
      <c r="N2556">
        <f t="shared" si="316"/>
        <v>2160</v>
      </c>
      <c r="O2556">
        <f t="shared" si="317"/>
        <v>216</v>
      </c>
      <c r="P2556" t="str">
        <f t="shared" si="318"/>
        <v>Large Order</v>
      </c>
      <c r="Q2556" t="str">
        <f t="shared" si="319"/>
        <v>Weekend</v>
      </c>
    </row>
    <row r="2557" spans="1:17" x14ac:dyDescent="0.35">
      <c r="A2557" t="s">
        <v>2707</v>
      </c>
      <c r="B2557" s="7">
        <v>45296</v>
      </c>
      <c r="C2557" s="13">
        <f t="shared" si="313"/>
        <v>2024</v>
      </c>
      <c r="D2557" s="7" t="str">
        <f t="shared" si="314"/>
        <v>Jan</v>
      </c>
      <c r="E2557" s="7" t="str">
        <f t="shared" si="315"/>
        <v>Fri</v>
      </c>
      <c r="F2557" t="s">
        <v>337</v>
      </c>
      <c r="G2557" t="s">
        <v>74</v>
      </c>
      <c r="H2557" t="s">
        <v>17</v>
      </c>
      <c r="I2557" s="2" t="str">
        <f t="shared" si="312"/>
        <v>Central</v>
      </c>
      <c r="J2557" t="s">
        <v>42</v>
      </c>
      <c r="K2557" t="s">
        <v>23</v>
      </c>
      <c r="L2557">
        <v>13</v>
      </c>
      <c r="M2557">
        <v>120</v>
      </c>
      <c r="N2557">
        <f t="shared" si="316"/>
        <v>1560</v>
      </c>
      <c r="O2557">
        <f t="shared" si="317"/>
        <v>156</v>
      </c>
      <c r="P2557" t="str">
        <f t="shared" si="318"/>
        <v>Large Order</v>
      </c>
      <c r="Q2557" t="str">
        <f t="shared" si="319"/>
        <v>Weekday</v>
      </c>
    </row>
    <row r="2558" spans="1:17" x14ac:dyDescent="0.35">
      <c r="A2558" t="s">
        <v>2708</v>
      </c>
      <c r="B2558" s="7">
        <v>45627</v>
      </c>
      <c r="C2558" s="13">
        <f t="shared" si="313"/>
        <v>2024</v>
      </c>
      <c r="D2558" s="7" t="str">
        <f t="shared" si="314"/>
        <v>Dec</v>
      </c>
      <c r="E2558" s="7" t="str">
        <f t="shared" si="315"/>
        <v>Sun</v>
      </c>
      <c r="F2558" t="s">
        <v>142</v>
      </c>
      <c r="G2558" t="s">
        <v>35</v>
      </c>
      <c r="H2558" t="s">
        <v>22</v>
      </c>
      <c r="I2558" s="2" t="str">
        <f t="shared" si="312"/>
        <v>Central</v>
      </c>
      <c r="J2558" t="s">
        <v>306</v>
      </c>
      <c r="K2558" t="s">
        <v>28</v>
      </c>
      <c r="L2558">
        <v>13</v>
      </c>
      <c r="M2558">
        <v>120</v>
      </c>
      <c r="N2558">
        <f t="shared" si="316"/>
        <v>1560</v>
      </c>
      <c r="O2558">
        <f t="shared" si="317"/>
        <v>156</v>
      </c>
      <c r="P2558" t="str">
        <f t="shared" si="318"/>
        <v>Large Order</v>
      </c>
      <c r="Q2558" t="str">
        <f t="shared" si="319"/>
        <v>Weekend</v>
      </c>
    </row>
    <row r="2559" spans="1:17" x14ac:dyDescent="0.35">
      <c r="A2559" t="s">
        <v>2709</v>
      </c>
      <c r="B2559" s="7">
        <v>45399</v>
      </c>
      <c r="C2559" s="13">
        <f t="shared" si="313"/>
        <v>2024</v>
      </c>
      <c r="D2559" s="7" t="str">
        <f t="shared" si="314"/>
        <v>Apr</v>
      </c>
      <c r="E2559" s="7" t="str">
        <f t="shared" si="315"/>
        <v>Wed</v>
      </c>
      <c r="F2559" t="s">
        <v>553</v>
      </c>
      <c r="G2559" t="s">
        <v>197</v>
      </c>
      <c r="H2559" t="s">
        <v>22</v>
      </c>
      <c r="I2559" s="2" t="str">
        <f t="shared" si="312"/>
        <v>South</v>
      </c>
      <c r="J2559" t="s">
        <v>306</v>
      </c>
      <c r="K2559" t="s">
        <v>36</v>
      </c>
      <c r="L2559">
        <v>15</v>
      </c>
      <c r="M2559">
        <v>120</v>
      </c>
      <c r="N2559">
        <f t="shared" si="316"/>
        <v>1800</v>
      </c>
      <c r="O2559">
        <f t="shared" si="317"/>
        <v>180</v>
      </c>
      <c r="P2559" t="str">
        <f t="shared" si="318"/>
        <v>Large Order</v>
      </c>
      <c r="Q2559" t="str">
        <f t="shared" si="319"/>
        <v>Weekday</v>
      </c>
    </row>
    <row r="2560" spans="1:17" x14ac:dyDescent="0.35">
      <c r="A2560" t="s">
        <v>2710</v>
      </c>
      <c r="B2560" s="7">
        <v>45528</v>
      </c>
      <c r="C2560" s="13">
        <f t="shared" si="313"/>
        <v>2024</v>
      </c>
      <c r="D2560" s="7" t="str">
        <f t="shared" si="314"/>
        <v>Aug</v>
      </c>
      <c r="E2560" s="7" t="str">
        <f t="shared" si="315"/>
        <v>Sat</v>
      </c>
      <c r="F2560" t="s">
        <v>47</v>
      </c>
      <c r="G2560" t="s">
        <v>10</v>
      </c>
      <c r="H2560" t="s">
        <v>17</v>
      </c>
      <c r="I2560" s="2" t="str">
        <f t="shared" si="312"/>
        <v>South</v>
      </c>
      <c r="J2560" t="s">
        <v>56</v>
      </c>
      <c r="K2560" t="s">
        <v>23</v>
      </c>
      <c r="L2560">
        <v>14</v>
      </c>
      <c r="M2560">
        <v>120</v>
      </c>
      <c r="N2560">
        <f t="shared" si="316"/>
        <v>1680</v>
      </c>
      <c r="O2560">
        <f t="shared" si="317"/>
        <v>168</v>
      </c>
      <c r="P2560" t="str">
        <f t="shared" si="318"/>
        <v>Large Order</v>
      </c>
      <c r="Q2560" t="str">
        <f t="shared" si="319"/>
        <v>Weekend</v>
      </c>
    </row>
    <row r="2561" spans="1:17" x14ac:dyDescent="0.35">
      <c r="A2561" t="s">
        <v>2711</v>
      </c>
      <c r="B2561" s="7">
        <v>45522</v>
      </c>
      <c r="C2561" s="13">
        <f t="shared" si="313"/>
        <v>2024</v>
      </c>
      <c r="D2561" s="7" t="str">
        <f t="shared" si="314"/>
        <v>Aug</v>
      </c>
      <c r="E2561" s="7" t="str">
        <f t="shared" si="315"/>
        <v>Sun</v>
      </c>
      <c r="F2561" t="s">
        <v>642</v>
      </c>
      <c r="G2561" t="s">
        <v>96</v>
      </c>
      <c r="H2561" t="s">
        <v>17</v>
      </c>
      <c r="I2561" s="2" t="str">
        <f t="shared" si="312"/>
        <v>East</v>
      </c>
      <c r="J2561" t="s">
        <v>56</v>
      </c>
      <c r="K2561" t="s">
        <v>36</v>
      </c>
      <c r="L2561">
        <v>5</v>
      </c>
      <c r="M2561">
        <v>120</v>
      </c>
      <c r="N2561">
        <f t="shared" si="316"/>
        <v>600</v>
      </c>
      <c r="O2561">
        <f t="shared" si="317"/>
        <v>60</v>
      </c>
      <c r="P2561" t="str">
        <f t="shared" si="318"/>
        <v>Large Order</v>
      </c>
      <c r="Q2561" t="str">
        <f t="shared" si="319"/>
        <v>Weekend</v>
      </c>
    </row>
    <row r="2562" spans="1:17" x14ac:dyDescent="0.35">
      <c r="A2562" t="s">
        <v>2712</v>
      </c>
      <c r="B2562" s="7">
        <v>45296</v>
      </c>
      <c r="C2562" s="13">
        <f t="shared" si="313"/>
        <v>2024</v>
      </c>
      <c r="D2562" s="7" t="str">
        <f t="shared" si="314"/>
        <v>Jan</v>
      </c>
      <c r="E2562" s="7" t="str">
        <f t="shared" si="315"/>
        <v>Fri</v>
      </c>
      <c r="F2562" t="s">
        <v>432</v>
      </c>
      <c r="G2562" t="s">
        <v>41</v>
      </c>
      <c r="H2562" t="s">
        <v>17</v>
      </c>
      <c r="I2562" s="2" t="str">
        <f t="shared" si="312"/>
        <v>Central</v>
      </c>
      <c r="J2562" t="s">
        <v>42</v>
      </c>
      <c r="K2562" t="s">
        <v>28</v>
      </c>
      <c r="L2562">
        <v>14</v>
      </c>
      <c r="M2562">
        <v>120</v>
      </c>
      <c r="N2562">
        <f t="shared" si="316"/>
        <v>1680</v>
      </c>
      <c r="O2562">
        <f t="shared" si="317"/>
        <v>168</v>
      </c>
      <c r="P2562" t="str">
        <f t="shared" si="318"/>
        <v>Large Order</v>
      </c>
      <c r="Q2562" t="str">
        <f t="shared" si="319"/>
        <v>Weekday</v>
      </c>
    </row>
    <row r="2563" spans="1:17" x14ac:dyDescent="0.35">
      <c r="A2563" t="s">
        <v>2713</v>
      </c>
      <c r="B2563" s="7">
        <v>45498</v>
      </c>
      <c r="C2563" s="13">
        <f t="shared" si="313"/>
        <v>2024</v>
      </c>
      <c r="D2563" s="7" t="str">
        <f t="shared" si="314"/>
        <v>Jul</v>
      </c>
      <c r="E2563" s="7" t="str">
        <f t="shared" si="315"/>
        <v>Thu</v>
      </c>
      <c r="F2563" t="s">
        <v>332</v>
      </c>
      <c r="G2563" t="s">
        <v>119</v>
      </c>
      <c r="H2563" t="s">
        <v>22</v>
      </c>
      <c r="I2563" s="2" t="str">
        <f t="shared" ref="I2563:I2626" si="320">TRIM(J2564)</f>
        <v>South</v>
      </c>
      <c r="J2563" t="s">
        <v>306</v>
      </c>
      <c r="K2563" t="s">
        <v>32</v>
      </c>
      <c r="L2563">
        <v>11</v>
      </c>
      <c r="M2563">
        <v>120</v>
      </c>
      <c r="N2563">
        <f t="shared" si="316"/>
        <v>1320</v>
      </c>
      <c r="O2563">
        <f t="shared" si="317"/>
        <v>132</v>
      </c>
      <c r="P2563" t="str">
        <f t="shared" si="318"/>
        <v>Large Order</v>
      </c>
      <c r="Q2563" t="str">
        <f t="shared" si="319"/>
        <v>Weekday</v>
      </c>
    </row>
    <row r="2564" spans="1:17" x14ac:dyDescent="0.35">
      <c r="A2564" t="s">
        <v>2714</v>
      </c>
      <c r="B2564" s="7">
        <v>45582</v>
      </c>
      <c r="C2564" s="13">
        <f t="shared" ref="C2564:C2627" si="321">YEAR(B2564)</f>
        <v>2024</v>
      </c>
      <c r="D2564" s="7" t="str">
        <f t="shared" ref="D2564:D2627" si="322">TEXT(B2564,"mmm")</f>
        <v>Oct</v>
      </c>
      <c r="E2564" s="7" t="str">
        <f t="shared" ref="E2564:E2627" si="323">TEXT(B2564,"ddd")</f>
        <v>Thu</v>
      </c>
      <c r="F2564" t="s">
        <v>728</v>
      </c>
      <c r="G2564" t="s">
        <v>79</v>
      </c>
      <c r="H2564" t="s">
        <v>11</v>
      </c>
      <c r="I2564" s="2" t="str">
        <f t="shared" si="320"/>
        <v>West</v>
      </c>
      <c r="J2564" t="s">
        <v>56</v>
      </c>
      <c r="K2564" t="s">
        <v>32</v>
      </c>
      <c r="L2564">
        <v>19</v>
      </c>
      <c r="M2564">
        <v>120</v>
      </c>
      <c r="N2564">
        <f t="shared" ref="N2564:N2627" si="324">M2564*L2564</f>
        <v>2280</v>
      </c>
      <c r="O2564">
        <f t="shared" ref="O2564:O2627" si="325">N2564*0.1</f>
        <v>228</v>
      </c>
      <c r="P2564" t="str">
        <f t="shared" ref="P2564:P2627" si="326">IF(N2564&gt;500,"Large Order","Standard Order")</f>
        <v>Large Order</v>
      </c>
      <c r="Q2564" t="str">
        <f t="shared" ref="Q2564:Q2627" si="327">IF(OR(TRIM(E2564)="Sat",TRIM(E2564)="Sun"),"Weekend","Weekday")</f>
        <v>Weekday</v>
      </c>
    </row>
    <row r="2565" spans="1:17" x14ac:dyDescent="0.35">
      <c r="A2565" t="s">
        <v>2715</v>
      </c>
      <c r="B2565" s="7">
        <v>45600</v>
      </c>
      <c r="C2565" s="13">
        <f t="shared" si="321"/>
        <v>2024</v>
      </c>
      <c r="D2565" s="7" t="str">
        <f t="shared" si="322"/>
        <v>Nov</v>
      </c>
      <c r="E2565" s="7" t="str">
        <f t="shared" si="323"/>
        <v>Mon</v>
      </c>
      <c r="F2565" t="s">
        <v>493</v>
      </c>
      <c r="G2565" t="s">
        <v>59</v>
      </c>
      <c r="H2565" t="s">
        <v>17</v>
      </c>
      <c r="I2565" s="2" t="str">
        <f t="shared" si="320"/>
        <v>East</v>
      </c>
      <c r="J2565" t="s">
        <v>27</v>
      </c>
      <c r="K2565" t="s">
        <v>28</v>
      </c>
      <c r="L2565">
        <v>13</v>
      </c>
      <c r="M2565">
        <v>120</v>
      </c>
      <c r="N2565">
        <f t="shared" si="324"/>
        <v>1560</v>
      </c>
      <c r="O2565">
        <f t="shared" si="325"/>
        <v>156</v>
      </c>
      <c r="P2565" t="str">
        <f t="shared" si="326"/>
        <v>Large Order</v>
      </c>
      <c r="Q2565" t="str">
        <f t="shared" si="327"/>
        <v>Weekday</v>
      </c>
    </row>
    <row r="2566" spans="1:17" x14ac:dyDescent="0.35">
      <c r="A2566" t="s">
        <v>2716</v>
      </c>
      <c r="B2566" s="7">
        <v>45489</v>
      </c>
      <c r="C2566" s="13">
        <f t="shared" si="321"/>
        <v>2024</v>
      </c>
      <c r="D2566" s="7" t="str">
        <f t="shared" si="322"/>
        <v>Jul</v>
      </c>
      <c r="E2566" s="7" t="str">
        <f t="shared" si="323"/>
        <v>Tue</v>
      </c>
      <c r="F2566" t="s">
        <v>150</v>
      </c>
      <c r="G2566" t="s">
        <v>35</v>
      </c>
      <c r="H2566" t="s">
        <v>11</v>
      </c>
      <c r="I2566" s="2" t="str">
        <f t="shared" si="320"/>
        <v>Central</v>
      </c>
      <c r="J2566" t="s">
        <v>42</v>
      </c>
      <c r="K2566" t="s">
        <v>36</v>
      </c>
      <c r="L2566">
        <v>15</v>
      </c>
      <c r="M2566">
        <v>120</v>
      </c>
      <c r="N2566">
        <f t="shared" si="324"/>
        <v>1800</v>
      </c>
      <c r="O2566">
        <f t="shared" si="325"/>
        <v>180</v>
      </c>
      <c r="P2566" t="str">
        <f t="shared" si="326"/>
        <v>Large Order</v>
      </c>
      <c r="Q2566" t="str">
        <f t="shared" si="327"/>
        <v>Weekday</v>
      </c>
    </row>
    <row r="2567" spans="1:17" x14ac:dyDescent="0.35">
      <c r="A2567" t="s">
        <v>2717</v>
      </c>
      <c r="B2567" s="7">
        <v>45447</v>
      </c>
      <c r="C2567" s="13">
        <f t="shared" si="321"/>
        <v>2024</v>
      </c>
      <c r="D2567" s="7" t="str">
        <f t="shared" si="322"/>
        <v>Jun</v>
      </c>
      <c r="E2567" s="7" t="str">
        <f t="shared" si="323"/>
        <v>Tue</v>
      </c>
      <c r="F2567" t="s">
        <v>203</v>
      </c>
      <c r="G2567" t="s">
        <v>45</v>
      </c>
      <c r="H2567" t="s">
        <v>11</v>
      </c>
      <c r="I2567" s="2" t="str">
        <f t="shared" si="320"/>
        <v>South</v>
      </c>
      <c r="J2567" t="s">
        <v>306</v>
      </c>
      <c r="K2567" t="s">
        <v>28</v>
      </c>
      <c r="L2567">
        <v>2</v>
      </c>
      <c r="M2567">
        <v>120</v>
      </c>
      <c r="N2567">
        <f t="shared" si="324"/>
        <v>240</v>
      </c>
      <c r="O2567">
        <f t="shared" si="325"/>
        <v>24</v>
      </c>
      <c r="P2567" t="str">
        <f t="shared" si="326"/>
        <v>Standard Order</v>
      </c>
      <c r="Q2567" t="str">
        <f t="shared" si="327"/>
        <v>Weekday</v>
      </c>
    </row>
    <row r="2568" spans="1:17" x14ac:dyDescent="0.35">
      <c r="A2568" t="s">
        <v>2718</v>
      </c>
      <c r="B2568" s="7">
        <v>45600</v>
      </c>
      <c r="C2568" s="13">
        <f t="shared" si="321"/>
        <v>2024</v>
      </c>
      <c r="D2568" s="7" t="str">
        <f t="shared" si="322"/>
        <v>Nov</v>
      </c>
      <c r="E2568" s="7" t="str">
        <f t="shared" si="323"/>
        <v>Mon</v>
      </c>
      <c r="F2568" t="s">
        <v>374</v>
      </c>
      <c r="G2568" t="s">
        <v>96</v>
      </c>
      <c r="H2568" t="s">
        <v>11</v>
      </c>
      <c r="I2568" s="2" t="str">
        <f t="shared" si="320"/>
        <v>North</v>
      </c>
      <c r="J2568" t="s">
        <v>56</v>
      </c>
      <c r="K2568" t="s">
        <v>13</v>
      </c>
      <c r="L2568">
        <v>13</v>
      </c>
      <c r="M2568">
        <v>120</v>
      </c>
      <c r="N2568">
        <f t="shared" si="324"/>
        <v>1560</v>
      </c>
      <c r="O2568">
        <f t="shared" si="325"/>
        <v>156</v>
      </c>
      <c r="P2568" t="str">
        <f t="shared" si="326"/>
        <v>Large Order</v>
      </c>
      <c r="Q2568" t="str">
        <f t="shared" si="327"/>
        <v>Weekday</v>
      </c>
    </row>
    <row r="2569" spans="1:17" x14ac:dyDescent="0.35">
      <c r="A2569" t="s">
        <v>2719</v>
      </c>
      <c r="B2569" s="7">
        <v>45411</v>
      </c>
      <c r="C2569" s="13">
        <f t="shared" si="321"/>
        <v>2024</v>
      </c>
      <c r="D2569" s="7" t="str">
        <f t="shared" si="322"/>
        <v>Apr</v>
      </c>
      <c r="E2569" s="7" t="str">
        <f t="shared" si="323"/>
        <v>Mon</v>
      </c>
      <c r="F2569" t="s">
        <v>61</v>
      </c>
      <c r="G2569" t="s">
        <v>41</v>
      </c>
      <c r="H2569" t="s">
        <v>22</v>
      </c>
      <c r="I2569" s="2" t="str">
        <f t="shared" si="320"/>
        <v>West</v>
      </c>
      <c r="J2569" t="s">
        <v>12</v>
      </c>
      <c r="K2569" t="s">
        <v>23</v>
      </c>
      <c r="L2569">
        <v>2</v>
      </c>
      <c r="M2569">
        <v>120</v>
      </c>
      <c r="N2569">
        <f t="shared" si="324"/>
        <v>240</v>
      </c>
      <c r="O2569">
        <f t="shared" si="325"/>
        <v>24</v>
      </c>
      <c r="P2569" t="str">
        <f t="shared" si="326"/>
        <v>Standard Order</v>
      </c>
      <c r="Q2569" t="str">
        <f t="shared" si="327"/>
        <v>Weekday</v>
      </c>
    </row>
    <row r="2570" spans="1:17" x14ac:dyDescent="0.35">
      <c r="A2570" t="s">
        <v>2720</v>
      </c>
      <c r="B2570" s="7">
        <v>45297</v>
      </c>
      <c r="C2570" s="13">
        <f t="shared" si="321"/>
        <v>2024</v>
      </c>
      <c r="D2570" s="7" t="str">
        <f t="shared" si="322"/>
        <v>Jan</v>
      </c>
      <c r="E2570" s="7" t="str">
        <f t="shared" si="323"/>
        <v>Sat</v>
      </c>
      <c r="F2570" t="s">
        <v>30</v>
      </c>
      <c r="G2570" t="s">
        <v>72</v>
      </c>
      <c r="H2570" t="s">
        <v>17</v>
      </c>
      <c r="I2570" s="2" t="str">
        <f t="shared" si="320"/>
        <v>West</v>
      </c>
      <c r="J2570" t="s">
        <v>27</v>
      </c>
      <c r="K2570" t="s">
        <v>28</v>
      </c>
      <c r="L2570">
        <v>4</v>
      </c>
      <c r="M2570">
        <v>120</v>
      </c>
      <c r="N2570">
        <f t="shared" si="324"/>
        <v>480</v>
      </c>
      <c r="O2570">
        <f t="shared" si="325"/>
        <v>48</v>
      </c>
      <c r="P2570" t="str">
        <f t="shared" si="326"/>
        <v>Standard Order</v>
      </c>
      <c r="Q2570" t="str">
        <f t="shared" si="327"/>
        <v>Weekend</v>
      </c>
    </row>
    <row r="2571" spans="1:17" x14ac:dyDescent="0.35">
      <c r="A2571" t="s">
        <v>2721</v>
      </c>
      <c r="B2571" s="7">
        <v>45506</v>
      </c>
      <c r="C2571" s="13">
        <f t="shared" si="321"/>
        <v>2024</v>
      </c>
      <c r="D2571" s="7" t="str">
        <f t="shared" si="322"/>
        <v>Aug</v>
      </c>
      <c r="E2571" s="7" t="str">
        <f t="shared" si="323"/>
        <v>Fri</v>
      </c>
      <c r="F2571" t="s">
        <v>517</v>
      </c>
      <c r="G2571" t="s">
        <v>84</v>
      </c>
      <c r="H2571" t="s">
        <v>11</v>
      </c>
      <c r="I2571" s="2" t="str">
        <f t="shared" si="320"/>
        <v>West</v>
      </c>
      <c r="J2571" t="s">
        <v>27</v>
      </c>
      <c r="K2571" t="s">
        <v>28</v>
      </c>
      <c r="L2571">
        <v>5</v>
      </c>
      <c r="M2571">
        <v>120</v>
      </c>
      <c r="N2571">
        <f t="shared" si="324"/>
        <v>600</v>
      </c>
      <c r="O2571">
        <f t="shared" si="325"/>
        <v>60</v>
      </c>
      <c r="P2571" t="str">
        <f t="shared" si="326"/>
        <v>Large Order</v>
      </c>
      <c r="Q2571" t="str">
        <f t="shared" si="327"/>
        <v>Weekday</v>
      </c>
    </row>
    <row r="2572" spans="1:17" x14ac:dyDescent="0.35">
      <c r="A2572" t="s">
        <v>2722</v>
      </c>
      <c r="B2572" s="7">
        <v>45450</v>
      </c>
      <c r="C2572" s="13">
        <f t="shared" si="321"/>
        <v>2024</v>
      </c>
      <c r="D2572" s="7" t="str">
        <f t="shared" si="322"/>
        <v>Jun</v>
      </c>
      <c r="E2572" s="7" t="str">
        <f t="shared" si="323"/>
        <v>Fri</v>
      </c>
      <c r="F2572" t="s">
        <v>348</v>
      </c>
      <c r="G2572" t="s">
        <v>62</v>
      </c>
      <c r="H2572" t="s">
        <v>22</v>
      </c>
      <c r="I2572" s="2" t="str">
        <f t="shared" si="320"/>
        <v>West</v>
      </c>
      <c r="J2572" t="s">
        <v>27</v>
      </c>
      <c r="K2572" t="s">
        <v>28</v>
      </c>
      <c r="L2572">
        <v>20</v>
      </c>
      <c r="M2572">
        <v>120</v>
      </c>
      <c r="N2572">
        <f t="shared" si="324"/>
        <v>2400</v>
      </c>
      <c r="O2572">
        <f t="shared" si="325"/>
        <v>240</v>
      </c>
      <c r="P2572" t="str">
        <f t="shared" si="326"/>
        <v>Large Order</v>
      </c>
      <c r="Q2572" t="str">
        <f t="shared" si="327"/>
        <v>Weekday</v>
      </c>
    </row>
    <row r="2573" spans="1:17" x14ac:dyDescent="0.35">
      <c r="A2573" t="s">
        <v>2723</v>
      </c>
      <c r="B2573" s="7">
        <v>45450</v>
      </c>
      <c r="C2573" s="13">
        <f t="shared" si="321"/>
        <v>2024</v>
      </c>
      <c r="D2573" s="7" t="str">
        <f t="shared" si="322"/>
        <v>Jun</v>
      </c>
      <c r="E2573" s="7" t="str">
        <f t="shared" si="323"/>
        <v>Fri</v>
      </c>
      <c r="F2573" t="s">
        <v>449</v>
      </c>
      <c r="G2573" t="s">
        <v>65</v>
      </c>
      <c r="H2573" t="s">
        <v>22</v>
      </c>
      <c r="I2573" s="2" t="str">
        <f t="shared" si="320"/>
        <v>Central</v>
      </c>
      <c r="J2573" t="s">
        <v>27</v>
      </c>
      <c r="K2573" t="s">
        <v>32</v>
      </c>
      <c r="L2573">
        <v>7</v>
      </c>
      <c r="M2573">
        <v>120</v>
      </c>
      <c r="N2573">
        <f t="shared" si="324"/>
        <v>840</v>
      </c>
      <c r="O2573">
        <f t="shared" si="325"/>
        <v>84</v>
      </c>
      <c r="P2573" t="str">
        <f t="shared" si="326"/>
        <v>Large Order</v>
      </c>
      <c r="Q2573" t="str">
        <f t="shared" si="327"/>
        <v>Weekday</v>
      </c>
    </row>
    <row r="2574" spans="1:17" x14ac:dyDescent="0.35">
      <c r="A2574" t="s">
        <v>2724</v>
      </c>
      <c r="B2574" s="7">
        <v>45365</v>
      </c>
      <c r="C2574" s="13">
        <f t="shared" si="321"/>
        <v>2024</v>
      </c>
      <c r="D2574" s="7" t="str">
        <f t="shared" si="322"/>
        <v>Mar</v>
      </c>
      <c r="E2574" s="7" t="str">
        <f t="shared" si="323"/>
        <v>Thu</v>
      </c>
      <c r="F2574" t="s">
        <v>430</v>
      </c>
      <c r="G2574" t="s">
        <v>10</v>
      </c>
      <c r="H2574" t="s">
        <v>17</v>
      </c>
      <c r="I2574" s="2" t="str">
        <f t="shared" si="320"/>
        <v>Central</v>
      </c>
      <c r="J2574" t="s">
        <v>306</v>
      </c>
      <c r="K2574" t="s">
        <v>28</v>
      </c>
      <c r="L2574">
        <v>17</v>
      </c>
      <c r="M2574">
        <v>120</v>
      </c>
      <c r="N2574">
        <f t="shared" si="324"/>
        <v>2040</v>
      </c>
      <c r="O2574">
        <f t="shared" si="325"/>
        <v>204</v>
      </c>
      <c r="P2574" t="str">
        <f t="shared" si="326"/>
        <v>Large Order</v>
      </c>
      <c r="Q2574" t="str">
        <f t="shared" si="327"/>
        <v>Weekday</v>
      </c>
    </row>
    <row r="2575" spans="1:17" x14ac:dyDescent="0.35">
      <c r="A2575" t="s">
        <v>2725</v>
      </c>
      <c r="B2575" s="7">
        <v>45583</v>
      </c>
      <c r="C2575" s="13">
        <f t="shared" si="321"/>
        <v>2024</v>
      </c>
      <c r="D2575" s="7" t="str">
        <f t="shared" si="322"/>
        <v>Oct</v>
      </c>
      <c r="E2575" s="7" t="str">
        <f t="shared" si="323"/>
        <v>Fri</v>
      </c>
      <c r="F2575" t="s">
        <v>374</v>
      </c>
      <c r="G2575" t="s">
        <v>70</v>
      </c>
      <c r="H2575" t="s">
        <v>17</v>
      </c>
      <c r="I2575" s="2" t="str">
        <f t="shared" si="320"/>
        <v>East</v>
      </c>
      <c r="J2575" t="s">
        <v>306</v>
      </c>
      <c r="K2575" t="s">
        <v>13</v>
      </c>
      <c r="L2575">
        <v>3</v>
      </c>
      <c r="M2575">
        <v>120</v>
      </c>
      <c r="N2575">
        <f t="shared" si="324"/>
        <v>360</v>
      </c>
      <c r="O2575">
        <f t="shared" si="325"/>
        <v>36</v>
      </c>
      <c r="P2575" t="str">
        <f t="shared" si="326"/>
        <v>Standard Order</v>
      </c>
      <c r="Q2575" t="str">
        <f t="shared" si="327"/>
        <v>Weekday</v>
      </c>
    </row>
    <row r="2576" spans="1:17" x14ac:dyDescent="0.35">
      <c r="A2576" t="s">
        <v>2726</v>
      </c>
      <c r="B2576" s="7">
        <v>45525</v>
      </c>
      <c r="C2576" s="13">
        <f t="shared" si="321"/>
        <v>2024</v>
      </c>
      <c r="D2576" s="7" t="str">
        <f t="shared" si="322"/>
        <v>Aug</v>
      </c>
      <c r="E2576" s="7" t="str">
        <f t="shared" si="323"/>
        <v>Wed</v>
      </c>
      <c r="F2576" t="s">
        <v>20</v>
      </c>
      <c r="G2576" t="s">
        <v>62</v>
      </c>
      <c r="H2576" t="s">
        <v>22</v>
      </c>
      <c r="I2576" s="2" t="str">
        <f t="shared" si="320"/>
        <v>Central</v>
      </c>
      <c r="J2576" t="s">
        <v>42</v>
      </c>
      <c r="K2576" t="s">
        <v>23</v>
      </c>
      <c r="L2576">
        <v>20</v>
      </c>
      <c r="M2576">
        <v>120</v>
      </c>
      <c r="N2576">
        <f t="shared" si="324"/>
        <v>2400</v>
      </c>
      <c r="O2576">
        <f t="shared" si="325"/>
        <v>240</v>
      </c>
      <c r="P2576" t="str">
        <f t="shared" si="326"/>
        <v>Large Order</v>
      </c>
      <c r="Q2576" t="str">
        <f t="shared" si="327"/>
        <v>Weekday</v>
      </c>
    </row>
    <row r="2577" spans="1:17" x14ac:dyDescent="0.35">
      <c r="A2577" t="s">
        <v>2727</v>
      </c>
      <c r="B2577" s="7">
        <v>45381</v>
      </c>
      <c r="C2577" s="13">
        <f t="shared" si="321"/>
        <v>2024</v>
      </c>
      <c r="D2577" s="7" t="str">
        <f t="shared" si="322"/>
        <v>Mar</v>
      </c>
      <c r="E2577" s="7" t="str">
        <f t="shared" si="323"/>
        <v>Sat</v>
      </c>
      <c r="F2577" t="s">
        <v>572</v>
      </c>
      <c r="G2577" t="s">
        <v>197</v>
      </c>
      <c r="H2577" t="s">
        <v>11</v>
      </c>
      <c r="I2577" s="2" t="str">
        <f t="shared" si="320"/>
        <v>North</v>
      </c>
      <c r="J2577" t="s">
        <v>306</v>
      </c>
      <c r="K2577" t="s">
        <v>23</v>
      </c>
      <c r="L2577">
        <v>15</v>
      </c>
      <c r="M2577">
        <v>120</v>
      </c>
      <c r="N2577">
        <f t="shared" si="324"/>
        <v>1800</v>
      </c>
      <c r="O2577">
        <f t="shared" si="325"/>
        <v>180</v>
      </c>
      <c r="P2577" t="str">
        <f t="shared" si="326"/>
        <v>Large Order</v>
      </c>
      <c r="Q2577" t="str">
        <f t="shared" si="327"/>
        <v>Weekend</v>
      </c>
    </row>
    <row r="2578" spans="1:17" x14ac:dyDescent="0.35">
      <c r="A2578" t="s">
        <v>2728</v>
      </c>
      <c r="B2578" s="7">
        <v>45629</v>
      </c>
      <c r="C2578" s="13">
        <f t="shared" si="321"/>
        <v>2024</v>
      </c>
      <c r="D2578" s="7" t="str">
        <f t="shared" si="322"/>
        <v>Dec</v>
      </c>
      <c r="E2578" s="7" t="str">
        <f t="shared" si="323"/>
        <v>Tue</v>
      </c>
      <c r="F2578" t="s">
        <v>44</v>
      </c>
      <c r="G2578" t="s">
        <v>62</v>
      </c>
      <c r="H2578" t="s">
        <v>22</v>
      </c>
      <c r="I2578" s="2" t="str">
        <f t="shared" si="320"/>
        <v>East</v>
      </c>
      <c r="J2578" t="s">
        <v>12</v>
      </c>
      <c r="K2578" t="s">
        <v>23</v>
      </c>
      <c r="L2578">
        <v>2</v>
      </c>
      <c r="M2578">
        <v>120</v>
      </c>
      <c r="N2578">
        <f t="shared" si="324"/>
        <v>240</v>
      </c>
      <c r="O2578">
        <f t="shared" si="325"/>
        <v>24</v>
      </c>
      <c r="P2578" t="str">
        <f t="shared" si="326"/>
        <v>Standard Order</v>
      </c>
      <c r="Q2578" t="str">
        <f t="shared" si="327"/>
        <v>Weekday</v>
      </c>
    </row>
    <row r="2579" spans="1:17" x14ac:dyDescent="0.35">
      <c r="A2579" t="s">
        <v>2729</v>
      </c>
      <c r="B2579" s="7">
        <v>45372</v>
      </c>
      <c r="C2579" s="13">
        <f t="shared" si="321"/>
        <v>2024</v>
      </c>
      <c r="D2579" s="7" t="str">
        <f t="shared" si="322"/>
        <v>Mar</v>
      </c>
      <c r="E2579" s="7" t="str">
        <f t="shared" si="323"/>
        <v>Thu</v>
      </c>
      <c r="F2579" t="s">
        <v>89</v>
      </c>
      <c r="G2579" t="s">
        <v>21</v>
      </c>
      <c r="H2579" t="s">
        <v>22</v>
      </c>
      <c r="I2579" s="2" t="str">
        <f t="shared" si="320"/>
        <v>East</v>
      </c>
      <c r="J2579" t="s">
        <v>42</v>
      </c>
      <c r="K2579" t="s">
        <v>13</v>
      </c>
      <c r="L2579">
        <v>7</v>
      </c>
      <c r="M2579">
        <v>120</v>
      </c>
      <c r="N2579">
        <f t="shared" si="324"/>
        <v>840</v>
      </c>
      <c r="O2579">
        <f t="shared" si="325"/>
        <v>84</v>
      </c>
      <c r="P2579" t="str">
        <f t="shared" si="326"/>
        <v>Large Order</v>
      </c>
      <c r="Q2579" t="str">
        <f t="shared" si="327"/>
        <v>Weekday</v>
      </c>
    </row>
    <row r="2580" spans="1:17" x14ac:dyDescent="0.35">
      <c r="A2580" t="s">
        <v>2730</v>
      </c>
      <c r="B2580" s="7">
        <v>45502</v>
      </c>
      <c r="C2580" s="13">
        <f t="shared" si="321"/>
        <v>2024</v>
      </c>
      <c r="D2580" s="7" t="str">
        <f t="shared" si="322"/>
        <v>Jul</v>
      </c>
      <c r="E2580" s="7" t="str">
        <f t="shared" si="323"/>
        <v>Mon</v>
      </c>
      <c r="F2580" t="s">
        <v>332</v>
      </c>
      <c r="G2580" t="s">
        <v>174</v>
      </c>
      <c r="H2580" t="s">
        <v>11</v>
      </c>
      <c r="I2580" s="2" t="str">
        <f t="shared" si="320"/>
        <v>East</v>
      </c>
      <c r="J2580" t="s">
        <v>42</v>
      </c>
      <c r="K2580" t="s">
        <v>13</v>
      </c>
      <c r="L2580">
        <v>4</v>
      </c>
      <c r="M2580">
        <v>120</v>
      </c>
      <c r="N2580">
        <f t="shared" si="324"/>
        <v>480</v>
      </c>
      <c r="O2580">
        <f t="shared" si="325"/>
        <v>48</v>
      </c>
      <c r="P2580" t="str">
        <f t="shared" si="326"/>
        <v>Standard Order</v>
      </c>
      <c r="Q2580" t="str">
        <f t="shared" si="327"/>
        <v>Weekday</v>
      </c>
    </row>
    <row r="2581" spans="1:17" x14ac:dyDescent="0.35">
      <c r="A2581" t="s">
        <v>2731</v>
      </c>
      <c r="B2581" s="7">
        <v>45458</v>
      </c>
      <c r="C2581" s="13">
        <f t="shared" si="321"/>
        <v>2024</v>
      </c>
      <c r="D2581" s="7" t="str">
        <f t="shared" si="322"/>
        <v>Jun</v>
      </c>
      <c r="E2581" s="7" t="str">
        <f t="shared" si="323"/>
        <v>Sat</v>
      </c>
      <c r="F2581" t="s">
        <v>408</v>
      </c>
      <c r="G2581" t="s">
        <v>70</v>
      </c>
      <c r="H2581" t="s">
        <v>11</v>
      </c>
      <c r="I2581" s="2" t="str">
        <f t="shared" si="320"/>
        <v>West</v>
      </c>
      <c r="J2581" t="s">
        <v>42</v>
      </c>
      <c r="K2581" t="s">
        <v>28</v>
      </c>
      <c r="L2581">
        <v>17</v>
      </c>
      <c r="M2581">
        <v>120</v>
      </c>
      <c r="N2581">
        <f t="shared" si="324"/>
        <v>2040</v>
      </c>
      <c r="O2581">
        <f t="shared" si="325"/>
        <v>204</v>
      </c>
      <c r="P2581" t="str">
        <f t="shared" si="326"/>
        <v>Large Order</v>
      </c>
      <c r="Q2581" t="str">
        <f t="shared" si="327"/>
        <v>Weekend</v>
      </c>
    </row>
    <row r="2582" spans="1:17" x14ac:dyDescent="0.35">
      <c r="A2582" t="s">
        <v>2732</v>
      </c>
      <c r="B2582" s="7">
        <v>45305</v>
      </c>
      <c r="C2582" s="13">
        <f t="shared" si="321"/>
        <v>2024</v>
      </c>
      <c r="D2582" s="7" t="str">
        <f t="shared" si="322"/>
        <v>Jan</v>
      </c>
      <c r="E2582" s="7" t="str">
        <f t="shared" si="323"/>
        <v>Sun</v>
      </c>
      <c r="F2582" t="s">
        <v>208</v>
      </c>
      <c r="G2582" t="s">
        <v>21</v>
      </c>
      <c r="H2582" t="s">
        <v>22</v>
      </c>
      <c r="I2582" s="2" t="str">
        <f t="shared" si="320"/>
        <v>East</v>
      </c>
      <c r="J2582" t="s">
        <v>27</v>
      </c>
      <c r="K2582" t="s">
        <v>23</v>
      </c>
      <c r="L2582">
        <v>11</v>
      </c>
      <c r="M2582">
        <v>120</v>
      </c>
      <c r="N2582">
        <f t="shared" si="324"/>
        <v>1320</v>
      </c>
      <c r="O2582">
        <f t="shared" si="325"/>
        <v>132</v>
      </c>
      <c r="P2582" t="str">
        <f t="shared" si="326"/>
        <v>Large Order</v>
      </c>
      <c r="Q2582" t="str">
        <f t="shared" si="327"/>
        <v>Weekend</v>
      </c>
    </row>
    <row r="2583" spans="1:17" x14ac:dyDescent="0.35">
      <c r="A2583" t="s">
        <v>2733</v>
      </c>
      <c r="B2583" s="7">
        <v>45391</v>
      </c>
      <c r="C2583" s="13">
        <f t="shared" si="321"/>
        <v>2024</v>
      </c>
      <c r="D2583" s="7" t="str">
        <f t="shared" si="322"/>
        <v>Apr</v>
      </c>
      <c r="E2583" s="7" t="str">
        <f t="shared" si="323"/>
        <v>Tue</v>
      </c>
      <c r="F2583" t="s">
        <v>106</v>
      </c>
      <c r="G2583" t="s">
        <v>79</v>
      </c>
      <c r="H2583" t="s">
        <v>11</v>
      </c>
      <c r="I2583" s="2" t="str">
        <f t="shared" si="320"/>
        <v>North</v>
      </c>
      <c r="J2583" t="s">
        <v>42</v>
      </c>
      <c r="K2583" t="s">
        <v>13</v>
      </c>
      <c r="L2583">
        <v>5</v>
      </c>
      <c r="M2583">
        <v>120</v>
      </c>
      <c r="N2583">
        <f t="shared" si="324"/>
        <v>600</v>
      </c>
      <c r="O2583">
        <f t="shared" si="325"/>
        <v>60</v>
      </c>
      <c r="P2583" t="str">
        <f t="shared" si="326"/>
        <v>Large Order</v>
      </c>
      <c r="Q2583" t="str">
        <f t="shared" si="327"/>
        <v>Weekday</v>
      </c>
    </row>
    <row r="2584" spans="1:17" x14ac:dyDescent="0.35">
      <c r="A2584" t="s">
        <v>2734</v>
      </c>
      <c r="B2584" s="7">
        <v>45529</v>
      </c>
      <c r="C2584" s="13">
        <f t="shared" si="321"/>
        <v>2024</v>
      </c>
      <c r="D2584" s="7" t="str">
        <f t="shared" si="322"/>
        <v>Aug</v>
      </c>
      <c r="E2584" s="7" t="str">
        <f t="shared" si="323"/>
        <v>Sun</v>
      </c>
      <c r="F2584" t="s">
        <v>374</v>
      </c>
      <c r="G2584" t="s">
        <v>70</v>
      </c>
      <c r="H2584" t="s">
        <v>11</v>
      </c>
      <c r="I2584" s="2" t="str">
        <f t="shared" si="320"/>
        <v>South</v>
      </c>
      <c r="J2584" t="s">
        <v>12</v>
      </c>
      <c r="K2584" t="s">
        <v>36</v>
      </c>
      <c r="L2584">
        <v>8</v>
      </c>
      <c r="M2584">
        <v>120</v>
      </c>
      <c r="N2584">
        <f t="shared" si="324"/>
        <v>960</v>
      </c>
      <c r="O2584">
        <f t="shared" si="325"/>
        <v>96</v>
      </c>
      <c r="P2584" t="str">
        <f t="shared" si="326"/>
        <v>Large Order</v>
      </c>
      <c r="Q2584" t="str">
        <f t="shared" si="327"/>
        <v>Weekend</v>
      </c>
    </row>
    <row r="2585" spans="1:17" x14ac:dyDescent="0.35">
      <c r="A2585" t="s">
        <v>2735</v>
      </c>
      <c r="B2585" s="7">
        <v>45516</v>
      </c>
      <c r="C2585" s="13">
        <f t="shared" si="321"/>
        <v>2024</v>
      </c>
      <c r="D2585" s="7" t="str">
        <f t="shared" si="322"/>
        <v>Aug</v>
      </c>
      <c r="E2585" s="7" t="str">
        <f t="shared" si="323"/>
        <v>Mon</v>
      </c>
      <c r="F2585" t="s">
        <v>99</v>
      </c>
      <c r="G2585" t="s">
        <v>35</v>
      </c>
      <c r="H2585" t="s">
        <v>17</v>
      </c>
      <c r="I2585" s="2" t="str">
        <f t="shared" si="320"/>
        <v>West</v>
      </c>
      <c r="J2585" t="s">
        <v>56</v>
      </c>
      <c r="K2585" t="s">
        <v>28</v>
      </c>
      <c r="L2585">
        <v>1</v>
      </c>
      <c r="M2585">
        <v>120</v>
      </c>
      <c r="N2585">
        <f t="shared" si="324"/>
        <v>120</v>
      </c>
      <c r="O2585">
        <f t="shared" si="325"/>
        <v>12</v>
      </c>
      <c r="P2585" t="str">
        <f t="shared" si="326"/>
        <v>Standard Order</v>
      </c>
      <c r="Q2585" t="str">
        <f t="shared" si="327"/>
        <v>Weekday</v>
      </c>
    </row>
    <row r="2586" spans="1:17" x14ac:dyDescent="0.35">
      <c r="A2586" t="s">
        <v>2736</v>
      </c>
      <c r="B2586" s="7">
        <v>45382</v>
      </c>
      <c r="C2586" s="13">
        <f t="shared" si="321"/>
        <v>2024</v>
      </c>
      <c r="D2586" s="7" t="str">
        <f t="shared" si="322"/>
        <v>Mar</v>
      </c>
      <c r="E2586" s="7" t="str">
        <f t="shared" si="323"/>
        <v>Sun</v>
      </c>
      <c r="F2586" t="s">
        <v>61</v>
      </c>
      <c r="G2586" t="s">
        <v>102</v>
      </c>
      <c r="H2586" t="s">
        <v>22</v>
      </c>
      <c r="I2586" s="2" t="str">
        <f t="shared" si="320"/>
        <v>West</v>
      </c>
      <c r="J2586" t="s">
        <v>27</v>
      </c>
      <c r="K2586" t="s">
        <v>28</v>
      </c>
      <c r="L2586">
        <v>3</v>
      </c>
      <c r="M2586">
        <v>120</v>
      </c>
      <c r="N2586">
        <f t="shared" si="324"/>
        <v>360</v>
      </c>
      <c r="O2586">
        <f t="shared" si="325"/>
        <v>36</v>
      </c>
      <c r="P2586" t="str">
        <f t="shared" si="326"/>
        <v>Standard Order</v>
      </c>
      <c r="Q2586" t="str">
        <f t="shared" si="327"/>
        <v>Weekend</v>
      </c>
    </row>
    <row r="2587" spans="1:17" x14ac:dyDescent="0.35">
      <c r="A2587" t="s">
        <v>2737</v>
      </c>
      <c r="B2587" s="7">
        <v>45297</v>
      </c>
      <c r="C2587" s="13">
        <f t="shared" si="321"/>
        <v>2024</v>
      </c>
      <c r="D2587" s="7" t="str">
        <f t="shared" si="322"/>
        <v>Jan</v>
      </c>
      <c r="E2587" s="7" t="str">
        <f t="shared" si="323"/>
        <v>Sat</v>
      </c>
      <c r="F2587" t="s">
        <v>422</v>
      </c>
      <c r="G2587" t="s">
        <v>26</v>
      </c>
      <c r="H2587" t="s">
        <v>11</v>
      </c>
      <c r="I2587" s="2" t="str">
        <f t="shared" si="320"/>
        <v>West</v>
      </c>
      <c r="J2587" t="s">
        <v>27</v>
      </c>
      <c r="K2587" t="s">
        <v>32</v>
      </c>
      <c r="L2587">
        <v>6</v>
      </c>
      <c r="M2587">
        <v>120</v>
      </c>
      <c r="N2587">
        <f t="shared" si="324"/>
        <v>720</v>
      </c>
      <c r="O2587">
        <f t="shared" si="325"/>
        <v>72</v>
      </c>
      <c r="P2587" t="str">
        <f t="shared" si="326"/>
        <v>Large Order</v>
      </c>
      <c r="Q2587" t="str">
        <f t="shared" si="327"/>
        <v>Weekend</v>
      </c>
    </row>
    <row r="2588" spans="1:17" x14ac:dyDescent="0.35">
      <c r="A2588" t="s">
        <v>2738</v>
      </c>
      <c r="B2588" s="7">
        <v>45309</v>
      </c>
      <c r="C2588" s="13">
        <f t="shared" si="321"/>
        <v>2024</v>
      </c>
      <c r="D2588" s="7" t="str">
        <f t="shared" si="322"/>
        <v>Jan</v>
      </c>
      <c r="E2588" s="7" t="str">
        <f t="shared" si="323"/>
        <v>Thu</v>
      </c>
      <c r="F2588" t="s">
        <v>422</v>
      </c>
      <c r="G2588" t="s">
        <v>174</v>
      </c>
      <c r="H2588" t="s">
        <v>11</v>
      </c>
      <c r="I2588" s="2" t="str">
        <f t="shared" si="320"/>
        <v>East</v>
      </c>
      <c r="J2588" t="s">
        <v>27</v>
      </c>
      <c r="K2588" t="s">
        <v>13</v>
      </c>
      <c r="L2588">
        <v>17</v>
      </c>
      <c r="M2588">
        <v>120</v>
      </c>
      <c r="N2588">
        <f t="shared" si="324"/>
        <v>2040</v>
      </c>
      <c r="O2588">
        <f t="shared" si="325"/>
        <v>204</v>
      </c>
      <c r="P2588" t="str">
        <f t="shared" si="326"/>
        <v>Large Order</v>
      </c>
      <c r="Q2588" t="str">
        <f t="shared" si="327"/>
        <v>Weekday</v>
      </c>
    </row>
    <row r="2589" spans="1:17" x14ac:dyDescent="0.35">
      <c r="A2589" t="s">
        <v>2739</v>
      </c>
      <c r="B2589" s="7">
        <v>45629</v>
      </c>
      <c r="C2589" s="13">
        <f t="shared" si="321"/>
        <v>2024</v>
      </c>
      <c r="D2589" s="7" t="str">
        <f t="shared" si="322"/>
        <v>Dec</v>
      </c>
      <c r="E2589" s="7" t="str">
        <f t="shared" si="323"/>
        <v>Tue</v>
      </c>
      <c r="F2589" t="s">
        <v>15</v>
      </c>
      <c r="G2589" t="s">
        <v>31</v>
      </c>
      <c r="H2589" t="s">
        <v>22</v>
      </c>
      <c r="I2589" s="2" t="str">
        <f t="shared" si="320"/>
        <v>South</v>
      </c>
      <c r="J2589" t="s">
        <v>42</v>
      </c>
      <c r="K2589" t="s">
        <v>23</v>
      </c>
      <c r="L2589">
        <v>2</v>
      </c>
      <c r="M2589">
        <v>120</v>
      </c>
      <c r="N2589">
        <f t="shared" si="324"/>
        <v>240</v>
      </c>
      <c r="O2589">
        <f t="shared" si="325"/>
        <v>24</v>
      </c>
      <c r="P2589" t="str">
        <f t="shared" si="326"/>
        <v>Standard Order</v>
      </c>
      <c r="Q2589" t="str">
        <f t="shared" si="327"/>
        <v>Weekday</v>
      </c>
    </row>
    <row r="2590" spans="1:17" x14ac:dyDescent="0.35">
      <c r="A2590" t="s">
        <v>2740</v>
      </c>
      <c r="B2590" s="7">
        <v>45316</v>
      </c>
      <c r="C2590" s="13">
        <f t="shared" si="321"/>
        <v>2024</v>
      </c>
      <c r="D2590" s="7" t="str">
        <f t="shared" si="322"/>
        <v>Jan</v>
      </c>
      <c r="E2590" s="7" t="str">
        <f t="shared" si="323"/>
        <v>Thu</v>
      </c>
      <c r="F2590" t="s">
        <v>337</v>
      </c>
      <c r="G2590" t="s">
        <v>31</v>
      </c>
      <c r="H2590" t="s">
        <v>11</v>
      </c>
      <c r="I2590" s="2" t="str">
        <f t="shared" si="320"/>
        <v>East</v>
      </c>
      <c r="J2590" t="s">
        <v>56</v>
      </c>
      <c r="K2590" t="s">
        <v>32</v>
      </c>
      <c r="L2590">
        <v>8</v>
      </c>
      <c r="M2590">
        <v>120</v>
      </c>
      <c r="N2590">
        <f t="shared" si="324"/>
        <v>960</v>
      </c>
      <c r="O2590">
        <f t="shared" si="325"/>
        <v>96</v>
      </c>
      <c r="P2590" t="str">
        <f t="shared" si="326"/>
        <v>Large Order</v>
      </c>
      <c r="Q2590" t="str">
        <f t="shared" si="327"/>
        <v>Weekday</v>
      </c>
    </row>
    <row r="2591" spans="1:17" x14ac:dyDescent="0.35">
      <c r="A2591" t="s">
        <v>2741</v>
      </c>
      <c r="B2591" s="7">
        <v>45300</v>
      </c>
      <c r="C2591" s="13">
        <f t="shared" si="321"/>
        <v>2024</v>
      </c>
      <c r="D2591" s="7" t="str">
        <f t="shared" si="322"/>
        <v>Jan</v>
      </c>
      <c r="E2591" s="7" t="str">
        <f t="shared" si="323"/>
        <v>Tue</v>
      </c>
      <c r="F2591" t="s">
        <v>572</v>
      </c>
      <c r="G2591" t="s">
        <v>96</v>
      </c>
      <c r="H2591" t="s">
        <v>11</v>
      </c>
      <c r="I2591" s="2" t="str">
        <f t="shared" si="320"/>
        <v>South</v>
      </c>
      <c r="J2591" t="s">
        <v>42</v>
      </c>
      <c r="K2591" t="s">
        <v>28</v>
      </c>
      <c r="L2591">
        <v>3</v>
      </c>
      <c r="M2591">
        <v>120</v>
      </c>
      <c r="N2591">
        <f t="shared" si="324"/>
        <v>360</v>
      </c>
      <c r="O2591">
        <f t="shared" si="325"/>
        <v>36</v>
      </c>
      <c r="P2591" t="str">
        <f t="shared" si="326"/>
        <v>Standard Order</v>
      </c>
      <c r="Q2591" t="str">
        <f t="shared" si="327"/>
        <v>Weekday</v>
      </c>
    </row>
    <row r="2592" spans="1:17" x14ac:dyDescent="0.35">
      <c r="A2592" t="s">
        <v>2742</v>
      </c>
      <c r="B2592" s="7">
        <v>45341</v>
      </c>
      <c r="C2592" s="13">
        <f t="shared" si="321"/>
        <v>2024</v>
      </c>
      <c r="D2592" s="7" t="str">
        <f t="shared" si="322"/>
        <v>Feb</v>
      </c>
      <c r="E2592" s="7" t="str">
        <f t="shared" si="323"/>
        <v>Mon</v>
      </c>
      <c r="F2592" t="s">
        <v>317</v>
      </c>
      <c r="G2592" t="s">
        <v>45</v>
      </c>
      <c r="H2592" t="s">
        <v>22</v>
      </c>
      <c r="I2592" s="2" t="str">
        <f t="shared" si="320"/>
        <v>South</v>
      </c>
      <c r="J2592" t="s">
        <v>56</v>
      </c>
      <c r="K2592" t="s">
        <v>13</v>
      </c>
      <c r="L2592">
        <v>14</v>
      </c>
      <c r="M2592">
        <v>120</v>
      </c>
      <c r="N2592">
        <f t="shared" si="324"/>
        <v>1680</v>
      </c>
      <c r="O2592">
        <f t="shared" si="325"/>
        <v>168</v>
      </c>
      <c r="P2592" t="str">
        <f t="shared" si="326"/>
        <v>Large Order</v>
      </c>
      <c r="Q2592" t="str">
        <f t="shared" si="327"/>
        <v>Weekday</v>
      </c>
    </row>
    <row r="2593" spans="1:17" x14ac:dyDescent="0.35">
      <c r="A2593" t="s">
        <v>2743</v>
      </c>
      <c r="B2593" s="7">
        <v>45459</v>
      </c>
      <c r="C2593" s="13">
        <f t="shared" si="321"/>
        <v>2024</v>
      </c>
      <c r="D2593" s="7" t="str">
        <f t="shared" si="322"/>
        <v>Jun</v>
      </c>
      <c r="E2593" s="7" t="str">
        <f t="shared" si="323"/>
        <v>Sun</v>
      </c>
      <c r="F2593" t="s">
        <v>187</v>
      </c>
      <c r="G2593" t="s">
        <v>174</v>
      </c>
      <c r="H2593" t="s">
        <v>22</v>
      </c>
      <c r="I2593" s="2" t="str">
        <f t="shared" si="320"/>
        <v>South</v>
      </c>
      <c r="J2593" t="s">
        <v>56</v>
      </c>
      <c r="K2593" t="s">
        <v>36</v>
      </c>
      <c r="L2593">
        <v>7</v>
      </c>
      <c r="M2593">
        <v>120</v>
      </c>
      <c r="N2593">
        <f t="shared" si="324"/>
        <v>840</v>
      </c>
      <c r="O2593">
        <f t="shared" si="325"/>
        <v>84</v>
      </c>
      <c r="P2593" t="str">
        <f t="shared" si="326"/>
        <v>Large Order</v>
      </c>
      <c r="Q2593" t="str">
        <f t="shared" si="327"/>
        <v>Weekend</v>
      </c>
    </row>
    <row r="2594" spans="1:17" x14ac:dyDescent="0.35">
      <c r="A2594" t="s">
        <v>2744</v>
      </c>
      <c r="B2594" s="7">
        <v>45494</v>
      </c>
      <c r="C2594" s="13">
        <f t="shared" si="321"/>
        <v>2024</v>
      </c>
      <c r="D2594" s="7" t="str">
        <f t="shared" si="322"/>
        <v>Jul</v>
      </c>
      <c r="E2594" s="7" t="str">
        <f t="shared" si="323"/>
        <v>Sun</v>
      </c>
      <c r="F2594" t="s">
        <v>309</v>
      </c>
      <c r="G2594" t="s">
        <v>102</v>
      </c>
      <c r="H2594" t="s">
        <v>11</v>
      </c>
      <c r="I2594" s="2" t="str">
        <f t="shared" si="320"/>
        <v>North</v>
      </c>
      <c r="J2594" t="s">
        <v>56</v>
      </c>
      <c r="K2594" t="s">
        <v>13</v>
      </c>
      <c r="L2594">
        <v>12</v>
      </c>
      <c r="M2594">
        <v>120</v>
      </c>
      <c r="N2594">
        <f t="shared" si="324"/>
        <v>1440</v>
      </c>
      <c r="O2594">
        <f t="shared" si="325"/>
        <v>144</v>
      </c>
      <c r="P2594" t="str">
        <f t="shared" si="326"/>
        <v>Large Order</v>
      </c>
      <c r="Q2594" t="str">
        <f t="shared" si="327"/>
        <v>Weekend</v>
      </c>
    </row>
    <row r="2595" spans="1:17" x14ac:dyDescent="0.35">
      <c r="A2595" t="s">
        <v>2745</v>
      </c>
      <c r="B2595" s="7">
        <v>45299</v>
      </c>
      <c r="C2595" s="13">
        <f t="shared" si="321"/>
        <v>2024</v>
      </c>
      <c r="D2595" s="7" t="str">
        <f t="shared" si="322"/>
        <v>Jan</v>
      </c>
      <c r="E2595" s="7" t="str">
        <f t="shared" si="323"/>
        <v>Mon</v>
      </c>
      <c r="F2595" t="s">
        <v>341</v>
      </c>
      <c r="G2595" t="s">
        <v>21</v>
      </c>
      <c r="H2595" t="s">
        <v>17</v>
      </c>
      <c r="I2595" s="2" t="str">
        <f t="shared" si="320"/>
        <v>Central</v>
      </c>
      <c r="J2595" t="s">
        <v>12</v>
      </c>
      <c r="K2595" t="s">
        <v>23</v>
      </c>
      <c r="L2595">
        <v>7</v>
      </c>
      <c r="M2595">
        <v>120</v>
      </c>
      <c r="N2595">
        <f t="shared" si="324"/>
        <v>840</v>
      </c>
      <c r="O2595">
        <f t="shared" si="325"/>
        <v>84</v>
      </c>
      <c r="P2595" t="str">
        <f t="shared" si="326"/>
        <v>Large Order</v>
      </c>
      <c r="Q2595" t="str">
        <f t="shared" si="327"/>
        <v>Weekday</v>
      </c>
    </row>
    <row r="2596" spans="1:17" x14ac:dyDescent="0.35">
      <c r="A2596" t="s">
        <v>2746</v>
      </c>
      <c r="B2596" s="7">
        <v>45325</v>
      </c>
      <c r="C2596" s="13">
        <f t="shared" si="321"/>
        <v>2024</v>
      </c>
      <c r="D2596" s="7" t="str">
        <f t="shared" si="322"/>
        <v>Feb</v>
      </c>
      <c r="E2596" s="7" t="str">
        <f t="shared" si="323"/>
        <v>Sat</v>
      </c>
      <c r="F2596" t="s">
        <v>371</v>
      </c>
      <c r="G2596" t="s">
        <v>26</v>
      </c>
      <c r="H2596" t="s">
        <v>22</v>
      </c>
      <c r="I2596" s="2" t="str">
        <f t="shared" si="320"/>
        <v>West</v>
      </c>
      <c r="J2596" t="s">
        <v>306</v>
      </c>
      <c r="K2596" t="s">
        <v>32</v>
      </c>
      <c r="L2596">
        <v>2</v>
      </c>
      <c r="M2596">
        <v>120</v>
      </c>
      <c r="N2596">
        <f t="shared" si="324"/>
        <v>240</v>
      </c>
      <c r="O2596">
        <f t="shared" si="325"/>
        <v>24</v>
      </c>
      <c r="P2596" t="str">
        <f t="shared" si="326"/>
        <v>Standard Order</v>
      </c>
      <c r="Q2596" t="str">
        <f t="shared" si="327"/>
        <v>Weekend</v>
      </c>
    </row>
    <row r="2597" spans="1:17" x14ac:dyDescent="0.35">
      <c r="A2597" t="s">
        <v>2747</v>
      </c>
      <c r="B2597" s="7">
        <v>45403</v>
      </c>
      <c r="C2597" s="13">
        <f t="shared" si="321"/>
        <v>2024</v>
      </c>
      <c r="D2597" s="7" t="str">
        <f t="shared" si="322"/>
        <v>Apr</v>
      </c>
      <c r="E2597" s="7" t="str">
        <f t="shared" si="323"/>
        <v>Sun</v>
      </c>
      <c r="F2597" t="s">
        <v>408</v>
      </c>
      <c r="G2597" t="s">
        <v>74</v>
      </c>
      <c r="H2597" t="s">
        <v>22</v>
      </c>
      <c r="I2597" s="2" t="str">
        <f t="shared" si="320"/>
        <v>Central</v>
      </c>
      <c r="J2597" t="s">
        <v>27</v>
      </c>
      <c r="K2597" t="s">
        <v>13</v>
      </c>
      <c r="L2597">
        <v>18</v>
      </c>
      <c r="M2597">
        <v>120</v>
      </c>
      <c r="N2597">
        <f t="shared" si="324"/>
        <v>2160</v>
      </c>
      <c r="O2597">
        <f t="shared" si="325"/>
        <v>216</v>
      </c>
      <c r="P2597" t="str">
        <f t="shared" si="326"/>
        <v>Large Order</v>
      </c>
      <c r="Q2597" t="str">
        <f t="shared" si="327"/>
        <v>Weekend</v>
      </c>
    </row>
    <row r="2598" spans="1:17" x14ac:dyDescent="0.35">
      <c r="A2598" t="s">
        <v>2748</v>
      </c>
      <c r="B2598" s="7">
        <v>45583</v>
      </c>
      <c r="C2598" s="13">
        <f t="shared" si="321"/>
        <v>2024</v>
      </c>
      <c r="D2598" s="7" t="str">
        <f t="shared" si="322"/>
        <v>Oct</v>
      </c>
      <c r="E2598" s="7" t="str">
        <f t="shared" si="323"/>
        <v>Fri</v>
      </c>
      <c r="F2598" t="s">
        <v>30</v>
      </c>
      <c r="G2598" t="s">
        <v>26</v>
      </c>
      <c r="H2598" t="s">
        <v>11</v>
      </c>
      <c r="I2598" s="2" t="str">
        <f t="shared" si="320"/>
        <v>East</v>
      </c>
      <c r="J2598" t="s">
        <v>306</v>
      </c>
      <c r="K2598" t="s">
        <v>32</v>
      </c>
      <c r="L2598">
        <v>13</v>
      </c>
      <c r="M2598">
        <v>120</v>
      </c>
      <c r="N2598">
        <f t="shared" si="324"/>
        <v>1560</v>
      </c>
      <c r="O2598">
        <f t="shared" si="325"/>
        <v>156</v>
      </c>
      <c r="P2598" t="str">
        <f t="shared" si="326"/>
        <v>Large Order</v>
      </c>
      <c r="Q2598" t="str">
        <f t="shared" si="327"/>
        <v>Weekday</v>
      </c>
    </row>
    <row r="2599" spans="1:17" x14ac:dyDescent="0.35">
      <c r="A2599" t="s">
        <v>2749</v>
      </c>
      <c r="B2599" s="7">
        <v>45647</v>
      </c>
      <c r="C2599" s="13">
        <f t="shared" si="321"/>
        <v>2024</v>
      </c>
      <c r="D2599" s="7" t="str">
        <f t="shared" si="322"/>
        <v>Dec</v>
      </c>
      <c r="E2599" s="7" t="str">
        <f t="shared" si="323"/>
        <v>Sat</v>
      </c>
      <c r="F2599" t="s">
        <v>99</v>
      </c>
      <c r="G2599" t="s">
        <v>72</v>
      </c>
      <c r="H2599" t="s">
        <v>11</v>
      </c>
      <c r="I2599" s="2" t="str">
        <f t="shared" si="320"/>
        <v>Central</v>
      </c>
      <c r="J2599" t="s">
        <v>42</v>
      </c>
      <c r="K2599" t="s">
        <v>23</v>
      </c>
      <c r="L2599">
        <v>3</v>
      </c>
      <c r="M2599">
        <v>120</v>
      </c>
      <c r="N2599">
        <f t="shared" si="324"/>
        <v>360</v>
      </c>
      <c r="O2599">
        <f t="shared" si="325"/>
        <v>36</v>
      </c>
      <c r="P2599" t="str">
        <f t="shared" si="326"/>
        <v>Standard Order</v>
      </c>
      <c r="Q2599" t="str">
        <f t="shared" si="327"/>
        <v>Weekend</v>
      </c>
    </row>
    <row r="2600" spans="1:17" x14ac:dyDescent="0.35">
      <c r="A2600" t="s">
        <v>2750</v>
      </c>
      <c r="B2600" s="7">
        <v>45603</v>
      </c>
      <c r="C2600" s="13">
        <f t="shared" si="321"/>
        <v>2024</v>
      </c>
      <c r="D2600" s="7" t="str">
        <f t="shared" si="322"/>
        <v>Nov</v>
      </c>
      <c r="E2600" s="7" t="str">
        <f t="shared" si="323"/>
        <v>Thu</v>
      </c>
      <c r="F2600" t="s">
        <v>361</v>
      </c>
      <c r="G2600" t="s">
        <v>70</v>
      </c>
      <c r="H2600" t="s">
        <v>17</v>
      </c>
      <c r="I2600" s="2" t="str">
        <f t="shared" si="320"/>
        <v>North</v>
      </c>
      <c r="J2600" t="s">
        <v>306</v>
      </c>
      <c r="K2600" t="s">
        <v>28</v>
      </c>
      <c r="L2600">
        <v>17</v>
      </c>
      <c r="M2600">
        <v>120</v>
      </c>
      <c r="N2600">
        <f t="shared" si="324"/>
        <v>2040</v>
      </c>
      <c r="O2600">
        <f t="shared" si="325"/>
        <v>204</v>
      </c>
      <c r="P2600" t="str">
        <f t="shared" si="326"/>
        <v>Large Order</v>
      </c>
      <c r="Q2600" t="str">
        <f t="shared" si="327"/>
        <v>Weekday</v>
      </c>
    </row>
    <row r="2601" spans="1:17" x14ac:dyDescent="0.35">
      <c r="A2601" t="s">
        <v>2751</v>
      </c>
      <c r="B2601" s="7">
        <v>45298</v>
      </c>
      <c r="C2601" s="13">
        <f t="shared" si="321"/>
        <v>2024</v>
      </c>
      <c r="D2601" s="7" t="str">
        <f t="shared" si="322"/>
        <v>Jan</v>
      </c>
      <c r="E2601" s="7" t="str">
        <f t="shared" si="323"/>
        <v>Sun</v>
      </c>
      <c r="F2601" t="s">
        <v>51</v>
      </c>
      <c r="G2601" t="s">
        <v>96</v>
      </c>
      <c r="H2601" t="s">
        <v>22</v>
      </c>
      <c r="I2601" s="2" t="str">
        <f t="shared" si="320"/>
        <v>South</v>
      </c>
      <c r="J2601" t="s">
        <v>12</v>
      </c>
      <c r="K2601" t="s">
        <v>32</v>
      </c>
      <c r="L2601">
        <v>8</v>
      </c>
      <c r="M2601">
        <v>120</v>
      </c>
      <c r="N2601">
        <f t="shared" si="324"/>
        <v>960</v>
      </c>
      <c r="O2601">
        <f t="shared" si="325"/>
        <v>96</v>
      </c>
      <c r="P2601" t="str">
        <f t="shared" si="326"/>
        <v>Large Order</v>
      </c>
      <c r="Q2601" t="str">
        <f t="shared" si="327"/>
        <v>Weekend</v>
      </c>
    </row>
    <row r="2602" spans="1:17" x14ac:dyDescent="0.35">
      <c r="A2602" t="s">
        <v>2752</v>
      </c>
      <c r="B2602" s="7">
        <v>45416</v>
      </c>
      <c r="C2602" s="13">
        <f t="shared" si="321"/>
        <v>2024</v>
      </c>
      <c r="D2602" s="7" t="str">
        <f t="shared" si="322"/>
        <v>May</v>
      </c>
      <c r="E2602" s="7" t="str">
        <f t="shared" si="323"/>
        <v>Sat</v>
      </c>
      <c r="F2602" t="s">
        <v>381</v>
      </c>
      <c r="G2602" t="s">
        <v>10</v>
      </c>
      <c r="H2602" t="s">
        <v>11</v>
      </c>
      <c r="I2602" s="2" t="str">
        <f t="shared" si="320"/>
        <v>North</v>
      </c>
      <c r="J2602" t="s">
        <v>56</v>
      </c>
      <c r="K2602" t="s">
        <v>32</v>
      </c>
      <c r="L2602">
        <v>16</v>
      </c>
      <c r="M2602">
        <v>120</v>
      </c>
      <c r="N2602">
        <f t="shared" si="324"/>
        <v>1920</v>
      </c>
      <c r="O2602">
        <f t="shared" si="325"/>
        <v>192</v>
      </c>
      <c r="P2602" t="str">
        <f t="shared" si="326"/>
        <v>Large Order</v>
      </c>
      <c r="Q2602" t="str">
        <f t="shared" si="327"/>
        <v>Weekend</v>
      </c>
    </row>
    <row r="2603" spans="1:17" x14ac:dyDescent="0.35">
      <c r="A2603" t="s">
        <v>2753</v>
      </c>
      <c r="B2603" s="7">
        <v>45369</v>
      </c>
      <c r="C2603" s="13">
        <f t="shared" si="321"/>
        <v>2024</v>
      </c>
      <c r="D2603" s="7" t="str">
        <f t="shared" si="322"/>
        <v>Mar</v>
      </c>
      <c r="E2603" s="7" t="str">
        <f t="shared" si="323"/>
        <v>Mon</v>
      </c>
      <c r="F2603" t="s">
        <v>159</v>
      </c>
      <c r="G2603" t="s">
        <v>65</v>
      </c>
      <c r="H2603" t="s">
        <v>22</v>
      </c>
      <c r="I2603" s="2" t="str">
        <f t="shared" si="320"/>
        <v>East</v>
      </c>
      <c r="J2603" t="s">
        <v>12</v>
      </c>
      <c r="K2603" t="s">
        <v>28</v>
      </c>
      <c r="L2603">
        <v>20</v>
      </c>
      <c r="M2603">
        <v>120</v>
      </c>
      <c r="N2603">
        <f t="shared" si="324"/>
        <v>2400</v>
      </c>
      <c r="O2603">
        <f t="shared" si="325"/>
        <v>240</v>
      </c>
      <c r="P2603" t="str">
        <f t="shared" si="326"/>
        <v>Large Order</v>
      </c>
      <c r="Q2603" t="str">
        <f t="shared" si="327"/>
        <v>Weekday</v>
      </c>
    </row>
    <row r="2604" spans="1:17" x14ac:dyDescent="0.35">
      <c r="A2604" t="s">
        <v>2754</v>
      </c>
      <c r="B2604" s="7">
        <v>45519</v>
      </c>
      <c r="C2604" s="13">
        <f t="shared" si="321"/>
        <v>2024</v>
      </c>
      <c r="D2604" s="7" t="str">
        <f t="shared" si="322"/>
        <v>Aug</v>
      </c>
      <c r="E2604" s="7" t="str">
        <f t="shared" si="323"/>
        <v>Thu</v>
      </c>
      <c r="F2604" t="s">
        <v>304</v>
      </c>
      <c r="G2604" t="s">
        <v>72</v>
      </c>
      <c r="H2604" t="s">
        <v>11</v>
      </c>
      <c r="I2604" s="2" t="str">
        <f t="shared" si="320"/>
        <v>South</v>
      </c>
      <c r="J2604" t="s">
        <v>42</v>
      </c>
      <c r="K2604" t="s">
        <v>32</v>
      </c>
      <c r="L2604">
        <v>2</v>
      </c>
      <c r="M2604">
        <v>120</v>
      </c>
      <c r="N2604">
        <f t="shared" si="324"/>
        <v>240</v>
      </c>
      <c r="O2604">
        <f t="shared" si="325"/>
        <v>24</v>
      </c>
      <c r="P2604" t="str">
        <f t="shared" si="326"/>
        <v>Standard Order</v>
      </c>
      <c r="Q2604" t="str">
        <f t="shared" si="327"/>
        <v>Weekday</v>
      </c>
    </row>
    <row r="2605" spans="1:17" x14ac:dyDescent="0.35">
      <c r="A2605" t="s">
        <v>2755</v>
      </c>
      <c r="B2605" s="7">
        <v>45504</v>
      </c>
      <c r="C2605" s="13">
        <f t="shared" si="321"/>
        <v>2024</v>
      </c>
      <c r="D2605" s="7" t="str">
        <f t="shared" si="322"/>
        <v>Jul</v>
      </c>
      <c r="E2605" s="7" t="str">
        <f t="shared" si="323"/>
        <v>Wed</v>
      </c>
      <c r="F2605" t="s">
        <v>736</v>
      </c>
      <c r="G2605" t="s">
        <v>74</v>
      </c>
      <c r="H2605" t="s">
        <v>11</v>
      </c>
      <c r="I2605" s="2" t="str">
        <f t="shared" si="320"/>
        <v>South</v>
      </c>
      <c r="J2605" t="s">
        <v>56</v>
      </c>
      <c r="K2605" t="s">
        <v>32</v>
      </c>
      <c r="L2605">
        <v>11</v>
      </c>
      <c r="M2605">
        <v>120</v>
      </c>
      <c r="N2605">
        <f t="shared" si="324"/>
        <v>1320</v>
      </c>
      <c r="O2605">
        <f t="shared" si="325"/>
        <v>132</v>
      </c>
      <c r="P2605" t="str">
        <f t="shared" si="326"/>
        <v>Large Order</v>
      </c>
      <c r="Q2605" t="str">
        <f t="shared" si="327"/>
        <v>Weekday</v>
      </c>
    </row>
    <row r="2606" spans="1:17" x14ac:dyDescent="0.35">
      <c r="A2606" t="s">
        <v>2756</v>
      </c>
      <c r="B2606" s="7">
        <v>45568</v>
      </c>
      <c r="C2606" s="13">
        <f t="shared" si="321"/>
        <v>2024</v>
      </c>
      <c r="D2606" s="7" t="str">
        <f t="shared" si="322"/>
        <v>Oct</v>
      </c>
      <c r="E2606" s="7" t="str">
        <f t="shared" si="323"/>
        <v>Thu</v>
      </c>
      <c r="F2606" t="s">
        <v>9</v>
      </c>
      <c r="G2606" t="s">
        <v>41</v>
      </c>
      <c r="H2606" t="s">
        <v>11</v>
      </c>
      <c r="I2606" s="2" t="str">
        <f t="shared" si="320"/>
        <v>North</v>
      </c>
      <c r="J2606" t="s">
        <v>56</v>
      </c>
      <c r="K2606" t="s">
        <v>36</v>
      </c>
      <c r="L2606">
        <v>13</v>
      </c>
      <c r="M2606">
        <v>120</v>
      </c>
      <c r="N2606">
        <f t="shared" si="324"/>
        <v>1560</v>
      </c>
      <c r="O2606">
        <f t="shared" si="325"/>
        <v>156</v>
      </c>
      <c r="P2606" t="str">
        <f t="shared" si="326"/>
        <v>Large Order</v>
      </c>
      <c r="Q2606" t="str">
        <f t="shared" si="327"/>
        <v>Weekday</v>
      </c>
    </row>
    <row r="2607" spans="1:17" x14ac:dyDescent="0.35">
      <c r="A2607" t="s">
        <v>2757</v>
      </c>
      <c r="B2607" s="7">
        <v>45385</v>
      </c>
      <c r="C2607" s="13">
        <f t="shared" si="321"/>
        <v>2024</v>
      </c>
      <c r="D2607" s="7" t="str">
        <f t="shared" si="322"/>
        <v>Apr</v>
      </c>
      <c r="E2607" s="7" t="str">
        <f t="shared" si="323"/>
        <v>Wed</v>
      </c>
      <c r="F2607" t="s">
        <v>396</v>
      </c>
      <c r="G2607" t="s">
        <v>21</v>
      </c>
      <c r="H2607" t="s">
        <v>11</v>
      </c>
      <c r="I2607" s="2" t="str">
        <f t="shared" si="320"/>
        <v>South</v>
      </c>
      <c r="J2607" t="s">
        <v>12</v>
      </c>
      <c r="K2607" t="s">
        <v>23</v>
      </c>
      <c r="L2607">
        <v>3</v>
      </c>
      <c r="M2607">
        <v>120</v>
      </c>
      <c r="N2607">
        <f t="shared" si="324"/>
        <v>360</v>
      </c>
      <c r="O2607">
        <f t="shared" si="325"/>
        <v>36</v>
      </c>
      <c r="P2607" t="str">
        <f t="shared" si="326"/>
        <v>Standard Order</v>
      </c>
      <c r="Q2607" t="str">
        <f t="shared" si="327"/>
        <v>Weekday</v>
      </c>
    </row>
    <row r="2608" spans="1:17" x14ac:dyDescent="0.35">
      <c r="A2608" t="s">
        <v>2758</v>
      </c>
      <c r="B2608" s="7">
        <v>45318</v>
      </c>
      <c r="C2608" s="13">
        <f t="shared" si="321"/>
        <v>2024</v>
      </c>
      <c r="D2608" s="7" t="str">
        <f t="shared" si="322"/>
        <v>Jan</v>
      </c>
      <c r="E2608" s="7" t="str">
        <f t="shared" si="323"/>
        <v>Sat</v>
      </c>
      <c r="F2608" t="s">
        <v>541</v>
      </c>
      <c r="G2608" t="s">
        <v>16</v>
      </c>
      <c r="H2608" t="s">
        <v>11</v>
      </c>
      <c r="I2608" s="2" t="str">
        <f t="shared" si="320"/>
        <v>West</v>
      </c>
      <c r="J2608" t="s">
        <v>56</v>
      </c>
      <c r="K2608" t="s">
        <v>13</v>
      </c>
      <c r="L2608">
        <v>6</v>
      </c>
      <c r="M2608">
        <v>120</v>
      </c>
      <c r="N2608">
        <f t="shared" si="324"/>
        <v>720</v>
      </c>
      <c r="O2608">
        <f t="shared" si="325"/>
        <v>72</v>
      </c>
      <c r="P2608" t="str">
        <f t="shared" si="326"/>
        <v>Large Order</v>
      </c>
      <c r="Q2608" t="str">
        <f t="shared" si="327"/>
        <v>Weekend</v>
      </c>
    </row>
    <row r="2609" spans="1:17" x14ac:dyDescent="0.35">
      <c r="A2609" t="s">
        <v>2759</v>
      </c>
      <c r="B2609" s="7">
        <v>45396</v>
      </c>
      <c r="C2609" s="13">
        <f t="shared" si="321"/>
        <v>2024</v>
      </c>
      <c r="D2609" s="7" t="str">
        <f t="shared" si="322"/>
        <v>Apr</v>
      </c>
      <c r="E2609" s="7" t="str">
        <f t="shared" si="323"/>
        <v>Sun</v>
      </c>
      <c r="F2609" t="s">
        <v>93</v>
      </c>
      <c r="G2609" t="s">
        <v>160</v>
      </c>
      <c r="H2609" t="s">
        <v>11</v>
      </c>
      <c r="I2609" s="2" t="str">
        <f t="shared" si="320"/>
        <v>Central</v>
      </c>
      <c r="J2609" t="s">
        <v>27</v>
      </c>
      <c r="K2609" t="s">
        <v>23</v>
      </c>
      <c r="L2609">
        <v>10</v>
      </c>
      <c r="M2609">
        <v>120</v>
      </c>
      <c r="N2609">
        <f t="shared" si="324"/>
        <v>1200</v>
      </c>
      <c r="O2609">
        <f t="shared" si="325"/>
        <v>120</v>
      </c>
      <c r="P2609" t="str">
        <f t="shared" si="326"/>
        <v>Large Order</v>
      </c>
      <c r="Q2609" t="str">
        <f t="shared" si="327"/>
        <v>Weekend</v>
      </c>
    </row>
    <row r="2610" spans="1:17" x14ac:dyDescent="0.35">
      <c r="A2610" t="s">
        <v>2760</v>
      </c>
      <c r="B2610" s="7">
        <v>45393</v>
      </c>
      <c r="C2610" s="13">
        <f t="shared" si="321"/>
        <v>2024</v>
      </c>
      <c r="D2610" s="7" t="str">
        <f t="shared" si="322"/>
        <v>Apr</v>
      </c>
      <c r="E2610" s="7" t="str">
        <f t="shared" si="323"/>
        <v>Thu</v>
      </c>
      <c r="F2610" t="s">
        <v>78</v>
      </c>
      <c r="G2610" t="s">
        <v>87</v>
      </c>
      <c r="H2610" t="s">
        <v>11</v>
      </c>
      <c r="I2610" s="2" t="str">
        <f t="shared" si="320"/>
        <v>West</v>
      </c>
      <c r="J2610" t="s">
        <v>306</v>
      </c>
      <c r="K2610" t="s">
        <v>28</v>
      </c>
      <c r="L2610">
        <v>10</v>
      </c>
      <c r="M2610">
        <v>120</v>
      </c>
      <c r="N2610">
        <f t="shared" si="324"/>
        <v>1200</v>
      </c>
      <c r="O2610">
        <f t="shared" si="325"/>
        <v>120</v>
      </c>
      <c r="P2610" t="str">
        <f t="shared" si="326"/>
        <v>Large Order</v>
      </c>
      <c r="Q2610" t="str">
        <f t="shared" si="327"/>
        <v>Weekday</v>
      </c>
    </row>
    <row r="2611" spans="1:17" x14ac:dyDescent="0.35">
      <c r="A2611" t="s">
        <v>2761</v>
      </c>
      <c r="B2611" s="7">
        <v>45521</v>
      </c>
      <c r="C2611" s="13">
        <f t="shared" si="321"/>
        <v>2024</v>
      </c>
      <c r="D2611" s="7" t="str">
        <f t="shared" si="322"/>
        <v>Aug</v>
      </c>
      <c r="E2611" s="7" t="str">
        <f t="shared" si="323"/>
        <v>Sat</v>
      </c>
      <c r="F2611" t="s">
        <v>541</v>
      </c>
      <c r="G2611" t="s">
        <v>65</v>
      </c>
      <c r="H2611" t="s">
        <v>17</v>
      </c>
      <c r="I2611" s="2" t="str">
        <f t="shared" si="320"/>
        <v>Central</v>
      </c>
      <c r="J2611" t="s">
        <v>27</v>
      </c>
      <c r="K2611" t="s">
        <v>13</v>
      </c>
      <c r="L2611">
        <v>12</v>
      </c>
      <c r="M2611">
        <v>120</v>
      </c>
      <c r="N2611">
        <f t="shared" si="324"/>
        <v>1440</v>
      </c>
      <c r="O2611">
        <f t="shared" si="325"/>
        <v>144</v>
      </c>
      <c r="P2611" t="str">
        <f t="shared" si="326"/>
        <v>Large Order</v>
      </c>
      <c r="Q2611" t="str">
        <f t="shared" si="327"/>
        <v>Weekend</v>
      </c>
    </row>
    <row r="2612" spans="1:17" x14ac:dyDescent="0.35">
      <c r="A2612" t="s">
        <v>2762</v>
      </c>
      <c r="B2612" s="7">
        <v>45377</v>
      </c>
      <c r="C2612" s="13">
        <f t="shared" si="321"/>
        <v>2024</v>
      </c>
      <c r="D2612" s="7" t="str">
        <f t="shared" si="322"/>
        <v>Mar</v>
      </c>
      <c r="E2612" s="7" t="str">
        <f t="shared" si="323"/>
        <v>Tue</v>
      </c>
      <c r="F2612" t="s">
        <v>553</v>
      </c>
      <c r="G2612" t="s">
        <v>70</v>
      </c>
      <c r="H2612" t="s">
        <v>17</v>
      </c>
      <c r="I2612" s="2" t="str">
        <f t="shared" si="320"/>
        <v>West</v>
      </c>
      <c r="J2612" t="s">
        <v>306</v>
      </c>
      <c r="K2612" t="s">
        <v>36</v>
      </c>
      <c r="L2612">
        <v>14</v>
      </c>
      <c r="M2612">
        <v>120</v>
      </c>
      <c r="N2612">
        <f t="shared" si="324"/>
        <v>1680</v>
      </c>
      <c r="O2612">
        <f t="shared" si="325"/>
        <v>168</v>
      </c>
      <c r="P2612" t="str">
        <f t="shared" si="326"/>
        <v>Large Order</v>
      </c>
      <c r="Q2612" t="str">
        <f t="shared" si="327"/>
        <v>Weekday</v>
      </c>
    </row>
    <row r="2613" spans="1:17" x14ac:dyDescent="0.35">
      <c r="A2613" t="s">
        <v>2763</v>
      </c>
      <c r="B2613" s="7">
        <v>45538</v>
      </c>
      <c r="C2613" s="13">
        <f t="shared" si="321"/>
        <v>2024</v>
      </c>
      <c r="D2613" s="7" t="str">
        <f t="shared" si="322"/>
        <v>Sep</v>
      </c>
      <c r="E2613" s="7" t="str">
        <f t="shared" si="323"/>
        <v>Tue</v>
      </c>
      <c r="F2613" t="s">
        <v>138</v>
      </c>
      <c r="G2613" t="s">
        <v>119</v>
      </c>
      <c r="H2613" t="s">
        <v>17</v>
      </c>
      <c r="I2613" s="2" t="str">
        <f t="shared" si="320"/>
        <v>East</v>
      </c>
      <c r="J2613" t="s">
        <v>27</v>
      </c>
      <c r="K2613" t="s">
        <v>13</v>
      </c>
      <c r="L2613">
        <v>10</v>
      </c>
      <c r="M2613">
        <v>120</v>
      </c>
      <c r="N2613">
        <f t="shared" si="324"/>
        <v>1200</v>
      </c>
      <c r="O2613">
        <f t="shared" si="325"/>
        <v>120</v>
      </c>
      <c r="P2613" t="str">
        <f t="shared" si="326"/>
        <v>Large Order</v>
      </c>
      <c r="Q2613" t="str">
        <f t="shared" si="327"/>
        <v>Weekday</v>
      </c>
    </row>
    <row r="2614" spans="1:17" x14ac:dyDescent="0.35">
      <c r="A2614" t="s">
        <v>2764</v>
      </c>
      <c r="B2614" s="7">
        <v>45370</v>
      </c>
      <c r="C2614" s="13">
        <f t="shared" si="321"/>
        <v>2024</v>
      </c>
      <c r="D2614" s="7" t="str">
        <f t="shared" si="322"/>
        <v>Mar</v>
      </c>
      <c r="E2614" s="7" t="str">
        <f t="shared" si="323"/>
        <v>Tue</v>
      </c>
      <c r="F2614" t="s">
        <v>378</v>
      </c>
      <c r="G2614" t="s">
        <v>84</v>
      </c>
      <c r="H2614" t="s">
        <v>11</v>
      </c>
      <c r="I2614" s="2" t="str">
        <f t="shared" si="320"/>
        <v>West</v>
      </c>
      <c r="J2614" t="s">
        <v>42</v>
      </c>
      <c r="K2614" t="s">
        <v>23</v>
      </c>
      <c r="L2614">
        <v>15</v>
      </c>
      <c r="M2614">
        <v>120</v>
      </c>
      <c r="N2614">
        <f t="shared" si="324"/>
        <v>1800</v>
      </c>
      <c r="O2614">
        <f t="shared" si="325"/>
        <v>180</v>
      </c>
      <c r="P2614" t="str">
        <f t="shared" si="326"/>
        <v>Large Order</v>
      </c>
      <c r="Q2614" t="str">
        <f t="shared" si="327"/>
        <v>Weekday</v>
      </c>
    </row>
    <row r="2615" spans="1:17" x14ac:dyDescent="0.35">
      <c r="A2615" t="s">
        <v>2765</v>
      </c>
      <c r="B2615" s="7">
        <v>45437</v>
      </c>
      <c r="C2615" s="13">
        <f t="shared" si="321"/>
        <v>2024</v>
      </c>
      <c r="D2615" s="7" t="str">
        <f t="shared" si="322"/>
        <v>May</v>
      </c>
      <c r="E2615" s="7" t="str">
        <f t="shared" si="323"/>
        <v>Sat</v>
      </c>
      <c r="F2615" t="s">
        <v>159</v>
      </c>
      <c r="G2615" t="s">
        <v>174</v>
      </c>
      <c r="H2615" t="s">
        <v>22</v>
      </c>
      <c r="I2615" s="2" t="str">
        <f t="shared" si="320"/>
        <v>North</v>
      </c>
      <c r="J2615" t="s">
        <v>27</v>
      </c>
      <c r="K2615" t="s">
        <v>13</v>
      </c>
      <c r="L2615">
        <v>11</v>
      </c>
      <c r="M2615">
        <v>120</v>
      </c>
      <c r="N2615">
        <f t="shared" si="324"/>
        <v>1320</v>
      </c>
      <c r="O2615">
        <f t="shared" si="325"/>
        <v>132</v>
      </c>
      <c r="P2615" t="str">
        <f t="shared" si="326"/>
        <v>Large Order</v>
      </c>
      <c r="Q2615" t="str">
        <f t="shared" si="327"/>
        <v>Weekend</v>
      </c>
    </row>
    <row r="2616" spans="1:17" x14ac:dyDescent="0.35">
      <c r="A2616" t="s">
        <v>2766</v>
      </c>
      <c r="B2616" s="7">
        <v>45532</v>
      </c>
      <c r="C2616" s="13">
        <f t="shared" si="321"/>
        <v>2024</v>
      </c>
      <c r="D2616" s="7" t="str">
        <f t="shared" si="322"/>
        <v>Aug</v>
      </c>
      <c r="E2616" s="7" t="str">
        <f t="shared" si="323"/>
        <v>Wed</v>
      </c>
      <c r="F2616" t="s">
        <v>104</v>
      </c>
      <c r="G2616" t="s">
        <v>16</v>
      </c>
      <c r="H2616" t="s">
        <v>11</v>
      </c>
      <c r="I2616" s="2" t="str">
        <f t="shared" si="320"/>
        <v>West</v>
      </c>
      <c r="J2616" t="s">
        <v>12</v>
      </c>
      <c r="K2616" t="s">
        <v>13</v>
      </c>
      <c r="L2616">
        <v>17</v>
      </c>
      <c r="M2616">
        <v>120</v>
      </c>
      <c r="N2616">
        <f t="shared" si="324"/>
        <v>2040</v>
      </c>
      <c r="O2616">
        <f t="shared" si="325"/>
        <v>204</v>
      </c>
      <c r="P2616" t="str">
        <f t="shared" si="326"/>
        <v>Large Order</v>
      </c>
      <c r="Q2616" t="str">
        <f t="shared" si="327"/>
        <v>Weekday</v>
      </c>
    </row>
    <row r="2617" spans="1:17" x14ac:dyDescent="0.35">
      <c r="A2617" t="s">
        <v>2767</v>
      </c>
      <c r="B2617" s="7">
        <v>45483</v>
      </c>
      <c r="C2617" s="13">
        <f t="shared" si="321"/>
        <v>2024</v>
      </c>
      <c r="D2617" s="7" t="str">
        <f t="shared" si="322"/>
        <v>Jul</v>
      </c>
      <c r="E2617" s="7" t="str">
        <f t="shared" si="323"/>
        <v>Wed</v>
      </c>
      <c r="F2617" t="s">
        <v>374</v>
      </c>
      <c r="G2617" t="s">
        <v>31</v>
      </c>
      <c r="H2617" t="s">
        <v>17</v>
      </c>
      <c r="I2617" s="2" t="str">
        <f t="shared" si="320"/>
        <v>North</v>
      </c>
      <c r="J2617" t="s">
        <v>27</v>
      </c>
      <c r="K2617" t="s">
        <v>32</v>
      </c>
      <c r="L2617">
        <v>13</v>
      </c>
      <c r="M2617">
        <v>120</v>
      </c>
      <c r="N2617">
        <f t="shared" si="324"/>
        <v>1560</v>
      </c>
      <c r="O2617">
        <f t="shared" si="325"/>
        <v>156</v>
      </c>
      <c r="P2617" t="str">
        <f t="shared" si="326"/>
        <v>Large Order</v>
      </c>
      <c r="Q2617" t="str">
        <f t="shared" si="327"/>
        <v>Weekday</v>
      </c>
    </row>
    <row r="2618" spans="1:17" x14ac:dyDescent="0.35">
      <c r="A2618" t="s">
        <v>2768</v>
      </c>
      <c r="B2618" s="7">
        <v>45620</v>
      </c>
      <c r="C2618" s="13">
        <f t="shared" si="321"/>
        <v>2024</v>
      </c>
      <c r="D2618" s="7" t="str">
        <f t="shared" si="322"/>
        <v>Nov</v>
      </c>
      <c r="E2618" s="7" t="str">
        <f t="shared" si="323"/>
        <v>Sun</v>
      </c>
      <c r="F2618" t="s">
        <v>449</v>
      </c>
      <c r="G2618" t="s">
        <v>10</v>
      </c>
      <c r="H2618" t="s">
        <v>17</v>
      </c>
      <c r="I2618" s="2" t="str">
        <f t="shared" si="320"/>
        <v>East</v>
      </c>
      <c r="J2618" t="s">
        <v>12</v>
      </c>
      <c r="K2618" t="s">
        <v>13</v>
      </c>
      <c r="L2618">
        <v>13</v>
      </c>
      <c r="M2618">
        <v>120</v>
      </c>
      <c r="N2618">
        <f t="shared" si="324"/>
        <v>1560</v>
      </c>
      <c r="O2618">
        <f t="shared" si="325"/>
        <v>156</v>
      </c>
      <c r="P2618" t="str">
        <f t="shared" si="326"/>
        <v>Large Order</v>
      </c>
      <c r="Q2618" t="str">
        <f t="shared" si="327"/>
        <v>Weekend</v>
      </c>
    </row>
    <row r="2619" spans="1:17" x14ac:dyDescent="0.35">
      <c r="A2619" t="s">
        <v>2769</v>
      </c>
      <c r="B2619" s="7">
        <v>45375</v>
      </c>
      <c r="C2619" s="13">
        <f t="shared" si="321"/>
        <v>2024</v>
      </c>
      <c r="D2619" s="7" t="str">
        <f t="shared" si="322"/>
        <v>Mar</v>
      </c>
      <c r="E2619" s="7" t="str">
        <f t="shared" si="323"/>
        <v>Sun</v>
      </c>
      <c r="F2619" t="s">
        <v>150</v>
      </c>
      <c r="G2619" t="s">
        <v>119</v>
      </c>
      <c r="H2619" t="s">
        <v>17</v>
      </c>
      <c r="I2619" s="2" t="str">
        <f t="shared" si="320"/>
        <v>North</v>
      </c>
      <c r="J2619" t="s">
        <v>42</v>
      </c>
      <c r="K2619" t="s">
        <v>32</v>
      </c>
      <c r="L2619">
        <v>17</v>
      </c>
      <c r="M2619">
        <v>120</v>
      </c>
      <c r="N2619">
        <f t="shared" si="324"/>
        <v>2040</v>
      </c>
      <c r="O2619">
        <f t="shared" si="325"/>
        <v>204</v>
      </c>
      <c r="P2619" t="str">
        <f t="shared" si="326"/>
        <v>Large Order</v>
      </c>
      <c r="Q2619" t="str">
        <f t="shared" si="327"/>
        <v>Weekend</v>
      </c>
    </row>
    <row r="2620" spans="1:17" x14ac:dyDescent="0.35">
      <c r="A2620" t="s">
        <v>2770</v>
      </c>
      <c r="B2620" s="7">
        <v>45617</v>
      </c>
      <c r="C2620" s="13">
        <f t="shared" si="321"/>
        <v>2024</v>
      </c>
      <c r="D2620" s="7" t="str">
        <f t="shared" si="322"/>
        <v>Nov</v>
      </c>
      <c r="E2620" s="7" t="str">
        <f t="shared" si="323"/>
        <v>Thu</v>
      </c>
      <c r="F2620" t="s">
        <v>465</v>
      </c>
      <c r="G2620" t="s">
        <v>48</v>
      </c>
      <c r="H2620" t="s">
        <v>22</v>
      </c>
      <c r="I2620" s="2" t="str">
        <f t="shared" si="320"/>
        <v>North</v>
      </c>
      <c r="J2620" t="s">
        <v>12</v>
      </c>
      <c r="K2620" t="s">
        <v>23</v>
      </c>
      <c r="L2620">
        <v>14</v>
      </c>
      <c r="M2620">
        <v>120</v>
      </c>
      <c r="N2620">
        <f t="shared" si="324"/>
        <v>1680</v>
      </c>
      <c r="O2620">
        <f t="shared" si="325"/>
        <v>168</v>
      </c>
      <c r="P2620" t="str">
        <f t="shared" si="326"/>
        <v>Large Order</v>
      </c>
      <c r="Q2620" t="str">
        <f t="shared" si="327"/>
        <v>Weekday</v>
      </c>
    </row>
    <row r="2621" spans="1:17" x14ac:dyDescent="0.35">
      <c r="A2621" t="s">
        <v>2771</v>
      </c>
      <c r="B2621" s="7">
        <v>45416</v>
      </c>
      <c r="C2621" s="13">
        <f t="shared" si="321"/>
        <v>2024</v>
      </c>
      <c r="D2621" s="7" t="str">
        <f t="shared" si="322"/>
        <v>May</v>
      </c>
      <c r="E2621" s="7" t="str">
        <f t="shared" si="323"/>
        <v>Sat</v>
      </c>
      <c r="F2621" t="s">
        <v>517</v>
      </c>
      <c r="G2621" t="s">
        <v>79</v>
      </c>
      <c r="H2621" t="s">
        <v>17</v>
      </c>
      <c r="I2621" s="2" t="str">
        <f t="shared" si="320"/>
        <v>Central</v>
      </c>
      <c r="J2621" t="s">
        <v>12</v>
      </c>
      <c r="K2621" t="s">
        <v>28</v>
      </c>
      <c r="L2621">
        <v>9</v>
      </c>
      <c r="M2621">
        <v>120</v>
      </c>
      <c r="N2621">
        <f t="shared" si="324"/>
        <v>1080</v>
      </c>
      <c r="O2621">
        <f t="shared" si="325"/>
        <v>108</v>
      </c>
      <c r="P2621" t="str">
        <f t="shared" si="326"/>
        <v>Large Order</v>
      </c>
      <c r="Q2621" t="str">
        <f t="shared" si="327"/>
        <v>Weekend</v>
      </c>
    </row>
    <row r="2622" spans="1:17" x14ac:dyDescent="0.35">
      <c r="A2622" t="s">
        <v>2772</v>
      </c>
      <c r="B2622" s="7">
        <v>45640</v>
      </c>
      <c r="C2622" s="13">
        <f t="shared" si="321"/>
        <v>2024</v>
      </c>
      <c r="D2622" s="7" t="str">
        <f t="shared" si="322"/>
        <v>Dec</v>
      </c>
      <c r="E2622" s="7" t="str">
        <f t="shared" si="323"/>
        <v>Sat</v>
      </c>
      <c r="F2622" t="s">
        <v>167</v>
      </c>
      <c r="G2622" t="s">
        <v>26</v>
      </c>
      <c r="H2622" t="s">
        <v>11</v>
      </c>
      <c r="I2622" s="2" t="str">
        <f t="shared" si="320"/>
        <v>West</v>
      </c>
      <c r="J2622" t="s">
        <v>306</v>
      </c>
      <c r="K2622" t="s">
        <v>36</v>
      </c>
      <c r="L2622">
        <v>6</v>
      </c>
      <c r="M2622">
        <v>120</v>
      </c>
      <c r="N2622">
        <f t="shared" si="324"/>
        <v>720</v>
      </c>
      <c r="O2622">
        <f t="shared" si="325"/>
        <v>72</v>
      </c>
      <c r="P2622" t="str">
        <f t="shared" si="326"/>
        <v>Large Order</v>
      </c>
      <c r="Q2622" t="str">
        <f t="shared" si="327"/>
        <v>Weekend</v>
      </c>
    </row>
    <row r="2623" spans="1:17" x14ac:dyDescent="0.35">
      <c r="A2623" t="s">
        <v>2773</v>
      </c>
      <c r="B2623" s="7">
        <v>45339</v>
      </c>
      <c r="C2623" s="13">
        <f t="shared" si="321"/>
        <v>2024</v>
      </c>
      <c r="D2623" s="7" t="str">
        <f t="shared" si="322"/>
        <v>Feb</v>
      </c>
      <c r="E2623" s="7" t="str">
        <f t="shared" si="323"/>
        <v>Sat</v>
      </c>
      <c r="F2623" t="s">
        <v>736</v>
      </c>
      <c r="G2623" t="s">
        <v>62</v>
      </c>
      <c r="H2623" t="s">
        <v>17</v>
      </c>
      <c r="I2623" s="2" t="str">
        <f t="shared" si="320"/>
        <v>East</v>
      </c>
      <c r="J2623" t="s">
        <v>27</v>
      </c>
      <c r="K2623" t="s">
        <v>36</v>
      </c>
      <c r="L2623">
        <v>3</v>
      </c>
      <c r="M2623">
        <v>120</v>
      </c>
      <c r="N2623">
        <f t="shared" si="324"/>
        <v>360</v>
      </c>
      <c r="O2623">
        <f t="shared" si="325"/>
        <v>36</v>
      </c>
      <c r="P2623" t="str">
        <f t="shared" si="326"/>
        <v>Standard Order</v>
      </c>
      <c r="Q2623" t="str">
        <f t="shared" si="327"/>
        <v>Weekend</v>
      </c>
    </row>
    <row r="2624" spans="1:17" x14ac:dyDescent="0.35">
      <c r="A2624" t="s">
        <v>2774</v>
      </c>
      <c r="B2624" s="7">
        <v>45388</v>
      </c>
      <c r="C2624" s="13">
        <f t="shared" si="321"/>
        <v>2024</v>
      </c>
      <c r="D2624" s="7" t="str">
        <f t="shared" si="322"/>
        <v>Apr</v>
      </c>
      <c r="E2624" s="7" t="str">
        <f t="shared" si="323"/>
        <v>Sat</v>
      </c>
      <c r="F2624" t="s">
        <v>309</v>
      </c>
      <c r="G2624" t="s">
        <v>45</v>
      </c>
      <c r="H2624" t="s">
        <v>17</v>
      </c>
      <c r="I2624" s="2" t="str">
        <f t="shared" si="320"/>
        <v>West</v>
      </c>
      <c r="J2624" t="s">
        <v>42</v>
      </c>
      <c r="K2624" t="s">
        <v>32</v>
      </c>
      <c r="L2624">
        <v>17</v>
      </c>
      <c r="M2624">
        <v>120</v>
      </c>
      <c r="N2624">
        <f t="shared" si="324"/>
        <v>2040</v>
      </c>
      <c r="O2624">
        <f t="shared" si="325"/>
        <v>204</v>
      </c>
      <c r="P2624" t="str">
        <f t="shared" si="326"/>
        <v>Large Order</v>
      </c>
      <c r="Q2624" t="str">
        <f t="shared" si="327"/>
        <v>Weekend</v>
      </c>
    </row>
    <row r="2625" spans="1:17" x14ac:dyDescent="0.35">
      <c r="A2625" t="s">
        <v>2775</v>
      </c>
      <c r="B2625" s="7">
        <v>45629</v>
      </c>
      <c r="C2625" s="13">
        <f t="shared" si="321"/>
        <v>2024</v>
      </c>
      <c r="D2625" s="7" t="str">
        <f t="shared" si="322"/>
        <v>Dec</v>
      </c>
      <c r="E2625" s="7" t="str">
        <f t="shared" si="323"/>
        <v>Tue</v>
      </c>
      <c r="F2625" t="s">
        <v>159</v>
      </c>
      <c r="G2625" t="s">
        <v>59</v>
      </c>
      <c r="H2625" t="s">
        <v>17</v>
      </c>
      <c r="I2625" s="2" t="str">
        <f t="shared" si="320"/>
        <v>South</v>
      </c>
      <c r="J2625" t="s">
        <v>27</v>
      </c>
      <c r="K2625" t="s">
        <v>13</v>
      </c>
      <c r="L2625">
        <v>4</v>
      </c>
      <c r="M2625">
        <v>120</v>
      </c>
      <c r="N2625">
        <f t="shared" si="324"/>
        <v>480</v>
      </c>
      <c r="O2625">
        <f t="shared" si="325"/>
        <v>48</v>
      </c>
      <c r="P2625" t="str">
        <f t="shared" si="326"/>
        <v>Standard Order</v>
      </c>
      <c r="Q2625" t="str">
        <f t="shared" si="327"/>
        <v>Weekday</v>
      </c>
    </row>
    <row r="2626" spans="1:17" x14ac:dyDescent="0.35">
      <c r="A2626" t="s">
        <v>2776</v>
      </c>
      <c r="B2626" s="7">
        <v>45468</v>
      </c>
      <c r="C2626" s="13">
        <f t="shared" si="321"/>
        <v>2024</v>
      </c>
      <c r="D2626" s="7" t="str">
        <f t="shared" si="322"/>
        <v>Jun</v>
      </c>
      <c r="E2626" s="7" t="str">
        <f t="shared" si="323"/>
        <v>Tue</v>
      </c>
      <c r="F2626" t="s">
        <v>167</v>
      </c>
      <c r="G2626" t="s">
        <v>26</v>
      </c>
      <c r="H2626" t="s">
        <v>22</v>
      </c>
      <c r="I2626" s="2" t="str">
        <f t="shared" si="320"/>
        <v>North</v>
      </c>
      <c r="J2626" t="s">
        <v>56</v>
      </c>
      <c r="K2626" t="s">
        <v>23</v>
      </c>
      <c r="L2626">
        <v>10</v>
      </c>
      <c r="M2626">
        <v>120</v>
      </c>
      <c r="N2626">
        <f t="shared" si="324"/>
        <v>1200</v>
      </c>
      <c r="O2626">
        <f t="shared" si="325"/>
        <v>120</v>
      </c>
      <c r="P2626" t="str">
        <f t="shared" si="326"/>
        <v>Large Order</v>
      </c>
      <c r="Q2626" t="str">
        <f t="shared" si="327"/>
        <v>Weekday</v>
      </c>
    </row>
    <row r="2627" spans="1:17" x14ac:dyDescent="0.35">
      <c r="A2627" t="s">
        <v>2777</v>
      </c>
      <c r="B2627" s="7">
        <v>45378</v>
      </c>
      <c r="C2627" s="13">
        <f t="shared" si="321"/>
        <v>2024</v>
      </c>
      <c r="D2627" s="7" t="str">
        <f t="shared" si="322"/>
        <v>Mar</v>
      </c>
      <c r="E2627" s="7" t="str">
        <f t="shared" si="323"/>
        <v>Wed</v>
      </c>
      <c r="F2627" t="s">
        <v>374</v>
      </c>
      <c r="G2627" t="s">
        <v>96</v>
      </c>
      <c r="H2627" t="s">
        <v>11</v>
      </c>
      <c r="I2627" s="2" t="str">
        <f t="shared" ref="I2627:I2690" si="328">TRIM(J2628)</f>
        <v>South</v>
      </c>
      <c r="J2627" t="s">
        <v>12</v>
      </c>
      <c r="K2627" t="s">
        <v>23</v>
      </c>
      <c r="L2627">
        <v>17</v>
      </c>
      <c r="M2627">
        <v>120</v>
      </c>
      <c r="N2627">
        <f t="shared" si="324"/>
        <v>2040</v>
      </c>
      <c r="O2627">
        <f t="shared" si="325"/>
        <v>204</v>
      </c>
      <c r="P2627" t="str">
        <f t="shared" si="326"/>
        <v>Large Order</v>
      </c>
      <c r="Q2627" t="str">
        <f t="shared" si="327"/>
        <v>Weekday</v>
      </c>
    </row>
    <row r="2628" spans="1:17" x14ac:dyDescent="0.35">
      <c r="A2628" t="s">
        <v>2778</v>
      </c>
      <c r="B2628" s="7">
        <v>45439</v>
      </c>
      <c r="C2628" s="13">
        <f t="shared" ref="C2628:C2691" si="329">YEAR(B2628)</f>
        <v>2024</v>
      </c>
      <c r="D2628" s="7" t="str">
        <f t="shared" ref="D2628:D2691" si="330">TEXT(B2628,"mmm")</f>
        <v>May</v>
      </c>
      <c r="E2628" s="7" t="str">
        <f t="shared" ref="E2628:E2691" si="331">TEXT(B2628,"ddd")</f>
        <v>Mon</v>
      </c>
      <c r="F2628" t="s">
        <v>388</v>
      </c>
      <c r="G2628" t="s">
        <v>87</v>
      </c>
      <c r="H2628" t="s">
        <v>11</v>
      </c>
      <c r="I2628" s="2" t="str">
        <f t="shared" si="328"/>
        <v>North</v>
      </c>
      <c r="J2628" t="s">
        <v>56</v>
      </c>
      <c r="K2628" t="s">
        <v>32</v>
      </c>
      <c r="L2628">
        <v>6</v>
      </c>
      <c r="M2628">
        <v>120</v>
      </c>
      <c r="N2628">
        <f t="shared" ref="N2628:N2691" si="332">M2628*L2628</f>
        <v>720</v>
      </c>
      <c r="O2628">
        <f t="shared" ref="O2628:O2691" si="333">N2628*0.1</f>
        <v>72</v>
      </c>
      <c r="P2628" t="str">
        <f t="shared" ref="P2628:P2691" si="334">IF(N2628&gt;500,"Large Order","Standard Order")</f>
        <v>Large Order</v>
      </c>
      <c r="Q2628" t="str">
        <f t="shared" ref="Q2628:Q2691" si="335">IF(OR(TRIM(E2628)="Sat",TRIM(E2628)="Sun"),"Weekend","Weekday")</f>
        <v>Weekday</v>
      </c>
    </row>
    <row r="2629" spans="1:17" x14ac:dyDescent="0.35">
      <c r="A2629" t="s">
        <v>2779</v>
      </c>
      <c r="B2629" s="7">
        <v>45393</v>
      </c>
      <c r="C2629" s="13">
        <f t="shared" si="329"/>
        <v>2024</v>
      </c>
      <c r="D2629" s="7" t="str">
        <f t="shared" si="330"/>
        <v>Apr</v>
      </c>
      <c r="E2629" s="7" t="str">
        <f t="shared" si="331"/>
        <v>Thu</v>
      </c>
      <c r="F2629" t="s">
        <v>374</v>
      </c>
      <c r="G2629" t="s">
        <v>45</v>
      </c>
      <c r="H2629" t="s">
        <v>22</v>
      </c>
      <c r="I2629" s="2" t="str">
        <f t="shared" si="328"/>
        <v>South</v>
      </c>
      <c r="J2629" t="s">
        <v>12</v>
      </c>
      <c r="K2629" t="s">
        <v>23</v>
      </c>
      <c r="L2629">
        <v>19</v>
      </c>
      <c r="M2629">
        <v>120</v>
      </c>
      <c r="N2629">
        <f t="shared" si="332"/>
        <v>2280</v>
      </c>
      <c r="O2629">
        <f t="shared" si="333"/>
        <v>228</v>
      </c>
      <c r="P2629" t="str">
        <f t="shared" si="334"/>
        <v>Large Order</v>
      </c>
      <c r="Q2629" t="str">
        <f t="shared" si="335"/>
        <v>Weekday</v>
      </c>
    </row>
    <row r="2630" spans="1:17" x14ac:dyDescent="0.35">
      <c r="A2630" t="s">
        <v>2780</v>
      </c>
      <c r="B2630" s="7">
        <v>45387</v>
      </c>
      <c r="C2630" s="13">
        <f t="shared" si="329"/>
        <v>2024</v>
      </c>
      <c r="D2630" s="7" t="str">
        <f t="shared" si="330"/>
        <v>Apr</v>
      </c>
      <c r="E2630" s="7" t="str">
        <f t="shared" si="331"/>
        <v>Fri</v>
      </c>
      <c r="F2630" t="s">
        <v>104</v>
      </c>
      <c r="G2630" t="s">
        <v>79</v>
      </c>
      <c r="H2630" t="s">
        <v>22</v>
      </c>
      <c r="I2630" s="2" t="str">
        <f t="shared" si="328"/>
        <v>North</v>
      </c>
      <c r="J2630" t="s">
        <v>56</v>
      </c>
      <c r="K2630" t="s">
        <v>28</v>
      </c>
      <c r="L2630">
        <v>9</v>
      </c>
      <c r="M2630">
        <v>120</v>
      </c>
      <c r="N2630">
        <f t="shared" si="332"/>
        <v>1080</v>
      </c>
      <c r="O2630">
        <f t="shared" si="333"/>
        <v>108</v>
      </c>
      <c r="P2630" t="str">
        <f t="shared" si="334"/>
        <v>Large Order</v>
      </c>
      <c r="Q2630" t="str">
        <f t="shared" si="335"/>
        <v>Weekday</v>
      </c>
    </row>
    <row r="2631" spans="1:17" x14ac:dyDescent="0.35">
      <c r="A2631" t="s">
        <v>2781</v>
      </c>
      <c r="B2631" s="7">
        <v>45501</v>
      </c>
      <c r="C2631" s="13">
        <f t="shared" si="329"/>
        <v>2024</v>
      </c>
      <c r="D2631" s="7" t="str">
        <f t="shared" si="330"/>
        <v>Jul</v>
      </c>
      <c r="E2631" s="7" t="str">
        <f t="shared" si="331"/>
        <v>Sun</v>
      </c>
      <c r="F2631" t="s">
        <v>396</v>
      </c>
      <c r="G2631" t="s">
        <v>21</v>
      </c>
      <c r="H2631" t="s">
        <v>22</v>
      </c>
      <c r="I2631" s="2" t="str">
        <f t="shared" si="328"/>
        <v>East</v>
      </c>
      <c r="J2631" t="s">
        <v>12</v>
      </c>
      <c r="K2631" t="s">
        <v>28</v>
      </c>
      <c r="L2631">
        <v>3</v>
      </c>
      <c r="M2631">
        <v>120</v>
      </c>
      <c r="N2631">
        <f t="shared" si="332"/>
        <v>360</v>
      </c>
      <c r="O2631">
        <f t="shared" si="333"/>
        <v>36</v>
      </c>
      <c r="P2631" t="str">
        <f t="shared" si="334"/>
        <v>Standard Order</v>
      </c>
      <c r="Q2631" t="str">
        <f t="shared" si="335"/>
        <v>Weekend</v>
      </c>
    </row>
    <row r="2632" spans="1:17" x14ac:dyDescent="0.35">
      <c r="A2632" t="s">
        <v>2782</v>
      </c>
      <c r="B2632" s="7">
        <v>45485</v>
      </c>
      <c r="C2632" s="13">
        <f t="shared" si="329"/>
        <v>2024</v>
      </c>
      <c r="D2632" s="7" t="str">
        <f t="shared" si="330"/>
        <v>Jul</v>
      </c>
      <c r="E2632" s="7" t="str">
        <f t="shared" si="331"/>
        <v>Fri</v>
      </c>
      <c r="F2632" t="s">
        <v>114</v>
      </c>
      <c r="G2632" t="s">
        <v>26</v>
      </c>
      <c r="H2632" t="s">
        <v>11</v>
      </c>
      <c r="I2632" s="2" t="str">
        <f t="shared" si="328"/>
        <v>North</v>
      </c>
      <c r="J2632" t="s">
        <v>42</v>
      </c>
      <c r="K2632" t="s">
        <v>13</v>
      </c>
      <c r="L2632">
        <v>19</v>
      </c>
      <c r="M2632">
        <v>120</v>
      </c>
      <c r="N2632">
        <f t="shared" si="332"/>
        <v>2280</v>
      </c>
      <c r="O2632">
        <f t="shared" si="333"/>
        <v>228</v>
      </c>
      <c r="P2632" t="str">
        <f t="shared" si="334"/>
        <v>Large Order</v>
      </c>
      <c r="Q2632" t="str">
        <f t="shared" si="335"/>
        <v>Weekday</v>
      </c>
    </row>
    <row r="2633" spans="1:17" x14ac:dyDescent="0.35">
      <c r="A2633" t="s">
        <v>2783</v>
      </c>
      <c r="B2633" s="7">
        <v>45540</v>
      </c>
      <c r="C2633" s="13">
        <f t="shared" si="329"/>
        <v>2024</v>
      </c>
      <c r="D2633" s="7" t="str">
        <f t="shared" si="330"/>
        <v>Sep</v>
      </c>
      <c r="E2633" s="7" t="str">
        <f t="shared" si="331"/>
        <v>Thu</v>
      </c>
      <c r="F2633" t="s">
        <v>422</v>
      </c>
      <c r="G2633" t="s">
        <v>119</v>
      </c>
      <c r="H2633" t="s">
        <v>11</v>
      </c>
      <c r="I2633" s="2" t="str">
        <f t="shared" si="328"/>
        <v>North</v>
      </c>
      <c r="J2633" t="s">
        <v>12</v>
      </c>
      <c r="K2633" t="s">
        <v>13</v>
      </c>
      <c r="L2633">
        <v>9</v>
      </c>
      <c r="M2633">
        <v>120</v>
      </c>
      <c r="N2633">
        <f t="shared" si="332"/>
        <v>1080</v>
      </c>
      <c r="O2633">
        <f t="shared" si="333"/>
        <v>108</v>
      </c>
      <c r="P2633" t="str">
        <f t="shared" si="334"/>
        <v>Large Order</v>
      </c>
      <c r="Q2633" t="str">
        <f t="shared" si="335"/>
        <v>Weekday</v>
      </c>
    </row>
    <row r="2634" spans="1:17" x14ac:dyDescent="0.35">
      <c r="A2634" t="s">
        <v>2784</v>
      </c>
      <c r="B2634" s="7">
        <v>45295</v>
      </c>
      <c r="C2634" s="13">
        <f t="shared" si="329"/>
        <v>2024</v>
      </c>
      <c r="D2634" s="7" t="str">
        <f t="shared" si="330"/>
        <v>Jan</v>
      </c>
      <c r="E2634" s="7" t="str">
        <f t="shared" si="331"/>
        <v>Thu</v>
      </c>
      <c r="F2634" t="s">
        <v>317</v>
      </c>
      <c r="G2634" t="s">
        <v>59</v>
      </c>
      <c r="H2634" t="s">
        <v>11</v>
      </c>
      <c r="I2634" s="2" t="str">
        <f t="shared" si="328"/>
        <v>West</v>
      </c>
      <c r="J2634" t="s">
        <v>12</v>
      </c>
      <c r="K2634" t="s">
        <v>28</v>
      </c>
      <c r="L2634">
        <v>17</v>
      </c>
      <c r="M2634">
        <v>120</v>
      </c>
      <c r="N2634">
        <f t="shared" si="332"/>
        <v>2040</v>
      </c>
      <c r="O2634">
        <f t="shared" si="333"/>
        <v>204</v>
      </c>
      <c r="P2634" t="str">
        <f t="shared" si="334"/>
        <v>Large Order</v>
      </c>
      <c r="Q2634" t="str">
        <f t="shared" si="335"/>
        <v>Weekday</v>
      </c>
    </row>
    <row r="2635" spans="1:17" x14ac:dyDescent="0.35">
      <c r="A2635" t="s">
        <v>2785</v>
      </c>
      <c r="B2635" s="7">
        <v>45484</v>
      </c>
      <c r="C2635" s="13">
        <f t="shared" si="329"/>
        <v>2024</v>
      </c>
      <c r="D2635" s="7" t="str">
        <f t="shared" si="330"/>
        <v>Jul</v>
      </c>
      <c r="E2635" s="7" t="str">
        <f t="shared" si="331"/>
        <v>Thu</v>
      </c>
      <c r="F2635" t="s">
        <v>493</v>
      </c>
      <c r="G2635" t="s">
        <v>160</v>
      </c>
      <c r="H2635" t="s">
        <v>17</v>
      </c>
      <c r="I2635" s="2" t="str">
        <f t="shared" si="328"/>
        <v>East</v>
      </c>
      <c r="J2635" t="s">
        <v>27</v>
      </c>
      <c r="K2635" t="s">
        <v>23</v>
      </c>
      <c r="L2635">
        <v>11</v>
      </c>
      <c r="M2635">
        <v>120</v>
      </c>
      <c r="N2635">
        <f t="shared" si="332"/>
        <v>1320</v>
      </c>
      <c r="O2635">
        <f t="shared" si="333"/>
        <v>132</v>
      </c>
      <c r="P2635" t="str">
        <f t="shared" si="334"/>
        <v>Large Order</v>
      </c>
      <c r="Q2635" t="str">
        <f t="shared" si="335"/>
        <v>Weekday</v>
      </c>
    </row>
    <row r="2636" spans="1:17" x14ac:dyDescent="0.35">
      <c r="A2636" t="s">
        <v>2786</v>
      </c>
      <c r="B2636" s="7">
        <v>45464</v>
      </c>
      <c r="C2636" s="13">
        <f t="shared" si="329"/>
        <v>2024</v>
      </c>
      <c r="D2636" s="7" t="str">
        <f t="shared" si="330"/>
        <v>Jun</v>
      </c>
      <c r="E2636" s="7" t="str">
        <f t="shared" si="331"/>
        <v>Fri</v>
      </c>
      <c r="F2636" t="s">
        <v>200</v>
      </c>
      <c r="G2636" t="s">
        <v>41</v>
      </c>
      <c r="H2636" t="s">
        <v>17</v>
      </c>
      <c r="I2636" s="2" t="str">
        <f t="shared" si="328"/>
        <v>East</v>
      </c>
      <c r="J2636" t="s">
        <v>42</v>
      </c>
      <c r="K2636" t="s">
        <v>28</v>
      </c>
      <c r="L2636">
        <v>12</v>
      </c>
      <c r="M2636">
        <v>120</v>
      </c>
      <c r="N2636">
        <f t="shared" si="332"/>
        <v>1440</v>
      </c>
      <c r="O2636">
        <f t="shared" si="333"/>
        <v>144</v>
      </c>
      <c r="P2636" t="str">
        <f t="shared" si="334"/>
        <v>Large Order</v>
      </c>
      <c r="Q2636" t="str">
        <f t="shared" si="335"/>
        <v>Weekday</v>
      </c>
    </row>
    <row r="2637" spans="1:17" x14ac:dyDescent="0.35">
      <c r="A2637" t="s">
        <v>2787</v>
      </c>
      <c r="B2637" s="7">
        <v>45485</v>
      </c>
      <c r="C2637" s="13">
        <f t="shared" si="329"/>
        <v>2024</v>
      </c>
      <c r="D2637" s="7" t="str">
        <f t="shared" si="330"/>
        <v>Jul</v>
      </c>
      <c r="E2637" s="7" t="str">
        <f t="shared" si="331"/>
        <v>Fri</v>
      </c>
      <c r="F2637" t="s">
        <v>594</v>
      </c>
      <c r="G2637" t="s">
        <v>79</v>
      </c>
      <c r="H2637" t="s">
        <v>17</v>
      </c>
      <c r="I2637" s="2" t="str">
        <f t="shared" si="328"/>
        <v>North</v>
      </c>
      <c r="J2637" t="s">
        <v>42</v>
      </c>
      <c r="K2637" t="s">
        <v>13</v>
      </c>
      <c r="L2637">
        <v>1</v>
      </c>
      <c r="M2637">
        <v>120</v>
      </c>
      <c r="N2637">
        <f t="shared" si="332"/>
        <v>120</v>
      </c>
      <c r="O2637">
        <f t="shared" si="333"/>
        <v>12</v>
      </c>
      <c r="P2637" t="str">
        <f t="shared" si="334"/>
        <v>Standard Order</v>
      </c>
      <c r="Q2637" t="str">
        <f t="shared" si="335"/>
        <v>Weekday</v>
      </c>
    </row>
    <row r="2638" spans="1:17" x14ac:dyDescent="0.35">
      <c r="A2638" t="s">
        <v>2788</v>
      </c>
      <c r="B2638" s="7">
        <v>45649</v>
      </c>
      <c r="C2638" s="13">
        <f t="shared" si="329"/>
        <v>2024</v>
      </c>
      <c r="D2638" s="7" t="str">
        <f t="shared" si="330"/>
        <v>Dec</v>
      </c>
      <c r="E2638" s="7" t="str">
        <f t="shared" si="331"/>
        <v>Mon</v>
      </c>
      <c r="F2638" t="s">
        <v>341</v>
      </c>
      <c r="G2638" t="s">
        <v>84</v>
      </c>
      <c r="H2638" t="s">
        <v>11</v>
      </c>
      <c r="I2638" s="2" t="str">
        <f t="shared" si="328"/>
        <v>East</v>
      </c>
      <c r="J2638" t="s">
        <v>12</v>
      </c>
      <c r="K2638" t="s">
        <v>36</v>
      </c>
      <c r="L2638">
        <v>4</v>
      </c>
      <c r="M2638">
        <v>120</v>
      </c>
      <c r="N2638">
        <f t="shared" si="332"/>
        <v>480</v>
      </c>
      <c r="O2638">
        <f t="shared" si="333"/>
        <v>48</v>
      </c>
      <c r="P2638" t="str">
        <f t="shared" si="334"/>
        <v>Standard Order</v>
      </c>
      <c r="Q2638" t="str">
        <f t="shared" si="335"/>
        <v>Weekday</v>
      </c>
    </row>
    <row r="2639" spans="1:17" x14ac:dyDescent="0.35">
      <c r="A2639" t="s">
        <v>2789</v>
      </c>
      <c r="B2639" s="7">
        <v>45435</v>
      </c>
      <c r="C2639" s="13">
        <f t="shared" si="329"/>
        <v>2024</v>
      </c>
      <c r="D2639" s="7" t="str">
        <f t="shared" si="330"/>
        <v>May</v>
      </c>
      <c r="E2639" s="7" t="str">
        <f t="shared" si="331"/>
        <v>Thu</v>
      </c>
      <c r="F2639" t="s">
        <v>424</v>
      </c>
      <c r="G2639" t="s">
        <v>119</v>
      </c>
      <c r="H2639" t="s">
        <v>11</v>
      </c>
      <c r="I2639" s="2" t="str">
        <f t="shared" si="328"/>
        <v>South</v>
      </c>
      <c r="J2639" t="s">
        <v>42</v>
      </c>
      <c r="K2639" t="s">
        <v>23</v>
      </c>
      <c r="L2639">
        <v>20</v>
      </c>
      <c r="M2639">
        <v>120</v>
      </c>
      <c r="N2639">
        <f t="shared" si="332"/>
        <v>2400</v>
      </c>
      <c r="O2639">
        <f t="shared" si="333"/>
        <v>240</v>
      </c>
      <c r="P2639" t="str">
        <f t="shared" si="334"/>
        <v>Large Order</v>
      </c>
      <c r="Q2639" t="str">
        <f t="shared" si="335"/>
        <v>Weekday</v>
      </c>
    </row>
    <row r="2640" spans="1:17" x14ac:dyDescent="0.35">
      <c r="A2640" t="s">
        <v>2790</v>
      </c>
      <c r="B2640" s="7">
        <v>45535</v>
      </c>
      <c r="C2640" s="13">
        <f t="shared" si="329"/>
        <v>2024</v>
      </c>
      <c r="D2640" s="7" t="str">
        <f t="shared" si="330"/>
        <v>Aug</v>
      </c>
      <c r="E2640" s="7" t="str">
        <f t="shared" si="331"/>
        <v>Sat</v>
      </c>
      <c r="F2640" t="s">
        <v>345</v>
      </c>
      <c r="G2640" t="s">
        <v>87</v>
      </c>
      <c r="H2640" t="s">
        <v>22</v>
      </c>
      <c r="I2640" s="2" t="str">
        <f t="shared" si="328"/>
        <v>West</v>
      </c>
      <c r="J2640" t="s">
        <v>56</v>
      </c>
      <c r="K2640" t="s">
        <v>13</v>
      </c>
      <c r="L2640">
        <v>11</v>
      </c>
      <c r="M2640">
        <v>120</v>
      </c>
      <c r="N2640">
        <f t="shared" si="332"/>
        <v>1320</v>
      </c>
      <c r="O2640">
        <f t="shared" si="333"/>
        <v>132</v>
      </c>
      <c r="P2640" t="str">
        <f t="shared" si="334"/>
        <v>Large Order</v>
      </c>
      <c r="Q2640" t="str">
        <f t="shared" si="335"/>
        <v>Weekend</v>
      </c>
    </row>
    <row r="2641" spans="1:17" x14ac:dyDescent="0.35">
      <c r="A2641" t="s">
        <v>2791</v>
      </c>
      <c r="B2641" s="7">
        <v>45476</v>
      </c>
      <c r="C2641" s="13">
        <f t="shared" si="329"/>
        <v>2024</v>
      </c>
      <c r="D2641" s="7" t="str">
        <f t="shared" si="330"/>
        <v>Jul</v>
      </c>
      <c r="E2641" s="7" t="str">
        <f t="shared" si="331"/>
        <v>Wed</v>
      </c>
      <c r="F2641" t="s">
        <v>116</v>
      </c>
      <c r="G2641" t="s">
        <v>84</v>
      </c>
      <c r="H2641" t="s">
        <v>17</v>
      </c>
      <c r="I2641" s="2" t="str">
        <f t="shared" si="328"/>
        <v>West</v>
      </c>
      <c r="J2641" t="s">
        <v>27</v>
      </c>
      <c r="K2641" t="s">
        <v>28</v>
      </c>
      <c r="L2641">
        <v>20</v>
      </c>
      <c r="M2641">
        <v>120</v>
      </c>
      <c r="N2641">
        <f t="shared" si="332"/>
        <v>2400</v>
      </c>
      <c r="O2641">
        <f t="shared" si="333"/>
        <v>240</v>
      </c>
      <c r="P2641" t="str">
        <f t="shared" si="334"/>
        <v>Large Order</v>
      </c>
      <c r="Q2641" t="str">
        <f t="shared" si="335"/>
        <v>Weekday</v>
      </c>
    </row>
    <row r="2642" spans="1:17" x14ac:dyDescent="0.35">
      <c r="A2642" t="s">
        <v>2792</v>
      </c>
      <c r="B2642" s="7">
        <v>45605</v>
      </c>
      <c r="C2642" s="13">
        <f t="shared" si="329"/>
        <v>2024</v>
      </c>
      <c r="D2642" s="7" t="str">
        <f t="shared" si="330"/>
        <v>Nov</v>
      </c>
      <c r="E2642" s="7" t="str">
        <f t="shared" si="331"/>
        <v>Sat</v>
      </c>
      <c r="F2642" t="s">
        <v>81</v>
      </c>
      <c r="G2642" t="s">
        <v>48</v>
      </c>
      <c r="H2642" t="s">
        <v>17</v>
      </c>
      <c r="I2642" s="2" t="str">
        <f t="shared" si="328"/>
        <v>Central</v>
      </c>
      <c r="J2642" t="s">
        <v>27</v>
      </c>
      <c r="K2642" t="s">
        <v>13</v>
      </c>
      <c r="L2642">
        <v>13</v>
      </c>
      <c r="M2642">
        <v>120</v>
      </c>
      <c r="N2642">
        <f t="shared" si="332"/>
        <v>1560</v>
      </c>
      <c r="O2642">
        <f t="shared" si="333"/>
        <v>156</v>
      </c>
      <c r="P2642" t="str">
        <f t="shared" si="334"/>
        <v>Large Order</v>
      </c>
      <c r="Q2642" t="str">
        <f t="shared" si="335"/>
        <v>Weekend</v>
      </c>
    </row>
    <row r="2643" spans="1:17" x14ac:dyDescent="0.35">
      <c r="A2643" t="s">
        <v>2793</v>
      </c>
      <c r="B2643" s="7">
        <v>45391</v>
      </c>
      <c r="C2643" s="13">
        <f t="shared" si="329"/>
        <v>2024</v>
      </c>
      <c r="D2643" s="7" t="str">
        <f t="shared" si="330"/>
        <v>Apr</v>
      </c>
      <c r="E2643" s="7" t="str">
        <f t="shared" si="331"/>
        <v>Tue</v>
      </c>
      <c r="F2643" t="s">
        <v>436</v>
      </c>
      <c r="G2643" t="s">
        <v>16</v>
      </c>
      <c r="H2643" t="s">
        <v>22</v>
      </c>
      <c r="I2643" s="2" t="str">
        <f t="shared" si="328"/>
        <v>West</v>
      </c>
      <c r="J2643" t="s">
        <v>306</v>
      </c>
      <c r="K2643" t="s">
        <v>36</v>
      </c>
      <c r="L2643">
        <v>2</v>
      </c>
      <c r="M2643">
        <v>120</v>
      </c>
      <c r="N2643">
        <f t="shared" si="332"/>
        <v>240</v>
      </c>
      <c r="O2643">
        <f t="shared" si="333"/>
        <v>24</v>
      </c>
      <c r="P2643" t="str">
        <f t="shared" si="334"/>
        <v>Standard Order</v>
      </c>
      <c r="Q2643" t="str">
        <f t="shared" si="335"/>
        <v>Weekday</v>
      </c>
    </row>
    <row r="2644" spans="1:17" x14ac:dyDescent="0.35">
      <c r="A2644" t="s">
        <v>2794</v>
      </c>
      <c r="B2644" s="7">
        <v>45336</v>
      </c>
      <c r="C2644" s="13">
        <f t="shared" si="329"/>
        <v>2024</v>
      </c>
      <c r="D2644" s="7" t="str">
        <f t="shared" si="330"/>
        <v>Feb</v>
      </c>
      <c r="E2644" s="7" t="str">
        <f t="shared" si="331"/>
        <v>Wed</v>
      </c>
      <c r="F2644" t="s">
        <v>68</v>
      </c>
      <c r="G2644" t="s">
        <v>41</v>
      </c>
      <c r="H2644" t="s">
        <v>22</v>
      </c>
      <c r="I2644" s="2" t="str">
        <f t="shared" si="328"/>
        <v>South</v>
      </c>
      <c r="J2644" t="s">
        <v>27</v>
      </c>
      <c r="K2644" t="s">
        <v>28</v>
      </c>
      <c r="L2644">
        <v>15</v>
      </c>
      <c r="M2644">
        <v>120</v>
      </c>
      <c r="N2644">
        <f t="shared" si="332"/>
        <v>1800</v>
      </c>
      <c r="O2644">
        <f t="shared" si="333"/>
        <v>180</v>
      </c>
      <c r="P2644" t="str">
        <f t="shared" si="334"/>
        <v>Large Order</v>
      </c>
      <c r="Q2644" t="str">
        <f t="shared" si="335"/>
        <v>Weekday</v>
      </c>
    </row>
    <row r="2645" spans="1:17" x14ac:dyDescent="0.35">
      <c r="A2645" t="s">
        <v>2795</v>
      </c>
      <c r="B2645" s="7">
        <v>45538</v>
      </c>
      <c r="C2645" s="13">
        <f t="shared" si="329"/>
        <v>2024</v>
      </c>
      <c r="D2645" s="7" t="str">
        <f t="shared" si="330"/>
        <v>Sep</v>
      </c>
      <c r="E2645" s="7" t="str">
        <f t="shared" si="331"/>
        <v>Tue</v>
      </c>
      <c r="F2645" t="s">
        <v>371</v>
      </c>
      <c r="G2645" t="s">
        <v>174</v>
      </c>
      <c r="H2645" t="s">
        <v>11</v>
      </c>
      <c r="I2645" s="2" t="str">
        <f t="shared" si="328"/>
        <v>West</v>
      </c>
      <c r="J2645" t="s">
        <v>56</v>
      </c>
      <c r="K2645" t="s">
        <v>28</v>
      </c>
      <c r="L2645">
        <v>6</v>
      </c>
      <c r="M2645">
        <v>120</v>
      </c>
      <c r="N2645">
        <f t="shared" si="332"/>
        <v>720</v>
      </c>
      <c r="O2645">
        <f t="shared" si="333"/>
        <v>72</v>
      </c>
      <c r="P2645" t="str">
        <f t="shared" si="334"/>
        <v>Large Order</v>
      </c>
      <c r="Q2645" t="str">
        <f t="shared" si="335"/>
        <v>Weekday</v>
      </c>
    </row>
    <row r="2646" spans="1:17" x14ac:dyDescent="0.35">
      <c r="A2646" t="s">
        <v>2796</v>
      </c>
      <c r="B2646" s="7">
        <v>45629</v>
      </c>
      <c r="C2646" s="13">
        <f t="shared" si="329"/>
        <v>2024</v>
      </c>
      <c r="D2646" s="7" t="str">
        <f t="shared" si="330"/>
        <v>Dec</v>
      </c>
      <c r="E2646" s="7" t="str">
        <f t="shared" si="331"/>
        <v>Tue</v>
      </c>
      <c r="F2646" t="s">
        <v>424</v>
      </c>
      <c r="G2646" t="s">
        <v>10</v>
      </c>
      <c r="H2646" t="s">
        <v>11</v>
      </c>
      <c r="I2646" s="2" t="str">
        <f t="shared" si="328"/>
        <v>South</v>
      </c>
      <c r="J2646" t="s">
        <v>27</v>
      </c>
      <c r="K2646" t="s">
        <v>13</v>
      </c>
      <c r="L2646">
        <v>6</v>
      </c>
      <c r="M2646">
        <v>120</v>
      </c>
      <c r="N2646">
        <f t="shared" si="332"/>
        <v>720</v>
      </c>
      <c r="O2646">
        <f t="shared" si="333"/>
        <v>72</v>
      </c>
      <c r="P2646" t="str">
        <f t="shared" si="334"/>
        <v>Large Order</v>
      </c>
      <c r="Q2646" t="str">
        <f t="shared" si="335"/>
        <v>Weekday</v>
      </c>
    </row>
    <row r="2647" spans="1:17" x14ac:dyDescent="0.35">
      <c r="A2647" t="s">
        <v>2797</v>
      </c>
      <c r="B2647" s="7">
        <v>45459</v>
      </c>
      <c r="C2647" s="13">
        <f t="shared" si="329"/>
        <v>2024</v>
      </c>
      <c r="D2647" s="7" t="str">
        <f t="shared" si="330"/>
        <v>Jun</v>
      </c>
      <c r="E2647" s="7" t="str">
        <f t="shared" si="331"/>
        <v>Sun</v>
      </c>
      <c r="F2647" t="s">
        <v>53</v>
      </c>
      <c r="G2647" t="s">
        <v>119</v>
      </c>
      <c r="H2647" t="s">
        <v>17</v>
      </c>
      <c r="I2647" s="2" t="str">
        <f t="shared" si="328"/>
        <v>Central</v>
      </c>
      <c r="J2647" t="s">
        <v>56</v>
      </c>
      <c r="K2647" t="s">
        <v>32</v>
      </c>
      <c r="L2647">
        <v>16</v>
      </c>
      <c r="M2647">
        <v>120</v>
      </c>
      <c r="N2647">
        <f t="shared" si="332"/>
        <v>1920</v>
      </c>
      <c r="O2647">
        <f t="shared" si="333"/>
        <v>192</v>
      </c>
      <c r="P2647" t="str">
        <f t="shared" si="334"/>
        <v>Large Order</v>
      </c>
      <c r="Q2647" t="str">
        <f t="shared" si="335"/>
        <v>Weekend</v>
      </c>
    </row>
    <row r="2648" spans="1:17" x14ac:dyDescent="0.35">
      <c r="A2648" t="s">
        <v>2798</v>
      </c>
      <c r="B2648" s="7">
        <v>45635</v>
      </c>
      <c r="C2648" s="13">
        <f t="shared" si="329"/>
        <v>2024</v>
      </c>
      <c r="D2648" s="7" t="str">
        <f t="shared" si="330"/>
        <v>Dec</v>
      </c>
      <c r="E2648" s="7" t="str">
        <f t="shared" si="331"/>
        <v>Mon</v>
      </c>
      <c r="F2648" t="s">
        <v>114</v>
      </c>
      <c r="G2648" t="s">
        <v>41</v>
      </c>
      <c r="H2648" t="s">
        <v>11</v>
      </c>
      <c r="I2648" s="2" t="str">
        <f t="shared" si="328"/>
        <v>North</v>
      </c>
      <c r="J2648" t="s">
        <v>306</v>
      </c>
      <c r="K2648" t="s">
        <v>23</v>
      </c>
      <c r="L2648">
        <v>3</v>
      </c>
      <c r="M2648">
        <v>120</v>
      </c>
      <c r="N2648">
        <f t="shared" si="332"/>
        <v>360</v>
      </c>
      <c r="O2648">
        <f t="shared" si="333"/>
        <v>36</v>
      </c>
      <c r="P2648" t="str">
        <f t="shared" si="334"/>
        <v>Standard Order</v>
      </c>
      <c r="Q2648" t="str">
        <f t="shared" si="335"/>
        <v>Weekday</v>
      </c>
    </row>
    <row r="2649" spans="1:17" x14ac:dyDescent="0.35">
      <c r="A2649" t="s">
        <v>2799</v>
      </c>
      <c r="B2649" s="7">
        <v>45462</v>
      </c>
      <c r="C2649" s="13">
        <f t="shared" si="329"/>
        <v>2024</v>
      </c>
      <c r="D2649" s="7" t="str">
        <f t="shared" si="330"/>
        <v>Jun</v>
      </c>
      <c r="E2649" s="7" t="str">
        <f t="shared" si="331"/>
        <v>Wed</v>
      </c>
      <c r="F2649" t="s">
        <v>240</v>
      </c>
      <c r="G2649" t="s">
        <v>59</v>
      </c>
      <c r="H2649" t="s">
        <v>22</v>
      </c>
      <c r="I2649" s="2" t="str">
        <f t="shared" si="328"/>
        <v>West</v>
      </c>
      <c r="J2649" t="s">
        <v>12</v>
      </c>
      <c r="K2649" t="s">
        <v>32</v>
      </c>
      <c r="L2649">
        <v>13</v>
      </c>
      <c r="M2649">
        <v>120</v>
      </c>
      <c r="N2649">
        <f t="shared" si="332"/>
        <v>1560</v>
      </c>
      <c r="O2649">
        <f t="shared" si="333"/>
        <v>156</v>
      </c>
      <c r="P2649" t="str">
        <f t="shared" si="334"/>
        <v>Large Order</v>
      </c>
      <c r="Q2649" t="str">
        <f t="shared" si="335"/>
        <v>Weekday</v>
      </c>
    </row>
    <row r="2650" spans="1:17" x14ac:dyDescent="0.35">
      <c r="A2650" t="s">
        <v>2800</v>
      </c>
      <c r="B2650" s="7">
        <v>45487</v>
      </c>
      <c r="C2650" s="13">
        <f t="shared" si="329"/>
        <v>2024</v>
      </c>
      <c r="D2650" s="7" t="str">
        <f t="shared" si="330"/>
        <v>Jul</v>
      </c>
      <c r="E2650" s="7" t="str">
        <f t="shared" si="331"/>
        <v>Sun</v>
      </c>
      <c r="F2650" t="s">
        <v>350</v>
      </c>
      <c r="G2650" t="s">
        <v>21</v>
      </c>
      <c r="H2650" t="s">
        <v>22</v>
      </c>
      <c r="I2650" s="2" t="str">
        <f t="shared" si="328"/>
        <v>East</v>
      </c>
      <c r="J2650" t="s">
        <v>27</v>
      </c>
      <c r="K2650" t="s">
        <v>28</v>
      </c>
      <c r="L2650">
        <v>8</v>
      </c>
      <c r="M2650">
        <v>120</v>
      </c>
      <c r="N2650">
        <f t="shared" si="332"/>
        <v>960</v>
      </c>
      <c r="O2650">
        <f t="shared" si="333"/>
        <v>96</v>
      </c>
      <c r="P2650" t="str">
        <f t="shared" si="334"/>
        <v>Large Order</v>
      </c>
      <c r="Q2650" t="str">
        <f t="shared" si="335"/>
        <v>Weekend</v>
      </c>
    </row>
    <row r="2651" spans="1:17" x14ac:dyDescent="0.35">
      <c r="A2651" t="s">
        <v>2801</v>
      </c>
      <c r="B2651" s="7">
        <v>45440</v>
      </c>
      <c r="C2651" s="13">
        <f t="shared" si="329"/>
        <v>2024</v>
      </c>
      <c r="D2651" s="7" t="str">
        <f t="shared" si="330"/>
        <v>May</v>
      </c>
      <c r="E2651" s="7" t="str">
        <f t="shared" si="331"/>
        <v>Tue</v>
      </c>
      <c r="F2651" t="s">
        <v>203</v>
      </c>
      <c r="G2651" t="s">
        <v>102</v>
      </c>
      <c r="H2651" t="s">
        <v>11</v>
      </c>
      <c r="I2651" s="2" t="str">
        <f t="shared" si="328"/>
        <v>East</v>
      </c>
      <c r="J2651" t="s">
        <v>42</v>
      </c>
      <c r="K2651" t="s">
        <v>36</v>
      </c>
      <c r="L2651">
        <v>7</v>
      </c>
      <c r="M2651">
        <v>120</v>
      </c>
      <c r="N2651">
        <f t="shared" si="332"/>
        <v>840</v>
      </c>
      <c r="O2651">
        <f t="shared" si="333"/>
        <v>84</v>
      </c>
      <c r="P2651" t="str">
        <f t="shared" si="334"/>
        <v>Large Order</v>
      </c>
      <c r="Q2651" t="str">
        <f t="shared" si="335"/>
        <v>Weekday</v>
      </c>
    </row>
    <row r="2652" spans="1:17" x14ac:dyDescent="0.35">
      <c r="A2652" t="s">
        <v>2802</v>
      </c>
      <c r="B2652" s="7">
        <v>45351</v>
      </c>
      <c r="C2652" s="13">
        <f t="shared" si="329"/>
        <v>2024</v>
      </c>
      <c r="D2652" s="7" t="str">
        <f t="shared" si="330"/>
        <v>Feb</v>
      </c>
      <c r="E2652" s="7" t="str">
        <f t="shared" si="331"/>
        <v>Thu</v>
      </c>
      <c r="F2652" t="s">
        <v>314</v>
      </c>
      <c r="G2652" t="s">
        <v>48</v>
      </c>
      <c r="H2652" t="s">
        <v>11</v>
      </c>
      <c r="I2652" s="2" t="str">
        <f t="shared" si="328"/>
        <v>South</v>
      </c>
      <c r="J2652" t="s">
        <v>42</v>
      </c>
      <c r="K2652" t="s">
        <v>23</v>
      </c>
      <c r="L2652">
        <v>19</v>
      </c>
      <c r="M2652">
        <v>120</v>
      </c>
      <c r="N2652">
        <f t="shared" si="332"/>
        <v>2280</v>
      </c>
      <c r="O2652">
        <f t="shared" si="333"/>
        <v>228</v>
      </c>
      <c r="P2652" t="str">
        <f t="shared" si="334"/>
        <v>Large Order</v>
      </c>
      <c r="Q2652" t="str">
        <f t="shared" si="335"/>
        <v>Weekday</v>
      </c>
    </row>
    <row r="2653" spans="1:17" x14ac:dyDescent="0.35">
      <c r="A2653" t="s">
        <v>2803</v>
      </c>
      <c r="B2653" s="7">
        <v>45451</v>
      </c>
      <c r="C2653" s="13">
        <f t="shared" si="329"/>
        <v>2024</v>
      </c>
      <c r="D2653" s="7" t="str">
        <f t="shared" si="330"/>
        <v>Jun</v>
      </c>
      <c r="E2653" s="7" t="str">
        <f t="shared" si="331"/>
        <v>Sat</v>
      </c>
      <c r="F2653" t="s">
        <v>131</v>
      </c>
      <c r="G2653" t="s">
        <v>59</v>
      </c>
      <c r="H2653" t="s">
        <v>22</v>
      </c>
      <c r="I2653" s="2" t="str">
        <f t="shared" si="328"/>
        <v>Central</v>
      </c>
      <c r="J2653" t="s">
        <v>56</v>
      </c>
      <c r="K2653" t="s">
        <v>23</v>
      </c>
      <c r="L2653">
        <v>14</v>
      </c>
      <c r="M2653">
        <v>120</v>
      </c>
      <c r="N2653">
        <f t="shared" si="332"/>
        <v>1680</v>
      </c>
      <c r="O2653">
        <f t="shared" si="333"/>
        <v>168</v>
      </c>
      <c r="P2653" t="str">
        <f t="shared" si="334"/>
        <v>Large Order</v>
      </c>
      <c r="Q2653" t="str">
        <f t="shared" si="335"/>
        <v>Weekend</v>
      </c>
    </row>
    <row r="2654" spans="1:17" x14ac:dyDescent="0.35">
      <c r="A2654" t="s">
        <v>2804</v>
      </c>
      <c r="B2654" s="7">
        <v>45478</v>
      </c>
      <c r="C2654" s="13">
        <f t="shared" si="329"/>
        <v>2024</v>
      </c>
      <c r="D2654" s="7" t="str">
        <f t="shared" si="330"/>
        <v>Jul</v>
      </c>
      <c r="E2654" s="7" t="str">
        <f t="shared" si="331"/>
        <v>Fri</v>
      </c>
      <c r="F2654" t="s">
        <v>422</v>
      </c>
      <c r="G2654" t="s">
        <v>16</v>
      </c>
      <c r="H2654" t="s">
        <v>22</v>
      </c>
      <c r="I2654" s="2" t="str">
        <f t="shared" si="328"/>
        <v>South</v>
      </c>
      <c r="J2654" t="s">
        <v>306</v>
      </c>
      <c r="K2654" t="s">
        <v>36</v>
      </c>
      <c r="L2654">
        <v>8</v>
      </c>
      <c r="M2654">
        <v>120</v>
      </c>
      <c r="N2654">
        <f t="shared" si="332"/>
        <v>960</v>
      </c>
      <c r="O2654">
        <f t="shared" si="333"/>
        <v>96</v>
      </c>
      <c r="P2654" t="str">
        <f t="shared" si="334"/>
        <v>Large Order</v>
      </c>
      <c r="Q2654" t="str">
        <f t="shared" si="335"/>
        <v>Weekday</v>
      </c>
    </row>
    <row r="2655" spans="1:17" x14ac:dyDescent="0.35">
      <c r="A2655" t="s">
        <v>2805</v>
      </c>
      <c r="B2655" s="7">
        <v>45296</v>
      </c>
      <c r="C2655" s="13">
        <f t="shared" si="329"/>
        <v>2024</v>
      </c>
      <c r="D2655" s="7" t="str">
        <f t="shared" si="330"/>
        <v>Jan</v>
      </c>
      <c r="E2655" s="7" t="str">
        <f t="shared" si="331"/>
        <v>Fri</v>
      </c>
      <c r="F2655" t="s">
        <v>312</v>
      </c>
      <c r="G2655" t="s">
        <v>70</v>
      </c>
      <c r="H2655" t="s">
        <v>17</v>
      </c>
      <c r="I2655" s="2" t="str">
        <f t="shared" si="328"/>
        <v>South</v>
      </c>
      <c r="J2655" t="s">
        <v>56</v>
      </c>
      <c r="K2655" t="s">
        <v>32</v>
      </c>
      <c r="L2655">
        <v>8</v>
      </c>
      <c r="M2655">
        <v>120</v>
      </c>
      <c r="N2655">
        <f t="shared" si="332"/>
        <v>960</v>
      </c>
      <c r="O2655">
        <f t="shared" si="333"/>
        <v>96</v>
      </c>
      <c r="P2655" t="str">
        <f t="shared" si="334"/>
        <v>Large Order</v>
      </c>
      <c r="Q2655" t="str">
        <f t="shared" si="335"/>
        <v>Weekday</v>
      </c>
    </row>
    <row r="2656" spans="1:17" x14ac:dyDescent="0.35">
      <c r="A2656" t="s">
        <v>2806</v>
      </c>
      <c r="B2656" s="7">
        <v>45525</v>
      </c>
      <c r="C2656" s="13">
        <f t="shared" si="329"/>
        <v>2024</v>
      </c>
      <c r="D2656" s="7" t="str">
        <f t="shared" si="330"/>
        <v>Aug</v>
      </c>
      <c r="E2656" s="7" t="str">
        <f t="shared" si="331"/>
        <v>Wed</v>
      </c>
      <c r="F2656" t="s">
        <v>167</v>
      </c>
      <c r="G2656" t="s">
        <v>109</v>
      </c>
      <c r="H2656" t="s">
        <v>17</v>
      </c>
      <c r="I2656" s="2" t="str">
        <f t="shared" si="328"/>
        <v>Central</v>
      </c>
      <c r="J2656" t="s">
        <v>56</v>
      </c>
      <c r="K2656" t="s">
        <v>13</v>
      </c>
      <c r="L2656">
        <v>20</v>
      </c>
      <c r="M2656">
        <v>120</v>
      </c>
      <c r="N2656">
        <f t="shared" si="332"/>
        <v>2400</v>
      </c>
      <c r="O2656">
        <f t="shared" si="333"/>
        <v>240</v>
      </c>
      <c r="P2656" t="str">
        <f t="shared" si="334"/>
        <v>Large Order</v>
      </c>
      <c r="Q2656" t="str">
        <f t="shared" si="335"/>
        <v>Weekday</v>
      </c>
    </row>
    <row r="2657" spans="1:17" x14ac:dyDescent="0.35">
      <c r="A2657" t="s">
        <v>2807</v>
      </c>
      <c r="B2657" s="7">
        <v>45549</v>
      </c>
      <c r="C2657" s="13">
        <f t="shared" si="329"/>
        <v>2024</v>
      </c>
      <c r="D2657" s="7" t="str">
        <f t="shared" si="330"/>
        <v>Sep</v>
      </c>
      <c r="E2657" s="7" t="str">
        <f t="shared" si="331"/>
        <v>Sat</v>
      </c>
      <c r="F2657" t="s">
        <v>465</v>
      </c>
      <c r="G2657" t="s">
        <v>102</v>
      </c>
      <c r="H2657" t="s">
        <v>17</v>
      </c>
      <c r="I2657" s="2" t="str">
        <f t="shared" si="328"/>
        <v>South</v>
      </c>
      <c r="J2657" t="s">
        <v>306</v>
      </c>
      <c r="K2657" t="s">
        <v>23</v>
      </c>
      <c r="L2657">
        <v>7</v>
      </c>
      <c r="M2657">
        <v>120</v>
      </c>
      <c r="N2657">
        <f t="shared" si="332"/>
        <v>840</v>
      </c>
      <c r="O2657">
        <f t="shared" si="333"/>
        <v>84</v>
      </c>
      <c r="P2657" t="str">
        <f t="shared" si="334"/>
        <v>Large Order</v>
      </c>
      <c r="Q2657" t="str">
        <f t="shared" si="335"/>
        <v>Weekend</v>
      </c>
    </row>
    <row r="2658" spans="1:17" x14ac:dyDescent="0.35">
      <c r="A2658" t="s">
        <v>2808</v>
      </c>
      <c r="B2658" s="7">
        <v>45652</v>
      </c>
      <c r="C2658" s="13">
        <f t="shared" si="329"/>
        <v>2024</v>
      </c>
      <c r="D2658" s="7" t="str">
        <f t="shared" si="330"/>
        <v>Dec</v>
      </c>
      <c r="E2658" s="7" t="str">
        <f t="shared" si="331"/>
        <v>Thu</v>
      </c>
      <c r="F2658" t="s">
        <v>159</v>
      </c>
      <c r="G2658" t="s">
        <v>79</v>
      </c>
      <c r="H2658" t="s">
        <v>17</v>
      </c>
      <c r="I2658" s="2" t="str">
        <f t="shared" si="328"/>
        <v>West</v>
      </c>
      <c r="J2658" t="s">
        <v>56</v>
      </c>
      <c r="K2658" t="s">
        <v>28</v>
      </c>
      <c r="L2658">
        <v>8</v>
      </c>
      <c r="M2658">
        <v>120</v>
      </c>
      <c r="N2658">
        <f t="shared" si="332"/>
        <v>960</v>
      </c>
      <c r="O2658">
        <f t="shared" si="333"/>
        <v>96</v>
      </c>
      <c r="P2658" t="str">
        <f t="shared" si="334"/>
        <v>Large Order</v>
      </c>
      <c r="Q2658" t="str">
        <f t="shared" si="335"/>
        <v>Weekday</v>
      </c>
    </row>
    <row r="2659" spans="1:17" x14ac:dyDescent="0.35">
      <c r="A2659" t="s">
        <v>2809</v>
      </c>
      <c r="B2659" s="7">
        <v>45318</v>
      </c>
      <c r="C2659" s="13">
        <f t="shared" si="329"/>
        <v>2024</v>
      </c>
      <c r="D2659" s="7" t="str">
        <f t="shared" si="330"/>
        <v>Jan</v>
      </c>
      <c r="E2659" s="7" t="str">
        <f t="shared" si="331"/>
        <v>Sat</v>
      </c>
      <c r="F2659" t="s">
        <v>420</v>
      </c>
      <c r="G2659" t="s">
        <v>45</v>
      </c>
      <c r="H2659" t="s">
        <v>17</v>
      </c>
      <c r="I2659" s="2" t="str">
        <f t="shared" si="328"/>
        <v>West</v>
      </c>
      <c r="J2659" t="s">
        <v>27</v>
      </c>
      <c r="K2659" t="s">
        <v>32</v>
      </c>
      <c r="L2659">
        <v>6</v>
      </c>
      <c r="M2659">
        <v>120</v>
      </c>
      <c r="N2659">
        <f t="shared" si="332"/>
        <v>720</v>
      </c>
      <c r="O2659">
        <f t="shared" si="333"/>
        <v>72</v>
      </c>
      <c r="P2659" t="str">
        <f t="shared" si="334"/>
        <v>Large Order</v>
      </c>
      <c r="Q2659" t="str">
        <f t="shared" si="335"/>
        <v>Weekend</v>
      </c>
    </row>
    <row r="2660" spans="1:17" x14ac:dyDescent="0.35">
      <c r="A2660" t="s">
        <v>2810</v>
      </c>
      <c r="B2660" s="7">
        <v>45572</v>
      </c>
      <c r="C2660" s="13">
        <f t="shared" si="329"/>
        <v>2024</v>
      </c>
      <c r="D2660" s="7" t="str">
        <f t="shared" si="330"/>
        <v>Oct</v>
      </c>
      <c r="E2660" s="7" t="str">
        <f t="shared" si="331"/>
        <v>Mon</v>
      </c>
      <c r="F2660" t="s">
        <v>106</v>
      </c>
      <c r="G2660" t="s">
        <v>72</v>
      </c>
      <c r="H2660" t="s">
        <v>17</v>
      </c>
      <c r="I2660" s="2" t="str">
        <f t="shared" si="328"/>
        <v>South</v>
      </c>
      <c r="J2660" t="s">
        <v>27</v>
      </c>
      <c r="K2660" t="s">
        <v>32</v>
      </c>
      <c r="L2660">
        <v>13</v>
      </c>
      <c r="M2660">
        <v>120</v>
      </c>
      <c r="N2660">
        <f t="shared" si="332"/>
        <v>1560</v>
      </c>
      <c r="O2660">
        <f t="shared" si="333"/>
        <v>156</v>
      </c>
      <c r="P2660" t="str">
        <f t="shared" si="334"/>
        <v>Large Order</v>
      </c>
      <c r="Q2660" t="str">
        <f t="shared" si="335"/>
        <v>Weekday</v>
      </c>
    </row>
    <row r="2661" spans="1:17" x14ac:dyDescent="0.35">
      <c r="A2661" t="s">
        <v>2811</v>
      </c>
      <c r="B2661" s="7">
        <v>45562</v>
      </c>
      <c r="C2661" s="13">
        <f t="shared" si="329"/>
        <v>2024</v>
      </c>
      <c r="D2661" s="7" t="str">
        <f t="shared" si="330"/>
        <v>Sep</v>
      </c>
      <c r="E2661" s="7" t="str">
        <f t="shared" si="331"/>
        <v>Fri</v>
      </c>
      <c r="F2661" t="s">
        <v>388</v>
      </c>
      <c r="G2661" t="s">
        <v>74</v>
      </c>
      <c r="H2661" t="s">
        <v>17</v>
      </c>
      <c r="I2661" s="2" t="str">
        <f t="shared" si="328"/>
        <v>East</v>
      </c>
      <c r="J2661" t="s">
        <v>56</v>
      </c>
      <c r="K2661" t="s">
        <v>36</v>
      </c>
      <c r="L2661">
        <v>13</v>
      </c>
      <c r="M2661">
        <v>120</v>
      </c>
      <c r="N2661">
        <f t="shared" si="332"/>
        <v>1560</v>
      </c>
      <c r="O2661">
        <f t="shared" si="333"/>
        <v>156</v>
      </c>
      <c r="P2661" t="str">
        <f t="shared" si="334"/>
        <v>Large Order</v>
      </c>
      <c r="Q2661" t="str">
        <f t="shared" si="335"/>
        <v>Weekday</v>
      </c>
    </row>
    <row r="2662" spans="1:17" x14ac:dyDescent="0.35">
      <c r="A2662" t="s">
        <v>2812</v>
      </c>
      <c r="B2662" s="7">
        <v>45457</v>
      </c>
      <c r="C2662" s="13">
        <f t="shared" si="329"/>
        <v>2024</v>
      </c>
      <c r="D2662" s="7" t="str">
        <f t="shared" si="330"/>
        <v>Jun</v>
      </c>
      <c r="E2662" s="7" t="str">
        <f t="shared" si="331"/>
        <v>Fri</v>
      </c>
      <c r="F2662" t="s">
        <v>664</v>
      </c>
      <c r="G2662" t="s">
        <v>59</v>
      </c>
      <c r="H2662" t="s">
        <v>11</v>
      </c>
      <c r="I2662" s="2" t="str">
        <f t="shared" si="328"/>
        <v>South</v>
      </c>
      <c r="J2662" t="s">
        <v>42</v>
      </c>
      <c r="K2662" t="s">
        <v>23</v>
      </c>
      <c r="L2662">
        <v>6</v>
      </c>
      <c r="M2662">
        <v>120</v>
      </c>
      <c r="N2662">
        <f t="shared" si="332"/>
        <v>720</v>
      </c>
      <c r="O2662">
        <f t="shared" si="333"/>
        <v>72</v>
      </c>
      <c r="P2662" t="str">
        <f t="shared" si="334"/>
        <v>Large Order</v>
      </c>
      <c r="Q2662" t="str">
        <f t="shared" si="335"/>
        <v>Weekday</v>
      </c>
    </row>
    <row r="2663" spans="1:17" x14ac:dyDescent="0.35">
      <c r="A2663" t="s">
        <v>2813</v>
      </c>
      <c r="B2663" s="7">
        <v>45518</v>
      </c>
      <c r="C2663" s="13">
        <f t="shared" si="329"/>
        <v>2024</v>
      </c>
      <c r="D2663" s="7" t="str">
        <f t="shared" si="330"/>
        <v>Aug</v>
      </c>
      <c r="E2663" s="7" t="str">
        <f t="shared" si="331"/>
        <v>Wed</v>
      </c>
      <c r="F2663" t="s">
        <v>424</v>
      </c>
      <c r="G2663" t="s">
        <v>35</v>
      </c>
      <c r="H2663" t="s">
        <v>17</v>
      </c>
      <c r="I2663" s="2" t="str">
        <f t="shared" si="328"/>
        <v>East</v>
      </c>
      <c r="J2663" t="s">
        <v>56</v>
      </c>
      <c r="K2663" t="s">
        <v>28</v>
      </c>
      <c r="L2663">
        <v>7</v>
      </c>
      <c r="M2663">
        <v>120</v>
      </c>
      <c r="N2663">
        <f t="shared" si="332"/>
        <v>840</v>
      </c>
      <c r="O2663">
        <f t="shared" si="333"/>
        <v>84</v>
      </c>
      <c r="P2663" t="str">
        <f t="shared" si="334"/>
        <v>Large Order</v>
      </c>
      <c r="Q2663" t="str">
        <f t="shared" si="335"/>
        <v>Weekday</v>
      </c>
    </row>
    <row r="2664" spans="1:17" x14ac:dyDescent="0.35">
      <c r="A2664" t="s">
        <v>2814</v>
      </c>
      <c r="B2664" s="7">
        <v>45392</v>
      </c>
      <c r="C2664" s="13">
        <f t="shared" si="329"/>
        <v>2024</v>
      </c>
      <c r="D2664" s="7" t="str">
        <f t="shared" si="330"/>
        <v>Apr</v>
      </c>
      <c r="E2664" s="7" t="str">
        <f t="shared" si="331"/>
        <v>Wed</v>
      </c>
      <c r="F2664" t="s">
        <v>304</v>
      </c>
      <c r="G2664" t="s">
        <v>21</v>
      </c>
      <c r="H2664" t="s">
        <v>11</v>
      </c>
      <c r="I2664" s="2" t="str">
        <f t="shared" si="328"/>
        <v>South</v>
      </c>
      <c r="J2664" t="s">
        <v>42</v>
      </c>
      <c r="K2664" t="s">
        <v>36</v>
      </c>
      <c r="L2664">
        <v>4</v>
      </c>
      <c r="M2664">
        <v>120</v>
      </c>
      <c r="N2664">
        <f t="shared" si="332"/>
        <v>480</v>
      </c>
      <c r="O2664">
        <f t="shared" si="333"/>
        <v>48</v>
      </c>
      <c r="P2664" t="str">
        <f t="shared" si="334"/>
        <v>Standard Order</v>
      </c>
      <c r="Q2664" t="str">
        <f t="shared" si="335"/>
        <v>Weekday</v>
      </c>
    </row>
    <row r="2665" spans="1:17" x14ac:dyDescent="0.35">
      <c r="A2665" t="s">
        <v>2815</v>
      </c>
      <c r="B2665" s="7">
        <v>45367</v>
      </c>
      <c r="C2665" s="13">
        <f t="shared" si="329"/>
        <v>2024</v>
      </c>
      <c r="D2665" s="7" t="str">
        <f t="shared" si="330"/>
        <v>Mar</v>
      </c>
      <c r="E2665" s="7" t="str">
        <f t="shared" si="331"/>
        <v>Sat</v>
      </c>
      <c r="F2665" t="s">
        <v>159</v>
      </c>
      <c r="G2665" t="s">
        <v>87</v>
      </c>
      <c r="H2665" t="s">
        <v>22</v>
      </c>
      <c r="I2665" s="2" t="str">
        <f t="shared" si="328"/>
        <v>Central</v>
      </c>
      <c r="J2665" t="s">
        <v>56</v>
      </c>
      <c r="K2665" t="s">
        <v>13</v>
      </c>
      <c r="L2665">
        <v>4</v>
      </c>
      <c r="M2665">
        <v>120</v>
      </c>
      <c r="N2665">
        <f t="shared" si="332"/>
        <v>480</v>
      </c>
      <c r="O2665">
        <f t="shared" si="333"/>
        <v>48</v>
      </c>
      <c r="P2665" t="str">
        <f t="shared" si="334"/>
        <v>Standard Order</v>
      </c>
      <c r="Q2665" t="str">
        <f t="shared" si="335"/>
        <v>Weekend</v>
      </c>
    </row>
    <row r="2666" spans="1:17" x14ac:dyDescent="0.35">
      <c r="A2666" t="s">
        <v>2816</v>
      </c>
      <c r="B2666" s="7">
        <v>45534</v>
      </c>
      <c r="C2666" s="13">
        <f t="shared" si="329"/>
        <v>2024</v>
      </c>
      <c r="D2666" s="7" t="str">
        <f t="shared" si="330"/>
        <v>Aug</v>
      </c>
      <c r="E2666" s="7" t="str">
        <f t="shared" si="331"/>
        <v>Fri</v>
      </c>
      <c r="F2666" t="s">
        <v>235</v>
      </c>
      <c r="G2666" t="s">
        <v>79</v>
      </c>
      <c r="H2666" t="s">
        <v>11</v>
      </c>
      <c r="I2666" s="2" t="str">
        <f t="shared" si="328"/>
        <v>South</v>
      </c>
      <c r="J2666" t="s">
        <v>306</v>
      </c>
      <c r="K2666" t="s">
        <v>32</v>
      </c>
      <c r="L2666">
        <v>19</v>
      </c>
      <c r="M2666">
        <v>120</v>
      </c>
      <c r="N2666">
        <f t="shared" si="332"/>
        <v>2280</v>
      </c>
      <c r="O2666">
        <f t="shared" si="333"/>
        <v>228</v>
      </c>
      <c r="P2666" t="str">
        <f t="shared" si="334"/>
        <v>Large Order</v>
      </c>
      <c r="Q2666" t="str">
        <f t="shared" si="335"/>
        <v>Weekday</v>
      </c>
    </row>
    <row r="2667" spans="1:17" x14ac:dyDescent="0.35">
      <c r="A2667" t="s">
        <v>2817</v>
      </c>
      <c r="B2667" s="7">
        <v>45368</v>
      </c>
      <c r="C2667" s="13">
        <f t="shared" si="329"/>
        <v>2024</v>
      </c>
      <c r="D2667" s="7" t="str">
        <f t="shared" si="330"/>
        <v>Mar</v>
      </c>
      <c r="E2667" s="7" t="str">
        <f t="shared" si="331"/>
        <v>Sun</v>
      </c>
      <c r="F2667" t="s">
        <v>451</v>
      </c>
      <c r="G2667" t="s">
        <v>84</v>
      </c>
      <c r="H2667" t="s">
        <v>17</v>
      </c>
      <c r="I2667" s="2" t="str">
        <f t="shared" si="328"/>
        <v>South</v>
      </c>
      <c r="J2667" t="s">
        <v>56</v>
      </c>
      <c r="K2667" t="s">
        <v>13</v>
      </c>
      <c r="L2667">
        <v>4</v>
      </c>
      <c r="M2667">
        <v>120</v>
      </c>
      <c r="N2667">
        <f t="shared" si="332"/>
        <v>480</v>
      </c>
      <c r="O2667">
        <f t="shared" si="333"/>
        <v>48</v>
      </c>
      <c r="P2667" t="str">
        <f t="shared" si="334"/>
        <v>Standard Order</v>
      </c>
      <c r="Q2667" t="str">
        <f t="shared" si="335"/>
        <v>Weekend</v>
      </c>
    </row>
    <row r="2668" spans="1:17" x14ac:dyDescent="0.35">
      <c r="A2668" t="s">
        <v>2818</v>
      </c>
      <c r="B2668" s="7">
        <v>45542</v>
      </c>
      <c r="C2668" s="13">
        <f t="shared" si="329"/>
        <v>2024</v>
      </c>
      <c r="D2668" s="7" t="str">
        <f t="shared" si="330"/>
        <v>Sep</v>
      </c>
      <c r="E2668" s="7" t="str">
        <f t="shared" si="331"/>
        <v>Sat</v>
      </c>
      <c r="F2668" t="s">
        <v>68</v>
      </c>
      <c r="G2668" t="s">
        <v>62</v>
      </c>
      <c r="H2668" t="s">
        <v>22</v>
      </c>
      <c r="I2668" s="2" t="str">
        <f t="shared" si="328"/>
        <v>West</v>
      </c>
      <c r="J2668" t="s">
        <v>56</v>
      </c>
      <c r="K2668" t="s">
        <v>23</v>
      </c>
      <c r="L2668">
        <v>3</v>
      </c>
      <c r="M2668">
        <v>120</v>
      </c>
      <c r="N2668">
        <f t="shared" si="332"/>
        <v>360</v>
      </c>
      <c r="O2668">
        <f t="shared" si="333"/>
        <v>36</v>
      </c>
      <c r="P2668" t="str">
        <f t="shared" si="334"/>
        <v>Standard Order</v>
      </c>
      <c r="Q2668" t="str">
        <f t="shared" si="335"/>
        <v>Weekend</v>
      </c>
    </row>
    <row r="2669" spans="1:17" x14ac:dyDescent="0.35">
      <c r="A2669" t="s">
        <v>2819</v>
      </c>
      <c r="B2669" s="7">
        <v>45624</v>
      </c>
      <c r="C2669" s="13">
        <f t="shared" si="329"/>
        <v>2024</v>
      </c>
      <c r="D2669" s="7" t="str">
        <f t="shared" si="330"/>
        <v>Nov</v>
      </c>
      <c r="E2669" s="7" t="str">
        <f t="shared" si="331"/>
        <v>Thu</v>
      </c>
      <c r="F2669" t="s">
        <v>159</v>
      </c>
      <c r="G2669" t="s">
        <v>26</v>
      </c>
      <c r="H2669" t="s">
        <v>22</v>
      </c>
      <c r="I2669" s="2" t="str">
        <f t="shared" si="328"/>
        <v>Central</v>
      </c>
      <c r="J2669" t="s">
        <v>27</v>
      </c>
      <c r="K2669" t="s">
        <v>32</v>
      </c>
      <c r="L2669">
        <v>1</v>
      </c>
      <c r="M2669">
        <v>120</v>
      </c>
      <c r="N2669">
        <f t="shared" si="332"/>
        <v>120</v>
      </c>
      <c r="O2669">
        <f t="shared" si="333"/>
        <v>12</v>
      </c>
      <c r="P2669" t="str">
        <f t="shared" si="334"/>
        <v>Standard Order</v>
      </c>
      <c r="Q2669" t="str">
        <f t="shared" si="335"/>
        <v>Weekday</v>
      </c>
    </row>
    <row r="2670" spans="1:17" x14ac:dyDescent="0.35">
      <c r="A2670" t="s">
        <v>2820</v>
      </c>
      <c r="B2670" s="7">
        <v>45334</v>
      </c>
      <c r="C2670" s="13">
        <f t="shared" si="329"/>
        <v>2024</v>
      </c>
      <c r="D2670" s="7" t="str">
        <f t="shared" si="330"/>
        <v>Feb</v>
      </c>
      <c r="E2670" s="7" t="str">
        <f t="shared" si="331"/>
        <v>Mon</v>
      </c>
      <c r="F2670" t="s">
        <v>114</v>
      </c>
      <c r="G2670" t="s">
        <v>35</v>
      </c>
      <c r="H2670" t="s">
        <v>22</v>
      </c>
      <c r="I2670" s="2" t="str">
        <f t="shared" si="328"/>
        <v>North</v>
      </c>
      <c r="J2670" t="s">
        <v>306</v>
      </c>
      <c r="K2670" t="s">
        <v>28</v>
      </c>
      <c r="L2670">
        <v>1</v>
      </c>
      <c r="M2670">
        <v>120</v>
      </c>
      <c r="N2670">
        <f t="shared" si="332"/>
        <v>120</v>
      </c>
      <c r="O2670">
        <f t="shared" si="333"/>
        <v>12</v>
      </c>
      <c r="P2670" t="str">
        <f t="shared" si="334"/>
        <v>Standard Order</v>
      </c>
      <c r="Q2670" t="str">
        <f t="shared" si="335"/>
        <v>Weekday</v>
      </c>
    </row>
    <row r="2671" spans="1:17" x14ac:dyDescent="0.35">
      <c r="A2671" t="s">
        <v>2821</v>
      </c>
      <c r="B2671" s="7">
        <v>45585</v>
      </c>
      <c r="C2671" s="13">
        <f t="shared" si="329"/>
        <v>2024</v>
      </c>
      <c r="D2671" s="7" t="str">
        <f t="shared" si="330"/>
        <v>Oct</v>
      </c>
      <c r="E2671" s="7" t="str">
        <f t="shared" si="331"/>
        <v>Sun</v>
      </c>
      <c r="F2671" t="s">
        <v>517</v>
      </c>
      <c r="G2671" t="s">
        <v>26</v>
      </c>
      <c r="H2671" t="s">
        <v>22</v>
      </c>
      <c r="I2671" s="2" t="str">
        <f t="shared" si="328"/>
        <v>Central</v>
      </c>
      <c r="J2671" t="s">
        <v>12</v>
      </c>
      <c r="K2671" t="s">
        <v>36</v>
      </c>
      <c r="L2671">
        <v>6</v>
      </c>
      <c r="M2671">
        <v>120</v>
      </c>
      <c r="N2671">
        <f t="shared" si="332"/>
        <v>720</v>
      </c>
      <c r="O2671">
        <f t="shared" si="333"/>
        <v>72</v>
      </c>
      <c r="P2671" t="str">
        <f t="shared" si="334"/>
        <v>Large Order</v>
      </c>
      <c r="Q2671" t="str">
        <f t="shared" si="335"/>
        <v>Weekend</v>
      </c>
    </row>
    <row r="2672" spans="1:17" x14ac:dyDescent="0.35">
      <c r="A2672" t="s">
        <v>2822</v>
      </c>
      <c r="B2672" s="7">
        <v>45622</v>
      </c>
      <c r="C2672" s="13">
        <f t="shared" si="329"/>
        <v>2024</v>
      </c>
      <c r="D2672" s="7" t="str">
        <f t="shared" si="330"/>
        <v>Nov</v>
      </c>
      <c r="E2672" s="7" t="str">
        <f t="shared" si="331"/>
        <v>Tue</v>
      </c>
      <c r="F2672" t="s">
        <v>424</v>
      </c>
      <c r="G2672" t="s">
        <v>87</v>
      </c>
      <c r="H2672" t="s">
        <v>17</v>
      </c>
      <c r="I2672" s="2" t="str">
        <f t="shared" si="328"/>
        <v>North</v>
      </c>
      <c r="J2672" t="s">
        <v>306</v>
      </c>
      <c r="K2672" t="s">
        <v>28</v>
      </c>
      <c r="L2672">
        <v>4</v>
      </c>
      <c r="M2672">
        <v>120</v>
      </c>
      <c r="N2672">
        <f t="shared" si="332"/>
        <v>480</v>
      </c>
      <c r="O2672">
        <f t="shared" si="333"/>
        <v>48</v>
      </c>
      <c r="P2672" t="str">
        <f t="shared" si="334"/>
        <v>Standard Order</v>
      </c>
      <c r="Q2672" t="str">
        <f t="shared" si="335"/>
        <v>Weekday</v>
      </c>
    </row>
    <row r="2673" spans="1:17" x14ac:dyDescent="0.35">
      <c r="A2673" t="s">
        <v>2823</v>
      </c>
      <c r="B2673" s="7">
        <v>45567</v>
      </c>
      <c r="C2673" s="13">
        <f t="shared" si="329"/>
        <v>2024</v>
      </c>
      <c r="D2673" s="7" t="str">
        <f t="shared" si="330"/>
        <v>Oct</v>
      </c>
      <c r="E2673" s="7" t="str">
        <f t="shared" si="331"/>
        <v>Wed</v>
      </c>
      <c r="F2673" t="s">
        <v>44</v>
      </c>
      <c r="G2673" t="s">
        <v>31</v>
      </c>
      <c r="H2673" t="s">
        <v>22</v>
      </c>
      <c r="I2673" s="2" t="str">
        <f t="shared" si="328"/>
        <v>Central</v>
      </c>
      <c r="J2673" t="s">
        <v>12</v>
      </c>
      <c r="K2673" t="s">
        <v>23</v>
      </c>
      <c r="L2673">
        <v>18</v>
      </c>
      <c r="M2673">
        <v>120</v>
      </c>
      <c r="N2673">
        <f t="shared" si="332"/>
        <v>2160</v>
      </c>
      <c r="O2673">
        <f t="shared" si="333"/>
        <v>216</v>
      </c>
      <c r="P2673" t="str">
        <f t="shared" si="334"/>
        <v>Large Order</v>
      </c>
      <c r="Q2673" t="str">
        <f t="shared" si="335"/>
        <v>Weekday</v>
      </c>
    </row>
    <row r="2674" spans="1:17" x14ac:dyDescent="0.35">
      <c r="A2674" t="s">
        <v>2824</v>
      </c>
      <c r="B2674" s="7">
        <v>45563</v>
      </c>
      <c r="C2674" s="13">
        <f t="shared" si="329"/>
        <v>2024</v>
      </c>
      <c r="D2674" s="7" t="str">
        <f t="shared" si="330"/>
        <v>Sep</v>
      </c>
      <c r="E2674" s="7" t="str">
        <f t="shared" si="331"/>
        <v>Sat</v>
      </c>
      <c r="F2674" t="s">
        <v>374</v>
      </c>
      <c r="G2674" t="s">
        <v>10</v>
      </c>
      <c r="H2674" t="s">
        <v>22</v>
      </c>
      <c r="I2674" s="2" t="str">
        <f t="shared" si="328"/>
        <v>Central</v>
      </c>
      <c r="J2674" t="s">
        <v>306</v>
      </c>
      <c r="K2674" t="s">
        <v>36</v>
      </c>
      <c r="L2674">
        <v>4</v>
      </c>
      <c r="M2674">
        <v>120</v>
      </c>
      <c r="N2674">
        <f t="shared" si="332"/>
        <v>480</v>
      </c>
      <c r="O2674">
        <f t="shared" si="333"/>
        <v>48</v>
      </c>
      <c r="P2674" t="str">
        <f t="shared" si="334"/>
        <v>Standard Order</v>
      </c>
      <c r="Q2674" t="str">
        <f t="shared" si="335"/>
        <v>Weekend</v>
      </c>
    </row>
    <row r="2675" spans="1:17" x14ac:dyDescent="0.35">
      <c r="A2675" t="s">
        <v>2825</v>
      </c>
      <c r="B2675" s="7">
        <v>45398</v>
      </c>
      <c r="C2675" s="13">
        <f t="shared" si="329"/>
        <v>2024</v>
      </c>
      <c r="D2675" s="7" t="str">
        <f t="shared" si="330"/>
        <v>Apr</v>
      </c>
      <c r="E2675" s="7" t="str">
        <f t="shared" si="331"/>
        <v>Tue</v>
      </c>
      <c r="F2675" t="s">
        <v>371</v>
      </c>
      <c r="G2675" t="s">
        <v>102</v>
      </c>
      <c r="H2675" t="s">
        <v>11</v>
      </c>
      <c r="I2675" s="2" t="str">
        <f t="shared" si="328"/>
        <v>Central</v>
      </c>
      <c r="J2675" t="s">
        <v>306</v>
      </c>
      <c r="K2675" t="s">
        <v>28</v>
      </c>
      <c r="L2675">
        <v>1</v>
      </c>
      <c r="M2675">
        <v>120</v>
      </c>
      <c r="N2675">
        <f t="shared" si="332"/>
        <v>120</v>
      </c>
      <c r="O2675">
        <f t="shared" si="333"/>
        <v>12</v>
      </c>
      <c r="P2675" t="str">
        <f t="shared" si="334"/>
        <v>Standard Order</v>
      </c>
      <c r="Q2675" t="str">
        <f t="shared" si="335"/>
        <v>Weekday</v>
      </c>
    </row>
    <row r="2676" spans="1:17" x14ac:dyDescent="0.35">
      <c r="A2676" t="s">
        <v>2826</v>
      </c>
      <c r="B2676" s="7">
        <v>45452</v>
      </c>
      <c r="C2676" s="13">
        <f t="shared" si="329"/>
        <v>2024</v>
      </c>
      <c r="D2676" s="7" t="str">
        <f t="shared" si="330"/>
        <v>Jun</v>
      </c>
      <c r="E2676" s="7" t="str">
        <f t="shared" si="331"/>
        <v>Sun</v>
      </c>
      <c r="F2676" t="s">
        <v>114</v>
      </c>
      <c r="G2676" t="s">
        <v>79</v>
      </c>
      <c r="H2676" t="s">
        <v>11</v>
      </c>
      <c r="I2676" s="2" t="str">
        <f t="shared" si="328"/>
        <v>North</v>
      </c>
      <c r="J2676" t="s">
        <v>306</v>
      </c>
      <c r="K2676" t="s">
        <v>28</v>
      </c>
      <c r="L2676">
        <v>6</v>
      </c>
      <c r="M2676">
        <v>120</v>
      </c>
      <c r="N2676">
        <f t="shared" si="332"/>
        <v>720</v>
      </c>
      <c r="O2676">
        <f t="shared" si="333"/>
        <v>72</v>
      </c>
      <c r="P2676" t="str">
        <f t="shared" si="334"/>
        <v>Large Order</v>
      </c>
      <c r="Q2676" t="str">
        <f t="shared" si="335"/>
        <v>Weekend</v>
      </c>
    </row>
    <row r="2677" spans="1:17" x14ac:dyDescent="0.35">
      <c r="A2677" t="s">
        <v>2827</v>
      </c>
      <c r="B2677" s="7">
        <v>45423</v>
      </c>
      <c r="C2677" s="13">
        <f t="shared" si="329"/>
        <v>2024</v>
      </c>
      <c r="D2677" s="7" t="str">
        <f t="shared" si="330"/>
        <v>May</v>
      </c>
      <c r="E2677" s="7" t="str">
        <f t="shared" si="331"/>
        <v>Sat</v>
      </c>
      <c r="F2677" t="s">
        <v>664</v>
      </c>
      <c r="G2677" t="s">
        <v>79</v>
      </c>
      <c r="H2677" t="s">
        <v>11</v>
      </c>
      <c r="I2677" s="2" t="str">
        <f t="shared" si="328"/>
        <v>North</v>
      </c>
      <c r="J2677" t="s">
        <v>12</v>
      </c>
      <c r="K2677" t="s">
        <v>36</v>
      </c>
      <c r="L2677">
        <v>10</v>
      </c>
      <c r="M2677">
        <v>120</v>
      </c>
      <c r="N2677">
        <f t="shared" si="332"/>
        <v>1200</v>
      </c>
      <c r="O2677">
        <f t="shared" si="333"/>
        <v>120</v>
      </c>
      <c r="P2677" t="str">
        <f t="shared" si="334"/>
        <v>Large Order</v>
      </c>
      <c r="Q2677" t="str">
        <f t="shared" si="335"/>
        <v>Weekend</v>
      </c>
    </row>
    <row r="2678" spans="1:17" x14ac:dyDescent="0.35">
      <c r="A2678" t="s">
        <v>2828</v>
      </c>
      <c r="B2678" s="7">
        <v>45570</v>
      </c>
      <c r="C2678" s="13">
        <f t="shared" si="329"/>
        <v>2024</v>
      </c>
      <c r="D2678" s="7" t="str">
        <f t="shared" si="330"/>
        <v>Oct</v>
      </c>
      <c r="E2678" s="7" t="str">
        <f t="shared" si="331"/>
        <v>Sat</v>
      </c>
      <c r="F2678" t="s">
        <v>30</v>
      </c>
      <c r="G2678" t="s">
        <v>87</v>
      </c>
      <c r="H2678" t="s">
        <v>22</v>
      </c>
      <c r="I2678" s="2" t="str">
        <f t="shared" si="328"/>
        <v>Central</v>
      </c>
      <c r="J2678" t="s">
        <v>12</v>
      </c>
      <c r="K2678" t="s">
        <v>28</v>
      </c>
      <c r="L2678">
        <v>10</v>
      </c>
      <c r="M2678">
        <v>120</v>
      </c>
      <c r="N2678">
        <f t="shared" si="332"/>
        <v>1200</v>
      </c>
      <c r="O2678">
        <f t="shared" si="333"/>
        <v>120</v>
      </c>
      <c r="P2678" t="str">
        <f t="shared" si="334"/>
        <v>Large Order</v>
      </c>
      <c r="Q2678" t="str">
        <f t="shared" si="335"/>
        <v>Weekend</v>
      </c>
    </row>
    <row r="2679" spans="1:17" x14ac:dyDescent="0.35">
      <c r="A2679" t="s">
        <v>2829</v>
      </c>
      <c r="B2679" s="7">
        <v>45557</v>
      </c>
      <c r="C2679" s="13">
        <f t="shared" si="329"/>
        <v>2024</v>
      </c>
      <c r="D2679" s="7" t="str">
        <f t="shared" si="330"/>
        <v>Sep</v>
      </c>
      <c r="E2679" s="7" t="str">
        <f t="shared" si="331"/>
        <v>Sun</v>
      </c>
      <c r="F2679" t="s">
        <v>728</v>
      </c>
      <c r="G2679" t="s">
        <v>74</v>
      </c>
      <c r="H2679" t="s">
        <v>22</v>
      </c>
      <c r="I2679" s="2" t="str">
        <f t="shared" si="328"/>
        <v>Central</v>
      </c>
      <c r="J2679" t="s">
        <v>306</v>
      </c>
      <c r="K2679" t="s">
        <v>23</v>
      </c>
      <c r="L2679">
        <v>5</v>
      </c>
      <c r="M2679">
        <v>120</v>
      </c>
      <c r="N2679">
        <f t="shared" si="332"/>
        <v>600</v>
      </c>
      <c r="O2679">
        <f t="shared" si="333"/>
        <v>60</v>
      </c>
      <c r="P2679" t="str">
        <f t="shared" si="334"/>
        <v>Large Order</v>
      </c>
      <c r="Q2679" t="str">
        <f t="shared" si="335"/>
        <v>Weekend</v>
      </c>
    </row>
    <row r="2680" spans="1:17" x14ac:dyDescent="0.35">
      <c r="A2680" t="s">
        <v>2830</v>
      </c>
      <c r="B2680" s="7">
        <v>45647</v>
      </c>
      <c r="C2680" s="13">
        <f t="shared" si="329"/>
        <v>2024</v>
      </c>
      <c r="D2680" s="7" t="str">
        <f t="shared" si="330"/>
        <v>Dec</v>
      </c>
      <c r="E2680" s="7" t="str">
        <f t="shared" si="331"/>
        <v>Sat</v>
      </c>
      <c r="F2680" t="s">
        <v>38</v>
      </c>
      <c r="G2680" t="s">
        <v>160</v>
      </c>
      <c r="H2680" t="s">
        <v>17</v>
      </c>
      <c r="I2680" s="2" t="str">
        <f t="shared" si="328"/>
        <v>North</v>
      </c>
      <c r="J2680" t="s">
        <v>306</v>
      </c>
      <c r="K2680" t="s">
        <v>36</v>
      </c>
      <c r="L2680">
        <v>17</v>
      </c>
      <c r="M2680">
        <v>120</v>
      </c>
      <c r="N2680">
        <f t="shared" si="332"/>
        <v>2040</v>
      </c>
      <c r="O2680">
        <f t="shared" si="333"/>
        <v>204</v>
      </c>
      <c r="P2680" t="str">
        <f t="shared" si="334"/>
        <v>Large Order</v>
      </c>
      <c r="Q2680" t="str">
        <f t="shared" si="335"/>
        <v>Weekend</v>
      </c>
    </row>
    <row r="2681" spans="1:17" x14ac:dyDescent="0.35">
      <c r="A2681" t="s">
        <v>2831</v>
      </c>
      <c r="B2681" s="7">
        <v>45342</v>
      </c>
      <c r="C2681" s="13">
        <f t="shared" si="329"/>
        <v>2024</v>
      </c>
      <c r="D2681" s="7" t="str">
        <f t="shared" si="330"/>
        <v>Feb</v>
      </c>
      <c r="E2681" s="7" t="str">
        <f t="shared" si="331"/>
        <v>Tue</v>
      </c>
      <c r="F2681" t="s">
        <v>371</v>
      </c>
      <c r="G2681" t="s">
        <v>79</v>
      </c>
      <c r="H2681" t="s">
        <v>11</v>
      </c>
      <c r="I2681" s="2" t="str">
        <f t="shared" si="328"/>
        <v>South</v>
      </c>
      <c r="J2681" t="s">
        <v>12</v>
      </c>
      <c r="K2681" t="s">
        <v>28</v>
      </c>
      <c r="L2681">
        <v>5</v>
      </c>
      <c r="M2681">
        <v>120</v>
      </c>
      <c r="N2681">
        <f t="shared" si="332"/>
        <v>600</v>
      </c>
      <c r="O2681">
        <f t="shared" si="333"/>
        <v>60</v>
      </c>
      <c r="P2681" t="str">
        <f t="shared" si="334"/>
        <v>Large Order</v>
      </c>
      <c r="Q2681" t="str">
        <f t="shared" si="335"/>
        <v>Weekday</v>
      </c>
    </row>
    <row r="2682" spans="1:17" x14ac:dyDescent="0.35">
      <c r="A2682" t="s">
        <v>2832</v>
      </c>
      <c r="B2682" s="7">
        <v>45402</v>
      </c>
      <c r="C2682" s="13">
        <f t="shared" si="329"/>
        <v>2024</v>
      </c>
      <c r="D2682" s="7" t="str">
        <f t="shared" si="330"/>
        <v>Apr</v>
      </c>
      <c r="E2682" s="7" t="str">
        <f t="shared" si="331"/>
        <v>Sat</v>
      </c>
      <c r="F2682" t="s">
        <v>99</v>
      </c>
      <c r="G2682" t="s">
        <v>109</v>
      </c>
      <c r="H2682" t="s">
        <v>22</v>
      </c>
      <c r="I2682" s="2" t="str">
        <f t="shared" si="328"/>
        <v>East</v>
      </c>
      <c r="J2682" t="s">
        <v>56</v>
      </c>
      <c r="K2682" t="s">
        <v>36</v>
      </c>
      <c r="L2682">
        <v>12</v>
      </c>
      <c r="M2682">
        <v>120</v>
      </c>
      <c r="N2682">
        <f t="shared" si="332"/>
        <v>1440</v>
      </c>
      <c r="O2682">
        <f t="shared" si="333"/>
        <v>144</v>
      </c>
      <c r="P2682" t="str">
        <f t="shared" si="334"/>
        <v>Large Order</v>
      </c>
      <c r="Q2682" t="str">
        <f t="shared" si="335"/>
        <v>Weekend</v>
      </c>
    </row>
    <row r="2683" spans="1:17" x14ac:dyDescent="0.35">
      <c r="A2683" t="s">
        <v>2833</v>
      </c>
      <c r="B2683" s="7">
        <v>45610</v>
      </c>
      <c r="C2683" s="13">
        <f t="shared" si="329"/>
        <v>2024</v>
      </c>
      <c r="D2683" s="7" t="str">
        <f t="shared" si="330"/>
        <v>Nov</v>
      </c>
      <c r="E2683" s="7" t="str">
        <f t="shared" si="331"/>
        <v>Thu</v>
      </c>
      <c r="F2683" t="s">
        <v>309</v>
      </c>
      <c r="G2683" t="s">
        <v>10</v>
      </c>
      <c r="H2683" t="s">
        <v>22</v>
      </c>
      <c r="I2683" s="2" t="str">
        <f t="shared" si="328"/>
        <v>East</v>
      </c>
      <c r="J2683" t="s">
        <v>42</v>
      </c>
      <c r="K2683" t="s">
        <v>32</v>
      </c>
      <c r="L2683">
        <v>13</v>
      </c>
      <c r="M2683">
        <v>120</v>
      </c>
      <c r="N2683">
        <f t="shared" si="332"/>
        <v>1560</v>
      </c>
      <c r="O2683">
        <f t="shared" si="333"/>
        <v>156</v>
      </c>
      <c r="P2683" t="str">
        <f t="shared" si="334"/>
        <v>Large Order</v>
      </c>
      <c r="Q2683" t="str">
        <f t="shared" si="335"/>
        <v>Weekday</v>
      </c>
    </row>
    <row r="2684" spans="1:17" x14ac:dyDescent="0.35">
      <c r="A2684" t="s">
        <v>2834</v>
      </c>
      <c r="B2684" s="7">
        <v>45375</v>
      </c>
      <c r="C2684" s="13">
        <f t="shared" si="329"/>
        <v>2024</v>
      </c>
      <c r="D2684" s="7" t="str">
        <f t="shared" si="330"/>
        <v>Mar</v>
      </c>
      <c r="E2684" s="7" t="str">
        <f t="shared" si="331"/>
        <v>Sun</v>
      </c>
      <c r="F2684" t="s">
        <v>341</v>
      </c>
      <c r="G2684" t="s">
        <v>70</v>
      </c>
      <c r="H2684" t="s">
        <v>11</v>
      </c>
      <c r="I2684" s="2" t="str">
        <f t="shared" si="328"/>
        <v>South</v>
      </c>
      <c r="J2684" t="s">
        <v>42</v>
      </c>
      <c r="K2684" t="s">
        <v>23</v>
      </c>
      <c r="L2684">
        <v>5</v>
      </c>
      <c r="M2684">
        <v>120</v>
      </c>
      <c r="N2684">
        <f t="shared" si="332"/>
        <v>600</v>
      </c>
      <c r="O2684">
        <f t="shared" si="333"/>
        <v>60</v>
      </c>
      <c r="P2684" t="str">
        <f t="shared" si="334"/>
        <v>Large Order</v>
      </c>
      <c r="Q2684" t="str">
        <f t="shared" si="335"/>
        <v>Weekend</v>
      </c>
    </row>
    <row r="2685" spans="1:17" x14ac:dyDescent="0.35">
      <c r="A2685" t="s">
        <v>2835</v>
      </c>
      <c r="B2685" s="7">
        <v>45328</v>
      </c>
      <c r="C2685" s="13">
        <f t="shared" si="329"/>
        <v>2024</v>
      </c>
      <c r="D2685" s="7" t="str">
        <f t="shared" si="330"/>
        <v>Feb</v>
      </c>
      <c r="E2685" s="7" t="str">
        <f t="shared" si="331"/>
        <v>Tue</v>
      </c>
      <c r="F2685" t="s">
        <v>451</v>
      </c>
      <c r="G2685" t="s">
        <v>84</v>
      </c>
      <c r="H2685" t="s">
        <v>17</v>
      </c>
      <c r="I2685" s="2" t="str">
        <f t="shared" si="328"/>
        <v>South</v>
      </c>
      <c r="J2685" t="s">
        <v>56</v>
      </c>
      <c r="K2685" t="s">
        <v>32</v>
      </c>
      <c r="L2685">
        <v>19</v>
      </c>
      <c r="M2685">
        <v>120</v>
      </c>
      <c r="N2685">
        <f t="shared" si="332"/>
        <v>2280</v>
      </c>
      <c r="O2685">
        <f t="shared" si="333"/>
        <v>228</v>
      </c>
      <c r="P2685" t="str">
        <f t="shared" si="334"/>
        <v>Large Order</v>
      </c>
      <c r="Q2685" t="str">
        <f t="shared" si="335"/>
        <v>Weekday</v>
      </c>
    </row>
    <row r="2686" spans="1:17" x14ac:dyDescent="0.35">
      <c r="A2686" t="s">
        <v>2836</v>
      </c>
      <c r="B2686" s="7">
        <v>45553</v>
      </c>
      <c r="C2686" s="13">
        <f t="shared" si="329"/>
        <v>2024</v>
      </c>
      <c r="D2686" s="7" t="str">
        <f t="shared" si="330"/>
        <v>Sep</v>
      </c>
      <c r="E2686" s="7" t="str">
        <f t="shared" si="331"/>
        <v>Wed</v>
      </c>
      <c r="F2686" t="s">
        <v>493</v>
      </c>
      <c r="G2686" t="s">
        <v>45</v>
      </c>
      <c r="H2686" t="s">
        <v>17</v>
      </c>
      <c r="I2686" s="2" t="str">
        <f t="shared" si="328"/>
        <v>North</v>
      </c>
      <c r="J2686" t="s">
        <v>56</v>
      </c>
      <c r="K2686" t="s">
        <v>32</v>
      </c>
      <c r="L2686">
        <v>14</v>
      </c>
      <c r="M2686">
        <v>120</v>
      </c>
      <c r="N2686">
        <f t="shared" si="332"/>
        <v>1680</v>
      </c>
      <c r="O2686">
        <f t="shared" si="333"/>
        <v>168</v>
      </c>
      <c r="P2686" t="str">
        <f t="shared" si="334"/>
        <v>Large Order</v>
      </c>
      <c r="Q2686" t="str">
        <f t="shared" si="335"/>
        <v>Weekday</v>
      </c>
    </row>
    <row r="2687" spans="1:17" x14ac:dyDescent="0.35">
      <c r="A2687" t="s">
        <v>2837</v>
      </c>
      <c r="B2687" s="7">
        <v>45601</v>
      </c>
      <c r="C2687" s="13">
        <f t="shared" si="329"/>
        <v>2024</v>
      </c>
      <c r="D2687" s="7" t="str">
        <f t="shared" si="330"/>
        <v>Nov</v>
      </c>
      <c r="E2687" s="7" t="str">
        <f t="shared" si="331"/>
        <v>Tue</v>
      </c>
      <c r="F2687" t="s">
        <v>78</v>
      </c>
      <c r="G2687" t="s">
        <v>10</v>
      </c>
      <c r="H2687" t="s">
        <v>17</v>
      </c>
      <c r="I2687" s="2" t="str">
        <f t="shared" si="328"/>
        <v>North</v>
      </c>
      <c r="J2687" t="s">
        <v>12</v>
      </c>
      <c r="K2687" t="s">
        <v>36</v>
      </c>
      <c r="L2687">
        <v>4</v>
      </c>
      <c r="M2687">
        <v>120</v>
      </c>
      <c r="N2687">
        <f t="shared" si="332"/>
        <v>480</v>
      </c>
      <c r="O2687">
        <f t="shared" si="333"/>
        <v>48</v>
      </c>
      <c r="P2687" t="str">
        <f t="shared" si="334"/>
        <v>Standard Order</v>
      </c>
      <c r="Q2687" t="str">
        <f t="shared" si="335"/>
        <v>Weekday</v>
      </c>
    </row>
    <row r="2688" spans="1:17" x14ac:dyDescent="0.35">
      <c r="A2688" t="s">
        <v>2838</v>
      </c>
      <c r="B2688" s="7">
        <v>45500</v>
      </c>
      <c r="C2688" s="13">
        <f t="shared" si="329"/>
        <v>2024</v>
      </c>
      <c r="D2688" s="7" t="str">
        <f t="shared" si="330"/>
        <v>Jul</v>
      </c>
      <c r="E2688" s="7" t="str">
        <f t="shared" si="331"/>
        <v>Sat</v>
      </c>
      <c r="F2688" t="s">
        <v>58</v>
      </c>
      <c r="G2688" t="s">
        <v>72</v>
      </c>
      <c r="H2688" t="s">
        <v>22</v>
      </c>
      <c r="I2688" s="2" t="str">
        <f t="shared" si="328"/>
        <v>North</v>
      </c>
      <c r="J2688" t="s">
        <v>12</v>
      </c>
      <c r="K2688" t="s">
        <v>32</v>
      </c>
      <c r="L2688">
        <v>11</v>
      </c>
      <c r="M2688">
        <v>120</v>
      </c>
      <c r="N2688">
        <f t="shared" si="332"/>
        <v>1320</v>
      </c>
      <c r="O2688">
        <f t="shared" si="333"/>
        <v>132</v>
      </c>
      <c r="P2688" t="str">
        <f t="shared" si="334"/>
        <v>Large Order</v>
      </c>
      <c r="Q2688" t="str">
        <f t="shared" si="335"/>
        <v>Weekend</v>
      </c>
    </row>
    <row r="2689" spans="1:17" x14ac:dyDescent="0.35">
      <c r="A2689" t="s">
        <v>2839</v>
      </c>
      <c r="B2689" s="7">
        <v>45366</v>
      </c>
      <c r="C2689" s="13">
        <f t="shared" si="329"/>
        <v>2024</v>
      </c>
      <c r="D2689" s="7" t="str">
        <f t="shared" si="330"/>
        <v>Mar</v>
      </c>
      <c r="E2689" s="7" t="str">
        <f t="shared" si="331"/>
        <v>Fri</v>
      </c>
      <c r="F2689" t="s">
        <v>240</v>
      </c>
      <c r="G2689" t="s">
        <v>26</v>
      </c>
      <c r="H2689" t="s">
        <v>11</v>
      </c>
      <c r="I2689" s="2" t="str">
        <f t="shared" si="328"/>
        <v>Central</v>
      </c>
      <c r="J2689" t="s">
        <v>12</v>
      </c>
      <c r="K2689" t="s">
        <v>23</v>
      </c>
      <c r="L2689">
        <v>8</v>
      </c>
      <c r="M2689">
        <v>120</v>
      </c>
      <c r="N2689">
        <f t="shared" si="332"/>
        <v>960</v>
      </c>
      <c r="O2689">
        <f t="shared" si="333"/>
        <v>96</v>
      </c>
      <c r="P2689" t="str">
        <f t="shared" si="334"/>
        <v>Large Order</v>
      </c>
      <c r="Q2689" t="str">
        <f t="shared" si="335"/>
        <v>Weekday</v>
      </c>
    </row>
    <row r="2690" spans="1:17" x14ac:dyDescent="0.35">
      <c r="A2690" t="s">
        <v>2840</v>
      </c>
      <c r="B2690" s="7">
        <v>45345</v>
      </c>
      <c r="C2690" s="13">
        <f t="shared" si="329"/>
        <v>2024</v>
      </c>
      <c r="D2690" s="7" t="str">
        <f t="shared" si="330"/>
        <v>Feb</v>
      </c>
      <c r="E2690" s="7" t="str">
        <f t="shared" si="331"/>
        <v>Fri</v>
      </c>
      <c r="F2690" t="s">
        <v>728</v>
      </c>
      <c r="G2690" t="s">
        <v>102</v>
      </c>
      <c r="H2690" t="s">
        <v>11</v>
      </c>
      <c r="I2690" s="2" t="str">
        <f t="shared" si="328"/>
        <v>Central</v>
      </c>
      <c r="J2690" t="s">
        <v>306</v>
      </c>
      <c r="K2690" t="s">
        <v>32</v>
      </c>
      <c r="L2690">
        <v>19</v>
      </c>
      <c r="M2690">
        <v>120</v>
      </c>
      <c r="N2690">
        <f t="shared" si="332"/>
        <v>2280</v>
      </c>
      <c r="O2690">
        <f t="shared" si="333"/>
        <v>228</v>
      </c>
      <c r="P2690" t="str">
        <f t="shared" si="334"/>
        <v>Large Order</v>
      </c>
      <c r="Q2690" t="str">
        <f t="shared" si="335"/>
        <v>Weekday</v>
      </c>
    </row>
    <row r="2691" spans="1:17" x14ac:dyDescent="0.35">
      <c r="A2691" t="s">
        <v>2841</v>
      </c>
      <c r="B2691" s="7">
        <v>45542</v>
      </c>
      <c r="C2691" s="13">
        <f t="shared" si="329"/>
        <v>2024</v>
      </c>
      <c r="D2691" s="7" t="str">
        <f t="shared" si="330"/>
        <v>Sep</v>
      </c>
      <c r="E2691" s="7" t="str">
        <f t="shared" si="331"/>
        <v>Sat</v>
      </c>
      <c r="F2691" t="s">
        <v>108</v>
      </c>
      <c r="G2691" t="s">
        <v>160</v>
      </c>
      <c r="H2691" t="s">
        <v>17</v>
      </c>
      <c r="I2691" s="2" t="str">
        <f t="shared" ref="I2691:I2754" si="336">TRIM(J2692)</f>
        <v>West</v>
      </c>
      <c r="J2691" t="s">
        <v>306</v>
      </c>
      <c r="K2691" t="s">
        <v>32</v>
      </c>
      <c r="L2691">
        <v>18</v>
      </c>
      <c r="M2691">
        <v>120</v>
      </c>
      <c r="N2691">
        <f t="shared" si="332"/>
        <v>2160</v>
      </c>
      <c r="O2691">
        <f t="shared" si="333"/>
        <v>216</v>
      </c>
      <c r="P2691" t="str">
        <f t="shared" si="334"/>
        <v>Large Order</v>
      </c>
      <c r="Q2691" t="str">
        <f t="shared" si="335"/>
        <v>Weekend</v>
      </c>
    </row>
    <row r="2692" spans="1:17" x14ac:dyDescent="0.35">
      <c r="A2692" t="s">
        <v>2842</v>
      </c>
      <c r="B2692" s="7">
        <v>45342</v>
      </c>
      <c r="C2692" s="13">
        <f t="shared" ref="C2692:C2755" si="337">YEAR(B2692)</f>
        <v>2024</v>
      </c>
      <c r="D2692" s="7" t="str">
        <f t="shared" ref="D2692:D2755" si="338">TEXT(B2692,"mmm")</f>
        <v>Feb</v>
      </c>
      <c r="E2692" s="7" t="str">
        <f t="shared" ref="E2692:E2755" si="339">TEXT(B2692,"ddd")</f>
        <v>Tue</v>
      </c>
      <c r="F2692" t="s">
        <v>9</v>
      </c>
      <c r="G2692" t="s">
        <v>45</v>
      </c>
      <c r="H2692" t="s">
        <v>17</v>
      </c>
      <c r="I2692" s="2" t="str">
        <f t="shared" si="336"/>
        <v>Central</v>
      </c>
      <c r="J2692" t="s">
        <v>27</v>
      </c>
      <c r="K2692" t="s">
        <v>28</v>
      </c>
      <c r="L2692">
        <v>12</v>
      </c>
      <c r="M2692">
        <v>120</v>
      </c>
      <c r="N2692">
        <f t="shared" ref="N2692:N2755" si="340">M2692*L2692</f>
        <v>1440</v>
      </c>
      <c r="O2692">
        <f t="shared" ref="O2692:O2755" si="341">N2692*0.1</f>
        <v>144</v>
      </c>
      <c r="P2692" t="str">
        <f t="shared" ref="P2692:P2755" si="342">IF(N2692&gt;500,"Large Order","Standard Order")</f>
        <v>Large Order</v>
      </c>
      <c r="Q2692" t="str">
        <f t="shared" ref="Q2692:Q2755" si="343">IF(OR(TRIM(E2692)="Sat",TRIM(E2692)="Sun"),"Weekend","Weekday")</f>
        <v>Weekday</v>
      </c>
    </row>
    <row r="2693" spans="1:17" x14ac:dyDescent="0.35">
      <c r="A2693" t="s">
        <v>2843</v>
      </c>
      <c r="B2693" s="7">
        <v>45639</v>
      </c>
      <c r="C2693" s="13">
        <f t="shared" si="337"/>
        <v>2024</v>
      </c>
      <c r="D2693" s="7" t="str">
        <f t="shared" si="338"/>
        <v>Dec</v>
      </c>
      <c r="E2693" s="7" t="str">
        <f t="shared" si="339"/>
        <v>Fri</v>
      </c>
      <c r="F2693" t="s">
        <v>728</v>
      </c>
      <c r="G2693" t="s">
        <v>174</v>
      </c>
      <c r="H2693" t="s">
        <v>22</v>
      </c>
      <c r="I2693" s="2" t="str">
        <f t="shared" si="336"/>
        <v>South</v>
      </c>
      <c r="J2693" t="s">
        <v>306</v>
      </c>
      <c r="K2693" t="s">
        <v>23</v>
      </c>
      <c r="L2693">
        <v>16</v>
      </c>
      <c r="M2693">
        <v>120</v>
      </c>
      <c r="N2693">
        <f t="shared" si="340"/>
        <v>1920</v>
      </c>
      <c r="O2693">
        <f t="shared" si="341"/>
        <v>192</v>
      </c>
      <c r="P2693" t="str">
        <f t="shared" si="342"/>
        <v>Large Order</v>
      </c>
      <c r="Q2693" t="str">
        <f t="shared" si="343"/>
        <v>Weekday</v>
      </c>
    </row>
    <row r="2694" spans="1:17" x14ac:dyDescent="0.35">
      <c r="A2694" t="s">
        <v>2844</v>
      </c>
      <c r="B2694" s="7">
        <v>45424</v>
      </c>
      <c r="C2694" s="13">
        <f t="shared" si="337"/>
        <v>2024</v>
      </c>
      <c r="D2694" s="7" t="str">
        <f t="shared" si="338"/>
        <v>May</v>
      </c>
      <c r="E2694" s="7" t="str">
        <f t="shared" si="339"/>
        <v>Sun</v>
      </c>
      <c r="F2694" t="s">
        <v>142</v>
      </c>
      <c r="G2694" t="s">
        <v>41</v>
      </c>
      <c r="H2694" t="s">
        <v>22</v>
      </c>
      <c r="I2694" s="2" t="str">
        <f t="shared" si="336"/>
        <v>East</v>
      </c>
      <c r="J2694" t="s">
        <v>56</v>
      </c>
      <c r="K2694" t="s">
        <v>28</v>
      </c>
      <c r="L2694">
        <v>5</v>
      </c>
      <c r="M2694">
        <v>120</v>
      </c>
      <c r="N2694">
        <f t="shared" si="340"/>
        <v>600</v>
      </c>
      <c r="O2694">
        <f t="shared" si="341"/>
        <v>60</v>
      </c>
      <c r="P2694" t="str">
        <f t="shared" si="342"/>
        <v>Large Order</v>
      </c>
      <c r="Q2694" t="str">
        <f t="shared" si="343"/>
        <v>Weekend</v>
      </c>
    </row>
    <row r="2695" spans="1:17" x14ac:dyDescent="0.35">
      <c r="A2695" t="s">
        <v>2845</v>
      </c>
      <c r="B2695" s="7">
        <v>45428</v>
      </c>
      <c r="C2695" s="13">
        <f t="shared" si="337"/>
        <v>2024</v>
      </c>
      <c r="D2695" s="7" t="str">
        <f t="shared" si="338"/>
        <v>May</v>
      </c>
      <c r="E2695" s="7" t="str">
        <f t="shared" si="339"/>
        <v>Thu</v>
      </c>
      <c r="F2695" t="s">
        <v>9</v>
      </c>
      <c r="G2695" t="s">
        <v>84</v>
      </c>
      <c r="H2695" t="s">
        <v>22</v>
      </c>
      <c r="I2695" s="2" t="str">
        <f t="shared" si="336"/>
        <v>West</v>
      </c>
      <c r="J2695" t="s">
        <v>42</v>
      </c>
      <c r="K2695" t="s">
        <v>28</v>
      </c>
      <c r="L2695">
        <v>20</v>
      </c>
      <c r="M2695">
        <v>120</v>
      </c>
      <c r="N2695">
        <f t="shared" si="340"/>
        <v>2400</v>
      </c>
      <c r="O2695">
        <f t="shared" si="341"/>
        <v>240</v>
      </c>
      <c r="P2695" t="str">
        <f t="shared" si="342"/>
        <v>Large Order</v>
      </c>
      <c r="Q2695" t="str">
        <f t="shared" si="343"/>
        <v>Weekday</v>
      </c>
    </row>
    <row r="2696" spans="1:17" x14ac:dyDescent="0.35">
      <c r="A2696" t="s">
        <v>2846</v>
      </c>
      <c r="B2696" s="7">
        <v>45526</v>
      </c>
      <c r="C2696" s="13">
        <f t="shared" si="337"/>
        <v>2024</v>
      </c>
      <c r="D2696" s="7" t="str">
        <f t="shared" si="338"/>
        <v>Aug</v>
      </c>
      <c r="E2696" s="7" t="str">
        <f t="shared" si="339"/>
        <v>Thu</v>
      </c>
      <c r="F2696" t="s">
        <v>44</v>
      </c>
      <c r="G2696" t="s">
        <v>70</v>
      </c>
      <c r="H2696" t="s">
        <v>17</v>
      </c>
      <c r="I2696" s="2" t="str">
        <f t="shared" si="336"/>
        <v>East</v>
      </c>
      <c r="J2696" t="s">
        <v>27</v>
      </c>
      <c r="K2696" t="s">
        <v>36</v>
      </c>
      <c r="L2696">
        <v>10</v>
      </c>
      <c r="M2696">
        <v>120</v>
      </c>
      <c r="N2696">
        <f t="shared" si="340"/>
        <v>1200</v>
      </c>
      <c r="O2696">
        <f t="shared" si="341"/>
        <v>120</v>
      </c>
      <c r="P2696" t="str">
        <f t="shared" si="342"/>
        <v>Large Order</v>
      </c>
      <c r="Q2696" t="str">
        <f t="shared" si="343"/>
        <v>Weekday</v>
      </c>
    </row>
    <row r="2697" spans="1:17" x14ac:dyDescent="0.35">
      <c r="A2697" t="s">
        <v>2847</v>
      </c>
      <c r="B2697" s="7">
        <v>45511</v>
      </c>
      <c r="C2697" s="13">
        <f t="shared" si="337"/>
        <v>2024</v>
      </c>
      <c r="D2697" s="7" t="str">
        <f t="shared" si="338"/>
        <v>Aug</v>
      </c>
      <c r="E2697" s="7" t="str">
        <f t="shared" si="339"/>
        <v>Wed</v>
      </c>
      <c r="F2697" t="s">
        <v>363</v>
      </c>
      <c r="G2697" t="s">
        <v>62</v>
      </c>
      <c r="H2697" t="s">
        <v>11</v>
      </c>
      <c r="I2697" s="2" t="str">
        <f t="shared" si="336"/>
        <v>North</v>
      </c>
      <c r="J2697" t="s">
        <v>42</v>
      </c>
      <c r="K2697" t="s">
        <v>13</v>
      </c>
      <c r="L2697">
        <v>10</v>
      </c>
      <c r="M2697">
        <v>120</v>
      </c>
      <c r="N2697">
        <f t="shared" si="340"/>
        <v>1200</v>
      </c>
      <c r="O2697">
        <f t="shared" si="341"/>
        <v>120</v>
      </c>
      <c r="P2697" t="str">
        <f t="shared" si="342"/>
        <v>Large Order</v>
      </c>
      <c r="Q2697" t="str">
        <f t="shared" si="343"/>
        <v>Weekday</v>
      </c>
    </row>
    <row r="2698" spans="1:17" x14ac:dyDescent="0.35">
      <c r="A2698" t="s">
        <v>2848</v>
      </c>
      <c r="B2698" s="7">
        <v>45452</v>
      </c>
      <c r="C2698" s="13">
        <f t="shared" si="337"/>
        <v>2024</v>
      </c>
      <c r="D2698" s="7" t="str">
        <f t="shared" si="338"/>
        <v>Jun</v>
      </c>
      <c r="E2698" s="7" t="str">
        <f t="shared" si="339"/>
        <v>Sun</v>
      </c>
      <c r="F2698" t="s">
        <v>203</v>
      </c>
      <c r="G2698" t="s">
        <v>21</v>
      </c>
      <c r="H2698" t="s">
        <v>11</v>
      </c>
      <c r="I2698" s="2" t="str">
        <f t="shared" si="336"/>
        <v>Central</v>
      </c>
      <c r="J2698" t="s">
        <v>12</v>
      </c>
      <c r="K2698" t="s">
        <v>28</v>
      </c>
      <c r="L2698">
        <v>3</v>
      </c>
      <c r="M2698">
        <v>120</v>
      </c>
      <c r="N2698">
        <f t="shared" si="340"/>
        <v>360</v>
      </c>
      <c r="O2698">
        <f t="shared" si="341"/>
        <v>36</v>
      </c>
      <c r="P2698" t="str">
        <f t="shared" si="342"/>
        <v>Standard Order</v>
      </c>
      <c r="Q2698" t="str">
        <f t="shared" si="343"/>
        <v>Weekend</v>
      </c>
    </row>
    <row r="2699" spans="1:17" x14ac:dyDescent="0.35">
      <c r="A2699" t="s">
        <v>2849</v>
      </c>
      <c r="B2699" s="7">
        <v>45321</v>
      </c>
      <c r="C2699" s="13">
        <f t="shared" si="337"/>
        <v>2024</v>
      </c>
      <c r="D2699" s="7" t="str">
        <f t="shared" si="338"/>
        <v>Jan</v>
      </c>
      <c r="E2699" s="7" t="str">
        <f t="shared" si="339"/>
        <v>Tue</v>
      </c>
      <c r="F2699" t="s">
        <v>81</v>
      </c>
      <c r="G2699" t="s">
        <v>84</v>
      </c>
      <c r="H2699" t="s">
        <v>17</v>
      </c>
      <c r="I2699" s="2" t="str">
        <f t="shared" si="336"/>
        <v>South</v>
      </c>
      <c r="J2699" t="s">
        <v>306</v>
      </c>
      <c r="K2699" t="s">
        <v>23</v>
      </c>
      <c r="L2699">
        <v>1</v>
      </c>
      <c r="M2699">
        <v>120</v>
      </c>
      <c r="N2699">
        <f t="shared" si="340"/>
        <v>120</v>
      </c>
      <c r="O2699">
        <f t="shared" si="341"/>
        <v>12</v>
      </c>
      <c r="P2699" t="str">
        <f t="shared" si="342"/>
        <v>Standard Order</v>
      </c>
      <c r="Q2699" t="str">
        <f t="shared" si="343"/>
        <v>Weekday</v>
      </c>
    </row>
    <row r="2700" spans="1:17" x14ac:dyDescent="0.35">
      <c r="A2700" t="s">
        <v>2850</v>
      </c>
      <c r="B2700" s="7">
        <v>45509</v>
      </c>
      <c r="C2700" s="13">
        <f t="shared" si="337"/>
        <v>2024</v>
      </c>
      <c r="D2700" s="7" t="str">
        <f t="shared" si="338"/>
        <v>Aug</v>
      </c>
      <c r="E2700" s="7" t="str">
        <f t="shared" si="339"/>
        <v>Mon</v>
      </c>
      <c r="F2700" t="s">
        <v>422</v>
      </c>
      <c r="G2700" t="s">
        <v>160</v>
      </c>
      <c r="H2700" t="s">
        <v>22</v>
      </c>
      <c r="I2700" s="2" t="str">
        <f t="shared" si="336"/>
        <v>West</v>
      </c>
      <c r="J2700" t="s">
        <v>56</v>
      </c>
      <c r="K2700" t="s">
        <v>23</v>
      </c>
      <c r="L2700">
        <v>16</v>
      </c>
      <c r="M2700">
        <v>120</v>
      </c>
      <c r="N2700">
        <f t="shared" si="340"/>
        <v>1920</v>
      </c>
      <c r="O2700">
        <f t="shared" si="341"/>
        <v>192</v>
      </c>
      <c r="P2700" t="str">
        <f t="shared" si="342"/>
        <v>Large Order</v>
      </c>
      <c r="Q2700" t="str">
        <f t="shared" si="343"/>
        <v>Weekday</v>
      </c>
    </row>
    <row r="2701" spans="1:17" x14ac:dyDescent="0.35">
      <c r="A2701" t="s">
        <v>2851</v>
      </c>
      <c r="B2701" s="7">
        <v>45638</v>
      </c>
      <c r="C2701" s="13">
        <f t="shared" si="337"/>
        <v>2024</v>
      </c>
      <c r="D2701" s="7" t="str">
        <f t="shared" si="338"/>
        <v>Dec</v>
      </c>
      <c r="E2701" s="7" t="str">
        <f t="shared" si="339"/>
        <v>Thu</v>
      </c>
      <c r="F2701" t="s">
        <v>312</v>
      </c>
      <c r="G2701" t="s">
        <v>62</v>
      </c>
      <c r="H2701" t="s">
        <v>11</v>
      </c>
      <c r="I2701" s="2" t="str">
        <f t="shared" si="336"/>
        <v>Central</v>
      </c>
      <c r="J2701" t="s">
        <v>27</v>
      </c>
      <c r="K2701" t="s">
        <v>13</v>
      </c>
      <c r="L2701">
        <v>20</v>
      </c>
      <c r="M2701">
        <v>120</v>
      </c>
      <c r="N2701">
        <f t="shared" si="340"/>
        <v>2400</v>
      </c>
      <c r="O2701">
        <f t="shared" si="341"/>
        <v>240</v>
      </c>
      <c r="P2701" t="str">
        <f t="shared" si="342"/>
        <v>Large Order</v>
      </c>
      <c r="Q2701" t="str">
        <f t="shared" si="343"/>
        <v>Weekday</v>
      </c>
    </row>
    <row r="2702" spans="1:17" x14ac:dyDescent="0.35">
      <c r="A2702" t="s">
        <v>2852</v>
      </c>
      <c r="B2702" s="7">
        <v>45295</v>
      </c>
      <c r="C2702" s="13">
        <f t="shared" si="337"/>
        <v>2024</v>
      </c>
      <c r="D2702" s="7" t="str">
        <f t="shared" si="338"/>
        <v>Jan</v>
      </c>
      <c r="E2702" s="7" t="str">
        <f t="shared" si="339"/>
        <v>Thu</v>
      </c>
      <c r="F2702" t="s">
        <v>436</v>
      </c>
      <c r="G2702" t="s">
        <v>87</v>
      </c>
      <c r="H2702" t="s">
        <v>22</v>
      </c>
      <c r="I2702" s="2" t="str">
        <f t="shared" si="336"/>
        <v>North</v>
      </c>
      <c r="J2702" t="s">
        <v>306</v>
      </c>
      <c r="K2702" t="s">
        <v>32</v>
      </c>
      <c r="L2702">
        <v>8</v>
      </c>
      <c r="M2702">
        <v>120</v>
      </c>
      <c r="N2702">
        <f t="shared" si="340"/>
        <v>960</v>
      </c>
      <c r="O2702">
        <f t="shared" si="341"/>
        <v>96</v>
      </c>
      <c r="P2702" t="str">
        <f t="shared" si="342"/>
        <v>Large Order</v>
      </c>
      <c r="Q2702" t="str">
        <f t="shared" si="343"/>
        <v>Weekday</v>
      </c>
    </row>
    <row r="2703" spans="1:17" x14ac:dyDescent="0.35">
      <c r="A2703" t="s">
        <v>2853</v>
      </c>
      <c r="B2703" s="7">
        <v>45630</v>
      </c>
      <c r="C2703" s="13">
        <f t="shared" si="337"/>
        <v>2024</v>
      </c>
      <c r="D2703" s="7" t="str">
        <f t="shared" si="338"/>
        <v>Dec</v>
      </c>
      <c r="E2703" s="7" t="str">
        <f t="shared" si="339"/>
        <v>Wed</v>
      </c>
      <c r="F2703" t="s">
        <v>339</v>
      </c>
      <c r="G2703" t="s">
        <v>41</v>
      </c>
      <c r="H2703" t="s">
        <v>22</v>
      </c>
      <c r="I2703" s="2" t="str">
        <f t="shared" si="336"/>
        <v>South</v>
      </c>
      <c r="J2703" t="s">
        <v>12</v>
      </c>
      <c r="K2703" t="s">
        <v>36</v>
      </c>
      <c r="L2703">
        <v>15</v>
      </c>
      <c r="M2703">
        <v>120</v>
      </c>
      <c r="N2703">
        <f t="shared" si="340"/>
        <v>1800</v>
      </c>
      <c r="O2703">
        <f t="shared" si="341"/>
        <v>180</v>
      </c>
      <c r="P2703" t="str">
        <f t="shared" si="342"/>
        <v>Large Order</v>
      </c>
      <c r="Q2703" t="str">
        <f t="shared" si="343"/>
        <v>Weekday</v>
      </c>
    </row>
    <row r="2704" spans="1:17" x14ac:dyDescent="0.35">
      <c r="A2704" t="s">
        <v>2854</v>
      </c>
      <c r="B2704" s="7">
        <v>45637</v>
      </c>
      <c r="C2704" s="13">
        <f t="shared" si="337"/>
        <v>2024</v>
      </c>
      <c r="D2704" s="7" t="str">
        <f t="shared" si="338"/>
        <v>Dec</v>
      </c>
      <c r="E2704" s="7" t="str">
        <f t="shared" si="339"/>
        <v>Wed</v>
      </c>
      <c r="F2704" t="s">
        <v>332</v>
      </c>
      <c r="G2704" t="s">
        <v>160</v>
      </c>
      <c r="H2704" t="s">
        <v>11</v>
      </c>
      <c r="I2704" s="2" t="str">
        <f t="shared" si="336"/>
        <v>West</v>
      </c>
      <c r="J2704" t="s">
        <v>56</v>
      </c>
      <c r="K2704" t="s">
        <v>13</v>
      </c>
      <c r="L2704">
        <v>12</v>
      </c>
      <c r="M2704">
        <v>120</v>
      </c>
      <c r="N2704">
        <f t="shared" si="340"/>
        <v>1440</v>
      </c>
      <c r="O2704">
        <f t="shared" si="341"/>
        <v>144</v>
      </c>
      <c r="P2704" t="str">
        <f t="shared" si="342"/>
        <v>Large Order</v>
      </c>
      <c r="Q2704" t="str">
        <f t="shared" si="343"/>
        <v>Weekday</v>
      </c>
    </row>
    <row r="2705" spans="1:17" x14ac:dyDescent="0.35">
      <c r="A2705" t="s">
        <v>2855</v>
      </c>
      <c r="B2705" s="7">
        <v>45555</v>
      </c>
      <c r="C2705" s="13">
        <f t="shared" si="337"/>
        <v>2024</v>
      </c>
      <c r="D2705" s="7" t="str">
        <f t="shared" si="338"/>
        <v>Sep</v>
      </c>
      <c r="E2705" s="7" t="str">
        <f t="shared" si="339"/>
        <v>Fri</v>
      </c>
      <c r="F2705" t="s">
        <v>182</v>
      </c>
      <c r="G2705" t="s">
        <v>79</v>
      </c>
      <c r="H2705" t="s">
        <v>17</v>
      </c>
      <c r="I2705" s="2" t="str">
        <f t="shared" si="336"/>
        <v>Central</v>
      </c>
      <c r="J2705" t="s">
        <v>27</v>
      </c>
      <c r="K2705" t="s">
        <v>23</v>
      </c>
      <c r="L2705">
        <v>6</v>
      </c>
      <c r="M2705">
        <v>120</v>
      </c>
      <c r="N2705">
        <f t="shared" si="340"/>
        <v>720</v>
      </c>
      <c r="O2705">
        <f t="shared" si="341"/>
        <v>72</v>
      </c>
      <c r="P2705" t="str">
        <f t="shared" si="342"/>
        <v>Large Order</v>
      </c>
      <c r="Q2705" t="str">
        <f t="shared" si="343"/>
        <v>Weekday</v>
      </c>
    </row>
    <row r="2706" spans="1:17" x14ac:dyDescent="0.35">
      <c r="A2706" t="s">
        <v>2856</v>
      </c>
      <c r="B2706" s="7">
        <v>45349</v>
      </c>
      <c r="C2706" s="13">
        <f t="shared" si="337"/>
        <v>2024</v>
      </c>
      <c r="D2706" s="7" t="str">
        <f t="shared" si="338"/>
        <v>Feb</v>
      </c>
      <c r="E2706" s="7" t="str">
        <f t="shared" si="339"/>
        <v>Tue</v>
      </c>
      <c r="F2706" t="s">
        <v>47</v>
      </c>
      <c r="G2706" t="s">
        <v>41</v>
      </c>
      <c r="H2706" t="s">
        <v>11</v>
      </c>
      <c r="I2706" s="2" t="str">
        <f t="shared" si="336"/>
        <v>Central</v>
      </c>
      <c r="J2706" t="s">
        <v>306</v>
      </c>
      <c r="K2706" t="s">
        <v>13</v>
      </c>
      <c r="L2706">
        <v>10</v>
      </c>
      <c r="M2706">
        <v>120</v>
      </c>
      <c r="N2706">
        <f t="shared" si="340"/>
        <v>1200</v>
      </c>
      <c r="O2706">
        <f t="shared" si="341"/>
        <v>120</v>
      </c>
      <c r="P2706" t="str">
        <f t="shared" si="342"/>
        <v>Large Order</v>
      </c>
      <c r="Q2706" t="str">
        <f t="shared" si="343"/>
        <v>Weekday</v>
      </c>
    </row>
    <row r="2707" spans="1:17" x14ac:dyDescent="0.35">
      <c r="A2707" t="s">
        <v>2857</v>
      </c>
      <c r="B2707" s="7">
        <v>45442</v>
      </c>
      <c r="C2707" s="13">
        <f t="shared" si="337"/>
        <v>2024</v>
      </c>
      <c r="D2707" s="7" t="str">
        <f t="shared" si="338"/>
        <v>May</v>
      </c>
      <c r="E2707" s="7" t="str">
        <f t="shared" si="339"/>
        <v>Thu</v>
      </c>
      <c r="F2707" t="s">
        <v>86</v>
      </c>
      <c r="G2707" t="s">
        <v>65</v>
      </c>
      <c r="H2707" t="s">
        <v>11</v>
      </c>
      <c r="I2707" s="2" t="str">
        <f t="shared" si="336"/>
        <v>Central</v>
      </c>
      <c r="J2707" t="s">
        <v>306</v>
      </c>
      <c r="K2707" t="s">
        <v>23</v>
      </c>
      <c r="L2707">
        <v>7</v>
      </c>
      <c r="M2707">
        <v>120</v>
      </c>
      <c r="N2707">
        <f t="shared" si="340"/>
        <v>840</v>
      </c>
      <c r="O2707">
        <f t="shared" si="341"/>
        <v>84</v>
      </c>
      <c r="P2707" t="str">
        <f t="shared" si="342"/>
        <v>Large Order</v>
      </c>
      <c r="Q2707" t="str">
        <f t="shared" si="343"/>
        <v>Weekday</v>
      </c>
    </row>
    <row r="2708" spans="1:17" x14ac:dyDescent="0.35">
      <c r="A2708" t="s">
        <v>2858</v>
      </c>
      <c r="B2708" s="7">
        <v>45621</v>
      </c>
      <c r="C2708" s="13">
        <f t="shared" si="337"/>
        <v>2024</v>
      </c>
      <c r="D2708" s="7" t="str">
        <f t="shared" si="338"/>
        <v>Nov</v>
      </c>
      <c r="E2708" s="7" t="str">
        <f t="shared" si="339"/>
        <v>Mon</v>
      </c>
      <c r="F2708" t="s">
        <v>345</v>
      </c>
      <c r="G2708" t="s">
        <v>79</v>
      </c>
      <c r="H2708" t="s">
        <v>17</v>
      </c>
      <c r="I2708" s="2" t="str">
        <f t="shared" si="336"/>
        <v>East</v>
      </c>
      <c r="J2708" t="s">
        <v>306</v>
      </c>
      <c r="K2708" t="s">
        <v>23</v>
      </c>
      <c r="L2708">
        <v>2</v>
      </c>
      <c r="M2708">
        <v>120</v>
      </c>
      <c r="N2708">
        <f t="shared" si="340"/>
        <v>240</v>
      </c>
      <c r="O2708">
        <f t="shared" si="341"/>
        <v>24</v>
      </c>
      <c r="P2708" t="str">
        <f t="shared" si="342"/>
        <v>Standard Order</v>
      </c>
      <c r="Q2708" t="str">
        <f t="shared" si="343"/>
        <v>Weekday</v>
      </c>
    </row>
    <row r="2709" spans="1:17" x14ac:dyDescent="0.35">
      <c r="A2709" t="s">
        <v>2859</v>
      </c>
      <c r="B2709" s="7">
        <v>45607</v>
      </c>
      <c r="C2709" s="13">
        <f t="shared" si="337"/>
        <v>2024</v>
      </c>
      <c r="D2709" s="7" t="str">
        <f t="shared" si="338"/>
        <v>Nov</v>
      </c>
      <c r="E2709" s="7" t="str">
        <f t="shared" si="339"/>
        <v>Mon</v>
      </c>
      <c r="F2709" t="s">
        <v>366</v>
      </c>
      <c r="G2709" t="s">
        <v>72</v>
      </c>
      <c r="H2709" t="s">
        <v>17</v>
      </c>
      <c r="I2709" s="2" t="str">
        <f t="shared" si="336"/>
        <v>North</v>
      </c>
      <c r="J2709" t="s">
        <v>42</v>
      </c>
      <c r="K2709" t="s">
        <v>13</v>
      </c>
      <c r="L2709">
        <v>1</v>
      </c>
      <c r="M2709">
        <v>120</v>
      </c>
      <c r="N2709">
        <f t="shared" si="340"/>
        <v>120</v>
      </c>
      <c r="O2709">
        <f t="shared" si="341"/>
        <v>12</v>
      </c>
      <c r="P2709" t="str">
        <f t="shared" si="342"/>
        <v>Standard Order</v>
      </c>
      <c r="Q2709" t="str">
        <f t="shared" si="343"/>
        <v>Weekday</v>
      </c>
    </row>
    <row r="2710" spans="1:17" x14ac:dyDescent="0.35">
      <c r="A2710" t="s">
        <v>2860</v>
      </c>
      <c r="B2710" s="7">
        <v>45387</v>
      </c>
      <c r="C2710" s="13">
        <f t="shared" si="337"/>
        <v>2024</v>
      </c>
      <c r="D2710" s="7" t="str">
        <f t="shared" si="338"/>
        <v>Apr</v>
      </c>
      <c r="E2710" s="7" t="str">
        <f t="shared" si="339"/>
        <v>Fri</v>
      </c>
      <c r="F2710" t="s">
        <v>341</v>
      </c>
      <c r="G2710" t="s">
        <v>48</v>
      </c>
      <c r="H2710" t="s">
        <v>11</v>
      </c>
      <c r="I2710" s="2" t="str">
        <f t="shared" si="336"/>
        <v>North</v>
      </c>
      <c r="J2710" t="s">
        <v>12</v>
      </c>
      <c r="K2710" t="s">
        <v>23</v>
      </c>
      <c r="L2710">
        <v>16</v>
      </c>
      <c r="M2710">
        <v>120</v>
      </c>
      <c r="N2710">
        <f t="shared" si="340"/>
        <v>1920</v>
      </c>
      <c r="O2710">
        <f t="shared" si="341"/>
        <v>192</v>
      </c>
      <c r="P2710" t="str">
        <f t="shared" si="342"/>
        <v>Large Order</v>
      </c>
      <c r="Q2710" t="str">
        <f t="shared" si="343"/>
        <v>Weekday</v>
      </c>
    </row>
    <row r="2711" spans="1:17" x14ac:dyDescent="0.35">
      <c r="A2711" t="s">
        <v>2861</v>
      </c>
      <c r="B2711" s="7">
        <v>45562</v>
      </c>
      <c r="C2711" s="13">
        <f t="shared" si="337"/>
        <v>2024</v>
      </c>
      <c r="D2711" s="7" t="str">
        <f t="shared" si="338"/>
        <v>Sep</v>
      </c>
      <c r="E2711" s="7" t="str">
        <f t="shared" si="339"/>
        <v>Fri</v>
      </c>
      <c r="F2711" t="s">
        <v>345</v>
      </c>
      <c r="G2711" t="s">
        <v>16</v>
      </c>
      <c r="H2711" t="s">
        <v>17</v>
      </c>
      <c r="I2711" s="2" t="str">
        <f t="shared" si="336"/>
        <v>West</v>
      </c>
      <c r="J2711" t="s">
        <v>12</v>
      </c>
      <c r="K2711" t="s">
        <v>23</v>
      </c>
      <c r="L2711">
        <v>1</v>
      </c>
      <c r="M2711">
        <v>120</v>
      </c>
      <c r="N2711">
        <f t="shared" si="340"/>
        <v>120</v>
      </c>
      <c r="O2711">
        <f t="shared" si="341"/>
        <v>12</v>
      </c>
      <c r="P2711" t="str">
        <f t="shared" si="342"/>
        <v>Standard Order</v>
      </c>
      <c r="Q2711" t="str">
        <f t="shared" si="343"/>
        <v>Weekday</v>
      </c>
    </row>
    <row r="2712" spans="1:17" x14ac:dyDescent="0.35">
      <c r="A2712" t="s">
        <v>2862</v>
      </c>
      <c r="B2712" s="7">
        <v>45628</v>
      </c>
      <c r="C2712" s="13">
        <f t="shared" si="337"/>
        <v>2024</v>
      </c>
      <c r="D2712" s="7" t="str">
        <f t="shared" si="338"/>
        <v>Dec</v>
      </c>
      <c r="E2712" s="7" t="str">
        <f t="shared" si="339"/>
        <v>Mon</v>
      </c>
      <c r="F2712" t="s">
        <v>230</v>
      </c>
      <c r="G2712" t="s">
        <v>197</v>
      </c>
      <c r="H2712" t="s">
        <v>17</v>
      </c>
      <c r="I2712" s="2" t="str">
        <f t="shared" si="336"/>
        <v>West</v>
      </c>
      <c r="J2712" t="s">
        <v>27</v>
      </c>
      <c r="K2712" t="s">
        <v>32</v>
      </c>
      <c r="L2712">
        <v>10</v>
      </c>
      <c r="M2712">
        <v>120</v>
      </c>
      <c r="N2712">
        <f t="shared" si="340"/>
        <v>1200</v>
      </c>
      <c r="O2712">
        <f t="shared" si="341"/>
        <v>120</v>
      </c>
      <c r="P2712" t="str">
        <f t="shared" si="342"/>
        <v>Large Order</v>
      </c>
      <c r="Q2712" t="str">
        <f t="shared" si="343"/>
        <v>Weekday</v>
      </c>
    </row>
    <row r="2713" spans="1:17" x14ac:dyDescent="0.35">
      <c r="A2713" t="s">
        <v>2863</v>
      </c>
      <c r="B2713" s="7">
        <v>45385</v>
      </c>
      <c r="C2713" s="13">
        <f t="shared" si="337"/>
        <v>2024</v>
      </c>
      <c r="D2713" s="7" t="str">
        <f t="shared" si="338"/>
        <v>Apr</v>
      </c>
      <c r="E2713" s="7" t="str">
        <f t="shared" si="339"/>
        <v>Wed</v>
      </c>
      <c r="F2713" t="s">
        <v>312</v>
      </c>
      <c r="G2713" t="s">
        <v>26</v>
      </c>
      <c r="H2713" t="s">
        <v>11</v>
      </c>
      <c r="I2713" s="2" t="str">
        <f t="shared" si="336"/>
        <v>South</v>
      </c>
      <c r="J2713" t="s">
        <v>27</v>
      </c>
      <c r="K2713" t="s">
        <v>23</v>
      </c>
      <c r="L2713">
        <v>6</v>
      </c>
      <c r="M2713">
        <v>120</v>
      </c>
      <c r="N2713">
        <f t="shared" si="340"/>
        <v>720</v>
      </c>
      <c r="O2713">
        <f t="shared" si="341"/>
        <v>72</v>
      </c>
      <c r="P2713" t="str">
        <f t="shared" si="342"/>
        <v>Large Order</v>
      </c>
      <c r="Q2713" t="str">
        <f t="shared" si="343"/>
        <v>Weekday</v>
      </c>
    </row>
    <row r="2714" spans="1:17" x14ac:dyDescent="0.35">
      <c r="A2714" t="s">
        <v>2864</v>
      </c>
      <c r="B2714" s="7">
        <v>45514</v>
      </c>
      <c r="C2714" s="13">
        <f t="shared" si="337"/>
        <v>2024</v>
      </c>
      <c r="D2714" s="7" t="str">
        <f t="shared" si="338"/>
        <v>Aug</v>
      </c>
      <c r="E2714" s="7" t="str">
        <f t="shared" si="339"/>
        <v>Sat</v>
      </c>
      <c r="F2714" t="s">
        <v>25</v>
      </c>
      <c r="G2714" t="s">
        <v>48</v>
      </c>
      <c r="H2714" t="s">
        <v>22</v>
      </c>
      <c r="I2714" s="2" t="str">
        <f t="shared" si="336"/>
        <v>East</v>
      </c>
      <c r="J2714" t="s">
        <v>56</v>
      </c>
      <c r="K2714" t="s">
        <v>13</v>
      </c>
      <c r="L2714">
        <v>7</v>
      </c>
      <c r="M2714">
        <v>120</v>
      </c>
      <c r="N2714">
        <f t="shared" si="340"/>
        <v>840</v>
      </c>
      <c r="O2714">
        <f t="shared" si="341"/>
        <v>84</v>
      </c>
      <c r="P2714" t="str">
        <f t="shared" si="342"/>
        <v>Large Order</v>
      </c>
      <c r="Q2714" t="str">
        <f t="shared" si="343"/>
        <v>Weekend</v>
      </c>
    </row>
    <row r="2715" spans="1:17" x14ac:dyDescent="0.35">
      <c r="A2715" t="s">
        <v>2865</v>
      </c>
      <c r="B2715" s="7">
        <v>45360</v>
      </c>
      <c r="C2715" s="13">
        <f t="shared" si="337"/>
        <v>2024</v>
      </c>
      <c r="D2715" s="7" t="str">
        <f t="shared" si="338"/>
        <v>Mar</v>
      </c>
      <c r="E2715" s="7" t="str">
        <f t="shared" si="339"/>
        <v>Sat</v>
      </c>
      <c r="F2715" t="s">
        <v>106</v>
      </c>
      <c r="G2715" t="s">
        <v>87</v>
      </c>
      <c r="H2715" t="s">
        <v>22</v>
      </c>
      <c r="I2715" s="2" t="str">
        <f t="shared" si="336"/>
        <v>West</v>
      </c>
      <c r="J2715" t="s">
        <v>42</v>
      </c>
      <c r="K2715" t="s">
        <v>13</v>
      </c>
      <c r="L2715">
        <v>6</v>
      </c>
      <c r="M2715">
        <v>120</v>
      </c>
      <c r="N2715">
        <f t="shared" si="340"/>
        <v>720</v>
      </c>
      <c r="O2715">
        <f t="shared" si="341"/>
        <v>72</v>
      </c>
      <c r="P2715" t="str">
        <f t="shared" si="342"/>
        <v>Large Order</v>
      </c>
      <c r="Q2715" t="str">
        <f t="shared" si="343"/>
        <v>Weekend</v>
      </c>
    </row>
    <row r="2716" spans="1:17" x14ac:dyDescent="0.35">
      <c r="A2716" t="s">
        <v>2866</v>
      </c>
      <c r="B2716" s="7">
        <v>45537</v>
      </c>
      <c r="C2716" s="13">
        <f t="shared" si="337"/>
        <v>2024</v>
      </c>
      <c r="D2716" s="7" t="str">
        <f t="shared" si="338"/>
        <v>Sep</v>
      </c>
      <c r="E2716" s="7" t="str">
        <f t="shared" si="339"/>
        <v>Mon</v>
      </c>
      <c r="F2716" t="s">
        <v>317</v>
      </c>
      <c r="G2716" t="s">
        <v>26</v>
      </c>
      <c r="H2716" t="s">
        <v>11</v>
      </c>
      <c r="I2716" s="2" t="str">
        <f t="shared" si="336"/>
        <v>West</v>
      </c>
      <c r="J2716" t="s">
        <v>27</v>
      </c>
      <c r="K2716" t="s">
        <v>23</v>
      </c>
      <c r="L2716">
        <v>18</v>
      </c>
      <c r="M2716">
        <v>120</v>
      </c>
      <c r="N2716">
        <f t="shared" si="340"/>
        <v>2160</v>
      </c>
      <c r="O2716">
        <f t="shared" si="341"/>
        <v>216</v>
      </c>
      <c r="P2716" t="str">
        <f t="shared" si="342"/>
        <v>Large Order</v>
      </c>
      <c r="Q2716" t="str">
        <f t="shared" si="343"/>
        <v>Weekday</v>
      </c>
    </row>
    <row r="2717" spans="1:17" x14ac:dyDescent="0.35">
      <c r="A2717" t="s">
        <v>2867</v>
      </c>
      <c r="B2717" s="7">
        <v>45641</v>
      </c>
      <c r="C2717" s="13">
        <f t="shared" si="337"/>
        <v>2024</v>
      </c>
      <c r="D2717" s="7" t="str">
        <f t="shared" si="338"/>
        <v>Dec</v>
      </c>
      <c r="E2717" s="7" t="str">
        <f t="shared" si="339"/>
        <v>Sun</v>
      </c>
      <c r="F2717" t="s">
        <v>436</v>
      </c>
      <c r="G2717" t="s">
        <v>16</v>
      </c>
      <c r="H2717" t="s">
        <v>17</v>
      </c>
      <c r="I2717" s="2" t="str">
        <f t="shared" si="336"/>
        <v>East</v>
      </c>
      <c r="J2717" t="s">
        <v>27</v>
      </c>
      <c r="K2717" t="s">
        <v>36</v>
      </c>
      <c r="L2717">
        <v>13</v>
      </c>
      <c r="M2717">
        <v>120</v>
      </c>
      <c r="N2717">
        <f t="shared" si="340"/>
        <v>1560</v>
      </c>
      <c r="O2717">
        <f t="shared" si="341"/>
        <v>156</v>
      </c>
      <c r="P2717" t="str">
        <f t="shared" si="342"/>
        <v>Large Order</v>
      </c>
      <c r="Q2717" t="str">
        <f t="shared" si="343"/>
        <v>Weekend</v>
      </c>
    </row>
    <row r="2718" spans="1:17" x14ac:dyDescent="0.35">
      <c r="A2718" t="s">
        <v>2868</v>
      </c>
      <c r="B2718" s="7">
        <v>45347</v>
      </c>
      <c r="C2718" s="13">
        <f t="shared" si="337"/>
        <v>2024</v>
      </c>
      <c r="D2718" s="7" t="str">
        <f t="shared" si="338"/>
        <v>Feb</v>
      </c>
      <c r="E2718" s="7" t="str">
        <f t="shared" si="339"/>
        <v>Sun</v>
      </c>
      <c r="F2718" t="s">
        <v>138</v>
      </c>
      <c r="G2718" t="s">
        <v>16</v>
      </c>
      <c r="H2718" t="s">
        <v>11</v>
      </c>
      <c r="I2718" s="2" t="str">
        <f t="shared" si="336"/>
        <v>West</v>
      </c>
      <c r="J2718" t="s">
        <v>42</v>
      </c>
      <c r="K2718" t="s">
        <v>36</v>
      </c>
      <c r="L2718">
        <v>1</v>
      </c>
      <c r="M2718">
        <v>120</v>
      </c>
      <c r="N2718">
        <f t="shared" si="340"/>
        <v>120</v>
      </c>
      <c r="O2718">
        <f t="shared" si="341"/>
        <v>12</v>
      </c>
      <c r="P2718" t="str">
        <f t="shared" si="342"/>
        <v>Standard Order</v>
      </c>
      <c r="Q2718" t="str">
        <f t="shared" si="343"/>
        <v>Weekend</v>
      </c>
    </row>
    <row r="2719" spans="1:17" x14ac:dyDescent="0.35">
      <c r="A2719" t="s">
        <v>2869</v>
      </c>
      <c r="B2719" s="7">
        <v>45413</v>
      </c>
      <c r="C2719" s="13">
        <f t="shared" si="337"/>
        <v>2024</v>
      </c>
      <c r="D2719" s="7" t="str">
        <f t="shared" si="338"/>
        <v>May</v>
      </c>
      <c r="E2719" s="7" t="str">
        <f t="shared" si="339"/>
        <v>Wed</v>
      </c>
      <c r="F2719" t="s">
        <v>9</v>
      </c>
      <c r="G2719" t="s">
        <v>41</v>
      </c>
      <c r="H2719" t="s">
        <v>17</v>
      </c>
      <c r="I2719" s="2" t="str">
        <f t="shared" si="336"/>
        <v>West</v>
      </c>
      <c r="J2719" t="s">
        <v>27</v>
      </c>
      <c r="K2719" t="s">
        <v>36</v>
      </c>
      <c r="L2719">
        <v>1</v>
      </c>
      <c r="M2719">
        <v>120</v>
      </c>
      <c r="N2719">
        <f t="shared" si="340"/>
        <v>120</v>
      </c>
      <c r="O2719">
        <f t="shared" si="341"/>
        <v>12</v>
      </c>
      <c r="P2719" t="str">
        <f t="shared" si="342"/>
        <v>Standard Order</v>
      </c>
      <c r="Q2719" t="str">
        <f t="shared" si="343"/>
        <v>Weekday</v>
      </c>
    </row>
    <row r="2720" spans="1:17" x14ac:dyDescent="0.35">
      <c r="A2720" t="s">
        <v>2870</v>
      </c>
      <c r="B2720" s="7">
        <v>45440</v>
      </c>
      <c r="C2720" s="13">
        <f t="shared" si="337"/>
        <v>2024</v>
      </c>
      <c r="D2720" s="7" t="str">
        <f t="shared" si="338"/>
        <v>May</v>
      </c>
      <c r="E2720" s="7" t="str">
        <f t="shared" si="339"/>
        <v>Tue</v>
      </c>
      <c r="F2720" t="s">
        <v>55</v>
      </c>
      <c r="G2720" t="s">
        <v>35</v>
      </c>
      <c r="H2720" t="s">
        <v>11</v>
      </c>
      <c r="I2720" s="2" t="str">
        <f t="shared" si="336"/>
        <v>North</v>
      </c>
      <c r="J2720" t="s">
        <v>27</v>
      </c>
      <c r="K2720" t="s">
        <v>28</v>
      </c>
      <c r="L2720">
        <v>20</v>
      </c>
      <c r="M2720">
        <v>120</v>
      </c>
      <c r="N2720">
        <f t="shared" si="340"/>
        <v>2400</v>
      </c>
      <c r="O2720">
        <f t="shared" si="341"/>
        <v>240</v>
      </c>
      <c r="P2720" t="str">
        <f t="shared" si="342"/>
        <v>Large Order</v>
      </c>
      <c r="Q2720" t="str">
        <f t="shared" si="343"/>
        <v>Weekday</v>
      </c>
    </row>
    <row r="2721" spans="1:17" x14ac:dyDescent="0.35">
      <c r="A2721" t="s">
        <v>2871</v>
      </c>
      <c r="B2721" s="7">
        <v>45553</v>
      </c>
      <c r="C2721" s="13">
        <f t="shared" si="337"/>
        <v>2024</v>
      </c>
      <c r="D2721" s="7" t="str">
        <f t="shared" si="338"/>
        <v>Sep</v>
      </c>
      <c r="E2721" s="7" t="str">
        <f t="shared" si="339"/>
        <v>Wed</v>
      </c>
      <c r="F2721" t="s">
        <v>44</v>
      </c>
      <c r="G2721" t="s">
        <v>197</v>
      </c>
      <c r="H2721" t="s">
        <v>17</v>
      </c>
      <c r="I2721" s="2" t="str">
        <f t="shared" si="336"/>
        <v>North</v>
      </c>
      <c r="J2721" t="s">
        <v>12</v>
      </c>
      <c r="K2721" t="s">
        <v>32</v>
      </c>
      <c r="L2721">
        <v>8</v>
      </c>
      <c r="M2721">
        <v>120</v>
      </c>
      <c r="N2721">
        <f t="shared" si="340"/>
        <v>960</v>
      </c>
      <c r="O2721">
        <f t="shared" si="341"/>
        <v>96</v>
      </c>
      <c r="P2721" t="str">
        <f t="shared" si="342"/>
        <v>Large Order</v>
      </c>
      <c r="Q2721" t="str">
        <f t="shared" si="343"/>
        <v>Weekday</v>
      </c>
    </row>
    <row r="2722" spans="1:17" x14ac:dyDescent="0.35">
      <c r="A2722" t="s">
        <v>2872</v>
      </c>
      <c r="B2722" s="7">
        <v>45511</v>
      </c>
      <c r="C2722" s="13">
        <f t="shared" si="337"/>
        <v>2024</v>
      </c>
      <c r="D2722" s="7" t="str">
        <f t="shared" si="338"/>
        <v>Aug</v>
      </c>
      <c r="E2722" s="7" t="str">
        <f t="shared" si="339"/>
        <v>Wed</v>
      </c>
      <c r="F2722" t="s">
        <v>104</v>
      </c>
      <c r="G2722" t="s">
        <v>35</v>
      </c>
      <c r="H2722" t="s">
        <v>22</v>
      </c>
      <c r="I2722" s="2" t="str">
        <f t="shared" si="336"/>
        <v>South</v>
      </c>
      <c r="J2722" t="s">
        <v>12</v>
      </c>
      <c r="K2722" t="s">
        <v>36</v>
      </c>
      <c r="L2722">
        <v>20</v>
      </c>
      <c r="M2722">
        <v>120</v>
      </c>
      <c r="N2722">
        <f t="shared" si="340"/>
        <v>2400</v>
      </c>
      <c r="O2722">
        <f t="shared" si="341"/>
        <v>240</v>
      </c>
      <c r="P2722" t="str">
        <f t="shared" si="342"/>
        <v>Large Order</v>
      </c>
      <c r="Q2722" t="str">
        <f t="shared" si="343"/>
        <v>Weekday</v>
      </c>
    </row>
    <row r="2723" spans="1:17" x14ac:dyDescent="0.35">
      <c r="A2723" t="s">
        <v>2873</v>
      </c>
      <c r="B2723" s="7">
        <v>45594</v>
      </c>
      <c r="C2723" s="13">
        <f t="shared" si="337"/>
        <v>2024</v>
      </c>
      <c r="D2723" s="7" t="str">
        <f t="shared" si="338"/>
        <v>Oct</v>
      </c>
      <c r="E2723" s="7" t="str">
        <f t="shared" si="339"/>
        <v>Tue</v>
      </c>
      <c r="F2723" t="s">
        <v>451</v>
      </c>
      <c r="G2723" t="s">
        <v>21</v>
      </c>
      <c r="H2723" t="s">
        <v>11</v>
      </c>
      <c r="I2723" s="2" t="str">
        <f t="shared" si="336"/>
        <v>North</v>
      </c>
      <c r="J2723" t="s">
        <v>56</v>
      </c>
      <c r="K2723" t="s">
        <v>13</v>
      </c>
      <c r="L2723">
        <v>5</v>
      </c>
      <c r="M2723">
        <v>120</v>
      </c>
      <c r="N2723">
        <f t="shared" si="340"/>
        <v>600</v>
      </c>
      <c r="O2723">
        <f t="shared" si="341"/>
        <v>60</v>
      </c>
      <c r="P2723" t="str">
        <f t="shared" si="342"/>
        <v>Large Order</v>
      </c>
      <c r="Q2723" t="str">
        <f t="shared" si="343"/>
        <v>Weekday</v>
      </c>
    </row>
    <row r="2724" spans="1:17" x14ac:dyDescent="0.35">
      <c r="A2724" t="s">
        <v>2874</v>
      </c>
      <c r="B2724" s="7">
        <v>45432</v>
      </c>
      <c r="C2724" s="13">
        <f t="shared" si="337"/>
        <v>2024</v>
      </c>
      <c r="D2724" s="7" t="str">
        <f t="shared" si="338"/>
        <v>May</v>
      </c>
      <c r="E2724" s="7" t="str">
        <f t="shared" si="339"/>
        <v>Mon</v>
      </c>
      <c r="F2724" t="s">
        <v>150</v>
      </c>
      <c r="G2724" t="s">
        <v>16</v>
      </c>
      <c r="H2724" t="s">
        <v>17</v>
      </c>
      <c r="I2724" s="2" t="str">
        <f t="shared" si="336"/>
        <v>East</v>
      </c>
      <c r="J2724" t="s">
        <v>12</v>
      </c>
      <c r="K2724" t="s">
        <v>36</v>
      </c>
      <c r="L2724">
        <v>7</v>
      </c>
      <c r="M2724">
        <v>120</v>
      </c>
      <c r="N2724">
        <f t="shared" si="340"/>
        <v>840</v>
      </c>
      <c r="O2724">
        <f t="shared" si="341"/>
        <v>84</v>
      </c>
      <c r="P2724" t="str">
        <f t="shared" si="342"/>
        <v>Large Order</v>
      </c>
      <c r="Q2724" t="str">
        <f t="shared" si="343"/>
        <v>Weekday</v>
      </c>
    </row>
    <row r="2725" spans="1:17" x14ac:dyDescent="0.35">
      <c r="A2725" t="s">
        <v>2875</v>
      </c>
      <c r="B2725" s="7">
        <v>45318</v>
      </c>
      <c r="C2725" s="13">
        <f t="shared" si="337"/>
        <v>2024</v>
      </c>
      <c r="D2725" s="7" t="str">
        <f t="shared" si="338"/>
        <v>Jan</v>
      </c>
      <c r="E2725" s="7" t="str">
        <f t="shared" si="339"/>
        <v>Sat</v>
      </c>
      <c r="F2725" t="s">
        <v>159</v>
      </c>
      <c r="G2725" t="s">
        <v>87</v>
      </c>
      <c r="H2725" t="s">
        <v>22</v>
      </c>
      <c r="I2725" s="2" t="str">
        <f t="shared" si="336"/>
        <v>North</v>
      </c>
      <c r="J2725" t="s">
        <v>42</v>
      </c>
      <c r="K2725" t="s">
        <v>28</v>
      </c>
      <c r="L2725">
        <v>8</v>
      </c>
      <c r="M2725">
        <v>120</v>
      </c>
      <c r="N2725">
        <f t="shared" si="340"/>
        <v>960</v>
      </c>
      <c r="O2725">
        <f t="shared" si="341"/>
        <v>96</v>
      </c>
      <c r="P2725" t="str">
        <f t="shared" si="342"/>
        <v>Large Order</v>
      </c>
      <c r="Q2725" t="str">
        <f t="shared" si="343"/>
        <v>Weekend</v>
      </c>
    </row>
    <row r="2726" spans="1:17" x14ac:dyDescent="0.35">
      <c r="A2726" t="s">
        <v>2876</v>
      </c>
      <c r="B2726" s="7">
        <v>45537</v>
      </c>
      <c r="C2726" s="13">
        <f t="shared" si="337"/>
        <v>2024</v>
      </c>
      <c r="D2726" s="7" t="str">
        <f t="shared" si="338"/>
        <v>Sep</v>
      </c>
      <c r="E2726" s="7" t="str">
        <f t="shared" si="339"/>
        <v>Mon</v>
      </c>
      <c r="F2726" t="s">
        <v>131</v>
      </c>
      <c r="G2726" t="s">
        <v>160</v>
      </c>
      <c r="H2726" t="s">
        <v>17</v>
      </c>
      <c r="I2726" s="2" t="str">
        <f t="shared" si="336"/>
        <v>South</v>
      </c>
      <c r="J2726" t="s">
        <v>12</v>
      </c>
      <c r="K2726" t="s">
        <v>32</v>
      </c>
      <c r="L2726">
        <v>4</v>
      </c>
      <c r="M2726">
        <v>120</v>
      </c>
      <c r="N2726">
        <f t="shared" si="340"/>
        <v>480</v>
      </c>
      <c r="O2726">
        <f t="shared" si="341"/>
        <v>48</v>
      </c>
      <c r="P2726" t="str">
        <f t="shared" si="342"/>
        <v>Standard Order</v>
      </c>
      <c r="Q2726" t="str">
        <f t="shared" si="343"/>
        <v>Weekday</v>
      </c>
    </row>
    <row r="2727" spans="1:17" x14ac:dyDescent="0.35">
      <c r="A2727" t="s">
        <v>2877</v>
      </c>
      <c r="B2727" s="7">
        <v>45435</v>
      </c>
      <c r="C2727" s="13">
        <f t="shared" si="337"/>
        <v>2024</v>
      </c>
      <c r="D2727" s="7" t="str">
        <f t="shared" si="338"/>
        <v>May</v>
      </c>
      <c r="E2727" s="7" t="str">
        <f t="shared" si="339"/>
        <v>Thu</v>
      </c>
      <c r="F2727" t="s">
        <v>20</v>
      </c>
      <c r="G2727" t="s">
        <v>62</v>
      </c>
      <c r="H2727" t="s">
        <v>17</v>
      </c>
      <c r="I2727" s="2" t="str">
        <f t="shared" si="336"/>
        <v>East</v>
      </c>
      <c r="J2727" t="s">
        <v>56</v>
      </c>
      <c r="K2727" t="s">
        <v>32</v>
      </c>
      <c r="L2727">
        <v>2</v>
      </c>
      <c r="M2727">
        <v>120</v>
      </c>
      <c r="N2727">
        <f t="shared" si="340"/>
        <v>240</v>
      </c>
      <c r="O2727">
        <f t="shared" si="341"/>
        <v>24</v>
      </c>
      <c r="P2727" t="str">
        <f t="shared" si="342"/>
        <v>Standard Order</v>
      </c>
      <c r="Q2727" t="str">
        <f t="shared" si="343"/>
        <v>Weekday</v>
      </c>
    </row>
    <row r="2728" spans="1:17" x14ac:dyDescent="0.35">
      <c r="A2728" t="s">
        <v>2878</v>
      </c>
      <c r="B2728" s="7">
        <v>45292</v>
      </c>
      <c r="C2728" s="13">
        <f t="shared" si="337"/>
        <v>2024</v>
      </c>
      <c r="D2728" s="7" t="str">
        <f t="shared" si="338"/>
        <v>Jan</v>
      </c>
      <c r="E2728" s="7" t="str">
        <f t="shared" si="339"/>
        <v>Mon</v>
      </c>
      <c r="F2728" t="s">
        <v>9</v>
      </c>
      <c r="G2728" t="s">
        <v>41</v>
      </c>
      <c r="H2728" t="s">
        <v>22</v>
      </c>
      <c r="I2728" s="2" t="str">
        <f t="shared" si="336"/>
        <v>East</v>
      </c>
      <c r="J2728" t="s">
        <v>42</v>
      </c>
      <c r="K2728" t="s">
        <v>28</v>
      </c>
      <c r="L2728">
        <v>10</v>
      </c>
      <c r="M2728">
        <v>120</v>
      </c>
      <c r="N2728">
        <f t="shared" si="340"/>
        <v>1200</v>
      </c>
      <c r="O2728">
        <f t="shared" si="341"/>
        <v>120</v>
      </c>
      <c r="P2728" t="str">
        <f t="shared" si="342"/>
        <v>Large Order</v>
      </c>
      <c r="Q2728" t="str">
        <f t="shared" si="343"/>
        <v>Weekday</v>
      </c>
    </row>
    <row r="2729" spans="1:17" x14ac:dyDescent="0.35">
      <c r="A2729" t="s">
        <v>2879</v>
      </c>
      <c r="B2729" s="7">
        <v>45602</v>
      </c>
      <c r="C2729" s="13">
        <f t="shared" si="337"/>
        <v>2024</v>
      </c>
      <c r="D2729" s="7" t="str">
        <f t="shared" si="338"/>
        <v>Nov</v>
      </c>
      <c r="E2729" s="7" t="str">
        <f t="shared" si="339"/>
        <v>Wed</v>
      </c>
      <c r="F2729" t="s">
        <v>108</v>
      </c>
      <c r="G2729" t="s">
        <v>87</v>
      </c>
      <c r="H2729" t="s">
        <v>11</v>
      </c>
      <c r="I2729" s="2" t="str">
        <f t="shared" si="336"/>
        <v>Central</v>
      </c>
      <c r="J2729" t="s">
        <v>42</v>
      </c>
      <c r="K2729" t="s">
        <v>23</v>
      </c>
      <c r="L2729">
        <v>12</v>
      </c>
      <c r="M2729">
        <v>120</v>
      </c>
      <c r="N2729">
        <f t="shared" si="340"/>
        <v>1440</v>
      </c>
      <c r="O2729">
        <f t="shared" si="341"/>
        <v>144</v>
      </c>
      <c r="P2729" t="str">
        <f t="shared" si="342"/>
        <v>Large Order</v>
      </c>
      <c r="Q2729" t="str">
        <f t="shared" si="343"/>
        <v>Weekday</v>
      </c>
    </row>
    <row r="2730" spans="1:17" x14ac:dyDescent="0.35">
      <c r="A2730" t="s">
        <v>2880</v>
      </c>
      <c r="B2730" s="7">
        <v>45349</v>
      </c>
      <c r="C2730" s="13">
        <f t="shared" si="337"/>
        <v>2024</v>
      </c>
      <c r="D2730" s="7" t="str">
        <f t="shared" si="338"/>
        <v>Feb</v>
      </c>
      <c r="E2730" s="7" t="str">
        <f t="shared" si="339"/>
        <v>Tue</v>
      </c>
      <c r="F2730" t="s">
        <v>108</v>
      </c>
      <c r="G2730" t="s">
        <v>41</v>
      </c>
      <c r="H2730" t="s">
        <v>11</v>
      </c>
      <c r="I2730" s="2" t="str">
        <f t="shared" si="336"/>
        <v>Central</v>
      </c>
      <c r="J2730" t="s">
        <v>306</v>
      </c>
      <c r="K2730" t="s">
        <v>28</v>
      </c>
      <c r="L2730">
        <v>11</v>
      </c>
      <c r="M2730">
        <v>120</v>
      </c>
      <c r="N2730">
        <f t="shared" si="340"/>
        <v>1320</v>
      </c>
      <c r="O2730">
        <f t="shared" si="341"/>
        <v>132</v>
      </c>
      <c r="P2730" t="str">
        <f t="shared" si="342"/>
        <v>Large Order</v>
      </c>
      <c r="Q2730" t="str">
        <f t="shared" si="343"/>
        <v>Weekday</v>
      </c>
    </row>
    <row r="2731" spans="1:17" x14ac:dyDescent="0.35">
      <c r="A2731" t="s">
        <v>2881</v>
      </c>
      <c r="B2731" s="7">
        <v>45477</v>
      </c>
      <c r="C2731" s="13">
        <f t="shared" si="337"/>
        <v>2024</v>
      </c>
      <c r="D2731" s="7" t="str">
        <f t="shared" si="338"/>
        <v>Jul</v>
      </c>
      <c r="E2731" s="7" t="str">
        <f t="shared" si="339"/>
        <v>Thu</v>
      </c>
      <c r="F2731" t="s">
        <v>323</v>
      </c>
      <c r="G2731" t="s">
        <v>119</v>
      </c>
      <c r="H2731" t="s">
        <v>22</v>
      </c>
      <c r="I2731" s="2" t="str">
        <f t="shared" si="336"/>
        <v>North</v>
      </c>
      <c r="J2731" t="s">
        <v>306</v>
      </c>
      <c r="K2731" t="s">
        <v>36</v>
      </c>
      <c r="L2731">
        <v>12</v>
      </c>
      <c r="M2731">
        <v>120</v>
      </c>
      <c r="N2731">
        <f t="shared" si="340"/>
        <v>1440</v>
      </c>
      <c r="O2731">
        <f t="shared" si="341"/>
        <v>144</v>
      </c>
      <c r="P2731" t="str">
        <f t="shared" si="342"/>
        <v>Large Order</v>
      </c>
      <c r="Q2731" t="str">
        <f t="shared" si="343"/>
        <v>Weekday</v>
      </c>
    </row>
    <row r="2732" spans="1:17" x14ac:dyDescent="0.35">
      <c r="A2732" t="s">
        <v>2882</v>
      </c>
      <c r="B2732" s="7">
        <v>45433</v>
      </c>
      <c r="C2732" s="13">
        <f t="shared" si="337"/>
        <v>2024</v>
      </c>
      <c r="D2732" s="7" t="str">
        <f t="shared" si="338"/>
        <v>May</v>
      </c>
      <c r="E2732" s="7" t="str">
        <f t="shared" si="339"/>
        <v>Tue</v>
      </c>
      <c r="F2732" t="s">
        <v>95</v>
      </c>
      <c r="G2732" t="s">
        <v>59</v>
      </c>
      <c r="H2732" t="s">
        <v>17</v>
      </c>
      <c r="I2732" s="2" t="str">
        <f t="shared" si="336"/>
        <v>South</v>
      </c>
      <c r="J2732" t="s">
        <v>12</v>
      </c>
      <c r="K2732" t="s">
        <v>13</v>
      </c>
      <c r="L2732">
        <v>5</v>
      </c>
      <c r="M2732">
        <v>120</v>
      </c>
      <c r="N2732">
        <f t="shared" si="340"/>
        <v>600</v>
      </c>
      <c r="O2732">
        <f t="shared" si="341"/>
        <v>60</v>
      </c>
      <c r="P2732" t="str">
        <f t="shared" si="342"/>
        <v>Large Order</v>
      </c>
      <c r="Q2732" t="str">
        <f t="shared" si="343"/>
        <v>Weekday</v>
      </c>
    </row>
    <row r="2733" spans="1:17" x14ac:dyDescent="0.35">
      <c r="A2733" t="s">
        <v>2883</v>
      </c>
      <c r="B2733" s="7">
        <v>45600</v>
      </c>
      <c r="C2733" s="13">
        <f t="shared" si="337"/>
        <v>2024</v>
      </c>
      <c r="D2733" s="7" t="str">
        <f t="shared" si="338"/>
        <v>Nov</v>
      </c>
      <c r="E2733" s="7" t="str">
        <f t="shared" si="339"/>
        <v>Mon</v>
      </c>
      <c r="F2733" t="s">
        <v>114</v>
      </c>
      <c r="G2733" t="s">
        <v>79</v>
      </c>
      <c r="H2733" t="s">
        <v>22</v>
      </c>
      <c r="I2733" s="2" t="str">
        <f t="shared" si="336"/>
        <v>East</v>
      </c>
      <c r="J2733" t="s">
        <v>56</v>
      </c>
      <c r="K2733" t="s">
        <v>28</v>
      </c>
      <c r="L2733">
        <v>15</v>
      </c>
      <c r="M2733">
        <v>120</v>
      </c>
      <c r="N2733">
        <f t="shared" si="340"/>
        <v>1800</v>
      </c>
      <c r="O2733">
        <f t="shared" si="341"/>
        <v>180</v>
      </c>
      <c r="P2733" t="str">
        <f t="shared" si="342"/>
        <v>Large Order</v>
      </c>
      <c r="Q2733" t="str">
        <f t="shared" si="343"/>
        <v>Weekday</v>
      </c>
    </row>
    <row r="2734" spans="1:17" x14ac:dyDescent="0.35">
      <c r="A2734" t="s">
        <v>2884</v>
      </c>
      <c r="B2734" s="7">
        <v>45330</v>
      </c>
      <c r="C2734" s="13">
        <f t="shared" si="337"/>
        <v>2024</v>
      </c>
      <c r="D2734" s="7" t="str">
        <f t="shared" si="338"/>
        <v>Feb</v>
      </c>
      <c r="E2734" s="7" t="str">
        <f t="shared" si="339"/>
        <v>Thu</v>
      </c>
      <c r="F2734" t="s">
        <v>591</v>
      </c>
      <c r="G2734" t="s">
        <v>109</v>
      </c>
      <c r="H2734" t="s">
        <v>17</v>
      </c>
      <c r="I2734" s="2" t="str">
        <f t="shared" si="336"/>
        <v>West</v>
      </c>
      <c r="J2734" t="s">
        <v>42</v>
      </c>
      <c r="K2734" t="s">
        <v>23</v>
      </c>
      <c r="L2734">
        <v>7</v>
      </c>
      <c r="M2734">
        <v>120</v>
      </c>
      <c r="N2734">
        <f t="shared" si="340"/>
        <v>840</v>
      </c>
      <c r="O2734">
        <f t="shared" si="341"/>
        <v>84</v>
      </c>
      <c r="P2734" t="str">
        <f t="shared" si="342"/>
        <v>Large Order</v>
      </c>
      <c r="Q2734" t="str">
        <f t="shared" si="343"/>
        <v>Weekday</v>
      </c>
    </row>
    <row r="2735" spans="1:17" x14ac:dyDescent="0.35">
      <c r="A2735" t="s">
        <v>2885</v>
      </c>
      <c r="B2735" s="7">
        <v>45370</v>
      </c>
      <c r="C2735" s="13">
        <f t="shared" si="337"/>
        <v>2024</v>
      </c>
      <c r="D2735" s="7" t="str">
        <f t="shared" si="338"/>
        <v>Mar</v>
      </c>
      <c r="E2735" s="7" t="str">
        <f t="shared" si="339"/>
        <v>Tue</v>
      </c>
      <c r="F2735" t="s">
        <v>116</v>
      </c>
      <c r="G2735" t="s">
        <v>16</v>
      </c>
      <c r="H2735" t="s">
        <v>11</v>
      </c>
      <c r="I2735" s="2" t="str">
        <f t="shared" si="336"/>
        <v>North</v>
      </c>
      <c r="J2735" t="s">
        <v>27</v>
      </c>
      <c r="K2735" t="s">
        <v>36</v>
      </c>
      <c r="L2735">
        <v>9</v>
      </c>
      <c r="M2735">
        <v>120</v>
      </c>
      <c r="N2735">
        <f t="shared" si="340"/>
        <v>1080</v>
      </c>
      <c r="O2735">
        <f t="shared" si="341"/>
        <v>108</v>
      </c>
      <c r="P2735" t="str">
        <f t="shared" si="342"/>
        <v>Large Order</v>
      </c>
      <c r="Q2735" t="str">
        <f t="shared" si="343"/>
        <v>Weekday</v>
      </c>
    </row>
    <row r="2736" spans="1:17" x14ac:dyDescent="0.35">
      <c r="A2736" t="s">
        <v>2886</v>
      </c>
      <c r="B2736" s="7">
        <v>45578</v>
      </c>
      <c r="C2736" s="13">
        <f t="shared" si="337"/>
        <v>2024</v>
      </c>
      <c r="D2736" s="7" t="str">
        <f t="shared" si="338"/>
        <v>Oct</v>
      </c>
      <c r="E2736" s="7" t="str">
        <f t="shared" si="339"/>
        <v>Sun</v>
      </c>
      <c r="F2736" t="s">
        <v>20</v>
      </c>
      <c r="G2736" t="s">
        <v>48</v>
      </c>
      <c r="H2736" t="s">
        <v>17</v>
      </c>
      <c r="I2736" s="2" t="str">
        <f t="shared" si="336"/>
        <v>Central</v>
      </c>
      <c r="J2736" t="s">
        <v>12</v>
      </c>
      <c r="K2736" t="s">
        <v>23</v>
      </c>
      <c r="L2736">
        <v>3</v>
      </c>
      <c r="M2736">
        <v>120</v>
      </c>
      <c r="N2736">
        <f t="shared" si="340"/>
        <v>360</v>
      </c>
      <c r="O2736">
        <f t="shared" si="341"/>
        <v>36</v>
      </c>
      <c r="P2736" t="str">
        <f t="shared" si="342"/>
        <v>Standard Order</v>
      </c>
      <c r="Q2736" t="str">
        <f t="shared" si="343"/>
        <v>Weekend</v>
      </c>
    </row>
    <row r="2737" spans="1:17" x14ac:dyDescent="0.35">
      <c r="A2737" t="s">
        <v>2887</v>
      </c>
      <c r="B2737" s="7">
        <v>45560</v>
      </c>
      <c r="C2737" s="13">
        <f t="shared" si="337"/>
        <v>2024</v>
      </c>
      <c r="D2737" s="7" t="str">
        <f t="shared" si="338"/>
        <v>Sep</v>
      </c>
      <c r="E2737" s="7" t="str">
        <f t="shared" si="339"/>
        <v>Wed</v>
      </c>
      <c r="F2737" t="s">
        <v>358</v>
      </c>
      <c r="G2737" t="s">
        <v>96</v>
      </c>
      <c r="H2737" t="s">
        <v>11</v>
      </c>
      <c r="I2737" s="2" t="str">
        <f t="shared" si="336"/>
        <v>West</v>
      </c>
      <c r="J2737" t="s">
        <v>306</v>
      </c>
      <c r="K2737" t="s">
        <v>32</v>
      </c>
      <c r="L2737">
        <v>5</v>
      </c>
      <c r="M2737">
        <v>120</v>
      </c>
      <c r="N2737">
        <f t="shared" si="340"/>
        <v>600</v>
      </c>
      <c r="O2737">
        <f t="shared" si="341"/>
        <v>60</v>
      </c>
      <c r="P2737" t="str">
        <f t="shared" si="342"/>
        <v>Large Order</v>
      </c>
      <c r="Q2737" t="str">
        <f t="shared" si="343"/>
        <v>Weekday</v>
      </c>
    </row>
    <row r="2738" spans="1:17" x14ac:dyDescent="0.35">
      <c r="A2738" t="s">
        <v>2888</v>
      </c>
      <c r="B2738" s="7">
        <v>45581</v>
      </c>
      <c r="C2738" s="13">
        <f t="shared" si="337"/>
        <v>2024</v>
      </c>
      <c r="D2738" s="7" t="str">
        <f t="shared" si="338"/>
        <v>Oct</v>
      </c>
      <c r="E2738" s="7" t="str">
        <f t="shared" si="339"/>
        <v>Wed</v>
      </c>
      <c r="F2738" t="s">
        <v>131</v>
      </c>
      <c r="G2738" t="s">
        <v>62</v>
      </c>
      <c r="H2738" t="s">
        <v>11</v>
      </c>
      <c r="I2738" s="2" t="str">
        <f t="shared" si="336"/>
        <v>West</v>
      </c>
      <c r="J2738" t="s">
        <v>27</v>
      </c>
      <c r="K2738" t="s">
        <v>23</v>
      </c>
      <c r="L2738">
        <v>18</v>
      </c>
      <c r="M2738">
        <v>120</v>
      </c>
      <c r="N2738">
        <f t="shared" si="340"/>
        <v>2160</v>
      </c>
      <c r="O2738">
        <f t="shared" si="341"/>
        <v>216</v>
      </c>
      <c r="P2738" t="str">
        <f t="shared" si="342"/>
        <v>Large Order</v>
      </c>
      <c r="Q2738" t="str">
        <f t="shared" si="343"/>
        <v>Weekday</v>
      </c>
    </row>
    <row r="2739" spans="1:17" x14ac:dyDescent="0.35">
      <c r="A2739" t="s">
        <v>2889</v>
      </c>
      <c r="B2739" s="7">
        <v>45330</v>
      </c>
      <c r="C2739" s="13">
        <f t="shared" si="337"/>
        <v>2024</v>
      </c>
      <c r="D2739" s="7" t="str">
        <f t="shared" si="338"/>
        <v>Feb</v>
      </c>
      <c r="E2739" s="7" t="str">
        <f t="shared" si="339"/>
        <v>Thu</v>
      </c>
      <c r="F2739" t="s">
        <v>30</v>
      </c>
      <c r="G2739" t="s">
        <v>70</v>
      </c>
      <c r="H2739" t="s">
        <v>22</v>
      </c>
      <c r="I2739" s="2" t="str">
        <f t="shared" si="336"/>
        <v>South</v>
      </c>
      <c r="J2739" t="s">
        <v>27</v>
      </c>
      <c r="K2739" t="s">
        <v>36</v>
      </c>
      <c r="L2739">
        <v>13</v>
      </c>
      <c r="M2739">
        <v>120</v>
      </c>
      <c r="N2739">
        <f t="shared" si="340"/>
        <v>1560</v>
      </c>
      <c r="O2739">
        <f t="shared" si="341"/>
        <v>156</v>
      </c>
      <c r="P2739" t="str">
        <f t="shared" si="342"/>
        <v>Large Order</v>
      </c>
      <c r="Q2739" t="str">
        <f t="shared" si="343"/>
        <v>Weekday</v>
      </c>
    </row>
    <row r="2740" spans="1:17" x14ac:dyDescent="0.35">
      <c r="A2740" t="s">
        <v>2890</v>
      </c>
      <c r="B2740" s="7">
        <v>45431</v>
      </c>
      <c r="C2740" s="13">
        <f t="shared" si="337"/>
        <v>2024</v>
      </c>
      <c r="D2740" s="7" t="str">
        <f t="shared" si="338"/>
        <v>May</v>
      </c>
      <c r="E2740" s="7" t="str">
        <f t="shared" si="339"/>
        <v>Sun</v>
      </c>
      <c r="F2740" t="s">
        <v>95</v>
      </c>
      <c r="G2740" t="s">
        <v>45</v>
      </c>
      <c r="H2740" t="s">
        <v>11</v>
      </c>
      <c r="I2740" s="2" t="str">
        <f t="shared" si="336"/>
        <v>Central</v>
      </c>
      <c r="J2740" t="s">
        <v>56</v>
      </c>
      <c r="K2740" t="s">
        <v>36</v>
      </c>
      <c r="L2740">
        <v>7</v>
      </c>
      <c r="M2740">
        <v>120</v>
      </c>
      <c r="N2740">
        <f t="shared" si="340"/>
        <v>840</v>
      </c>
      <c r="O2740">
        <f t="shared" si="341"/>
        <v>84</v>
      </c>
      <c r="P2740" t="str">
        <f t="shared" si="342"/>
        <v>Large Order</v>
      </c>
      <c r="Q2740" t="str">
        <f t="shared" si="343"/>
        <v>Weekend</v>
      </c>
    </row>
    <row r="2741" spans="1:17" x14ac:dyDescent="0.35">
      <c r="A2741" t="s">
        <v>2891</v>
      </c>
      <c r="B2741" s="7">
        <v>45296</v>
      </c>
      <c r="C2741" s="13">
        <f t="shared" si="337"/>
        <v>2024</v>
      </c>
      <c r="D2741" s="7" t="str">
        <f t="shared" si="338"/>
        <v>Jan</v>
      </c>
      <c r="E2741" s="7" t="str">
        <f t="shared" si="339"/>
        <v>Fri</v>
      </c>
      <c r="F2741" t="s">
        <v>345</v>
      </c>
      <c r="G2741" t="s">
        <v>70</v>
      </c>
      <c r="H2741" t="s">
        <v>22</v>
      </c>
      <c r="I2741" s="2" t="str">
        <f t="shared" si="336"/>
        <v>North</v>
      </c>
      <c r="J2741" t="s">
        <v>306</v>
      </c>
      <c r="K2741" t="s">
        <v>32</v>
      </c>
      <c r="L2741">
        <v>10</v>
      </c>
      <c r="M2741">
        <v>120</v>
      </c>
      <c r="N2741">
        <f t="shared" si="340"/>
        <v>1200</v>
      </c>
      <c r="O2741">
        <f t="shared" si="341"/>
        <v>120</v>
      </c>
      <c r="P2741" t="str">
        <f t="shared" si="342"/>
        <v>Large Order</v>
      </c>
      <c r="Q2741" t="str">
        <f t="shared" si="343"/>
        <v>Weekday</v>
      </c>
    </row>
    <row r="2742" spans="1:17" x14ac:dyDescent="0.35">
      <c r="A2742" t="s">
        <v>2892</v>
      </c>
      <c r="B2742" s="7">
        <v>45443</v>
      </c>
      <c r="C2742" s="13">
        <f t="shared" si="337"/>
        <v>2024</v>
      </c>
      <c r="D2742" s="7" t="str">
        <f t="shared" si="338"/>
        <v>May</v>
      </c>
      <c r="E2742" s="7" t="str">
        <f t="shared" si="339"/>
        <v>Fri</v>
      </c>
      <c r="F2742" t="s">
        <v>369</v>
      </c>
      <c r="G2742" t="s">
        <v>26</v>
      </c>
      <c r="H2742" t="s">
        <v>22</v>
      </c>
      <c r="I2742" s="2" t="str">
        <f t="shared" si="336"/>
        <v>South</v>
      </c>
      <c r="J2742" t="s">
        <v>12</v>
      </c>
      <c r="K2742" t="s">
        <v>28</v>
      </c>
      <c r="L2742">
        <v>8</v>
      </c>
      <c r="M2742">
        <v>120</v>
      </c>
      <c r="N2742">
        <f t="shared" si="340"/>
        <v>960</v>
      </c>
      <c r="O2742">
        <f t="shared" si="341"/>
        <v>96</v>
      </c>
      <c r="P2742" t="str">
        <f t="shared" si="342"/>
        <v>Large Order</v>
      </c>
      <c r="Q2742" t="str">
        <f t="shared" si="343"/>
        <v>Weekday</v>
      </c>
    </row>
    <row r="2743" spans="1:17" x14ac:dyDescent="0.35">
      <c r="A2743" t="s">
        <v>2893</v>
      </c>
      <c r="B2743" s="7">
        <v>45413</v>
      </c>
      <c r="C2743" s="13">
        <f t="shared" si="337"/>
        <v>2024</v>
      </c>
      <c r="D2743" s="7" t="str">
        <f t="shared" si="338"/>
        <v>May</v>
      </c>
      <c r="E2743" s="7" t="str">
        <f t="shared" si="339"/>
        <v>Wed</v>
      </c>
      <c r="F2743" t="s">
        <v>61</v>
      </c>
      <c r="G2743" t="s">
        <v>79</v>
      </c>
      <c r="H2743" t="s">
        <v>22</v>
      </c>
      <c r="I2743" s="2" t="str">
        <f t="shared" si="336"/>
        <v>Central</v>
      </c>
      <c r="J2743" t="s">
        <v>56</v>
      </c>
      <c r="K2743" t="s">
        <v>32</v>
      </c>
      <c r="L2743">
        <v>5</v>
      </c>
      <c r="M2743">
        <v>120</v>
      </c>
      <c r="N2743">
        <f t="shared" si="340"/>
        <v>600</v>
      </c>
      <c r="O2743">
        <f t="shared" si="341"/>
        <v>60</v>
      </c>
      <c r="P2743" t="str">
        <f t="shared" si="342"/>
        <v>Large Order</v>
      </c>
      <c r="Q2743" t="str">
        <f t="shared" si="343"/>
        <v>Weekday</v>
      </c>
    </row>
    <row r="2744" spans="1:17" x14ac:dyDescent="0.35">
      <c r="A2744" t="s">
        <v>2894</v>
      </c>
      <c r="B2744" s="7">
        <v>45318</v>
      </c>
      <c r="C2744" s="13">
        <f t="shared" si="337"/>
        <v>2024</v>
      </c>
      <c r="D2744" s="7" t="str">
        <f t="shared" si="338"/>
        <v>Jan</v>
      </c>
      <c r="E2744" s="7" t="str">
        <f t="shared" si="339"/>
        <v>Sat</v>
      </c>
      <c r="F2744" t="s">
        <v>736</v>
      </c>
      <c r="G2744" t="s">
        <v>197</v>
      </c>
      <c r="H2744" t="s">
        <v>11</v>
      </c>
      <c r="I2744" s="2" t="str">
        <f t="shared" si="336"/>
        <v>North</v>
      </c>
      <c r="J2744" t="s">
        <v>306</v>
      </c>
      <c r="K2744" t="s">
        <v>13</v>
      </c>
      <c r="L2744">
        <v>1</v>
      </c>
      <c r="M2744">
        <v>120</v>
      </c>
      <c r="N2744">
        <f t="shared" si="340"/>
        <v>120</v>
      </c>
      <c r="O2744">
        <f t="shared" si="341"/>
        <v>12</v>
      </c>
      <c r="P2744" t="str">
        <f t="shared" si="342"/>
        <v>Standard Order</v>
      </c>
      <c r="Q2744" t="str">
        <f t="shared" si="343"/>
        <v>Weekend</v>
      </c>
    </row>
    <row r="2745" spans="1:17" x14ac:dyDescent="0.35">
      <c r="A2745" t="s">
        <v>2895</v>
      </c>
      <c r="B2745" s="7">
        <v>45615</v>
      </c>
      <c r="C2745" s="13">
        <f t="shared" si="337"/>
        <v>2024</v>
      </c>
      <c r="D2745" s="7" t="str">
        <f t="shared" si="338"/>
        <v>Nov</v>
      </c>
      <c r="E2745" s="7" t="str">
        <f t="shared" si="339"/>
        <v>Tue</v>
      </c>
      <c r="F2745" t="s">
        <v>493</v>
      </c>
      <c r="G2745" t="s">
        <v>48</v>
      </c>
      <c r="H2745" t="s">
        <v>17</v>
      </c>
      <c r="I2745" s="2" t="str">
        <f t="shared" si="336"/>
        <v>North</v>
      </c>
      <c r="J2745" t="s">
        <v>12</v>
      </c>
      <c r="K2745" t="s">
        <v>36</v>
      </c>
      <c r="L2745">
        <v>9</v>
      </c>
      <c r="M2745">
        <v>120</v>
      </c>
      <c r="N2745">
        <f t="shared" si="340"/>
        <v>1080</v>
      </c>
      <c r="O2745">
        <f t="shared" si="341"/>
        <v>108</v>
      </c>
      <c r="P2745" t="str">
        <f t="shared" si="342"/>
        <v>Large Order</v>
      </c>
      <c r="Q2745" t="str">
        <f t="shared" si="343"/>
        <v>Weekday</v>
      </c>
    </row>
    <row r="2746" spans="1:17" x14ac:dyDescent="0.35">
      <c r="A2746" t="s">
        <v>2896</v>
      </c>
      <c r="B2746" s="7">
        <v>45501</v>
      </c>
      <c r="C2746" s="13">
        <f t="shared" si="337"/>
        <v>2024</v>
      </c>
      <c r="D2746" s="7" t="str">
        <f t="shared" si="338"/>
        <v>Jul</v>
      </c>
      <c r="E2746" s="7" t="str">
        <f t="shared" si="339"/>
        <v>Sun</v>
      </c>
      <c r="F2746" t="s">
        <v>594</v>
      </c>
      <c r="G2746" t="s">
        <v>74</v>
      </c>
      <c r="H2746" t="s">
        <v>17</v>
      </c>
      <c r="I2746" s="2" t="str">
        <f t="shared" si="336"/>
        <v>Central</v>
      </c>
      <c r="J2746" t="s">
        <v>12</v>
      </c>
      <c r="K2746" t="s">
        <v>13</v>
      </c>
      <c r="L2746">
        <v>12</v>
      </c>
      <c r="M2746">
        <v>120</v>
      </c>
      <c r="N2746">
        <f t="shared" si="340"/>
        <v>1440</v>
      </c>
      <c r="O2746">
        <f t="shared" si="341"/>
        <v>144</v>
      </c>
      <c r="P2746" t="str">
        <f t="shared" si="342"/>
        <v>Large Order</v>
      </c>
      <c r="Q2746" t="str">
        <f t="shared" si="343"/>
        <v>Weekend</v>
      </c>
    </row>
    <row r="2747" spans="1:17" x14ac:dyDescent="0.35">
      <c r="A2747" t="s">
        <v>2897</v>
      </c>
      <c r="B2747" s="7">
        <v>45435</v>
      </c>
      <c r="C2747" s="13">
        <f t="shared" si="337"/>
        <v>2024</v>
      </c>
      <c r="D2747" s="7" t="str">
        <f t="shared" si="338"/>
        <v>May</v>
      </c>
      <c r="E2747" s="7" t="str">
        <f t="shared" si="339"/>
        <v>Thu</v>
      </c>
      <c r="F2747" t="s">
        <v>235</v>
      </c>
      <c r="G2747" t="s">
        <v>26</v>
      </c>
      <c r="H2747" t="s">
        <v>11</v>
      </c>
      <c r="I2747" s="2" t="str">
        <f t="shared" si="336"/>
        <v>Central</v>
      </c>
      <c r="J2747" t="s">
        <v>306</v>
      </c>
      <c r="K2747" t="s">
        <v>36</v>
      </c>
      <c r="L2747">
        <v>4</v>
      </c>
      <c r="M2747">
        <v>120</v>
      </c>
      <c r="N2747">
        <f t="shared" si="340"/>
        <v>480</v>
      </c>
      <c r="O2747">
        <f t="shared" si="341"/>
        <v>48</v>
      </c>
      <c r="P2747" t="str">
        <f t="shared" si="342"/>
        <v>Standard Order</v>
      </c>
      <c r="Q2747" t="str">
        <f t="shared" si="343"/>
        <v>Weekday</v>
      </c>
    </row>
    <row r="2748" spans="1:17" x14ac:dyDescent="0.35">
      <c r="A2748" t="s">
        <v>2898</v>
      </c>
      <c r="B2748" s="7">
        <v>45644</v>
      </c>
      <c r="C2748" s="13">
        <f t="shared" si="337"/>
        <v>2024</v>
      </c>
      <c r="D2748" s="7" t="str">
        <f t="shared" si="338"/>
        <v>Dec</v>
      </c>
      <c r="E2748" s="7" t="str">
        <f t="shared" si="339"/>
        <v>Wed</v>
      </c>
      <c r="F2748" t="s">
        <v>159</v>
      </c>
      <c r="G2748" t="s">
        <v>21</v>
      </c>
      <c r="H2748" t="s">
        <v>17</v>
      </c>
      <c r="I2748" s="2" t="str">
        <f t="shared" si="336"/>
        <v>Central</v>
      </c>
      <c r="J2748" t="s">
        <v>306</v>
      </c>
      <c r="K2748" t="s">
        <v>36</v>
      </c>
      <c r="L2748">
        <v>7</v>
      </c>
      <c r="M2748">
        <v>120</v>
      </c>
      <c r="N2748">
        <f t="shared" si="340"/>
        <v>840</v>
      </c>
      <c r="O2748">
        <f t="shared" si="341"/>
        <v>84</v>
      </c>
      <c r="P2748" t="str">
        <f t="shared" si="342"/>
        <v>Large Order</v>
      </c>
      <c r="Q2748" t="str">
        <f t="shared" si="343"/>
        <v>Weekday</v>
      </c>
    </row>
    <row r="2749" spans="1:17" x14ac:dyDescent="0.35">
      <c r="A2749" t="s">
        <v>2899</v>
      </c>
      <c r="B2749" s="7">
        <v>45404</v>
      </c>
      <c r="C2749" s="13">
        <f t="shared" si="337"/>
        <v>2024</v>
      </c>
      <c r="D2749" s="7" t="str">
        <f t="shared" si="338"/>
        <v>Apr</v>
      </c>
      <c r="E2749" s="7" t="str">
        <f t="shared" si="339"/>
        <v>Mon</v>
      </c>
      <c r="F2749" t="s">
        <v>187</v>
      </c>
      <c r="G2749" t="s">
        <v>26</v>
      </c>
      <c r="H2749" t="s">
        <v>11</v>
      </c>
      <c r="I2749" s="2" t="str">
        <f t="shared" si="336"/>
        <v>North</v>
      </c>
      <c r="J2749" t="s">
        <v>306</v>
      </c>
      <c r="K2749" t="s">
        <v>23</v>
      </c>
      <c r="L2749">
        <v>5</v>
      </c>
      <c r="M2749">
        <v>120</v>
      </c>
      <c r="N2749">
        <f t="shared" si="340"/>
        <v>600</v>
      </c>
      <c r="O2749">
        <f t="shared" si="341"/>
        <v>60</v>
      </c>
      <c r="P2749" t="str">
        <f t="shared" si="342"/>
        <v>Large Order</v>
      </c>
      <c r="Q2749" t="str">
        <f t="shared" si="343"/>
        <v>Weekday</v>
      </c>
    </row>
    <row r="2750" spans="1:17" x14ac:dyDescent="0.35">
      <c r="A2750" t="s">
        <v>2900</v>
      </c>
      <c r="B2750" s="7">
        <v>45514</v>
      </c>
      <c r="C2750" s="13">
        <f t="shared" si="337"/>
        <v>2024</v>
      </c>
      <c r="D2750" s="7" t="str">
        <f t="shared" si="338"/>
        <v>Aug</v>
      </c>
      <c r="E2750" s="7" t="str">
        <f t="shared" si="339"/>
        <v>Sat</v>
      </c>
      <c r="F2750" t="s">
        <v>200</v>
      </c>
      <c r="G2750" t="s">
        <v>16</v>
      </c>
      <c r="H2750" t="s">
        <v>17</v>
      </c>
      <c r="I2750" s="2" t="str">
        <f t="shared" si="336"/>
        <v>South</v>
      </c>
      <c r="J2750" t="s">
        <v>12</v>
      </c>
      <c r="K2750" t="s">
        <v>23</v>
      </c>
      <c r="L2750">
        <v>6</v>
      </c>
      <c r="M2750">
        <v>120</v>
      </c>
      <c r="N2750">
        <f t="shared" si="340"/>
        <v>720</v>
      </c>
      <c r="O2750">
        <f t="shared" si="341"/>
        <v>72</v>
      </c>
      <c r="P2750" t="str">
        <f t="shared" si="342"/>
        <v>Large Order</v>
      </c>
      <c r="Q2750" t="str">
        <f t="shared" si="343"/>
        <v>Weekend</v>
      </c>
    </row>
    <row r="2751" spans="1:17" x14ac:dyDescent="0.35">
      <c r="A2751" t="s">
        <v>2901</v>
      </c>
      <c r="B2751" s="7">
        <v>45382</v>
      </c>
      <c r="C2751" s="13">
        <f t="shared" si="337"/>
        <v>2024</v>
      </c>
      <c r="D2751" s="7" t="str">
        <f t="shared" si="338"/>
        <v>Mar</v>
      </c>
      <c r="E2751" s="7" t="str">
        <f t="shared" si="339"/>
        <v>Sun</v>
      </c>
      <c r="F2751" t="s">
        <v>150</v>
      </c>
      <c r="G2751" t="s">
        <v>59</v>
      </c>
      <c r="H2751" t="s">
        <v>17</v>
      </c>
      <c r="I2751" s="2" t="str">
        <f t="shared" si="336"/>
        <v>South</v>
      </c>
      <c r="J2751" t="s">
        <v>56</v>
      </c>
      <c r="K2751" t="s">
        <v>32</v>
      </c>
      <c r="L2751">
        <v>1</v>
      </c>
      <c r="M2751">
        <v>120</v>
      </c>
      <c r="N2751">
        <f t="shared" si="340"/>
        <v>120</v>
      </c>
      <c r="O2751">
        <f t="shared" si="341"/>
        <v>12</v>
      </c>
      <c r="P2751" t="str">
        <f t="shared" si="342"/>
        <v>Standard Order</v>
      </c>
      <c r="Q2751" t="str">
        <f t="shared" si="343"/>
        <v>Weekend</v>
      </c>
    </row>
    <row r="2752" spans="1:17" x14ac:dyDescent="0.35">
      <c r="A2752" t="s">
        <v>2902</v>
      </c>
      <c r="B2752" s="7">
        <v>45382</v>
      </c>
      <c r="C2752" s="13">
        <f t="shared" si="337"/>
        <v>2024</v>
      </c>
      <c r="D2752" s="7" t="str">
        <f t="shared" si="338"/>
        <v>Mar</v>
      </c>
      <c r="E2752" s="7" t="str">
        <f t="shared" si="339"/>
        <v>Sun</v>
      </c>
      <c r="F2752" t="s">
        <v>106</v>
      </c>
      <c r="G2752" t="s">
        <v>41</v>
      </c>
      <c r="H2752" t="s">
        <v>22</v>
      </c>
      <c r="I2752" s="2" t="str">
        <f t="shared" si="336"/>
        <v>North</v>
      </c>
      <c r="J2752" t="s">
        <v>56</v>
      </c>
      <c r="K2752" t="s">
        <v>13</v>
      </c>
      <c r="L2752">
        <v>5</v>
      </c>
      <c r="M2752">
        <v>120</v>
      </c>
      <c r="N2752">
        <f t="shared" si="340"/>
        <v>600</v>
      </c>
      <c r="O2752">
        <f t="shared" si="341"/>
        <v>60</v>
      </c>
      <c r="P2752" t="str">
        <f t="shared" si="342"/>
        <v>Large Order</v>
      </c>
      <c r="Q2752" t="str">
        <f t="shared" si="343"/>
        <v>Weekend</v>
      </c>
    </row>
    <row r="2753" spans="1:17" x14ac:dyDescent="0.35">
      <c r="A2753" t="s">
        <v>2903</v>
      </c>
      <c r="B2753" s="7">
        <v>45417</v>
      </c>
      <c r="C2753" s="13">
        <f t="shared" si="337"/>
        <v>2024</v>
      </c>
      <c r="D2753" s="7" t="str">
        <f t="shared" si="338"/>
        <v>May</v>
      </c>
      <c r="E2753" s="7" t="str">
        <f t="shared" si="339"/>
        <v>Sun</v>
      </c>
      <c r="F2753" t="s">
        <v>366</v>
      </c>
      <c r="G2753" t="s">
        <v>21</v>
      </c>
      <c r="H2753" t="s">
        <v>17</v>
      </c>
      <c r="I2753" s="2" t="str">
        <f t="shared" si="336"/>
        <v>West</v>
      </c>
      <c r="J2753" t="s">
        <v>12</v>
      </c>
      <c r="K2753" t="s">
        <v>36</v>
      </c>
      <c r="L2753">
        <v>5</v>
      </c>
      <c r="M2753">
        <v>120</v>
      </c>
      <c r="N2753">
        <f t="shared" si="340"/>
        <v>600</v>
      </c>
      <c r="O2753">
        <f t="shared" si="341"/>
        <v>60</v>
      </c>
      <c r="P2753" t="str">
        <f t="shared" si="342"/>
        <v>Large Order</v>
      </c>
      <c r="Q2753" t="str">
        <f t="shared" si="343"/>
        <v>Weekend</v>
      </c>
    </row>
    <row r="2754" spans="1:17" x14ac:dyDescent="0.35">
      <c r="A2754" t="s">
        <v>2904</v>
      </c>
      <c r="B2754" s="7">
        <v>45298</v>
      </c>
      <c r="C2754" s="13">
        <f t="shared" si="337"/>
        <v>2024</v>
      </c>
      <c r="D2754" s="7" t="str">
        <f t="shared" si="338"/>
        <v>Jan</v>
      </c>
      <c r="E2754" s="7" t="str">
        <f t="shared" si="339"/>
        <v>Sun</v>
      </c>
      <c r="F2754" t="s">
        <v>493</v>
      </c>
      <c r="G2754" t="s">
        <v>102</v>
      </c>
      <c r="H2754" t="s">
        <v>17</v>
      </c>
      <c r="I2754" s="2" t="str">
        <f t="shared" si="336"/>
        <v>North</v>
      </c>
      <c r="J2754" t="s">
        <v>27</v>
      </c>
      <c r="K2754" t="s">
        <v>13</v>
      </c>
      <c r="L2754">
        <v>4</v>
      </c>
      <c r="M2754">
        <v>120</v>
      </c>
      <c r="N2754">
        <f t="shared" si="340"/>
        <v>480</v>
      </c>
      <c r="O2754">
        <f t="shared" si="341"/>
        <v>48</v>
      </c>
      <c r="P2754" t="str">
        <f t="shared" si="342"/>
        <v>Standard Order</v>
      </c>
      <c r="Q2754" t="str">
        <f t="shared" si="343"/>
        <v>Weekend</v>
      </c>
    </row>
    <row r="2755" spans="1:17" x14ac:dyDescent="0.35">
      <c r="A2755" t="s">
        <v>2905</v>
      </c>
      <c r="B2755" s="7">
        <v>45621</v>
      </c>
      <c r="C2755" s="13">
        <f t="shared" si="337"/>
        <v>2024</v>
      </c>
      <c r="D2755" s="7" t="str">
        <f t="shared" si="338"/>
        <v>Nov</v>
      </c>
      <c r="E2755" s="7" t="str">
        <f t="shared" si="339"/>
        <v>Mon</v>
      </c>
      <c r="F2755" t="s">
        <v>116</v>
      </c>
      <c r="G2755" t="s">
        <v>16</v>
      </c>
      <c r="H2755" t="s">
        <v>11</v>
      </c>
      <c r="I2755" s="2" t="str">
        <f t="shared" ref="I2755:I2818" si="344">TRIM(J2756)</f>
        <v>Central</v>
      </c>
      <c r="J2755" t="s">
        <v>12</v>
      </c>
      <c r="K2755" t="s">
        <v>32</v>
      </c>
      <c r="L2755">
        <v>5</v>
      </c>
      <c r="M2755">
        <v>120</v>
      </c>
      <c r="N2755">
        <f t="shared" si="340"/>
        <v>600</v>
      </c>
      <c r="O2755">
        <f t="shared" si="341"/>
        <v>60</v>
      </c>
      <c r="P2755" t="str">
        <f t="shared" si="342"/>
        <v>Large Order</v>
      </c>
      <c r="Q2755" t="str">
        <f t="shared" si="343"/>
        <v>Weekday</v>
      </c>
    </row>
    <row r="2756" spans="1:17" x14ac:dyDescent="0.35">
      <c r="A2756" t="s">
        <v>2906</v>
      </c>
      <c r="B2756" s="7">
        <v>45599</v>
      </c>
      <c r="C2756" s="13">
        <f t="shared" ref="C2756:C2819" si="345">YEAR(B2756)</f>
        <v>2024</v>
      </c>
      <c r="D2756" s="7" t="str">
        <f t="shared" ref="D2756:D2819" si="346">TEXT(B2756,"mmm")</f>
        <v>Nov</v>
      </c>
      <c r="E2756" s="7" t="str">
        <f t="shared" ref="E2756:E2819" si="347">TEXT(B2756,"ddd")</f>
        <v>Sun</v>
      </c>
      <c r="F2756" t="s">
        <v>142</v>
      </c>
      <c r="G2756" t="s">
        <v>96</v>
      </c>
      <c r="H2756" t="s">
        <v>11</v>
      </c>
      <c r="I2756" s="2" t="str">
        <f t="shared" si="344"/>
        <v>South</v>
      </c>
      <c r="J2756" t="s">
        <v>306</v>
      </c>
      <c r="K2756" t="s">
        <v>32</v>
      </c>
      <c r="L2756">
        <v>3</v>
      </c>
      <c r="M2756">
        <v>120</v>
      </c>
      <c r="N2756">
        <f t="shared" ref="N2756:N2819" si="348">M2756*L2756</f>
        <v>360</v>
      </c>
      <c r="O2756">
        <f t="shared" ref="O2756:O2819" si="349">N2756*0.1</f>
        <v>36</v>
      </c>
      <c r="P2756" t="str">
        <f t="shared" ref="P2756:P2819" si="350">IF(N2756&gt;500,"Large Order","Standard Order")</f>
        <v>Standard Order</v>
      </c>
      <c r="Q2756" t="str">
        <f t="shared" ref="Q2756:Q2819" si="351">IF(OR(TRIM(E2756)="Sat",TRIM(E2756)="Sun"),"Weekend","Weekday")</f>
        <v>Weekend</v>
      </c>
    </row>
    <row r="2757" spans="1:17" x14ac:dyDescent="0.35">
      <c r="A2757" t="s">
        <v>2907</v>
      </c>
      <c r="B2757" s="7">
        <v>45537</v>
      </c>
      <c r="C2757" s="13">
        <f t="shared" si="345"/>
        <v>2024</v>
      </c>
      <c r="D2757" s="7" t="str">
        <f t="shared" si="346"/>
        <v>Sep</v>
      </c>
      <c r="E2757" s="7" t="str">
        <f t="shared" si="347"/>
        <v>Mon</v>
      </c>
      <c r="F2757" t="s">
        <v>332</v>
      </c>
      <c r="G2757" t="s">
        <v>59</v>
      </c>
      <c r="H2757" t="s">
        <v>17</v>
      </c>
      <c r="I2757" s="2" t="str">
        <f t="shared" si="344"/>
        <v>East</v>
      </c>
      <c r="J2757" t="s">
        <v>56</v>
      </c>
      <c r="K2757" t="s">
        <v>32</v>
      </c>
      <c r="L2757">
        <v>11</v>
      </c>
      <c r="M2757">
        <v>120</v>
      </c>
      <c r="N2757">
        <f t="shared" si="348"/>
        <v>1320</v>
      </c>
      <c r="O2757">
        <f t="shared" si="349"/>
        <v>132</v>
      </c>
      <c r="P2757" t="str">
        <f t="shared" si="350"/>
        <v>Large Order</v>
      </c>
      <c r="Q2757" t="str">
        <f t="shared" si="351"/>
        <v>Weekday</v>
      </c>
    </row>
    <row r="2758" spans="1:17" x14ac:dyDescent="0.35">
      <c r="A2758" t="s">
        <v>2908</v>
      </c>
      <c r="B2758" s="7">
        <v>45416</v>
      </c>
      <c r="C2758" s="13">
        <f t="shared" si="345"/>
        <v>2024</v>
      </c>
      <c r="D2758" s="7" t="str">
        <f t="shared" si="346"/>
        <v>May</v>
      </c>
      <c r="E2758" s="7" t="str">
        <f t="shared" si="347"/>
        <v>Sat</v>
      </c>
      <c r="F2758" t="s">
        <v>131</v>
      </c>
      <c r="G2758" t="s">
        <v>174</v>
      </c>
      <c r="H2758" t="s">
        <v>22</v>
      </c>
      <c r="I2758" s="2" t="str">
        <f t="shared" si="344"/>
        <v>North</v>
      </c>
      <c r="J2758" t="s">
        <v>42</v>
      </c>
      <c r="K2758" t="s">
        <v>36</v>
      </c>
      <c r="L2758">
        <v>4</v>
      </c>
      <c r="M2758">
        <v>120</v>
      </c>
      <c r="N2758">
        <f t="shared" si="348"/>
        <v>480</v>
      </c>
      <c r="O2758">
        <f t="shared" si="349"/>
        <v>48</v>
      </c>
      <c r="P2758" t="str">
        <f t="shared" si="350"/>
        <v>Standard Order</v>
      </c>
      <c r="Q2758" t="str">
        <f t="shared" si="351"/>
        <v>Weekend</v>
      </c>
    </row>
    <row r="2759" spans="1:17" x14ac:dyDescent="0.35">
      <c r="A2759" t="s">
        <v>2909</v>
      </c>
      <c r="B2759" s="7">
        <v>45314</v>
      </c>
      <c r="C2759" s="13">
        <f t="shared" si="345"/>
        <v>2024</v>
      </c>
      <c r="D2759" s="7" t="str">
        <f t="shared" si="346"/>
        <v>Jan</v>
      </c>
      <c r="E2759" s="7" t="str">
        <f t="shared" si="347"/>
        <v>Tue</v>
      </c>
      <c r="F2759" t="s">
        <v>15</v>
      </c>
      <c r="G2759" t="s">
        <v>174</v>
      </c>
      <c r="H2759" t="s">
        <v>17</v>
      </c>
      <c r="I2759" s="2" t="str">
        <f t="shared" si="344"/>
        <v>West</v>
      </c>
      <c r="J2759" t="s">
        <v>12</v>
      </c>
      <c r="K2759" t="s">
        <v>36</v>
      </c>
      <c r="L2759">
        <v>14</v>
      </c>
      <c r="M2759">
        <v>120</v>
      </c>
      <c r="N2759">
        <f t="shared" si="348"/>
        <v>1680</v>
      </c>
      <c r="O2759">
        <f t="shared" si="349"/>
        <v>168</v>
      </c>
      <c r="P2759" t="str">
        <f t="shared" si="350"/>
        <v>Large Order</v>
      </c>
      <c r="Q2759" t="str">
        <f t="shared" si="351"/>
        <v>Weekday</v>
      </c>
    </row>
    <row r="2760" spans="1:17" x14ac:dyDescent="0.35">
      <c r="A2760" t="s">
        <v>2910</v>
      </c>
      <c r="B2760" s="7">
        <v>45406</v>
      </c>
      <c r="C2760" s="13">
        <f t="shared" si="345"/>
        <v>2024</v>
      </c>
      <c r="D2760" s="7" t="str">
        <f t="shared" si="346"/>
        <v>Apr</v>
      </c>
      <c r="E2760" s="7" t="str">
        <f t="shared" si="347"/>
        <v>Wed</v>
      </c>
      <c r="F2760" t="s">
        <v>64</v>
      </c>
      <c r="G2760" t="s">
        <v>197</v>
      </c>
      <c r="H2760" t="s">
        <v>17</v>
      </c>
      <c r="I2760" s="2" t="str">
        <f t="shared" si="344"/>
        <v>North</v>
      </c>
      <c r="J2760" t="s">
        <v>27</v>
      </c>
      <c r="K2760" t="s">
        <v>28</v>
      </c>
      <c r="L2760">
        <v>12</v>
      </c>
      <c r="M2760">
        <v>120</v>
      </c>
      <c r="N2760">
        <f t="shared" si="348"/>
        <v>1440</v>
      </c>
      <c r="O2760">
        <f t="shared" si="349"/>
        <v>144</v>
      </c>
      <c r="P2760" t="str">
        <f t="shared" si="350"/>
        <v>Large Order</v>
      </c>
      <c r="Q2760" t="str">
        <f t="shared" si="351"/>
        <v>Weekday</v>
      </c>
    </row>
    <row r="2761" spans="1:17" x14ac:dyDescent="0.35">
      <c r="A2761" t="s">
        <v>2911</v>
      </c>
      <c r="B2761" s="7">
        <v>45407</v>
      </c>
      <c r="C2761" s="13">
        <f t="shared" si="345"/>
        <v>2024</v>
      </c>
      <c r="D2761" s="7" t="str">
        <f t="shared" si="346"/>
        <v>Apr</v>
      </c>
      <c r="E2761" s="7" t="str">
        <f t="shared" si="347"/>
        <v>Thu</v>
      </c>
      <c r="F2761" t="s">
        <v>455</v>
      </c>
      <c r="G2761" t="s">
        <v>31</v>
      </c>
      <c r="H2761" t="s">
        <v>22</v>
      </c>
      <c r="I2761" s="2" t="str">
        <f t="shared" si="344"/>
        <v>North</v>
      </c>
      <c r="J2761" t="s">
        <v>12</v>
      </c>
      <c r="K2761" t="s">
        <v>23</v>
      </c>
      <c r="L2761">
        <v>6</v>
      </c>
      <c r="M2761">
        <v>120</v>
      </c>
      <c r="N2761">
        <f t="shared" si="348"/>
        <v>720</v>
      </c>
      <c r="O2761">
        <f t="shared" si="349"/>
        <v>72</v>
      </c>
      <c r="P2761" t="str">
        <f t="shared" si="350"/>
        <v>Large Order</v>
      </c>
      <c r="Q2761" t="str">
        <f t="shared" si="351"/>
        <v>Weekday</v>
      </c>
    </row>
    <row r="2762" spans="1:17" x14ac:dyDescent="0.35">
      <c r="A2762" t="s">
        <v>2912</v>
      </c>
      <c r="B2762" s="7">
        <v>45406</v>
      </c>
      <c r="C2762" s="13">
        <f t="shared" si="345"/>
        <v>2024</v>
      </c>
      <c r="D2762" s="7" t="str">
        <f t="shared" si="346"/>
        <v>Apr</v>
      </c>
      <c r="E2762" s="7" t="str">
        <f t="shared" si="347"/>
        <v>Wed</v>
      </c>
      <c r="F2762" t="s">
        <v>15</v>
      </c>
      <c r="G2762" t="s">
        <v>74</v>
      </c>
      <c r="H2762" t="s">
        <v>17</v>
      </c>
      <c r="I2762" s="2" t="str">
        <f t="shared" si="344"/>
        <v>South</v>
      </c>
      <c r="J2762" t="s">
        <v>12</v>
      </c>
      <c r="K2762" t="s">
        <v>36</v>
      </c>
      <c r="L2762">
        <v>11</v>
      </c>
      <c r="M2762">
        <v>120</v>
      </c>
      <c r="N2762">
        <f t="shared" si="348"/>
        <v>1320</v>
      </c>
      <c r="O2762">
        <f t="shared" si="349"/>
        <v>132</v>
      </c>
      <c r="P2762" t="str">
        <f t="shared" si="350"/>
        <v>Large Order</v>
      </c>
      <c r="Q2762" t="str">
        <f t="shared" si="351"/>
        <v>Weekday</v>
      </c>
    </row>
    <row r="2763" spans="1:17" x14ac:dyDescent="0.35">
      <c r="A2763" t="s">
        <v>2913</v>
      </c>
      <c r="B2763" s="7">
        <v>45335</v>
      </c>
      <c r="C2763" s="13">
        <f t="shared" si="345"/>
        <v>2024</v>
      </c>
      <c r="D2763" s="7" t="str">
        <f t="shared" si="346"/>
        <v>Feb</v>
      </c>
      <c r="E2763" s="7" t="str">
        <f t="shared" si="347"/>
        <v>Tue</v>
      </c>
      <c r="F2763" t="s">
        <v>116</v>
      </c>
      <c r="G2763" t="s">
        <v>109</v>
      </c>
      <c r="H2763" t="s">
        <v>11</v>
      </c>
      <c r="I2763" s="2" t="str">
        <f t="shared" si="344"/>
        <v>East</v>
      </c>
      <c r="J2763" t="s">
        <v>56</v>
      </c>
      <c r="K2763" t="s">
        <v>23</v>
      </c>
      <c r="L2763">
        <v>17</v>
      </c>
      <c r="M2763">
        <v>120</v>
      </c>
      <c r="N2763">
        <f t="shared" si="348"/>
        <v>2040</v>
      </c>
      <c r="O2763">
        <f t="shared" si="349"/>
        <v>204</v>
      </c>
      <c r="P2763" t="str">
        <f t="shared" si="350"/>
        <v>Large Order</v>
      </c>
      <c r="Q2763" t="str">
        <f t="shared" si="351"/>
        <v>Weekday</v>
      </c>
    </row>
    <row r="2764" spans="1:17" x14ac:dyDescent="0.35">
      <c r="A2764" t="s">
        <v>2914</v>
      </c>
      <c r="B2764" s="7">
        <v>45384</v>
      </c>
      <c r="C2764" s="13">
        <f t="shared" si="345"/>
        <v>2024</v>
      </c>
      <c r="D2764" s="7" t="str">
        <f t="shared" si="346"/>
        <v>Apr</v>
      </c>
      <c r="E2764" s="7" t="str">
        <f t="shared" si="347"/>
        <v>Tue</v>
      </c>
      <c r="F2764" t="s">
        <v>422</v>
      </c>
      <c r="G2764" t="s">
        <v>87</v>
      </c>
      <c r="H2764" t="s">
        <v>11</v>
      </c>
      <c r="I2764" s="2" t="str">
        <f t="shared" si="344"/>
        <v>East</v>
      </c>
      <c r="J2764" t="s">
        <v>42</v>
      </c>
      <c r="K2764" t="s">
        <v>36</v>
      </c>
      <c r="L2764">
        <v>10</v>
      </c>
      <c r="M2764">
        <v>120</v>
      </c>
      <c r="N2764">
        <f t="shared" si="348"/>
        <v>1200</v>
      </c>
      <c r="O2764">
        <f t="shared" si="349"/>
        <v>120</v>
      </c>
      <c r="P2764" t="str">
        <f t="shared" si="350"/>
        <v>Large Order</v>
      </c>
      <c r="Q2764" t="str">
        <f t="shared" si="351"/>
        <v>Weekday</v>
      </c>
    </row>
    <row r="2765" spans="1:17" x14ac:dyDescent="0.35">
      <c r="A2765" t="s">
        <v>2915</v>
      </c>
      <c r="B2765" s="7">
        <v>45345</v>
      </c>
      <c r="C2765" s="13">
        <f t="shared" si="345"/>
        <v>2024</v>
      </c>
      <c r="D2765" s="7" t="str">
        <f t="shared" si="346"/>
        <v>Feb</v>
      </c>
      <c r="E2765" s="7" t="str">
        <f t="shared" si="347"/>
        <v>Fri</v>
      </c>
      <c r="F2765" t="s">
        <v>101</v>
      </c>
      <c r="G2765" t="s">
        <v>35</v>
      </c>
      <c r="H2765" t="s">
        <v>22</v>
      </c>
      <c r="I2765" s="2" t="str">
        <f t="shared" si="344"/>
        <v>East</v>
      </c>
      <c r="J2765" t="s">
        <v>42</v>
      </c>
      <c r="K2765" t="s">
        <v>32</v>
      </c>
      <c r="L2765">
        <v>3</v>
      </c>
      <c r="M2765">
        <v>120</v>
      </c>
      <c r="N2765">
        <f t="shared" si="348"/>
        <v>360</v>
      </c>
      <c r="O2765">
        <f t="shared" si="349"/>
        <v>36</v>
      </c>
      <c r="P2765" t="str">
        <f t="shared" si="350"/>
        <v>Standard Order</v>
      </c>
      <c r="Q2765" t="str">
        <f t="shared" si="351"/>
        <v>Weekday</v>
      </c>
    </row>
    <row r="2766" spans="1:17" x14ac:dyDescent="0.35">
      <c r="A2766" t="s">
        <v>2916</v>
      </c>
      <c r="B2766" s="7">
        <v>45368</v>
      </c>
      <c r="C2766" s="13">
        <f t="shared" si="345"/>
        <v>2024</v>
      </c>
      <c r="D2766" s="7" t="str">
        <f t="shared" si="346"/>
        <v>Mar</v>
      </c>
      <c r="E2766" s="7" t="str">
        <f t="shared" si="347"/>
        <v>Sun</v>
      </c>
      <c r="F2766" t="s">
        <v>420</v>
      </c>
      <c r="G2766" t="s">
        <v>21</v>
      </c>
      <c r="H2766" t="s">
        <v>11</v>
      </c>
      <c r="I2766" s="2" t="str">
        <f t="shared" si="344"/>
        <v>West</v>
      </c>
      <c r="J2766" t="s">
        <v>42</v>
      </c>
      <c r="K2766" t="s">
        <v>28</v>
      </c>
      <c r="L2766">
        <v>13</v>
      </c>
      <c r="M2766">
        <v>120</v>
      </c>
      <c r="N2766">
        <f t="shared" si="348"/>
        <v>1560</v>
      </c>
      <c r="O2766">
        <f t="shared" si="349"/>
        <v>156</v>
      </c>
      <c r="P2766" t="str">
        <f t="shared" si="350"/>
        <v>Large Order</v>
      </c>
      <c r="Q2766" t="str">
        <f t="shared" si="351"/>
        <v>Weekend</v>
      </c>
    </row>
    <row r="2767" spans="1:17" x14ac:dyDescent="0.35">
      <c r="A2767" t="s">
        <v>2917</v>
      </c>
      <c r="B2767" s="7">
        <v>45536</v>
      </c>
      <c r="C2767" s="13">
        <f t="shared" si="345"/>
        <v>2024</v>
      </c>
      <c r="D2767" s="7" t="str">
        <f t="shared" si="346"/>
        <v>Sep</v>
      </c>
      <c r="E2767" s="7" t="str">
        <f t="shared" si="347"/>
        <v>Sun</v>
      </c>
      <c r="F2767" t="s">
        <v>58</v>
      </c>
      <c r="G2767" t="s">
        <v>102</v>
      </c>
      <c r="H2767" t="s">
        <v>22</v>
      </c>
      <c r="I2767" s="2" t="str">
        <f t="shared" si="344"/>
        <v>East</v>
      </c>
      <c r="J2767" t="s">
        <v>27</v>
      </c>
      <c r="K2767" t="s">
        <v>32</v>
      </c>
      <c r="L2767">
        <v>5</v>
      </c>
      <c r="M2767">
        <v>120</v>
      </c>
      <c r="N2767">
        <f t="shared" si="348"/>
        <v>600</v>
      </c>
      <c r="O2767">
        <f t="shared" si="349"/>
        <v>60</v>
      </c>
      <c r="P2767" t="str">
        <f t="shared" si="350"/>
        <v>Large Order</v>
      </c>
      <c r="Q2767" t="str">
        <f t="shared" si="351"/>
        <v>Weekend</v>
      </c>
    </row>
    <row r="2768" spans="1:17" x14ac:dyDescent="0.35">
      <c r="A2768" t="s">
        <v>2918</v>
      </c>
      <c r="B2768" s="7">
        <v>45357</v>
      </c>
      <c r="C2768" s="13">
        <f t="shared" si="345"/>
        <v>2024</v>
      </c>
      <c r="D2768" s="7" t="str">
        <f t="shared" si="346"/>
        <v>Mar</v>
      </c>
      <c r="E2768" s="7" t="str">
        <f t="shared" si="347"/>
        <v>Wed</v>
      </c>
      <c r="F2768" t="s">
        <v>44</v>
      </c>
      <c r="G2768" t="s">
        <v>119</v>
      </c>
      <c r="H2768" t="s">
        <v>17</v>
      </c>
      <c r="I2768" s="2" t="str">
        <f t="shared" si="344"/>
        <v>East</v>
      </c>
      <c r="J2768" t="s">
        <v>42</v>
      </c>
      <c r="K2768" t="s">
        <v>32</v>
      </c>
      <c r="L2768">
        <v>16</v>
      </c>
      <c r="M2768">
        <v>120</v>
      </c>
      <c r="N2768">
        <f t="shared" si="348"/>
        <v>1920</v>
      </c>
      <c r="O2768">
        <f t="shared" si="349"/>
        <v>192</v>
      </c>
      <c r="P2768" t="str">
        <f t="shared" si="350"/>
        <v>Large Order</v>
      </c>
      <c r="Q2768" t="str">
        <f t="shared" si="351"/>
        <v>Weekday</v>
      </c>
    </row>
    <row r="2769" spans="1:17" x14ac:dyDescent="0.35">
      <c r="A2769" t="s">
        <v>2919</v>
      </c>
      <c r="B2769" s="7">
        <v>45647</v>
      </c>
      <c r="C2769" s="13">
        <f t="shared" si="345"/>
        <v>2024</v>
      </c>
      <c r="D2769" s="7" t="str">
        <f t="shared" si="346"/>
        <v>Dec</v>
      </c>
      <c r="E2769" s="7" t="str">
        <f t="shared" si="347"/>
        <v>Sat</v>
      </c>
      <c r="F2769" t="s">
        <v>408</v>
      </c>
      <c r="G2769" t="s">
        <v>109</v>
      </c>
      <c r="H2769" t="s">
        <v>22</v>
      </c>
      <c r="I2769" s="2" t="str">
        <f t="shared" si="344"/>
        <v>West</v>
      </c>
      <c r="J2769" t="s">
        <v>42</v>
      </c>
      <c r="K2769" t="s">
        <v>28</v>
      </c>
      <c r="L2769">
        <v>8</v>
      </c>
      <c r="M2769">
        <v>120</v>
      </c>
      <c r="N2769">
        <f t="shared" si="348"/>
        <v>960</v>
      </c>
      <c r="O2769">
        <f t="shared" si="349"/>
        <v>96</v>
      </c>
      <c r="P2769" t="str">
        <f t="shared" si="350"/>
        <v>Large Order</v>
      </c>
      <c r="Q2769" t="str">
        <f t="shared" si="351"/>
        <v>Weekend</v>
      </c>
    </row>
    <row r="2770" spans="1:17" x14ac:dyDescent="0.35">
      <c r="A2770" t="s">
        <v>2920</v>
      </c>
      <c r="B2770" s="7">
        <v>45573</v>
      </c>
      <c r="C2770" s="13">
        <f t="shared" si="345"/>
        <v>2024</v>
      </c>
      <c r="D2770" s="7" t="str">
        <f t="shared" si="346"/>
        <v>Oct</v>
      </c>
      <c r="E2770" s="7" t="str">
        <f t="shared" si="347"/>
        <v>Tue</v>
      </c>
      <c r="F2770" t="s">
        <v>432</v>
      </c>
      <c r="G2770" t="s">
        <v>174</v>
      </c>
      <c r="H2770" t="s">
        <v>22</v>
      </c>
      <c r="I2770" s="2" t="str">
        <f t="shared" si="344"/>
        <v>West</v>
      </c>
      <c r="J2770" t="s">
        <v>27</v>
      </c>
      <c r="K2770" t="s">
        <v>36</v>
      </c>
      <c r="L2770">
        <v>18</v>
      </c>
      <c r="M2770">
        <v>120</v>
      </c>
      <c r="N2770">
        <f t="shared" si="348"/>
        <v>2160</v>
      </c>
      <c r="O2770">
        <f t="shared" si="349"/>
        <v>216</v>
      </c>
      <c r="P2770" t="str">
        <f t="shared" si="350"/>
        <v>Large Order</v>
      </c>
      <c r="Q2770" t="str">
        <f t="shared" si="351"/>
        <v>Weekday</v>
      </c>
    </row>
    <row r="2771" spans="1:17" x14ac:dyDescent="0.35">
      <c r="A2771" t="s">
        <v>2921</v>
      </c>
      <c r="B2771" s="7">
        <v>45488</v>
      </c>
      <c r="C2771" s="13">
        <f t="shared" si="345"/>
        <v>2024</v>
      </c>
      <c r="D2771" s="7" t="str">
        <f t="shared" si="346"/>
        <v>Jul</v>
      </c>
      <c r="E2771" s="7" t="str">
        <f t="shared" si="347"/>
        <v>Mon</v>
      </c>
      <c r="F2771" t="s">
        <v>81</v>
      </c>
      <c r="G2771" t="s">
        <v>59</v>
      </c>
      <c r="H2771" t="s">
        <v>22</v>
      </c>
      <c r="I2771" s="2" t="str">
        <f t="shared" si="344"/>
        <v>East</v>
      </c>
      <c r="J2771" t="s">
        <v>27</v>
      </c>
      <c r="K2771" t="s">
        <v>36</v>
      </c>
      <c r="L2771">
        <v>19</v>
      </c>
      <c r="M2771">
        <v>120</v>
      </c>
      <c r="N2771">
        <f t="shared" si="348"/>
        <v>2280</v>
      </c>
      <c r="O2771">
        <f t="shared" si="349"/>
        <v>228</v>
      </c>
      <c r="P2771" t="str">
        <f t="shared" si="350"/>
        <v>Large Order</v>
      </c>
      <c r="Q2771" t="str">
        <f t="shared" si="351"/>
        <v>Weekday</v>
      </c>
    </row>
    <row r="2772" spans="1:17" x14ac:dyDescent="0.35">
      <c r="A2772" t="s">
        <v>2922</v>
      </c>
      <c r="B2772" s="7">
        <v>45404</v>
      </c>
      <c r="C2772" s="13">
        <f t="shared" si="345"/>
        <v>2024</v>
      </c>
      <c r="D2772" s="7" t="str">
        <f t="shared" si="346"/>
        <v>Apr</v>
      </c>
      <c r="E2772" s="7" t="str">
        <f t="shared" si="347"/>
        <v>Mon</v>
      </c>
      <c r="F2772" t="s">
        <v>424</v>
      </c>
      <c r="G2772" t="s">
        <v>10</v>
      </c>
      <c r="H2772" t="s">
        <v>11</v>
      </c>
      <c r="I2772" s="2" t="str">
        <f t="shared" si="344"/>
        <v>South</v>
      </c>
      <c r="J2772" t="s">
        <v>42</v>
      </c>
      <c r="K2772" t="s">
        <v>13</v>
      </c>
      <c r="L2772">
        <v>7</v>
      </c>
      <c r="M2772">
        <v>120</v>
      </c>
      <c r="N2772">
        <f t="shared" si="348"/>
        <v>840</v>
      </c>
      <c r="O2772">
        <f t="shared" si="349"/>
        <v>84</v>
      </c>
      <c r="P2772" t="str">
        <f t="shared" si="350"/>
        <v>Large Order</v>
      </c>
      <c r="Q2772" t="str">
        <f t="shared" si="351"/>
        <v>Weekday</v>
      </c>
    </row>
    <row r="2773" spans="1:17" x14ac:dyDescent="0.35">
      <c r="A2773" t="s">
        <v>2923</v>
      </c>
      <c r="B2773" s="7">
        <v>45300</v>
      </c>
      <c r="C2773" s="13">
        <f t="shared" si="345"/>
        <v>2024</v>
      </c>
      <c r="D2773" s="7" t="str">
        <f t="shared" si="346"/>
        <v>Jan</v>
      </c>
      <c r="E2773" s="7" t="str">
        <f t="shared" si="347"/>
        <v>Tue</v>
      </c>
      <c r="F2773" t="s">
        <v>83</v>
      </c>
      <c r="G2773" t="s">
        <v>174</v>
      </c>
      <c r="H2773" t="s">
        <v>17</v>
      </c>
      <c r="I2773" s="2" t="str">
        <f t="shared" si="344"/>
        <v>West</v>
      </c>
      <c r="J2773" t="s">
        <v>56</v>
      </c>
      <c r="K2773" t="s">
        <v>13</v>
      </c>
      <c r="L2773">
        <v>2</v>
      </c>
      <c r="M2773">
        <v>120</v>
      </c>
      <c r="N2773">
        <f t="shared" si="348"/>
        <v>240</v>
      </c>
      <c r="O2773">
        <f t="shared" si="349"/>
        <v>24</v>
      </c>
      <c r="P2773" t="str">
        <f t="shared" si="350"/>
        <v>Standard Order</v>
      </c>
      <c r="Q2773" t="str">
        <f t="shared" si="351"/>
        <v>Weekday</v>
      </c>
    </row>
    <row r="2774" spans="1:17" x14ac:dyDescent="0.35">
      <c r="A2774" t="s">
        <v>2924</v>
      </c>
      <c r="B2774" s="7">
        <v>45476</v>
      </c>
      <c r="C2774" s="13">
        <f t="shared" si="345"/>
        <v>2024</v>
      </c>
      <c r="D2774" s="7" t="str">
        <f t="shared" si="346"/>
        <v>Jul</v>
      </c>
      <c r="E2774" s="7" t="str">
        <f t="shared" si="347"/>
        <v>Wed</v>
      </c>
      <c r="F2774" t="s">
        <v>420</v>
      </c>
      <c r="G2774" t="s">
        <v>16</v>
      </c>
      <c r="H2774" t="s">
        <v>17</v>
      </c>
      <c r="I2774" s="2" t="str">
        <f t="shared" si="344"/>
        <v>North</v>
      </c>
      <c r="J2774" t="s">
        <v>27</v>
      </c>
      <c r="K2774" t="s">
        <v>28</v>
      </c>
      <c r="L2774">
        <v>18</v>
      </c>
      <c r="M2774">
        <v>120</v>
      </c>
      <c r="N2774">
        <f t="shared" si="348"/>
        <v>2160</v>
      </c>
      <c r="O2774">
        <f t="shared" si="349"/>
        <v>216</v>
      </c>
      <c r="P2774" t="str">
        <f t="shared" si="350"/>
        <v>Large Order</v>
      </c>
      <c r="Q2774" t="str">
        <f t="shared" si="351"/>
        <v>Weekday</v>
      </c>
    </row>
    <row r="2775" spans="1:17" x14ac:dyDescent="0.35">
      <c r="A2775" t="s">
        <v>2925</v>
      </c>
      <c r="B2775" s="7">
        <v>45507</v>
      </c>
      <c r="C2775" s="13">
        <f t="shared" si="345"/>
        <v>2024</v>
      </c>
      <c r="D2775" s="7" t="str">
        <f t="shared" si="346"/>
        <v>Aug</v>
      </c>
      <c r="E2775" s="7" t="str">
        <f t="shared" si="347"/>
        <v>Sat</v>
      </c>
      <c r="F2775" t="s">
        <v>78</v>
      </c>
      <c r="G2775" t="s">
        <v>65</v>
      </c>
      <c r="H2775" t="s">
        <v>11</v>
      </c>
      <c r="I2775" s="2" t="str">
        <f t="shared" si="344"/>
        <v>North</v>
      </c>
      <c r="J2775" t="s">
        <v>12</v>
      </c>
      <c r="K2775" t="s">
        <v>28</v>
      </c>
      <c r="L2775">
        <v>4</v>
      </c>
      <c r="M2775">
        <v>120</v>
      </c>
      <c r="N2775">
        <f t="shared" si="348"/>
        <v>480</v>
      </c>
      <c r="O2775">
        <f t="shared" si="349"/>
        <v>48</v>
      </c>
      <c r="P2775" t="str">
        <f t="shared" si="350"/>
        <v>Standard Order</v>
      </c>
      <c r="Q2775" t="str">
        <f t="shared" si="351"/>
        <v>Weekend</v>
      </c>
    </row>
    <row r="2776" spans="1:17" x14ac:dyDescent="0.35">
      <c r="A2776" t="s">
        <v>2926</v>
      </c>
      <c r="B2776" s="7">
        <v>45652</v>
      </c>
      <c r="C2776" s="13">
        <f t="shared" si="345"/>
        <v>2024</v>
      </c>
      <c r="D2776" s="7" t="str">
        <f t="shared" si="346"/>
        <v>Dec</v>
      </c>
      <c r="E2776" s="7" t="str">
        <f t="shared" si="347"/>
        <v>Thu</v>
      </c>
      <c r="F2776" t="s">
        <v>167</v>
      </c>
      <c r="G2776" t="s">
        <v>31</v>
      </c>
      <c r="H2776" t="s">
        <v>22</v>
      </c>
      <c r="I2776" s="2" t="str">
        <f t="shared" si="344"/>
        <v>West</v>
      </c>
      <c r="J2776" t="s">
        <v>12</v>
      </c>
      <c r="K2776" t="s">
        <v>23</v>
      </c>
      <c r="L2776">
        <v>12</v>
      </c>
      <c r="M2776">
        <v>120</v>
      </c>
      <c r="N2776">
        <f t="shared" si="348"/>
        <v>1440</v>
      </c>
      <c r="O2776">
        <f t="shared" si="349"/>
        <v>144</v>
      </c>
      <c r="P2776" t="str">
        <f t="shared" si="350"/>
        <v>Large Order</v>
      </c>
      <c r="Q2776" t="str">
        <f t="shared" si="351"/>
        <v>Weekday</v>
      </c>
    </row>
    <row r="2777" spans="1:17" x14ac:dyDescent="0.35">
      <c r="A2777" t="s">
        <v>2927</v>
      </c>
      <c r="B2777" s="7">
        <v>45346</v>
      </c>
      <c r="C2777" s="13">
        <f t="shared" si="345"/>
        <v>2024</v>
      </c>
      <c r="D2777" s="7" t="str">
        <f t="shared" si="346"/>
        <v>Feb</v>
      </c>
      <c r="E2777" s="7" t="str">
        <f t="shared" si="347"/>
        <v>Sat</v>
      </c>
      <c r="F2777" t="s">
        <v>371</v>
      </c>
      <c r="G2777" t="s">
        <v>59</v>
      </c>
      <c r="H2777" t="s">
        <v>11</v>
      </c>
      <c r="I2777" s="2" t="str">
        <f t="shared" si="344"/>
        <v>North</v>
      </c>
      <c r="J2777" t="s">
        <v>27</v>
      </c>
      <c r="K2777" t="s">
        <v>36</v>
      </c>
      <c r="L2777">
        <v>6</v>
      </c>
      <c r="M2777">
        <v>120</v>
      </c>
      <c r="N2777">
        <f t="shared" si="348"/>
        <v>720</v>
      </c>
      <c r="O2777">
        <f t="shared" si="349"/>
        <v>72</v>
      </c>
      <c r="P2777" t="str">
        <f t="shared" si="350"/>
        <v>Large Order</v>
      </c>
      <c r="Q2777" t="str">
        <f t="shared" si="351"/>
        <v>Weekend</v>
      </c>
    </row>
    <row r="2778" spans="1:17" x14ac:dyDescent="0.35">
      <c r="A2778" t="s">
        <v>2928</v>
      </c>
      <c r="B2778" s="7">
        <v>45479</v>
      </c>
      <c r="C2778" s="13">
        <f t="shared" si="345"/>
        <v>2024</v>
      </c>
      <c r="D2778" s="7" t="str">
        <f t="shared" si="346"/>
        <v>Jul</v>
      </c>
      <c r="E2778" s="7" t="str">
        <f t="shared" si="347"/>
        <v>Sat</v>
      </c>
      <c r="F2778" t="s">
        <v>167</v>
      </c>
      <c r="G2778" t="s">
        <v>10</v>
      </c>
      <c r="H2778" t="s">
        <v>11</v>
      </c>
      <c r="I2778" s="2" t="str">
        <f t="shared" si="344"/>
        <v>West</v>
      </c>
      <c r="J2778" t="s">
        <v>12</v>
      </c>
      <c r="K2778" t="s">
        <v>13</v>
      </c>
      <c r="L2778">
        <v>19</v>
      </c>
      <c r="M2778">
        <v>120</v>
      </c>
      <c r="N2778">
        <f t="shared" si="348"/>
        <v>2280</v>
      </c>
      <c r="O2778">
        <f t="shared" si="349"/>
        <v>228</v>
      </c>
      <c r="P2778" t="str">
        <f t="shared" si="350"/>
        <v>Large Order</v>
      </c>
      <c r="Q2778" t="str">
        <f t="shared" si="351"/>
        <v>Weekend</v>
      </c>
    </row>
    <row r="2779" spans="1:17" x14ac:dyDescent="0.35">
      <c r="A2779" t="s">
        <v>2929</v>
      </c>
      <c r="B2779" s="7">
        <v>45505</v>
      </c>
      <c r="C2779" s="13">
        <f t="shared" si="345"/>
        <v>2024</v>
      </c>
      <c r="D2779" s="7" t="str">
        <f t="shared" si="346"/>
        <v>Aug</v>
      </c>
      <c r="E2779" s="7" t="str">
        <f t="shared" si="347"/>
        <v>Thu</v>
      </c>
      <c r="F2779" t="s">
        <v>125</v>
      </c>
      <c r="G2779" t="s">
        <v>119</v>
      </c>
      <c r="H2779" t="s">
        <v>11</v>
      </c>
      <c r="I2779" s="2" t="str">
        <f t="shared" si="344"/>
        <v>East</v>
      </c>
      <c r="J2779" t="s">
        <v>27</v>
      </c>
      <c r="K2779" t="s">
        <v>28</v>
      </c>
      <c r="L2779">
        <v>17</v>
      </c>
      <c r="M2779">
        <v>120</v>
      </c>
      <c r="N2779">
        <f t="shared" si="348"/>
        <v>2040</v>
      </c>
      <c r="O2779">
        <f t="shared" si="349"/>
        <v>204</v>
      </c>
      <c r="P2779" t="str">
        <f t="shared" si="350"/>
        <v>Large Order</v>
      </c>
      <c r="Q2779" t="str">
        <f t="shared" si="351"/>
        <v>Weekday</v>
      </c>
    </row>
    <row r="2780" spans="1:17" x14ac:dyDescent="0.35">
      <c r="A2780" t="s">
        <v>2930</v>
      </c>
      <c r="B2780" s="7">
        <v>45445</v>
      </c>
      <c r="C2780" s="13">
        <f t="shared" si="345"/>
        <v>2024</v>
      </c>
      <c r="D2780" s="7" t="str">
        <f t="shared" si="346"/>
        <v>Jun</v>
      </c>
      <c r="E2780" s="7" t="str">
        <f t="shared" si="347"/>
        <v>Sun</v>
      </c>
      <c r="F2780" t="s">
        <v>553</v>
      </c>
      <c r="G2780" t="s">
        <v>87</v>
      </c>
      <c r="H2780" t="s">
        <v>22</v>
      </c>
      <c r="I2780" s="2" t="str">
        <f t="shared" si="344"/>
        <v>Central</v>
      </c>
      <c r="J2780" t="s">
        <v>42</v>
      </c>
      <c r="K2780" t="s">
        <v>23</v>
      </c>
      <c r="L2780">
        <v>1</v>
      </c>
      <c r="M2780">
        <v>120</v>
      </c>
      <c r="N2780">
        <f t="shared" si="348"/>
        <v>120</v>
      </c>
      <c r="O2780">
        <f t="shared" si="349"/>
        <v>12</v>
      </c>
      <c r="P2780" t="str">
        <f t="shared" si="350"/>
        <v>Standard Order</v>
      </c>
      <c r="Q2780" t="str">
        <f t="shared" si="351"/>
        <v>Weekend</v>
      </c>
    </row>
    <row r="2781" spans="1:17" x14ac:dyDescent="0.35">
      <c r="A2781" t="s">
        <v>2931</v>
      </c>
      <c r="B2781" s="7">
        <v>45371</v>
      </c>
      <c r="C2781" s="13">
        <f t="shared" si="345"/>
        <v>2024</v>
      </c>
      <c r="D2781" s="7" t="str">
        <f t="shared" si="346"/>
        <v>Mar</v>
      </c>
      <c r="E2781" s="7" t="str">
        <f t="shared" si="347"/>
        <v>Wed</v>
      </c>
      <c r="F2781" t="s">
        <v>131</v>
      </c>
      <c r="G2781" t="s">
        <v>21</v>
      </c>
      <c r="H2781" t="s">
        <v>11</v>
      </c>
      <c r="I2781" s="2" t="str">
        <f t="shared" si="344"/>
        <v>Central</v>
      </c>
      <c r="J2781" t="s">
        <v>306</v>
      </c>
      <c r="K2781" t="s">
        <v>28</v>
      </c>
      <c r="L2781">
        <v>17</v>
      </c>
      <c r="M2781">
        <v>120</v>
      </c>
      <c r="N2781">
        <f t="shared" si="348"/>
        <v>2040</v>
      </c>
      <c r="O2781">
        <f t="shared" si="349"/>
        <v>204</v>
      </c>
      <c r="P2781" t="str">
        <f t="shared" si="350"/>
        <v>Large Order</v>
      </c>
      <c r="Q2781" t="str">
        <f t="shared" si="351"/>
        <v>Weekday</v>
      </c>
    </row>
    <row r="2782" spans="1:17" x14ac:dyDescent="0.35">
      <c r="A2782" t="s">
        <v>2932</v>
      </c>
      <c r="B2782" s="7">
        <v>45494</v>
      </c>
      <c r="C2782" s="13">
        <f t="shared" si="345"/>
        <v>2024</v>
      </c>
      <c r="D2782" s="7" t="str">
        <f t="shared" si="346"/>
        <v>Jul</v>
      </c>
      <c r="E2782" s="7" t="str">
        <f t="shared" si="347"/>
        <v>Sun</v>
      </c>
      <c r="F2782" t="s">
        <v>309</v>
      </c>
      <c r="G2782" t="s">
        <v>41</v>
      </c>
      <c r="H2782" t="s">
        <v>17</v>
      </c>
      <c r="I2782" s="2" t="str">
        <f t="shared" si="344"/>
        <v>East</v>
      </c>
      <c r="J2782" t="s">
        <v>306</v>
      </c>
      <c r="K2782" t="s">
        <v>32</v>
      </c>
      <c r="L2782">
        <v>19</v>
      </c>
      <c r="M2782">
        <v>120</v>
      </c>
      <c r="N2782">
        <f t="shared" si="348"/>
        <v>2280</v>
      </c>
      <c r="O2782">
        <f t="shared" si="349"/>
        <v>228</v>
      </c>
      <c r="P2782" t="str">
        <f t="shared" si="350"/>
        <v>Large Order</v>
      </c>
      <c r="Q2782" t="str">
        <f t="shared" si="351"/>
        <v>Weekend</v>
      </c>
    </row>
    <row r="2783" spans="1:17" x14ac:dyDescent="0.35">
      <c r="A2783" t="s">
        <v>2933</v>
      </c>
      <c r="B2783" s="7">
        <v>45655</v>
      </c>
      <c r="C2783" s="13">
        <f t="shared" si="345"/>
        <v>2024</v>
      </c>
      <c r="D2783" s="7" t="str">
        <f t="shared" si="346"/>
        <v>Dec</v>
      </c>
      <c r="E2783" s="7" t="str">
        <f t="shared" si="347"/>
        <v>Sun</v>
      </c>
      <c r="F2783" t="s">
        <v>51</v>
      </c>
      <c r="G2783" t="s">
        <v>87</v>
      </c>
      <c r="H2783" t="s">
        <v>11</v>
      </c>
      <c r="I2783" s="2" t="str">
        <f t="shared" si="344"/>
        <v>Central</v>
      </c>
      <c r="J2783" t="s">
        <v>42</v>
      </c>
      <c r="K2783" t="s">
        <v>13</v>
      </c>
      <c r="L2783">
        <v>17</v>
      </c>
      <c r="M2783">
        <v>120</v>
      </c>
      <c r="N2783">
        <f t="shared" si="348"/>
        <v>2040</v>
      </c>
      <c r="O2783">
        <f t="shared" si="349"/>
        <v>204</v>
      </c>
      <c r="P2783" t="str">
        <f t="shared" si="350"/>
        <v>Large Order</v>
      </c>
      <c r="Q2783" t="str">
        <f t="shared" si="351"/>
        <v>Weekend</v>
      </c>
    </row>
    <row r="2784" spans="1:17" x14ac:dyDescent="0.35">
      <c r="A2784" t="s">
        <v>2934</v>
      </c>
      <c r="B2784" s="7">
        <v>45356</v>
      </c>
      <c r="C2784" s="13">
        <f t="shared" si="345"/>
        <v>2024</v>
      </c>
      <c r="D2784" s="7" t="str">
        <f t="shared" si="346"/>
        <v>Mar</v>
      </c>
      <c r="E2784" s="7" t="str">
        <f t="shared" si="347"/>
        <v>Tue</v>
      </c>
      <c r="F2784" t="s">
        <v>323</v>
      </c>
      <c r="G2784" t="s">
        <v>65</v>
      </c>
      <c r="H2784" t="s">
        <v>17</v>
      </c>
      <c r="I2784" s="2" t="str">
        <f t="shared" si="344"/>
        <v>West</v>
      </c>
      <c r="J2784" t="s">
        <v>306</v>
      </c>
      <c r="K2784" t="s">
        <v>13</v>
      </c>
      <c r="L2784">
        <v>8</v>
      </c>
      <c r="M2784">
        <v>120</v>
      </c>
      <c r="N2784">
        <f t="shared" si="348"/>
        <v>960</v>
      </c>
      <c r="O2784">
        <f t="shared" si="349"/>
        <v>96</v>
      </c>
      <c r="P2784" t="str">
        <f t="shared" si="350"/>
        <v>Large Order</v>
      </c>
      <c r="Q2784" t="str">
        <f t="shared" si="351"/>
        <v>Weekday</v>
      </c>
    </row>
    <row r="2785" spans="1:17" x14ac:dyDescent="0.35">
      <c r="A2785" t="s">
        <v>2935</v>
      </c>
      <c r="B2785" s="7">
        <v>45578</v>
      </c>
      <c r="C2785" s="13">
        <f t="shared" si="345"/>
        <v>2024</v>
      </c>
      <c r="D2785" s="7" t="str">
        <f t="shared" si="346"/>
        <v>Oct</v>
      </c>
      <c r="E2785" s="7" t="str">
        <f t="shared" si="347"/>
        <v>Sun</v>
      </c>
      <c r="F2785" t="s">
        <v>493</v>
      </c>
      <c r="G2785" t="s">
        <v>10</v>
      </c>
      <c r="H2785" t="s">
        <v>22</v>
      </c>
      <c r="I2785" s="2" t="str">
        <f t="shared" si="344"/>
        <v>East</v>
      </c>
      <c r="J2785" t="s">
        <v>27</v>
      </c>
      <c r="K2785" t="s">
        <v>23</v>
      </c>
      <c r="L2785">
        <v>11</v>
      </c>
      <c r="M2785">
        <v>120</v>
      </c>
      <c r="N2785">
        <f t="shared" si="348"/>
        <v>1320</v>
      </c>
      <c r="O2785">
        <f t="shared" si="349"/>
        <v>132</v>
      </c>
      <c r="P2785" t="str">
        <f t="shared" si="350"/>
        <v>Large Order</v>
      </c>
      <c r="Q2785" t="str">
        <f t="shared" si="351"/>
        <v>Weekend</v>
      </c>
    </row>
    <row r="2786" spans="1:17" x14ac:dyDescent="0.35">
      <c r="A2786" t="s">
        <v>2936</v>
      </c>
      <c r="B2786" s="7">
        <v>45499</v>
      </c>
      <c r="C2786" s="13">
        <f t="shared" si="345"/>
        <v>2024</v>
      </c>
      <c r="D2786" s="7" t="str">
        <f t="shared" si="346"/>
        <v>Jul</v>
      </c>
      <c r="E2786" s="7" t="str">
        <f t="shared" si="347"/>
        <v>Fri</v>
      </c>
      <c r="F2786" t="s">
        <v>159</v>
      </c>
      <c r="G2786" t="s">
        <v>45</v>
      </c>
      <c r="H2786" t="s">
        <v>11</v>
      </c>
      <c r="I2786" s="2" t="str">
        <f t="shared" si="344"/>
        <v>East</v>
      </c>
      <c r="J2786" t="s">
        <v>42</v>
      </c>
      <c r="K2786" t="s">
        <v>23</v>
      </c>
      <c r="L2786">
        <v>7</v>
      </c>
      <c r="M2786">
        <v>120</v>
      </c>
      <c r="N2786">
        <f t="shared" si="348"/>
        <v>840</v>
      </c>
      <c r="O2786">
        <f t="shared" si="349"/>
        <v>84</v>
      </c>
      <c r="P2786" t="str">
        <f t="shared" si="350"/>
        <v>Large Order</v>
      </c>
      <c r="Q2786" t="str">
        <f t="shared" si="351"/>
        <v>Weekday</v>
      </c>
    </row>
    <row r="2787" spans="1:17" x14ac:dyDescent="0.35">
      <c r="A2787" t="s">
        <v>2937</v>
      </c>
      <c r="B2787" s="7">
        <v>45345</v>
      </c>
      <c r="C2787" s="13">
        <f t="shared" si="345"/>
        <v>2024</v>
      </c>
      <c r="D2787" s="7" t="str">
        <f t="shared" si="346"/>
        <v>Feb</v>
      </c>
      <c r="E2787" s="7" t="str">
        <f t="shared" si="347"/>
        <v>Fri</v>
      </c>
      <c r="F2787" t="s">
        <v>208</v>
      </c>
      <c r="G2787" t="s">
        <v>48</v>
      </c>
      <c r="H2787" t="s">
        <v>22</v>
      </c>
      <c r="I2787" s="2" t="str">
        <f t="shared" si="344"/>
        <v>Central</v>
      </c>
      <c r="J2787" t="s">
        <v>42</v>
      </c>
      <c r="K2787" t="s">
        <v>13</v>
      </c>
      <c r="L2787">
        <v>8</v>
      </c>
      <c r="M2787">
        <v>120</v>
      </c>
      <c r="N2787">
        <f t="shared" si="348"/>
        <v>960</v>
      </c>
      <c r="O2787">
        <f t="shared" si="349"/>
        <v>96</v>
      </c>
      <c r="P2787" t="str">
        <f t="shared" si="350"/>
        <v>Large Order</v>
      </c>
      <c r="Q2787" t="str">
        <f t="shared" si="351"/>
        <v>Weekday</v>
      </c>
    </row>
    <row r="2788" spans="1:17" x14ac:dyDescent="0.35">
      <c r="A2788" t="s">
        <v>2938</v>
      </c>
      <c r="B2788" s="7">
        <v>45569</v>
      </c>
      <c r="C2788" s="13">
        <f t="shared" si="345"/>
        <v>2024</v>
      </c>
      <c r="D2788" s="7" t="str">
        <f t="shared" si="346"/>
        <v>Oct</v>
      </c>
      <c r="E2788" s="7" t="str">
        <f t="shared" si="347"/>
        <v>Fri</v>
      </c>
      <c r="F2788" t="s">
        <v>15</v>
      </c>
      <c r="G2788" t="s">
        <v>10</v>
      </c>
      <c r="H2788" t="s">
        <v>11</v>
      </c>
      <c r="I2788" s="2" t="str">
        <f t="shared" si="344"/>
        <v>East</v>
      </c>
      <c r="J2788" t="s">
        <v>306</v>
      </c>
      <c r="K2788" t="s">
        <v>13</v>
      </c>
      <c r="L2788">
        <v>10</v>
      </c>
      <c r="M2788">
        <v>120</v>
      </c>
      <c r="N2788">
        <f t="shared" si="348"/>
        <v>1200</v>
      </c>
      <c r="O2788">
        <f t="shared" si="349"/>
        <v>120</v>
      </c>
      <c r="P2788" t="str">
        <f t="shared" si="350"/>
        <v>Large Order</v>
      </c>
      <c r="Q2788" t="str">
        <f t="shared" si="351"/>
        <v>Weekday</v>
      </c>
    </row>
    <row r="2789" spans="1:17" x14ac:dyDescent="0.35">
      <c r="A2789" t="s">
        <v>2939</v>
      </c>
      <c r="B2789" s="7">
        <v>45395</v>
      </c>
      <c r="C2789" s="13">
        <f t="shared" si="345"/>
        <v>2024</v>
      </c>
      <c r="D2789" s="7" t="str">
        <f t="shared" si="346"/>
        <v>Apr</v>
      </c>
      <c r="E2789" s="7" t="str">
        <f t="shared" si="347"/>
        <v>Sat</v>
      </c>
      <c r="F2789" t="s">
        <v>541</v>
      </c>
      <c r="G2789" t="s">
        <v>79</v>
      </c>
      <c r="H2789" t="s">
        <v>11</v>
      </c>
      <c r="I2789" s="2" t="str">
        <f t="shared" si="344"/>
        <v>East</v>
      </c>
      <c r="J2789" t="s">
        <v>42</v>
      </c>
      <c r="K2789" t="s">
        <v>13</v>
      </c>
      <c r="L2789">
        <v>19</v>
      </c>
      <c r="M2789">
        <v>120</v>
      </c>
      <c r="N2789">
        <f t="shared" si="348"/>
        <v>2280</v>
      </c>
      <c r="O2789">
        <f t="shared" si="349"/>
        <v>228</v>
      </c>
      <c r="P2789" t="str">
        <f t="shared" si="350"/>
        <v>Large Order</v>
      </c>
      <c r="Q2789" t="str">
        <f t="shared" si="351"/>
        <v>Weekend</v>
      </c>
    </row>
    <row r="2790" spans="1:17" x14ac:dyDescent="0.35">
      <c r="A2790" t="s">
        <v>2940</v>
      </c>
      <c r="B2790" s="7">
        <v>45580</v>
      </c>
      <c r="C2790" s="13">
        <f t="shared" si="345"/>
        <v>2024</v>
      </c>
      <c r="D2790" s="7" t="str">
        <f t="shared" si="346"/>
        <v>Oct</v>
      </c>
      <c r="E2790" s="7" t="str">
        <f t="shared" si="347"/>
        <v>Tue</v>
      </c>
      <c r="F2790" t="s">
        <v>517</v>
      </c>
      <c r="G2790" t="s">
        <v>79</v>
      </c>
      <c r="H2790" t="s">
        <v>11</v>
      </c>
      <c r="I2790" s="2" t="str">
        <f t="shared" si="344"/>
        <v>Central</v>
      </c>
      <c r="J2790" t="s">
        <v>42</v>
      </c>
      <c r="K2790" t="s">
        <v>13</v>
      </c>
      <c r="L2790">
        <v>10</v>
      </c>
      <c r="M2790">
        <v>120</v>
      </c>
      <c r="N2790">
        <f t="shared" si="348"/>
        <v>1200</v>
      </c>
      <c r="O2790">
        <f t="shared" si="349"/>
        <v>120</v>
      </c>
      <c r="P2790" t="str">
        <f t="shared" si="350"/>
        <v>Large Order</v>
      </c>
      <c r="Q2790" t="str">
        <f t="shared" si="351"/>
        <v>Weekday</v>
      </c>
    </row>
    <row r="2791" spans="1:17" x14ac:dyDescent="0.35">
      <c r="A2791" t="s">
        <v>2941</v>
      </c>
      <c r="B2791" s="7">
        <v>45474</v>
      </c>
      <c r="C2791" s="13">
        <f t="shared" si="345"/>
        <v>2024</v>
      </c>
      <c r="D2791" s="7" t="str">
        <f t="shared" si="346"/>
        <v>Jul</v>
      </c>
      <c r="E2791" s="7" t="str">
        <f t="shared" si="347"/>
        <v>Mon</v>
      </c>
      <c r="F2791" t="s">
        <v>664</v>
      </c>
      <c r="G2791" t="s">
        <v>74</v>
      </c>
      <c r="H2791" t="s">
        <v>17</v>
      </c>
      <c r="I2791" s="2" t="str">
        <f t="shared" si="344"/>
        <v>North</v>
      </c>
      <c r="J2791" t="s">
        <v>306</v>
      </c>
      <c r="K2791" t="s">
        <v>28</v>
      </c>
      <c r="L2791">
        <v>11</v>
      </c>
      <c r="M2791">
        <v>120</v>
      </c>
      <c r="N2791">
        <f t="shared" si="348"/>
        <v>1320</v>
      </c>
      <c r="O2791">
        <f t="shared" si="349"/>
        <v>132</v>
      </c>
      <c r="P2791" t="str">
        <f t="shared" si="350"/>
        <v>Large Order</v>
      </c>
      <c r="Q2791" t="str">
        <f t="shared" si="351"/>
        <v>Weekday</v>
      </c>
    </row>
    <row r="2792" spans="1:17" x14ac:dyDescent="0.35">
      <c r="A2792" t="s">
        <v>2942</v>
      </c>
      <c r="B2792" s="7">
        <v>45474</v>
      </c>
      <c r="C2792" s="13">
        <f t="shared" si="345"/>
        <v>2024</v>
      </c>
      <c r="D2792" s="7" t="str">
        <f t="shared" si="346"/>
        <v>Jul</v>
      </c>
      <c r="E2792" s="7" t="str">
        <f t="shared" si="347"/>
        <v>Mon</v>
      </c>
      <c r="F2792" t="s">
        <v>34</v>
      </c>
      <c r="G2792" t="s">
        <v>62</v>
      </c>
      <c r="H2792" t="s">
        <v>22</v>
      </c>
      <c r="I2792" s="2" t="str">
        <f t="shared" si="344"/>
        <v>North</v>
      </c>
      <c r="J2792" t="s">
        <v>12</v>
      </c>
      <c r="K2792" t="s">
        <v>32</v>
      </c>
      <c r="L2792">
        <v>14</v>
      </c>
      <c r="M2792">
        <v>120</v>
      </c>
      <c r="N2792">
        <f t="shared" si="348"/>
        <v>1680</v>
      </c>
      <c r="O2792">
        <f t="shared" si="349"/>
        <v>168</v>
      </c>
      <c r="P2792" t="str">
        <f t="shared" si="350"/>
        <v>Large Order</v>
      </c>
      <c r="Q2792" t="str">
        <f t="shared" si="351"/>
        <v>Weekday</v>
      </c>
    </row>
    <row r="2793" spans="1:17" x14ac:dyDescent="0.35">
      <c r="A2793" t="s">
        <v>2943</v>
      </c>
      <c r="B2793" s="7">
        <v>45549</v>
      </c>
      <c r="C2793" s="13">
        <f t="shared" si="345"/>
        <v>2024</v>
      </c>
      <c r="D2793" s="7" t="str">
        <f t="shared" si="346"/>
        <v>Sep</v>
      </c>
      <c r="E2793" s="7" t="str">
        <f t="shared" si="347"/>
        <v>Sat</v>
      </c>
      <c r="F2793" t="s">
        <v>108</v>
      </c>
      <c r="G2793" t="s">
        <v>160</v>
      </c>
      <c r="H2793" t="s">
        <v>11</v>
      </c>
      <c r="I2793" s="2" t="str">
        <f t="shared" si="344"/>
        <v>West</v>
      </c>
      <c r="J2793" t="s">
        <v>12</v>
      </c>
      <c r="K2793" t="s">
        <v>36</v>
      </c>
      <c r="L2793">
        <v>13</v>
      </c>
      <c r="M2793">
        <v>120</v>
      </c>
      <c r="N2793">
        <f t="shared" si="348"/>
        <v>1560</v>
      </c>
      <c r="O2793">
        <f t="shared" si="349"/>
        <v>156</v>
      </c>
      <c r="P2793" t="str">
        <f t="shared" si="350"/>
        <v>Large Order</v>
      </c>
      <c r="Q2793" t="str">
        <f t="shared" si="351"/>
        <v>Weekend</v>
      </c>
    </row>
    <row r="2794" spans="1:17" x14ac:dyDescent="0.35">
      <c r="A2794" t="s">
        <v>2944</v>
      </c>
      <c r="B2794" s="7">
        <v>45311</v>
      </c>
      <c r="C2794" s="13">
        <f t="shared" si="345"/>
        <v>2024</v>
      </c>
      <c r="D2794" s="7" t="str">
        <f t="shared" si="346"/>
        <v>Jan</v>
      </c>
      <c r="E2794" s="7" t="str">
        <f t="shared" si="347"/>
        <v>Sat</v>
      </c>
      <c r="F2794" t="s">
        <v>61</v>
      </c>
      <c r="G2794" t="s">
        <v>45</v>
      </c>
      <c r="H2794" t="s">
        <v>11</v>
      </c>
      <c r="I2794" s="2" t="str">
        <f t="shared" si="344"/>
        <v>South</v>
      </c>
      <c r="J2794" t="s">
        <v>27</v>
      </c>
      <c r="K2794" t="s">
        <v>13</v>
      </c>
      <c r="L2794">
        <v>3</v>
      </c>
      <c r="M2794">
        <v>120</v>
      </c>
      <c r="N2794">
        <f t="shared" si="348"/>
        <v>360</v>
      </c>
      <c r="O2794">
        <f t="shared" si="349"/>
        <v>36</v>
      </c>
      <c r="P2794" t="str">
        <f t="shared" si="350"/>
        <v>Standard Order</v>
      </c>
      <c r="Q2794" t="str">
        <f t="shared" si="351"/>
        <v>Weekend</v>
      </c>
    </row>
    <row r="2795" spans="1:17" x14ac:dyDescent="0.35">
      <c r="A2795" t="s">
        <v>2945</v>
      </c>
      <c r="B2795" s="7">
        <v>45410</v>
      </c>
      <c r="C2795" s="13">
        <f t="shared" si="345"/>
        <v>2024</v>
      </c>
      <c r="D2795" s="7" t="str">
        <f t="shared" si="346"/>
        <v>Apr</v>
      </c>
      <c r="E2795" s="7" t="str">
        <f t="shared" si="347"/>
        <v>Sun</v>
      </c>
      <c r="F2795" t="s">
        <v>133</v>
      </c>
      <c r="G2795" t="s">
        <v>41</v>
      </c>
      <c r="H2795" t="s">
        <v>22</v>
      </c>
      <c r="I2795" s="2" t="str">
        <f t="shared" si="344"/>
        <v>West</v>
      </c>
      <c r="J2795" t="s">
        <v>56</v>
      </c>
      <c r="K2795" t="s">
        <v>28</v>
      </c>
      <c r="L2795">
        <v>17</v>
      </c>
      <c r="M2795">
        <v>120</v>
      </c>
      <c r="N2795">
        <f t="shared" si="348"/>
        <v>2040</v>
      </c>
      <c r="O2795">
        <f t="shared" si="349"/>
        <v>204</v>
      </c>
      <c r="P2795" t="str">
        <f t="shared" si="350"/>
        <v>Large Order</v>
      </c>
      <c r="Q2795" t="str">
        <f t="shared" si="351"/>
        <v>Weekend</v>
      </c>
    </row>
    <row r="2796" spans="1:17" x14ac:dyDescent="0.35">
      <c r="A2796" t="s">
        <v>2946</v>
      </c>
      <c r="B2796" s="7">
        <v>45603</v>
      </c>
      <c r="C2796" s="13">
        <f t="shared" si="345"/>
        <v>2024</v>
      </c>
      <c r="D2796" s="7" t="str">
        <f t="shared" si="346"/>
        <v>Nov</v>
      </c>
      <c r="E2796" s="7" t="str">
        <f t="shared" si="347"/>
        <v>Thu</v>
      </c>
      <c r="F2796" t="s">
        <v>350</v>
      </c>
      <c r="G2796" t="s">
        <v>160</v>
      </c>
      <c r="H2796" t="s">
        <v>17</v>
      </c>
      <c r="I2796" s="2" t="str">
        <f t="shared" si="344"/>
        <v>West</v>
      </c>
      <c r="J2796" t="s">
        <v>27</v>
      </c>
      <c r="K2796" t="s">
        <v>28</v>
      </c>
      <c r="L2796">
        <v>11</v>
      </c>
      <c r="M2796">
        <v>120</v>
      </c>
      <c r="N2796">
        <f t="shared" si="348"/>
        <v>1320</v>
      </c>
      <c r="O2796">
        <f t="shared" si="349"/>
        <v>132</v>
      </c>
      <c r="P2796" t="str">
        <f t="shared" si="350"/>
        <v>Large Order</v>
      </c>
      <c r="Q2796" t="str">
        <f t="shared" si="351"/>
        <v>Weekday</v>
      </c>
    </row>
    <row r="2797" spans="1:17" x14ac:dyDescent="0.35">
      <c r="A2797" t="s">
        <v>2947</v>
      </c>
      <c r="B2797" s="7">
        <v>45611</v>
      </c>
      <c r="C2797" s="13">
        <f t="shared" si="345"/>
        <v>2024</v>
      </c>
      <c r="D2797" s="7" t="str">
        <f t="shared" si="346"/>
        <v>Nov</v>
      </c>
      <c r="E2797" s="7" t="str">
        <f t="shared" si="347"/>
        <v>Fri</v>
      </c>
      <c r="F2797" t="s">
        <v>348</v>
      </c>
      <c r="G2797" t="s">
        <v>79</v>
      </c>
      <c r="H2797" t="s">
        <v>22</v>
      </c>
      <c r="I2797" s="2" t="str">
        <f t="shared" si="344"/>
        <v>West</v>
      </c>
      <c r="J2797" t="s">
        <v>27</v>
      </c>
      <c r="K2797" t="s">
        <v>28</v>
      </c>
      <c r="L2797">
        <v>7</v>
      </c>
      <c r="M2797">
        <v>120</v>
      </c>
      <c r="N2797">
        <f t="shared" si="348"/>
        <v>840</v>
      </c>
      <c r="O2797">
        <f t="shared" si="349"/>
        <v>84</v>
      </c>
      <c r="P2797" t="str">
        <f t="shared" si="350"/>
        <v>Large Order</v>
      </c>
      <c r="Q2797" t="str">
        <f t="shared" si="351"/>
        <v>Weekday</v>
      </c>
    </row>
    <row r="2798" spans="1:17" x14ac:dyDescent="0.35">
      <c r="A2798" t="s">
        <v>2948</v>
      </c>
      <c r="B2798" s="7">
        <v>45602</v>
      </c>
      <c r="C2798" s="13">
        <f t="shared" si="345"/>
        <v>2024</v>
      </c>
      <c r="D2798" s="7" t="str">
        <f t="shared" si="346"/>
        <v>Nov</v>
      </c>
      <c r="E2798" s="7" t="str">
        <f t="shared" si="347"/>
        <v>Wed</v>
      </c>
      <c r="F2798" t="s">
        <v>208</v>
      </c>
      <c r="G2798" t="s">
        <v>16</v>
      </c>
      <c r="H2798" t="s">
        <v>22</v>
      </c>
      <c r="I2798" s="2" t="str">
        <f t="shared" si="344"/>
        <v>North</v>
      </c>
      <c r="J2798" t="s">
        <v>27</v>
      </c>
      <c r="K2798" t="s">
        <v>13</v>
      </c>
      <c r="L2798">
        <v>1</v>
      </c>
      <c r="M2798">
        <v>120</v>
      </c>
      <c r="N2798">
        <f t="shared" si="348"/>
        <v>120</v>
      </c>
      <c r="O2798">
        <f t="shared" si="349"/>
        <v>12</v>
      </c>
      <c r="P2798" t="str">
        <f t="shared" si="350"/>
        <v>Standard Order</v>
      </c>
      <c r="Q2798" t="str">
        <f t="shared" si="351"/>
        <v>Weekday</v>
      </c>
    </row>
    <row r="2799" spans="1:17" x14ac:dyDescent="0.35">
      <c r="A2799" t="s">
        <v>2949</v>
      </c>
      <c r="B2799" s="7">
        <v>45450</v>
      </c>
      <c r="C2799" s="13">
        <f t="shared" si="345"/>
        <v>2024</v>
      </c>
      <c r="D2799" s="7" t="str">
        <f t="shared" si="346"/>
        <v>Jun</v>
      </c>
      <c r="E2799" s="7" t="str">
        <f t="shared" si="347"/>
        <v>Fri</v>
      </c>
      <c r="F2799" t="s">
        <v>378</v>
      </c>
      <c r="G2799" t="s">
        <v>10</v>
      </c>
      <c r="H2799" t="s">
        <v>17</v>
      </c>
      <c r="I2799" s="2" t="str">
        <f t="shared" si="344"/>
        <v>Central</v>
      </c>
      <c r="J2799" t="s">
        <v>12</v>
      </c>
      <c r="K2799" t="s">
        <v>23</v>
      </c>
      <c r="L2799">
        <v>11</v>
      </c>
      <c r="M2799">
        <v>120</v>
      </c>
      <c r="N2799">
        <f t="shared" si="348"/>
        <v>1320</v>
      </c>
      <c r="O2799">
        <f t="shared" si="349"/>
        <v>132</v>
      </c>
      <c r="P2799" t="str">
        <f t="shared" si="350"/>
        <v>Large Order</v>
      </c>
      <c r="Q2799" t="str">
        <f t="shared" si="351"/>
        <v>Weekday</v>
      </c>
    </row>
    <row r="2800" spans="1:17" x14ac:dyDescent="0.35">
      <c r="A2800" t="s">
        <v>2950</v>
      </c>
      <c r="B2800" s="7">
        <v>45443</v>
      </c>
      <c r="C2800" s="13">
        <f t="shared" si="345"/>
        <v>2024</v>
      </c>
      <c r="D2800" s="7" t="str">
        <f t="shared" si="346"/>
        <v>May</v>
      </c>
      <c r="E2800" s="7" t="str">
        <f t="shared" si="347"/>
        <v>Fri</v>
      </c>
      <c r="F2800" t="s">
        <v>111</v>
      </c>
      <c r="G2800" t="s">
        <v>10</v>
      </c>
      <c r="H2800" t="s">
        <v>17</v>
      </c>
      <c r="I2800" s="2" t="str">
        <f t="shared" si="344"/>
        <v>East</v>
      </c>
      <c r="J2800" t="s">
        <v>306</v>
      </c>
      <c r="K2800" t="s">
        <v>32</v>
      </c>
      <c r="L2800">
        <v>12</v>
      </c>
      <c r="M2800">
        <v>120</v>
      </c>
      <c r="N2800">
        <f t="shared" si="348"/>
        <v>1440</v>
      </c>
      <c r="O2800">
        <f t="shared" si="349"/>
        <v>144</v>
      </c>
      <c r="P2800" t="str">
        <f t="shared" si="350"/>
        <v>Large Order</v>
      </c>
      <c r="Q2800" t="str">
        <f t="shared" si="351"/>
        <v>Weekday</v>
      </c>
    </row>
    <row r="2801" spans="1:17" x14ac:dyDescent="0.35">
      <c r="A2801" t="s">
        <v>2951</v>
      </c>
      <c r="B2801" s="7">
        <v>45383</v>
      </c>
      <c r="C2801" s="13">
        <f t="shared" si="345"/>
        <v>2024</v>
      </c>
      <c r="D2801" s="7" t="str">
        <f t="shared" si="346"/>
        <v>Apr</v>
      </c>
      <c r="E2801" s="7" t="str">
        <f t="shared" si="347"/>
        <v>Mon</v>
      </c>
      <c r="F2801" t="s">
        <v>369</v>
      </c>
      <c r="G2801" t="s">
        <v>119</v>
      </c>
      <c r="H2801" t="s">
        <v>17</v>
      </c>
      <c r="I2801" s="2" t="str">
        <f t="shared" si="344"/>
        <v>Central</v>
      </c>
      <c r="J2801" t="s">
        <v>42</v>
      </c>
      <c r="K2801" t="s">
        <v>23</v>
      </c>
      <c r="L2801">
        <v>9</v>
      </c>
      <c r="M2801">
        <v>120</v>
      </c>
      <c r="N2801">
        <f t="shared" si="348"/>
        <v>1080</v>
      </c>
      <c r="O2801">
        <f t="shared" si="349"/>
        <v>108</v>
      </c>
      <c r="P2801" t="str">
        <f t="shared" si="350"/>
        <v>Large Order</v>
      </c>
      <c r="Q2801" t="str">
        <f t="shared" si="351"/>
        <v>Weekday</v>
      </c>
    </row>
    <row r="2802" spans="1:17" x14ac:dyDescent="0.35">
      <c r="A2802" t="s">
        <v>2952</v>
      </c>
      <c r="B2802" s="7">
        <v>45518</v>
      </c>
      <c r="C2802" s="13">
        <f t="shared" si="345"/>
        <v>2024</v>
      </c>
      <c r="D2802" s="7" t="str">
        <f t="shared" si="346"/>
        <v>Aug</v>
      </c>
      <c r="E2802" s="7" t="str">
        <f t="shared" si="347"/>
        <v>Wed</v>
      </c>
      <c r="F2802" t="s">
        <v>350</v>
      </c>
      <c r="G2802" t="s">
        <v>16</v>
      </c>
      <c r="H2802" t="s">
        <v>11</v>
      </c>
      <c r="I2802" s="2" t="str">
        <f t="shared" si="344"/>
        <v>South</v>
      </c>
      <c r="J2802" t="s">
        <v>306</v>
      </c>
      <c r="K2802" t="s">
        <v>23</v>
      </c>
      <c r="L2802">
        <v>2</v>
      </c>
      <c r="M2802">
        <v>120</v>
      </c>
      <c r="N2802">
        <f t="shared" si="348"/>
        <v>240</v>
      </c>
      <c r="O2802">
        <f t="shared" si="349"/>
        <v>24</v>
      </c>
      <c r="P2802" t="str">
        <f t="shared" si="350"/>
        <v>Standard Order</v>
      </c>
      <c r="Q2802" t="str">
        <f t="shared" si="351"/>
        <v>Weekday</v>
      </c>
    </row>
    <row r="2803" spans="1:17" x14ac:dyDescent="0.35">
      <c r="A2803" t="s">
        <v>2953</v>
      </c>
      <c r="B2803" s="7">
        <v>45438</v>
      </c>
      <c r="C2803" s="13">
        <f t="shared" si="345"/>
        <v>2024</v>
      </c>
      <c r="D2803" s="7" t="str">
        <f t="shared" si="346"/>
        <v>May</v>
      </c>
      <c r="E2803" s="7" t="str">
        <f t="shared" si="347"/>
        <v>Sun</v>
      </c>
      <c r="F2803" t="s">
        <v>341</v>
      </c>
      <c r="G2803" t="s">
        <v>87</v>
      </c>
      <c r="H2803" t="s">
        <v>22</v>
      </c>
      <c r="I2803" s="2" t="str">
        <f t="shared" si="344"/>
        <v>West</v>
      </c>
      <c r="J2803" t="s">
        <v>56</v>
      </c>
      <c r="K2803" t="s">
        <v>23</v>
      </c>
      <c r="L2803">
        <v>12</v>
      </c>
      <c r="M2803">
        <v>120</v>
      </c>
      <c r="N2803">
        <f t="shared" si="348"/>
        <v>1440</v>
      </c>
      <c r="O2803">
        <f t="shared" si="349"/>
        <v>144</v>
      </c>
      <c r="P2803" t="str">
        <f t="shared" si="350"/>
        <v>Large Order</v>
      </c>
      <c r="Q2803" t="str">
        <f t="shared" si="351"/>
        <v>Weekend</v>
      </c>
    </row>
    <row r="2804" spans="1:17" x14ac:dyDescent="0.35">
      <c r="A2804" t="s">
        <v>2954</v>
      </c>
      <c r="B2804" s="7">
        <v>45611</v>
      </c>
      <c r="C2804" s="13">
        <f t="shared" si="345"/>
        <v>2024</v>
      </c>
      <c r="D2804" s="7" t="str">
        <f t="shared" si="346"/>
        <v>Nov</v>
      </c>
      <c r="E2804" s="7" t="str">
        <f t="shared" si="347"/>
        <v>Fri</v>
      </c>
      <c r="F2804" t="s">
        <v>38</v>
      </c>
      <c r="G2804" t="s">
        <v>48</v>
      </c>
      <c r="H2804" t="s">
        <v>11</v>
      </c>
      <c r="I2804" s="2" t="str">
        <f t="shared" si="344"/>
        <v>North</v>
      </c>
      <c r="J2804" t="s">
        <v>27</v>
      </c>
      <c r="K2804" t="s">
        <v>36</v>
      </c>
      <c r="L2804">
        <v>15</v>
      </c>
      <c r="M2804">
        <v>120</v>
      </c>
      <c r="N2804">
        <f t="shared" si="348"/>
        <v>1800</v>
      </c>
      <c r="O2804">
        <f t="shared" si="349"/>
        <v>180</v>
      </c>
      <c r="P2804" t="str">
        <f t="shared" si="350"/>
        <v>Large Order</v>
      </c>
      <c r="Q2804" t="str">
        <f t="shared" si="351"/>
        <v>Weekday</v>
      </c>
    </row>
    <row r="2805" spans="1:17" x14ac:dyDescent="0.35">
      <c r="A2805" t="s">
        <v>2955</v>
      </c>
      <c r="B2805" s="7">
        <v>45641</v>
      </c>
      <c r="C2805" s="13">
        <f t="shared" si="345"/>
        <v>2024</v>
      </c>
      <c r="D2805" s="7" t="str">
        <f t="shared" si="346"/>
        <v>Dec</v>
      </c>
      <c r="E2805" s="7" t="str">
        <f t="shared" si="347"/>
        <v>Sun</v>
      </c>
      <c r="F2805" t="s">
        <v>116</v>
      </c>
      <c r="G2805" t="s">
        <v>109</v>
      </c>
      <c r="H2805" t="s">
        <v>22</v>
      </c>
      <c r="I2805" s="2" t="str">
        <f t="shared" si="344"/>
        <v>Central</v>
      </c>
      <c r="J2805" t="s">
        <v>12</v>
      </c>
      <c r="K2805" t="s">
        <v>28</v>
      </c>
      <c r="L2805">
        <v>18</v>
      </c>
      <c r="M2805">
        <v>120</v>
      </c>
      <c r="N2805">
        <f t="shared" si="348"/>
        <v>2160</v>
      </c>
      <c r="O2805">
        <f t="shared" si="349"/>
        <v>216</v>
      </c>
      <c r="P2805" t="str">
        <f t="shared" si="350"/>
        <v>Large Order</v>
      </c>
      <c r="Q2805" t="str">
        <f t="shared" si="351"/>
        <v>Weekend</v>
      </c>
    </row>
    <row r="2806" spans="1:17" x14ac:dyDescent="0.35">
      <c r="A2806" t="s">
        <v>2956</v>
      </c>
      <c r="B2806" s="7">
        <v>45345</v>
      </c>
      <c r="C2806" s="13">
        <f t="shared" si="345"/>
        <v>2024</v>
      </c>
      <c r="D2806" s="7" t="str">
        <f t="shared" si="346"/>
        <v>Feb</v>
      </c>
      <c r="E2806" s="7" t="str">
        <f t="shared" si="347"/>
        <v>Fri</v>
      </c>
      <c r="F2806" t="s">
        <v>61</v>
      </c>
      <c r="G2806" t="s">
        <v>31</v>
      </c>
      <c r="H2806" t="s">
        <v>11</v>
      </c>
      <c r="I2806" s="2" t="str">
        <f t="shared" si="344"/>
        <v>West</v>
      </c>
      <c r="J2806" t="s">
        <v>306</v>
      </c>
      <c r="K2806" t="s">
        <v>23</v>
      </c>
      <c r="L2806">
        <v>3</v>
      </c>
      <c r="M2806">
        <v>120</v>
      </c>
      <c r="N2806">
        <f t="shared" si="348"/>
        <v>360</v>
      </c>
      <c r="O2806">
        <f t="shared" si="349"/>
        <v>36</v>
      </c>
      <c r="P2806" t="str">
        <f t="shared" si="350"/>
        <v>Standard Order</v>
      </c>
      <c r="Q2806" t="str">
        <f t="shared" si="351"/>
        <v>Weekday</v>
      </c>
    </row>
    <row r="2807" spans="1:17" x14ac:dyDescent="0.35">
      <c r="A2807" t="s">
        <v>2957</v>
      </c>
      <c r="B2807" s="7">
        <v>45528</v>
      </c>
      <c r="C2807" s="13">
        <f t="shared" si="345"/>
        <v>2024</v>
      </c>
      <c r="D2807" s="7" t="str">
        <f t="shared" si="346"/>
        <v>Aug</v>
      </c>
      <c r="E2807" s="7" t="str">
        <f t="shared" si="347"/>
        <v>Sat</v>
      </c>
      <c r="F2807" t="s">
        <v>317</v>
      </c>
      <c r="G2807" t="s">
        <v>10</v>
      </c>
      <c r="H2807" t="s">
        <v>17</v>
      </c>
      <c r="I2807" s="2" t="str">
        <f t="shared" si="344"/>
        <v>North</v>
      </c>
      <c r="J2807" t="s">
        <v>27</v>
      </c>
      <c r="K2807" t="s">
        <v>23</v>
      </c>
      <c r="L2807">
        <v>18</v>
      </c>
      <c r="M2807">
        <v>120</v>
      </c>
      <c r="N2807">
        <f t="shared" si="348"/>
        <v>2160</v>
      </c>
      <c r="O2807">
        <f t="shared" si="349"/>
        <v>216</v>
      </c>
      <c r="P2807" t="str">
        <f t="shared" si="350"/>
        <v>Large Order</v>
      </c>
      <c r="Q2807" t="str">
        <f t="shared" si="351"/>
        <v>Weekend</v>
      </c>
    </row>
    <row r="2808" spans="1:17" x14ac:dyDescent="0.35">
      <c r="A2808" t="s">
        <v>2958</v>
      </c>
      <c r="B2808" s="7">
        <v>45530</v>
      </c>
      <c r="C2808" s="13">
        <f t="shared" si="345"/>
        <v>2024</v>
      </c>
      <c r="D2808" s="7" t="str">
        <f t="shared" si="346"/>
        <v>Aug</v>
      </c>
      <c r="E2808" s="7" t="str">
        <f t="shared" si="347"/>
        <v>Mon</v>
      </c>
      <c r="F2808" t="s">
        <v>15</v>
      </c>
      <c r="G2808" t="s">
        <v>10</v>
      </c>
      <c r="H2808" t="s">
        <v>11</v>
      </c>
      <c r="I2808" s="2" t="str">
        <f t="shared" si="344"/>
        <v>Central</v>
      </c>
      <c r="J2808" t="s">
        <v>12</v>
      </c>
      <c r="K2808" t="s">
        <v>23</v>
      </c>
      <c r="L2808">
        <v>14</v>
      </c>
      <c r="M2808">
        <v>120</v>
      </c>
      <c r="N2808">
        <f t="shared" si="348"/>
        <v>1680</v>
      </c>
      <c r="O2808">
        <f t="shared" si="349"/>
        <v>168</v>
      </c>
      <c r="P2808" t="str">
        <f t="shared" si="350"/>
        <v>Large Order</v>
      </c>
      <c r="Q2808" t="str">
        <f t="shared" si="351"/>
        <v>Weekday</v>
      </c>
    </row>
    <row r="2809" spans="1:17" x14ac:dyDescent="0.35">
      <c r="A2809" t="s">
        <v>2959</v>
      </c>
      <c r="B2809" s="7">
        <v>45460</v>
      </c>
      <c r="C2809" s="13">
        <f t="shared" si="345"/>
        <v>2024</v>
      </c>
      <c r="D2809" s="7" t="str">
        <f t="shared" si="346"/>
        <v>Jun</v>
      </c>
      <c r="E2809" s="7" t="str">
        <f t="shared" si="347"/>
        <v>Mon</v>
      </c>
      <c r="F2809" t="s">
        <v>58</v>
      </c>
      <c r="G2809" t="s">
        <v>72</v>
      </c>
      <c r="H2809" t="s">
        <v>17</v>
      </c>
      <c r="I2809" s="2" t="str">
        <f t="shared" si="344"/>
        <v>North</v>
      </c>
      <c r="J2809" t="s">
        <v>306</v>
      </c>
      <c r="K2809" t="s">
        <v>23</v>
      </c>
      <c r="L2809">
        <v>7</v>
      </c>
      <c r="M2809">
        <v>120</v>
      </c>
      <c r="N2809">
        <f t="shared" si="348"/>
        <v>840</v>
      </c>
      <c r="O2809">
        <f t="shared" si="349"/>
        <v>84</v>
      </c>
      <c r="P2809" t="str">
        <f t="shared" si="350"/>
        <v>Large Order</v>
      </c>
      <c r="Q2809" t="str">
        <f t="shared" si="351"/>
        <v>Weekday</v>
      </c>
    </row>
    <row r="2810" spans="1:17" x14ac:dyDescent="0.35">
      <c r="A2810" t="s">
        <v>2960</v>
      </c>
      <c r="B2810" s="7">
        <v>45535</v>
      </c>
      <c r="C2810" s="13">
        <f t="shared" si="345"/>
        <v>2024</v>
      </c>
      <c r="D2810" s="7" t="str">
        <f t="shared" si="346"/>
        <v>Aug</v>
      </c>
      <c r="E2810" s="7" t="str">
        <f t="shared" si="347"/>
        <v>Sat</v>
      </c>
      <c r="F2810" t="s">
        <v>40</v>
      </c>
      <c r="G2810" t="s">
        <v>26</v>
      </c>
      <c r="H2810" t="s">
        <v>17</v>
      </c>
      <c r="I2810" s="2" t="str">
        <f t="shared" si="344"/>
        <v>Central</v>
      </c>
      <c r="J2810" t="s">
        <v>12</v>
      </c>
      <c r="K2810" t="s">
        <v>36</v>
      </c>
      <c r="L2810">
        <v>5</v>
      </c>
      <c r="M2810">
        <v>120</v>
      </c>
      <c r="N2810">
        <f t="shared" si="348"/>
        <v>600</v>
      </c>
      <c r="O2810">
        <f t="shared" si="349"/>
        <v>60</v>
      </c>
      <c r="P2810" t="str">
        <f t="shared" si="350"/>
        <v>Large Order</v>
      </c>
      <c r="Q2810" t="str">
        <f t="shared" si="351"/>
        <v>Weekend</v>
      </c>
    </row>
    <row r="2811" spans="1:17" x14ac:dyDescent="0.35">
      <c r="A2811" t="s">
        <v>2961</v>
      </c>
      <c r="B2811" s="7">
        <v>45366</v>
      </c>
      <c r="C2811" s="13">
        <f t="shared" si="345"/>
        <v>2024</v>
      </c>
      <c r="D2811" s="7" t="str">
        <f t="shared" si="346"/>
        <v>Mar</v>
      </c>
      <c r="E2811" s="7" t="str">
        <f t="shared" si="347"/>
        <v>Fri</v>
      </c>
      <c r="F2811" t="s">
        <v>541</v>
      </c>
      <c r="G2811" t="s">
        <v>65</v>
      </c>
      <c r="H2811" t="s">
        <v>17</v>
      </c>
      <c r="I2811" s="2" t="str">
        <f t="shared" si="344"/>
        <v>South</v>
      </c>
      <c r="J2811" t="s">
        <v>306</v>
      </c>
      <c r="K2811" t="s">
        <v>13</v>
      </c>
      <c r="L2811">
        <v>20</v>
      </c>
      <c r="M2811">
        <v>120</v>
      </c>
      <c r="N2811">
        <f t="shared" si="348"/>
        <v>2400</v>
      </c>
      <c r="O2811">
        <f t="shared" si="349"/>
        <v>240</v>
      </c>
      <c r="P2811" t="str">
        <f t="shared" si="350"/>
        <v>Large Order</v>
      </c>
      <c r="Q2811" t="str">
        <f t="shared" si="351"/>
        <v>Weekday</v>
      </c>
    </row>
    <row r="2812" spans="1:17" x14ac:dyDescent="0.35">
      <c r="A2812" t="s">
        <v>2962</v>
      </c>
      <c r="B2812" s="7">
        <v>45323</v>
      </c>
      <c r="C2812" s="13">
        <f t="shared" si="345"/>
        <v>2024</v>
      </c>
      <c r="D2812" s="7" t="str">
        <f t="shared" si="346"/>
        <v>Feb</v>
      </c>
      <c r="E2812" s="7" t="str">
        <f t="shared" si="347"/>
        <v>Thu</v>
      </c>
      <c r="F2812" t="s">
        <v>83</v>
      </c>
      <c r="G2812" t="s">
        <v>87</v>
      </c>
      <c r="H2812" t="s">
        <v>17</v>
      </c>
      <c r="I2812" s="2" t="str">
        <f t="shared" si="344"/>
        <v>South</v>
      </c>
      <c r="J2812" t="s">
        <v>56</v>
      </c>
      <c r="K2812" t="s">
        <v>13</v>
      </c>
      <c r="L2812">
        <v>7</v>
      </c>
      <c r="M2812">
        <v>120</v>
      </c>
      <c r="N2812">
        <f t="shared" si="348"/>
        <v>840</v>
      </c>
      <c r="O2812">
        <f t="shared" si="349"/>
        <v>84</v>
      </c>
      <c r="P2812" t="str">
        <f t="shared" si="350"/>
        <v>Large Order</v>
      </c>
      <c r="Q2812" t="str">
        <f t="shared" si="351"/>
        <v>Weekday</v>
      </c>
    </row>
    <row r="2813" spans="1:17" x14ac:dyDescent="0.35">
      <c r="A2813" t="s">
        <v>2963</v>
      </c>
      <c r="B2813" s="7">
        <v>45642</v>
      </c>
      <c r="C2813" s="13">
        <f t="shared" si="345"/>
        <v>2024</v>
      </c>
      <c r="D2813" s="7" t="str">
        <f t="shared" si="346"/>
        <v>Dec</v>
      </c>
      <c r="E2813" s="7" t="str">
        <f t="shared" si="347"/>
        <v>Mon</v>
      </c>
      <c r="F2813" t="s">
        <v>309</v>
      </c>
      <c r="G2813" t="s">
        <v>26</v>
      </c>
      <c r="H2813" t="s">
        <v>17</v>
      </c>
      <c r="I2813" s="2" t="str">
        <f t="shared" si="344"/>
        <v>West</v>
      </c>
      <c r="J2813" t="s">
        <v>56</v>
      </c>
      <c r="K2813" t="s">
        <v>13</v>
      </c>
      <c r="L2813">
        <v>5</v>
      </c>
      <c r="M2813">
        <v>120</v>
      </c>
      <c r="N2813">
        <f t="shared" si="348"/>
        <v>600</v>
      </c>
      <c r="O2813">
        <f t="shared" si="349"/>
        <v>60</v>
      </c>
      <c r="P2813" t="str">
        <f t="shared" si="350"/>
        <v>Large Order</v>
      </c>
      <c r="Q2813" t="str">
        <f t="shared" si="351"/>
        <v>Weekday</v>
      </c>
    </row>
    <row r="2814" spans="1:17" x14ac:dyDescent="0.35">
      <c r="A2814" t="s">
        <v>2964</v>
      </c>
      <c r="B2814" s="7">
        <v>45499</v>
      </c>
      <c r="C2814" s="13">
        <f t="shared" si="345"/>
        <v>2024</v>
      </c>
      <c r="D2814" s="7" t="str">
        <f t="shared" si="346"/>
        <v>Jul</v>
      </c>
      <c r="E2814" s="7" t="str">
        <f t="shared" si="347"/>
        <v>Fri</v>
      </c>
      <c r="F2814" t="s">
        <v>81</v>
      </c>
      <c r="G2814" t="s">
        <v>74</v>
      </c>
      <c r="H2814" t="s">
        <v>22</v>
      </c>
      <c r="I2814" s="2" t="str">
        <f t="shared" si="344"/>
        <v>West</v>
      </c>
      <c r="J2814" t="s">
        <v>27</v>
      </c>
      <c r="K2814" t="s">
        <v>23</v>
      </c>
      <c r="L2814">
        <v>17</v>
      </c>
      <c r="M2814">
        <v>120</v>
      </c>
      <c r="N2814">
        <f t="shared" si="348"/>
        <v>2040</v>
      </c>
      <c r="O2814">
        <f t="shared" si="349"/>
        <v>204</v>
      </c>
      <c r="P2814" t="str">
        <f t="shared" si="350"/>
        <v>Large Order</v>
      </c>
      <c r="Q2814" t="str">
        <f t="shared" si="351"/>
        <v>Weekday</v>
      </c>
    </row>
    <row r="2815" spans="1:17" x14ac:dyDescent="0.35">
      <c r="A2815" t="s">
        <v>2965</v>
      </c>
      <c r="B2815" s="7">
        <v>45424</v>
      </c>
      <c r="C2815" s="13">
        <f t="shared" si="345"/>
        <v>2024</v>
      </c>
      <c r="D2815" s="7" t="str">
        <f t="shared" si="346"/>
        <v>May</v>
      </c>
      <c r="E2815" s="7" t="str">
        <f t="shared" si="347"/>
        <v>Sun</v>
      </c>
      <c r="F2815" t="s">
        <v>44</v>
      </c>
      <c r="G2815" t="s">
        <v>79</v>
      </c>
      <c r="H2815" t="s">
        <v>11</v>
      </c>
      <c r="I2815" s="2" t="str">
        <f t="shared" si="344"/>
        <v>Central</v>
      </c>
      <c r="J2815" t="s">
        <v>27</v>
      </c>
      <c r="K2815" t="s">
        <v>32</v>
      </c>
      <c r="L2815">
        <v>10</v>
      </c>
      <c r="M2815">
        <v>120</v>
      </c>
      <c r="N2815">
        <f t="shared" si="348"/>
        <v>1200</v>
      </c>
      <c r="O2815">
        <f t="shared" si="349"/>
        <v>120</v>
      </c>
      <c r="P2815" t="str">
        <f t="shared" si="350"/>
        <v>Large Order</v>
      </c>
      <c r="Q2815" t="str">
        <f t="shared" si="351"/>
        <v>Weekend</v>
      </c>
    </row>
    <row r="2816" spans="1:17" x14ac:dyDescent="0.35">
      <c r="A2816" t="s">
        <v>2966</v>
      </c>
      <c r="B2816" s="7">
        <v>45470</v>
      </c>
      <c r="C2816" s="13">
        <f t="shared" si="345"/>
        <v>2024</v>
      </c>
      <c r="D2816" s="7" t="str">
        <f t="shared" si="346"/>
        <v>Jun</v>
      </c>
      <c r="E2816" s="7" t="str">
        <f t="shared" si="347"/>
        <v>Thu</v>
      </c>
      <c r="F2816" t="s">
        <v>572</v>
      </c>
      <c r="G2816" t="s">
        <v>35</v>
      </c>
      <c r="H2816" t="s">
        <v>17</v>
      </c>
      <c r="I2816" s="2" t="str">
        <f t="shared" si="344"/>
        <v>Central</v>
      </c>
      <c r="J2816" t="s">
        <v>306</v>
      </c>
      <c r="K2816" t="s">
        <v>28</v>
      </c>
      <c r="L2816">
        <v>14</v>
      </c>
      <c r="M2816">
        <v>120</v>
      </c>
      <c r="N2816">
        <f t="shared" si="348"/>
        <v>1680</v>
      </c>
      <c r="O2816">
        <f t="shared" si="349"/>
        <v>168</v>
      </c>
      <c r="P2816" t="str">
        <f t="shared" si="350"/>
        <v>Large Order</v>
      </c>
      <c r="Q2816" t="str">
        <f t="shared" si="351"/>
        <v>Weekday</v>
      </c>
    </row>
    <row r="2817" spans="1:17" x14ac:dyDescent="0.35">
      <c r="A2817" t="s">
        <v>2967</v>
      </c>
      <c r="B2817" s="7">
        <v>45646</v>
      </c>
      <c r="C2817" s="13">
        <f t="shared" si="345"/>
        <v>2024</v>
      </c>
      <c r="D2817" s="7" t="str">
        <f t="shared" si="346"/>
        <v>Dec</v>
      </c>
      <c r="E2817" s="7" t="str">
        <f t="shared" si="347"/>
        <v>Fri</v>
      </c>
      <c r="F2817" t="s">
        <v>314</v>
      </c>
      <c r="G2817" t="s">
        <v>31</v>
      </c>
      <c r="H2817" t="s">
        <v>11</v>
      </c>
      <c r="I2817" s="2" t="str">
        <f t="shared" si="344"/>
        <v>East</v>
      </c>
      <c r="J2817" t="s">
        <v>306</v>
      </c>
      <c r="K2817" t="s">
        <v>36</v>
      </c>
      <c r="L2817">
        <v>7</v>
      </c>
      <c r="M2817">
        <v>120</v>
      </c>
      <c r="N2817">
        <f t="shared" si="348"/>
        <v>840</v>
      </c>
      <c r="O2817">
        <f t="shared" si="349"/>
        <v>84</v>
      </c>
      <c r="P2817" t="str">
        <f t="shared" si="350"/>
        <v>Large Order</v>
      </c>
      <c r="Q2817" t="str">
        <f t="shared" si="351"/>
        <v>Weekday</v>
      </c>
    </row>
    <row r="2818" spans="1:17" x14ac:dyDescent="0.35">
      <c r="A2818" t="s">
        <v>2968</v>
      </c>
      <c r="B2818" s="7">
        <v>45633</v>
      </c>
      <c r="C2818" s="13">
        <f t="shared" si="345"/>
        <v>2024</v>
      </c>
      <c r="D2818" s="7" t="str">
        <f t="shared" si="346"/>
        <v>Dec</v>
      </c>
      <c r="E2818" s="7" t="str">
        <f t="shared" si="347"/>
        <v>Sat</v>
      </c>
      <c r="F2818" t="s">
        <v>361</v>
      </c>
      <c r="G2818" t="s">
        <v>109</v>
      </c>
      <c r="H2818" t="s">
        <v>11</v>
      </c>
      <c r="I2818" s="2" t="str">
        <f t="shared" si="344"/>
        <v>North</v>
      </c>
      <c r="J2818" t="s">
        <v>42</v>
      </c>
      <c r="K2818" t="s">
        <v>32</v>
      </c>
      <c r="L2818">
        <v>1</v>
      </c>
      <c r="M2818">
        <v>120</v>
      </c>
      <c r="N2818">
        <f t="shared" si="348"/>
        <v>120</v>
      </c>
      <c r="O2818">
        <f t="shared" si="349"/>
        <v>12</v>
      </c>
      <c r="P2818" t="str">
        <f t="shared" si="350"/>
        <v>Standard Order</v>
      </c>
      <c r="Q2818" t="str">
        <f t="shared" si="351"/>
        <v>Weekend</v>
      </c>
    </row>
    <row r="2819" spans="1:17" x14ac:dyDescent="0.35">
      <c r="A2819" t="s">
        <v>2969</v>
      </c>
      <c r="B2819" s="7">
        <v>45526</v>
      </c>
      <c r="C2819" s="13">
        <f t="shared" si="345"/>
        <v>2024</v>
      </c>
      <c r="D2819" s="7" t="str">
        <f t="shared" si="346"/>
        <v>Aug</v>
      </c>
      <c r="E2819" s="7" t="str">
        <f t="shared" si="347"/>
        <v>Thu</v>
      </c>
      <c r="F2819" t="s">
        <v>167</v>
      </c>
      <c r="G2819" t="s">
        <v>35</v>
      </c>
      <c r="H2819" t="s">
        <v>17</v>
      </c>
      <c r="I2819" s="2" t="str">
        <f t="shared" ref="I2819:I2882" si="352">TRIM(J2820)</f>
        <v>West</v>
      </c>
      <c r="J2819" t="s">
        <v>12</v>
      </c>
      <c r="K2819" t="s">
        <v>23</v>
      </c>
      <c r="L2819">
        <v>9</v>
      </c>
      <c r="M2819">
        <v>120</v>
      </c>
      <c r="N2819">
        <f t="shared" si="348"/>
        <v>1080</v>
      </c>
      <c r="O2819">
        <f t="shared" si="349"/>
        <v>108</v>
      </c>
      <c r="P2819" t="str">
        <f t="shared" si="350"/>
        <v>Large Order</v>
      </c>
      <c r="Q2819" t="str">
        <f t="shared" si="351"/>
        <v>Weekday</v>
      </c>
    </row>
    <row r="2820" spans="1:17" x14ac:dyDescent="0.35">
      <c r="A2820" t="s">
        <v>2970</v>
      </c>
      <c r="B2820" s="7">
        <v>45293</v>
      </c>
      <c r="C2820" s="13">
        <f t="shared" ref="C2820:C2883" si="353">YEAR(B2820)</f>
        <v>2024</v>
      </c>
      <c r="D2820" s="7" t="str">
        <f t="shared" ref="D2820:D2883" si="354">TEXT(B2820,"mmm")</f>
        <v>Jan</v>
      </c>
      <c r="E2820" s="7" t="str">
        <f t="shared" ref="E2820:E2883" si="355">TEXT(B2820,"ddd")</f>
        <v>Tue</v>
      </c>
      <c r="F2820" t="s">
        <v>430</v>
      </c>
      <c r="G2820" t="s">
        <v>16</v>
      </c>
      <c r="H2820" t="s">
        <v>22</v>
      </c>
      <c r="I2820" s="2" t="str">
        <f t="shared" si="352"/>
        <v>South</v>
      </c>
      <c r="J2820" t="s">
        <v>27</v>
      </c>
      <c r="K2820" t="s">
        <v>36</v>
      </c>
      <c r="L2820">
        <v>4</v>
      </c>
      <c r="M2820">
        <v>120</v>
      </c>
      <c r="N2820">
        <f t="shared" ref="N2820:N2883" si="356">M2820*L2820</f>
        <v>480</v>
      </c>
      <c r="O2820">
        <f t="shared" ref="O2820:O2883" si="357">N2820*0.1</f>
        <v>48</v>
      </c>
      <c r="P2820" t="str">
        <f t="shared" ref="P2820:P2883" si="358">IF(N2820&gt;500,"Large Order","Standard Order")</f>
        <v>Standard Order</v>
      </c>
      <c r="Q2820" t="str">
        <f t="shared" ref="Q2820:Q2883" si="359">IF(OR(TRIM(E2820)="Sat",TRIM(E2820)="Sun"),"Weekend","Weekday")</f>
        <v>Weekday</v>
      </c>
    </row>
    <row r="2821" spans="1:17" x14ac:dyDescent="0.35">
      <c r="A2821" t="s">
        <v>2971</v>
      </c>
      <c r="B2821" s="7">
        <v>45388</v>
      </c>
      <c r="C2821" s="13">
        <f t="shared" si="353"/>
        <v>2024</v>
      </c>
      <c r="D2821" s="7" t="str">
        <f t="shared" si="354"/>
        <v>Apr</v>
      </c>
      <c r="E2821" s="7" t="str">
        <f t="shared" si="355"/>
        <v>Sat</v>
      </c>
      <c r="F2821" t="s">
        <v>572</v>
      </c>
      <c r="G2821" t="s">
        <v>62</v>
      </c>
      <c r="H2821" t="s">
        <v>22</v>
      </c>
      <c r="I2821" s="2" t="str">
        <f t="shared" si="352"/>
        <v>North</v>
      </c>
      <c r="J2821" t="s">
        <v>56</v>
      </c>
      <c r="K2821" t="s">
        <v>36</v>
      </c>
      <c r="L2821">
        <v>13</v>
      </c>
      <c r="M2821">
        <v>120</v>
      </c>
      <c r="N2821">
        <f t="shared" si="356"/>
        <v>1560</v>
      </c>
      <c r="O2821">
        <f t="shared" si="357"/>
        <v>156</v>
      </c>
      <c r="P2821" t="str">
        <f t="shared" si="358"/>
        <v>Large Order</v>
      </c>
      <c r="Q2821" t="str">
        <f t="shared" si="359"/>
        <v>Weekend</v>
      </c>
    </row>
    <row r="2822" spans="1:17" x14ac:dyDescent="0.35">
      <c r="A2822" t="s">
        <v>2972</v>
      </c>
      <c r="B2822" s="7">
        <v>45399</v>
      </c>
      <c r="C2822" s="13">
        <f t="shared" si="353"/>
        <v>2024</v>
      </c>
      <c r="D2822" s="7" t="str">
        <f t="shared" si="354"/>
        <v>Apr</v>
      </c>
      <c r="E2822" s="7" t="str">
        <f t="shared" si="355"/>
        <v>Wed</v>
      </c>
      <c r="F2822" t="s">
        <v>150</v>
      </c>
      <c r="G2822" t="s">
        <v>41</v>
      </c>
      <c r="H2822" t="s">
        <v>22</v>
      </c>
      <c r="I2822" s="2" t="str">
        <f t="shared" si="352"/>
        <v>West</v>
      </c>
      <c r="J2822" t="s">
        <v>12</v>
      </c>
      <c r="K2822" t="s">
        <v>32</v>
      </c>
      <c r="L2822">
        <v>12</v>
      </c>
      <c r="M2822">
        <v>120</v>
      </c>
      <c r="N2822">
        <f t="shared" si="356"/>
        <v>1440</v>
      </c>
      <c r="O2822">
        <f t="shared" si="357"/>
        <v>144</v>
      </c>
      <c r="P2822" t="str">
        <f t="shared" si="358"/>
        <v>Large Order</v>
      </c>
      <c r="Q2822" t="str">
        <f t="shared" si="359"/>
        <v>Weekday</v>
      </c>
    </row>
    <row r="2823" spans="1:17" x14ac:dyDescent="0.35">
      <c r="A2823" t="s">
        <v>2973</v>
      </c>
      <c r="B2823" s="7">
        <v>45449</v>
      </c>
      <c r="C2823" s="13">
        <f t="shared" si="353"/>
        <v>2024</v>
      </c>
      <c r="D2823" s="7" t="str">
        <f t="shared" si="354"/>
        <v>Jun</v>
      </c>
      <c r="E2823" s="7" t="str">
        <f t="shared" si="355"/>
        <v>Thu</v>
      </c>
      <c r="F2823" t="s">
        <v>358</v>
      </c>
      <c r="G2823" t="s">
        <v>102</v>
      </c>
      <c r="H2823" t="s">
        <v>22</v>
      </c>
      <c r="I2823" s="2" t="str">
        <f t="shared" si="352"/>
        <v>East</v>
      </c>
      <c r="J2823" t="s">
        <v>27</v>
      </c>
      <c r="K2823" t="s">
        <v>23</v>
      </c>
      <c r="L2823">
        <v>14</v>
      </c>
      <c r="M2823">
        <v>120</v>
      </c>
      <c r="N2823">
        <f t="shared" si="356"/>
        <v>1680</v>
      </c>
      <c r="O2823">
        <f t="shared" si="357"/>
        <v>168</v>
      </c>
      <c r="P2823" t="str">
        <f t="shared" si="358"/>
        <v>Large Order</v>
      </c>
      <c r="Q2823" t="str">
        <f t="shared" si="359"/>
        <v>Weekday</v>
      </c>
    </row>
    <row r="2824" spans="1:17" x14ac:dyDescent="0.35">
      <c r="A2824" t="s">
        <v>2974</v>
      </c>
      <c r="B2824" s="7">
        <v>45472</v>
      </c>
      <c r="C2824" s="13">
        <f t="shared" si="353"/>
        <v>2024</v>
      </c>
      <c r="D2824" s="7" t="str">
        <f t="shared" si="354"/>
        <v>Jun</v>
      </c>
      <c r="E2824" s="7" t="str">
        <f t="shared" si="355"/>
        <v>Sat</v>
      </c>
      <c r="F2824" t="s">
        <v>591</v>
      </c>
      <c r="G2824" t="s">
        <v>87</v>
      </c>
      <c r="H2824" t="s">
        <v>22</v>
      </c>
      <c r="I2824" s="2" t="str">
        <f t="shared" si="352"/>
        <v>South</v>
      </c>
      <c r="J2824" t="s">
        <v>42</v>
      </c>
      <c r="K2824" t="s">
        <v>13</v>
      </c>
      <c r="L2824">
        <v>6</v>
      </c>
      <c r="M2824">
        <v>120</v>
      </c>
      <c r="N2824">
        <f t="shared" si="356"/>
        <v>720</v>
      </c>
      <c r="O2824">
        <f t="shared" si="357"/>
        <v>72</v>
      </c>
      <c r="P2824" t="str">
        <f t="shared" si="358"/>
        <v>Large Order</v>
      </c>
      <c r="Q2824" t="str">
        <f t="shared" si="359"/>
        <v>Weekend</v>
      </c>
    </row>
    <row r="2825" spans="1:17" x14ac:dyDescent="0.35">
      <c r="A2825" t="s">
        <v>2975</v>
      </c>
      <c r="B2825" s="7">
        <v>45483</v>
      </c>
      <c r="C2825" s="13">
        <f t="shared" si="353"/>
        <v>2024</v>
      </c>
      <c r="D2825" s="7" t="str">
        <f t="shared" si="354"/>
        <v>Jul</v>
      </c>
      <c r="E2825" s="7" t="str">
        <f t="shared" si="355"/>
        <v>Wed</v>
      </c>
      <c r="F2825" t="s">
        <v>235</v>
      </c>
      <c r="G2825" t="s">
        <v>174</v>
      </c>
      <c r="H2825" t="s">
        <v>22</v>
      </c>
      <c r="I2825" s="2" t="str">
        <f t="shared" si="352"/>
        <v>East</v>
      </c>
      <c r="J2825" t="s">
        <v>56</v>
      </c>
      <c r="K2825" t="s">
        <v>36</v>
      </c>
      <c r="L2825">
        <v>14</v>
      </c>
      <c r="M2825">
        <v>120</v>
      </c>
      <c r="N2825">
        <f t="shared" si="356"/>
        <v>1680</v>
      </c>
      <c r="O2825">
        <f t="shared" si="357"/>
        <v>168</v>
      </c>
      <c r="P2825" t="str">
        <f t="shared" si="358"/>
        <v>Large Order</v>
      </c>
      <c r="Q2825" t="str">
        <f t="shared" si="359"/>
        <v>Weekday</v>
      </c>
    </row>
    <row r="2826" spans="1:17" x14ac:dyDescent="0.35">
      <c r="A2826" t="s">
        <v>2976</v>
      </c>
      <c r="B2826" s="7">
        <v>45629</v>
      </c>
      <c r="C2826" s="13">
        <f t="shared" si="353"/>
        <v>2024</v>
      </c>
      <c r="D2826" s="7" t="str">
        <f t="shared" si="354"/>
        <v>Dec</v>
      </c>
      <c r="E2826" s="7" t="str">
        <f t="shared" si="355"/>
        <v>Tue</v>
      </c>
      <c r="F2826" t="s">
        <v>465</v>
      </c>
      <c r="G2826" t="s">
        <v>41</v>
      </c>
      <c r="H2826" t="s">
        <v>17</v>
      </c>
      <c r="I2826" s="2" t="str">
        <f t="shared" si="352"/>
        <v>Central</v>
      </c>
      <c r="J2826" t="s">
        <v>42</v>
      </c>
      <c r="K2826" t="s">
        <v>36</v>
      </c>
      <c r="L2826">
        <v>4</v>
      </c>
      <c r="M2826">
        <v>120</v>
      </c>
      <c r="N2826">
        <f t="shared" si="356"/>
        <v>480</v>
      </c>
      <c r="O2826">
        <f t="shared" si="357"/>
        <v>48</v>
      </c>
      <c r="P2826" t="str">
        <f t="shared" si="358"/>
        <v>Standard Order</v>
      </c>
      <c r="Q2826" t="str">
        <f t="shared" si="359"/>
        <v>Weekday</v>
      </c>
    </row>
    <row r="2827" spans="1:17" x14ac:dyDescent="0.35">
      <c r="A2827" t="s">
        <v>2977</v>
      </c>
      <c r="B2827" s="7">
        <v>45345</v>
      </c>
      <c r="C2827" s="13">
        <f t="shared" si="353"/>
        <v>2024</v>
      </c>
      <c r="D2827" s="7" t="str">
        <f t="shared" si="354"/>
        <v>Feb</v>
      </c>
      <c r="E2827" s="7" t="str">
        <f t="shared" si="355"/>
        <v>Fri</v>
      </c>
      <c r="F2827" t="s">
        <v>203</v>
      </c>
      <c r="G2827" t="s">
        <v>21</v>
      </c>
      <c r="H2827" t="s">
        <v>11</v>
      </c>
      <c r="I2827" s="2" t="str">
        <f t="shared" si="352"/>
        <v>West</v>
      </c>
      <c r="J2827" t="s">
        <v>306</v>
      </c>
      <c r="K2827" t="s">
        <v>23</v>
      </c>
      <c r="L2827">
        <v>4</v>
      </c>
      <c r="M2827">
        <v>120</v>
      </c>
      <c r="N2827">
        <f t="shared" si="356"/>
        <v>480</v>
      </c>
      <c r="O2827">
        <f t="shared" si="357"/>
        <v>48</v>
      </c>
      <c r="P2827" t="str">
        <f t="shared" si="358"/>
        <v>Standard Order</v>
      </c>
      <c r="Q2827" t="str">
        <f t="shared" si="359"/>
        <v>Weekday</v>
      </c>
    </row>
    <row r="2828" spans="1:17" x14ac:dyDescent="0.35">
      <c r="A2828" t="s">
        <v>2978</v>
      </c>
      <c r="B2828" s="7">
        <v>45611</v>
      </c>
      <c r="C2828" s="13">
        <f t="shared" si="353"/>
        <v>2024</v>
      </c>
      <c r="D2828" s="7" t="str">
        <f t="shared" si="354"/>
        <v>Nov</v>
      </c>
      <c r="E2828" s="7" t="str">
        <f t="shared" si="355"/>
        <v>Fri</v>
      </c>
      <c r="F2828" t="s">
        <v>591</v>
      </c>
      <c r="G2828" t="s">
        <v>102</v>
      </c>
      <c r="H2828" t="s">
        <v>22</v>
      </c>
      <c r="I2828" s="2" t="str">
        <f t="shared" si="352"/>
        <v>South</v>
      </c>
      <c r="J2828" t="s">
        <v>27</v>
      </c>
      <c r="K2828" t="s">
        <v>36</v>
      </c>
      <c r="L2828">
        <v>19</v>
      </c>
      <c r="M2828">
        <v>120</v>
      </c>
      <c r="N2828">
        <f t="shared" si="356"/>
        <v>2280</v>
      </c>
      <c r="O2828">
        <f t="shared" si="357"/>
        <v>228</v>
      </c>
      <c r="P2828" t="str">
        <f t="shared" si="358"/>
        <v>Large Order</v>
      </c>
      <c r="Q2828" t="str">
        <f t="shared" si="359"/>
        <v>Weekday</v>
      </c>
    </row>
    <row r="2829" spans="1:17" x14ac:dyDescent="0.35">
      <c r="A2829" t="s">
        <v>2979</v>
      </c>
      <c r="B2829" s="7">
        <v>45633</v>
      </c>
      <c r="C2829" s="13">
        <f t="shared" si="353"/>
        <v>2024</v>
      </c>
      <c r="D2829" s="7" t="str">
        <f t="shared" si="354"/>
        <v>Dec</v>
      </c>
      <c r="E2829" s="7" t="str">
        <f t="shared" si="355"/>
        <v>Sat</v>
      </c>
      <c r="F2829" t="s">
        <v>61</v>
      </c>
      <c r="G2829" t="s">
        <v>87</v>
      </c>
      <c r="H2829" t="s">
        <v>11</v>
      </c>
      <c r="I2829" s="2" t="str">
        <f t="shared" si="352"/>
        <v>West</v>
      </c>
      <c r="J2829" t="s">
        <v>56</v>
      </c>
      <c r="K2829" t="s">
        <v>23</v>
      </c>
      <c r="L2829">
        <v>18</v>
      </c>
      <c r="M2829">
        <v>120</v>
      </c>
      <c r="N2829">
        <f t="shared" si="356"/>
        <v>2160</v>
      </c>
      <c r="O2829">
        <f t="shared" si="357"/>
        <v>216</v>
      </c>
      <c r="P2829" t="str">
        <f t="shared" si="358"/>
        <v>Large Order</v>
      </c>
      <c r="Q2829" t="str">
        <f t="shared" si="359"/>
        <v>Weekend</v>
      </c>
    </row>
    <row r="2830" spans="1:17" x14ac:dyDescent="0.35">
      <c r="A2830" t="s">
        <v>2980</v>
      </c>
      <c r="B2830" s="7">
        <v>45392</v>
      </c>
      <c r="C2830" s="13">
        <f t="shared" si="353"/>
        <v>2024</v>
      </c>
      <c r="D2830" s="7" t="str">
        <f t="shared" si="354"/>
        <v>Apr</v>
      </c>
      <c r="E2830" s="7" t="str">
        <f t="shared" si="355"/>
        <v>Wed</v>
      </c>
      <c r="F2830" t="s">
        <v>553</v>
      </c>
      <c r="G2830" t="s">
        <v>102</v>
      </c>
      <c r="H2830" t="s">
        <v>17</v>
      </c>
      <c r="I2830" s="2" t="str">
        <f t="shared" si="352"/>
        <v>East</v>
      </c>
      <c r="J2830" t="s">
        <v>27</v>
      </c>
      <c r="K2830" t="s">
        <v>23</v>
      </c>
      <c r="L2830">
        <v>13</v>
      </c>
      <c r="M2830">
        <v>120</v>
      </c>
      <c r="N2830">
        <f t="shared" si="356"/>
        <v>1560</v>
      </c>
      <c r="O2830">
        <f t="shared" si="357"/>
        <v>156</v>
      </c>
      <c r="P2830" t="str">
        <f t="shared" si="358"/>
        <v>Large Order</v>
      </c>
      <c r="Q2830" t="str">
        <f t="shared" si="359"/>
        <v>Weekday</v>
      </c>
    </row>
    <row r="2831" spans="1:17" x14ac:dyDescent="0.35">
      <c r="A2831" t="s">
        <v>2981</v>
      </c>
      <c r="B2831" s="7">
        <v>45483</v>
      </c>
      <c r="C2831" s="13">
        <f t="shared" si="353"/>
        <v>2024</v>
      </c>
      <c r="D2831" s="7" t="str">
        <f t="shared" si="354"/>
        <v>Jul</v>
      </c>
      <c r="E2831" s="7" t="str">
        <f t="shared" si="355"/>
        <v>Wed</v>
      </c>
      <c r="F2831" t="s">
        <v>728</v>
      </c>
      <c r="G2831" t="s">
        <v>197</v>
      </c>
      <c r="H2831" t="s">
        <v>22</v>
      </c>
      <c r="I2831" s="2" t="str">
        <f t="shared" si="352"/>
        <v>West</v>
      </c>
      <c r="J2831" t="s">
        <v>42</v>
      </c>
      <c r="K2831" t="s">
        <v>32</v>
      </c>
      <c r="L2831">
        <v>9</v>
      </c>
      <c r="M2831">
        <v>120</v>
      </c>
      <c r="N2831">
        <f t="shared" si="356"/>
        <v>1080</v>
      </c>
      <c r="O2831">
        <f t="shared" si="357"/>
        <v>108</v>
      </c>
      <c r="P2831" t="str">
        <f t="shared" si="358"/>
        <v>Large Order</v>
      </c>
      <c r="Q2831" t="str">
        <f t="shared" si="359"/>
        <v>Weekday</v>
      </c>
    </row>
    <row r="2832" spans="1:17" x14ac:dyDescent="0.35">
      <c r="A2832" t="s">
        <v>2982</v>
      </c>
      <c r="B2832" s="7">
        <v>45504</v>
      </c>
      <c r="C2832" s="13">
        <f t="shared" si="353"/>
        <v>2024</v>
      </c>
      <c r="D2832" s="7" t="str">
        <f t="shared" si="354"/>
        <v>Jul</v>
      </c>
      <c r="E2832" s="7" t="str">
        <f t="shared" si="355"/>
        <v>Wed</v>
      </c>
      <c r="F2832" t="s">
        <v>422</v>
      </c>
      <c r="G2832" t="s">
        <v>197</v>
      </c>
      <c r="H2832" t="s">
        <v>11</v>
      </c>
      <c r="I2832" s="2" t="str">
        <f t="shared" si="352"/>
        <v>East</v>
      </c>
      <c r="J2832" t="s">
        <v>27</v>
      </c>
      <c r="K2832" t="s">
        <v>13</v>
      </c>
      <c r="L2832">
        <v>1</v>
      </c>
      <c r="M2832">
        <v>120</v>
      </c>
      <c r="N2832">
        <f t="shared" si="356"/>
        <v>120</v>
      </c>
      <c r="O2832">
        <f t="shared" si="357"/>
        <v>12</v>
      </c>
      <c r="P2832" t="str">
        <f t="shared" si="358"/>
        <v>Standard Order</v>
      </c>
      <c r="Q2832" t="str">
        <f t="shared" si="359"/>
        <v>Weekday</v>
      </c>
    </row>
    <row r="2833" spans="1:17" x14ac:dyDescent="0.35">
      <c r="A2833" t="s">
        <v>2983</v>
      </c>
      <c r="B2833" s="7">
        <v>45483</v>
      </c>
      <c r="C2833" s="13">
        <f t="shared" si="353"/>
        <v>2024</v>
      </c>
      <c r="D2833" s="7" t="str">
        <f t="shared" si="354"/>
        <v>Jul</v>
      </c>
      <c r="E2833" s="7" t="str">
        <f t="shared" si="355"/>
        <v>Wed</v>
      </c>
      <c r="F2833" t="s">
        <v>363</v>
      </c>
      <c r="G2833" t="s">
        <v>84</v>
      </c>
      <c r="H2833" t="s">
        <v>22</v>
      </c>
      <c r="I2833" s="2" t="str">
        <f t="shared" si="352"/>
        <v>South</v>
      </c>
      <c r="J2833" t="s">
        <v>42</v>
      </c>
      <c r="K2833" t="s">
        <v>32</v>
      </c>
      <c r="L2833">
        <v>6</v>
      </c>
      <c r="M2833">
        <v>120</v>
      </c>
      <c r="N2833">
        <f t="shared" si="356"/>
        <v>720</v>
      </c>
      <c r="O2833">
        <f t="shared" si="357"/>
        <v>72</v>
      </c>
      <c r="P2833" t="str">
        <f t="shared" si="358"/>
        <v>Large Order</v>
      </c>
      <c r="Q2833" t="str">
        <f t="shared" si="359"/>
        <v>Weekday</v>
      </c>
    </row>
    <row r="2834" spans="1:17" x14ac:dyDescent="0.35">
      <c r="A2834" t="s">
        <v>2984</v>
      </c>
      <c r="B2834" s="7">
        <v>45512</v>
      </c>
      <c r="C2834" s="13">
        <f t="shared" si="353"/>
        <v>2024</v>
      </c>
      <c r="D2834" s="7" t="str">
        <f t="shared" si="354"/>
        <v>Aug</v>
      </c>
      <c r="E2834" s="7" t="str">
        <f t="shared" si="355"/>
        <v>Thu</v>
      </c>
      <c r="F2834" t="s">
        <v>93</v>
      </c>
      <c r="G2834" t="s">
        <v>174</v>
      </c>
      <c r="H2834" t="s">
        <v>17</v>
      </c>
      <c r="I2834" s="2" t="str">
        <f t="shared" si="352"/>
        <v>West</v>
      </c>
      <c r="J2834" t="s">
        <v>56</v>
      </c>
      <c r="K2834" t="s">
        <v>36</v>
      </c>
      <c r="L2834">
        <v>13</v>
      </c>
      <c r="M2834">
        <v>120</v>
      </c>
      <c r="N2834">
        <f t="shared" si="356"/>
        <v>1560</v>
      </c>
      <c r="O2834">
        <f t="shared" si="357"/>
        <v>156</v>
      </c>
      <c r="P2834" t="str">
        <f t="shared" si="358"/>
        <v>Large Order</v>
      </c>
      <c r="Q2834" t="str">
        <f t="shared" si="359"/>
        <v>Weekday</v>
      </c>
    </row>
    <row r="2835" spans="1:17" x14ac:dyDescent="0.35">
      <c r="A2835" t="s">
        <v>2985</v>
      </c>
      <c r="B2835" s="7">
        <v>45587</v>
      </c>
      <c r="C2835" s="13">
        <f t="shared" si="353"/>
        <v>2024</v>
      </c>
      <c r="D2835" s="7" t="str">
        <f t="shared" si="354"/>
        <v>Oct</v>
      </c>
      <c r="E2835" s="7" t="str">
        <f t="shared" si="355"/>
        <v>Tue</v>
      </c>
      <c r="F2835" t="s">
        <v>309</v>
      </c>
      <c r="G2835" t="s">
        <v>16</v>
      </c>
      <c r="H2835" t="s">
        <v>22</v>
      </c>
      <c r="I2835" s="2" t="str">
        <f t="shared" si="352"/>
        <v>North</v>
      </c>
      <c r="J2835" t="s">
        <v>27</v>
      </c>
      <c r="K2835" t="s">
        <v>28</v>
      </c>
      <c r="L2835">
        <v>13</v>
      </c>
      <c r="M2835">
        <v>120</v>
      </c>
      <c r="N2835">
        <f t="shared" si="356"/>
        <v>1560</v>
      </c>
      <c r="O2835">
        <f t="shared" si="357"/>
        <v>156</v>
      </c>
      <c r="P2835" t="str">
        <f t="shared" si="358"/>
        <v>Large Order</v>
      </c>
      <c r="Q2835" t="str">
        <f t="shared" si="359"/>
        <v>Weekday</v>
      </c>
    </row>
    <row r="2836" spans="1:17" x14ac:dyDescent="0.35">
      <c r="A2836" t="s">
        <v>2986</v>
      </c>
      <c r="B2836" s="7">
        <v>45556</v>
      </c>
      <c r="C2836" s="13">
        <f t="shared" si="353"/>
        <v>2024</v>
      </c>
      <c r="D2836" s="7" t="str">
        <f t="shared" si="354"/>
        <v>Sep</v>
      </c>
      <c r="E2836" s="7" t="str">
        <f t="shared" si="355"/>
        <v>Sat</v>
      </c>
      <c r="F2836" t="s">
        <v>111</v>
      </c>
      <c r="G2836" t="s">
        <v>87</v>
      </c>
      <c r="H2836" t="s">
        <v>11</v>
      </c>
      <c r="I2836" s="2" t="str">
        <f t="shared" si="352"/>
        <v>East</v>
      </c>
      <c r="J2836" t="s">
        <v>12</v>
      </c>
      <c r="K2836" t="s">
        <v>28</v>
      </c>
      <c r="L2836">
        <v>17</v>
      </c>
      <c r="M2836">
        <v>120</v>
      </c>
      <c r="N2836">
        <f t="shared" si="356"/>
        <v>2040</v>
      </c>
      <c r="O2836">
        <f t="shared" si="357"/>
        <v>204</v>
      </c>
      <c r="P2836" t="str">
        <f t="shared" si="358"/>
        <v>Large Order</v>
      </c>
      <c r="Q2836" t="str">
        <f t="shared" si="359"/>
        <v>Weekend</v>
      </c>
    </row>
    <row r="2837" spans="1:17" x14ac:dyDescent="0.35">
      <c r="A2837" t="s">
        <v>2987</v>
      </c>
      <c r="B2837" s="7">
        <v>45587</v>
      </c>
      <c r="C2837" s="13">
        <f t="shared" si="353"/>
        <v>2024</v>
      </c>
      <c r="D2837" s="7" t="str">
        <f t="shared" si="354"/>
        <v>Oct</v>
      </c>
      <c r="E2837" s="7" t="str">
        <f t="shared" si="355"/>
        <v>Tue</v>
      </c>
      <c r="F2837" t="s">
        <v>728</v>
      </c>
      <c r="G2837" t="s">
        <v>31</v>
      </c>
      <c r="H2837" t="s">
        <v>22</v>
      </c>
      <c r="I2837" s="2" t="str">
        <f t="shared" si="352"/>
        <v>West</v>
      </c>
      <c r="J2837" t="s">
        <v>42</v>
      </c>
      <c r="K2837" t="s">
        <v>36</v>
      </c>
      <c r="L2837">
        <v>6</v>
      </c>
      <c r="M2837">
        <v>120</v>
      </c>
      <c r="N2837">
        <f t="shared" si="356"/>
        <v>720</v>
      </c>
      <c r="O2837">
        <f t="shared" si="357"/>
        <v>72</v>
      </c>
      <c r="P2837" t="str">
        <f t="shared" si="358"/>
        <v>Large Order</v>
      </c>
      <c r="Q2837" t="str">
        <f t="shared" si="359"/>
        <v>Weekday</v>
      </c>
    </row>
    <row r="2838" spans="1:17" x14ac:dyDescent="0.35">
      <c r="A2838" t="s">
        <v>2988</v>
      </c>
      <c r="B2838" s="7">
        <v>45396</v>
      </c>
      <c r="C2838" s="13">
        <f t="shared" si="353"/>
        <v>2024</v>
      </c>
      <c r="D2838" s="7" t="str">
        <f t="shared" si="354"/>
        <v>Apr</v>
      </c>
      <c r="E2838" s="7" t="str">
        <f t="shared" si="355"/>
        <v>Sun</v>
      </c>
      <c r="F2838" t="s">
        <v>203</v>
      </c>
      <c r="G2838" t="s">
        <v>10</v>
      </c>
      <c r="H2838" t="s">
        <v>11</v>
      </c>
      <c r="I2838" s="2" t="str">
        <f t="shared" si="352"/>
        <v>Central</v>
      </c>
      <c r="J2838" t="s">
        <v>27</v>
      </c>
      <c r="K2838" t="s">
        <v>13</v>
      </c>
      <c r="L2838">
        <v>19</v>
      </c>
      <c r="M2838">
        <v>120</v>
      </c>
      <c r="N2838">
        <f t="shared" si="356"/>
        <v>2280</v>
      </c>
      <c r="O2838">
        <f t="shared" si="357"/>
        <v>228</v>
      </c>
      <c r="P2838" t="str">
        <f t="shared" si="358"/>
        <v>Large Order</v>
      </c>
      <c r="Q2838" t="str">
        <f t="shared" si="359"/>
        <v>Weekend</v>
      </c>
    </row>
    <row r="2839" spans="1:17" x14ac:dyDescent="0.35">
      <c r="A2839" t="s">
        <v>2989</v>
      </c>
      <c r="B2839" s="7">
        <v>45608</v>
      </c>
      <c r="C2839" s="13">
        <f t="shared" si="353"/>
        <v>2024</v>
      </c>
      <c r="D2839" s="7" t="str">
        <f t="shared" si="354"/>
        <v>Nov</v>
      </c>
      <c r="E2839" s="7" t="str">
        <f t="shared" si="355"/>
        <v>Tue</v>
      </c>
      <c r="F2839" t="s">
        <v>369</v>
      </c>
      <c r="G2839" t="s">
        <v>174</v>
      </c>
      <c r="H2839" t="s">
        <v>11</v>
      </c>
      <c r="I2839" s="2" t="str">
        <f t="shared" si="352"/>
        <v>East</v>
      </c>
      <c r="J2839" t="s">
        <v>306</v>
      </c>
      <c r="K2839" t="s">
        <v>23</v>
      </c>
      <c r="L2839">
        <v>1</v>
      </c>
      <c r="M2839">
        <v>120</v>
      </c>
      <c r="N2839">
        <f t="shared" si="356"/>
        <v>120</v>
      </c>
      <c r="O2839">
        <f t="shared" si="357"/>
        <v>12</v>
      </c>
      <c r="P2839" t="str">
        <f t="shared" si="358"/>
        <v>Standard Order</v>
      </c>
      <c r="Q2839" t="str">
        <f t="shared" si="359"/>
        <v>Weekday</v>
      </c>
    </row>
    <row r="2840" spans="1:17" x14ac:dyDescent="0.35">
      <c r="A2840" t="s">
        <v>2990</v>
      </c>
      <c r="B2840" s="7">
        <v>45358</v>
      </c>
      <c r="C2840" s="13">
        <f t="shared" si="353"/>
        <v>2024</v>
      </c>
      <c r="D2840" s="7" t="str">
        <f t="shared" si="354"/>
        <v>Mar</v>
      </c>
      <c r="E2840" s="7" t="str">
        <f t="shared" si="355"/>
        <v>Thu</v>
      </c>
      <c r="F2840" t="s">
        <v>366</v>
      </c>
      <c r="G2840" t="s">
        <v>21</v>
      </c>
      <c r="H2840" t="s">
        <v>22</v>
      </c>
      <c r="I2840" s="2" t="str">
        <f t="shared" si="352"/>
        <v>South</v>
      </c>
      <c r="J2840" t="s">
        <v>42</v>
      </c>
      <c r="K2840" t="s">
        <v>28</v>
      </c>
      <c r="L2840">
        <v>8</v>
      </c>
      <c r="M2840">
        <v>120</v>
      </c>
      <c r="N2840">
        <f t="shared" si="356"/>
        <v>960</v>
      </c>
      <c r="O2840">
        <f t="shared" si="357"/>
        <v>96</v>
      </c>
      <c r="P2840" t="str">
        <f t="shared" si="358"/>
        <v>Large Order</v>
      </c>
      <c r="Q2840" t="str">
        <f t="shared" si="359"/>
        <v>Weekday</v>
      </c>
    </row>
    <row r="2841" spans="1:17" x14ac:dyDescent="0.35">
      <c r="A2841" t="s">
        <v>2991</v>
      </c>
      <c r="B2841" s="7">
        <v>45405</v>
      </c>
      <c r="C2841" s="13">
        <f t="shared" si="353"/>
        <v>2024</v>
      </c>
      <c r="D2841" s="7" t="str">
        <f t="shared" si="354"/>
        <v>Apr</v>
      </c>
      <c r="E2841" s="7" t="str">
        <f t="shared" si="355"/>
        <v>Tue</v>
      </c>
      <c r="F2841" t="s">
        <v>68</v>
      </c>
      <c r="G2841" t="s">
        <v>65</v>
      </c>
      <c r="H2841" t="s">
        <v>22</v>
      </c>
      <c r="I2841" s="2" t="str">
        <f t="shared" si="352"/>
        <v>North</v>
      </c>
      <c r="J2841" t="s">
        <v>56</v>
      </c>
      <c r="K2841" t="s">
        <v>23</v>
      </c>
      <c r="L2841">
        <v>9</v>
      </c>
      <c r="M2841">
        <v>120</v>
      </c>
      <c r="N2841">
        <f t="shared" si="356"/>
        <v>1080</v>
      </c>
      <c r="O2841">
        <f t="shared" si="357"/>
        <v>108</v>
      </c>
      <c r="P2841" t="str">
        <f t="shared" si="358"/>
        <v>Large Order</v>
      </c>
      <c r="Q2841" t="str">
        <f t="shared" si="359"/>
        <v>Weekday</v>
      </c>
    </row>
    <row r="2842" spans="1:17" x14ac:dyDescent="0.35">
      <c r="A2842" t="s">
        <v>2992</v>
      </c>
      <c r="B2842" s="7">
        <v>45432</v>
      </c>
      <c r="C2842" s="13">
        <f t="shared" si="353"/>
        <v>2024</v>
      </c>
      <c r="D2842" s="7" t="str">
        <f t="shared" si="354"/>
        <v>May</v>
      </c>
      <c r="E2842" s="7" t="str">
        <f t="shared" si="355"/>
        <v>Mon</v>
      </c>
      <c r="F2842" t="s">
        <v>81</v>
      </c>
      <c r="G2842" t="s">
        <v>16</v>
      </c>
      <c r="H2842" t="s">
        <v>22</v>
      </c>
      <c r="I2842" s="2" t="str">
        <f t="shared" si="352"/>
        <v>East</v>
      </c>
      <c r="J2842" t="s">
        <v>12</v>
      </c>
      <c r="K2842" t="s">
        <v>36</v>
      </c>
      <c r="L2842">
        <v>4</v>
      </c>
      <c r="M2842">
        <v>120</v>
      </c>
      <c r="N2842">
        <f t="shared" si="356"/>
        <v>480</v>
      </c>
      <c r="O2842">
        <f t="shared" si="357"/>
        <v>48</v>
      </c>
      <c r="P2842" t="str">
        <f t="shared" si="358"/>
        <v>Standard Order</v>
      </c>
      <c r="Q2842" t="str">
        <f t="shared" si="359"/>
        <v>Weekday</v>
      </c>
    </row>
    <row r="2843" spans="1:17" x14ac:dyDescent="0.35">
      <c r="A2843" t="s">
        <v>2993</v>
      </c>
      <c r="B2843" s="7">
        <v>45597</v>
      </c>
      <c r="C2843" s="13">
        <f t="shared" si="353"/>
        <v>2024</v>
      </c>
      <c r="D2843" s="7" t="str">
        <f t="shared" si="354"/>
        <v>Nov</v>
      </c>
      <c r="E2843" s="7" t="str">
        <f t="shared" si="355"/>
        <v>Fri</v>
      </c>
      <c r="F2843" t="s">
        <v>114</v>
      </c>
      <c r="G2843" t="s">
        <v>102</v>
      </c>
      <c r="H2843" t="s">
        <v>11</v>
      </c>
      <c r="I2843" s="2" t="str">
        <f t="shared" si="352"/>
        <v>North</v>
      </c>
      <c r="J2843" t="s">
        <v>42</v>
      </c>
      <c r="K2843" t="s">
        <v>32</v>
      </c>
      <c r="L2843">
        <v>6</v>
      </c>
      <c r="M2843">
        <v>120</v>
      </c>
      <c r="N2843">
        <f t="shared" si="356"/>
        <v>720</v>
      </c>
      <c r="O2843">
        <f t="shared" si="357"/>
        <v>72</v>
      </c>
      <c r="P2843" t="str">
        <f t="shared" si="358"/>
        <v>Large Order</v>
      </c>
      <c r="Q2843" t="str">
        <f t="shared" si="359"/>
        <v>Weekday</v>
      </c>
    </row>
    <row r="2844" spans="1:17" x14ac:dyDescent="0.35">
      <c r="A2844" t="s">
        <v>2994</v>
      </c>
      <c r="B2844" s="7">
        <v>45545</v>
      </c>
      <c r="C2844" s="13">
        <f t="shared" si="353"/>
        <v>2024</v>
      </c>
      <c r="D2844" s="7" t="str">
        <f t="shared" si="354"/>
        <v>Sep</v>
      </c>
      <c r="E2844" s="7" t="str">
        <f t="shared" si="355"/>
        <v>Tue</v>
      </c>
      <c r="F2844" t="s">
        <v>83</v>
      </c>
      <c r="G2844" t="s">
        <v>65</v>
      </c>
      <c r="H2844" t="s">
        <v>17</v>
      </c>
      <c r="I2844" s="2" t="str">
        <f t="shared" si="352"/>
        <v>West</v>
      </c>
      <c r="J2844" t="s">
        <v>12</v>
      </c>
      <c r="K2844" t="s">
        <v>23</v>
      </c>
      <c r="L2844">
        <v>1</v>
      </c>
      <c r="M2844">
        <v>120</v>
      </c>
      <c r="N2844">
        <f t="shared" si="356"/>
        <v>120</v>
      </c>
      <c r="O2844">
        <f t="shared" si="357"/>
        <v>12</v>
      </c>
      <c r="P2844" t="str">
        <f t="shared" si="358"/>
        <v>Standard Order</v>
      </c>
      <c r="Q2844" t="str">
        <f t="shared" si="359"/>
        <v>Weekday</v>
      </c>
    </row>
    <row r="2845" spans="1:17" x14ac:dyDescent="0.35">
      <c r="A2845" t="s">
        <v>2995</v>
      </c>
      <c r="B2845" s="7">
        <v>45541</v>
      </c>
      <c r="C2845" s="13">
        <f t="shared" si="353"/>
        <v>2024</v>
      </c>
      <c r="D2845" s="7" t="str">
        <f t="shared" si="354"/>
        <v>Sep</v>
      </c>
      <c r="E2845" s="7" t="str">
        <f t="shared" si="355"/>
        <v>Fri</v>
      </c>
      <c r="F2845" t="s">
        <v>451</v>
      </c>
      <c r="G2845" t="s">
        <v>10</v>
      </c>
      <c r="H2845" t="s">
        <v>11</v>
      </c>
      <c r="I2845" s="2" t="str">
        <f t="shared" si="352"/>
        <v>North</v>
      </c>
      <c r="J2845" t="s">
        <v>27</v>
      </c>
      <c r="K2845" t="s">
        <v>23</v>
      </c>
      <c r="L2845">
        <v>11</v>
      </c>
      <c r="M2845">
        <v>120</v>
      </c>
      <c r="N2845">
        <f t="shared" si="356"/>
        <v>1320</v>
      </c>
      <c r="O2845">
        <f t="shared" si="357"/>
        <v>132</v>
      </c>
      <c r="P2845" t="str">
        <f t="shared" si="358"/>
        <v>Large Order</v>
      </c>
      <c r="Q2845" t="str">
        <f t="shared" si="359"/>
        <v>Weekday</v>
      </c>
    </row>
    <row r="2846" spans="1:17" x14ac:dyDescent="0.35">
      <c r="A2846" t="s">
        <v>2996</v>
      </c>
      <c r="B2846" s="7">
        <v>45522</v>
      </c>
      <c r="C2846" s="13">
        <f t="shared" si="353"/>
        <v>2024</v>
      </c>
      <c r="D2846" s="7" t="str">
        <f t="shared" si="354"/>
        <v>Aug</v>
      </c>
      <c r="E2846" s="7" t="str">
        <f t="shared" si="355"/>
        <v>Sun</v>
      </c>
      <c r="F2846" t="s">
        <v>111</v>
      </c>
      <c r="G2846" t="s">
        <v>45</v>
      </c>
      <c r="H2846" t="s">
        <v>17</v>
      </c>
      <c r="I2846" s="2" t="str">
        <f t="shared" si="352"/>
        <v>West</v>
      </c>
      <c r="J2846" t="s">
        <v>12</v>
      </c>
      <c r="K2846" t="s">
        <v>28</v>
      </c>
      <c r="L2846">
        <v>19</v>
      </c>
      <c r="M2846">
        <v>120</v>
      </c>
      <c r="N2846">
        <f t="shared" si="356"/>
        <v>2280</v>
      </c>
      <c r="O2846">
        <f t="shared" si="357"/>
        <v>228</v>
      </c>
      <c r="P2846" t="str">
        <f t="shared" si="358"/>
        <v>Large Order</v>
      </c>
      <c r="Q2846" t="str">
        <f t="shared" si="359"/>
        <v>Weekend</v>
      </c>
    </row>
    <row r="2847" spans="1:17" x14ac:dyDescent="0.35">
      <c r="A2847" t="s">
        <v>2997</v>
      </c>
      <c r="B2847" s="7">
        <v>45308</v>
      </c>
      <c r="C2847" s="13">
        <f t="shared" si="353"/>
        <v>2024</v>
      </c>
      <c r="D2847" s="7" t="str">
        <f t="shared" si="354"/>
        <v>Jan</v>
      </c>
      <c r="E2847" s="7" t="str">
        <f t="shared" si="355"/>
        <v>Wed</v>
      </c>
      <c r="F2847" t="s">
        <v>114</v>
      </c>
      <c r="G2847" t="s">
        <v>72</v>
      </c>
      <c r="H2847" t="s">
        <v>17</v>
      </c>
      <c r="I2847" s="2" t="str">
        <f t="shared" si="352"/>
        <v>North</v>
      </c>
      <c r="J2847" t="s">
        <v>27</v>
      </c>
      <c r="K2847" t="s">
        <v>36</v>
      </c>
      <c r="L2847">
        <v>20</v>
      </c>
      <c r="M2847">
        <v>120</v>
      </c>
      <c r="N2847">
        <f t="shared" si="356"/>
        <v>2400</v>
      </c>
      <c r="O2847">
        <f t="shared" si="357"/>
        <v>240</v>
      </c>
      <c r="P2847" t="str">
        <f t="shared" si="358"/>
        <v>Large Order</v>
      </c>
      <c r="Q2847" t="str">
        <f t="shared" si="359"/>
        <v>Weekday</v>
      </c>
    </row>
    <row r="2848" spans="1:17" x14ac:dyDescent="0.35">
      <c r="A2848" t="s">
        <v>2998</v>
      </c>
      <c r="B2848" s="7">
        <v>45373</v>
      </c>
      <c r="C2848" s="13">
        <f t="shared" si="353"/>
        <v>2024</v>
      </c>
      <c r="D2848" s="7" t="str">
        <f t="shared" si="354"/>
        <v>Mar</v>
      </c>
      <c r="E2848" s="7" t="str">
        <f t="shared" si="355"/>
        <v>Fri</v>
      </c>
      <c r="F2848" t="s">
        <v>363</v>
      </c>
      <c r="G2848" t="s">
        <v>84</v>
      </c>
      <c r="H2848" t="s">
        <v>17</v>
      </c>
      <c r="I2848" s="2" t="str">
        <f t="shared" si="352"/>
        <v>South</v>
      </c>
      <c r="J2848" t="s">
        <v>12</v>
      </c>
      <c r="K2848" t="s">
        <v>28</v>
      </c>
      <c r="L2848">
        <v>20</v>
      </c>
      <c r="M2848">
        <v>120</v>
      </c>
      <c r="N2848">
        <f t="shared" si="356"/>
        <v>2400</v>
      </c>
      <c r="O2848">
        <f t="shared" si="357"/>
        <v>240</v>
      </c>
      <c r="P2848" t="str">
        <f t="shared" si="358"/>
        <v>Large Order</v>
      </c>
      <c r="Q2848" t="str">
        <f t="shared" si="359"/>
        <v>Weekday</v>
      </c>
    </row>
    <row r="2849" spans="1:17" x14ac:dyDescent="0.35">
      <c r="A2849" t="s">
        <v>2999</v>
      </c>
      <c r="B2849" s="7">
        <v>45303</v>
      </c>
      <c r="C2849" s="13">
        <f t="shared" si="353"/>
        <v>2024</v>
      </c>
      <c r="D2849" s="7" t="str">
        <f t="shared" si="354"/>
        <v>Jan</v>
      </c>
      <c r="E2849" s="7" t="str">
        <f t="shared" si="355"/>
        <v>Fri</v>
      </c>
      <c r="F2849" t="s">
        <v>363</v>
      </c>
      <c r="G2849" t="s">
        <v>160</v>
      </c>
      <c r="H2849" t="s">
        <v>11</v>
      </c>
      <c r="I2849" s="2" t="str">
        <f t="shared" si="352"/>
        <v>North</v>
      </c>
      <c r="J2849" t="s">
        <v>56</v>
      </c>
      <c r="K2849" t="s">
        <v>32</v>
      </c>
      <c r="L2849">
        <v>4</v>
      </c>
      <c r="M2849">
        <v>120</v>
      </c>
      <c r="N2849">
        <f t="shared" si="356"/>
        <v>480</v>
      </c>
      <c r="O2849">
        <f t="shared" si="357"/>
        <v>48</v>
      </c>
      <c r="P2849" t="str">
        <f t="shared" si="358"/>
        <v>Standard Order</v>
      </c>
      <c r="Q2849" t="str">
        <f t="shared" si="359"/>
        <v>Weekday</v>
      </c>
    </row>
    <row r="2850" spans="1:17" x14ac:dyDescent="0.35">
      <c r="A2850" t="s">
        <v>3000</v>
      </c>
      <c r="B2850" s="7">
        <v>45307</v>
      </c>
      <c r="C2850" s="13">
        <f t="shared" si="353"/>
        <v>2024</v>
      </c>
      <c r="D2850" s="7" t="str">
        <f t="shared" si="354"/>
        <v>Jan</v>
      </c>
      <c r="E2850" s="7" t="str">
        <f t="shared" si="355"/>
        <v>Tue</v>
      </c>
      <c r="F2850" t="s">
        <v>187</v>
      </c>
      <c r="G2850" t="s">
        <v>16</v>
      </c>
      <c r="H2850" t="s">
        <v>11</v>
      </c>
      <c r="I2850" s="2" t="str">
        <f t="shared" si="352"/>
        <v>Central</v>
      </c>
      <c r="J2850" t="s">
        <v>12</v>
      </c>
      <c r="K2850" t="s">
        <v>28</v>
      </c>
      <c r="L2850">
        <v>9</v>
      </c>
      <c r="M2850">
        <v>120</v>
      </c>
      <c r="N2850">
        <f t="shared" si="356"/>
        <v>1080</v>
      </c>
      <c r="O2850">
        <f t="shared" si="357"/>
        <v>108</v>
      </c>
      <c r="P2850" t="str">
        <f t="shared" si="358"/>
        <v>Large Order</v>
      </c>
      <c r="Q2850" t="str">
        <f t="shared" si="359"/>
        <v>Weekday</v>
      </c>
    </row>
    <row r="2851" spans="1:17" x14ac:dyDescent="0.35">
      <c r="A2851" t="s">
        <v>3001</v>
      </c>
      <c r="B2851" s="7">
        <v>45394</v>
      </c>
      <c r="C2851" s="13">
        <f t="shared" si="353"/>
        <v>2024</v>
      </c>
      <c r="D2851" s="7" t="str">
        <f t="shared" si="354"/>
        <v>Apr</v>
      </c>
      <c r="E2851" s="7" t="str">
        <f t="shared" si="355"/>
        <v>Fri</v>
      </c>
      <c r="F2851" t="s">
        <v>203</v>
      </c>
      <c r="G2851" t="s">
        <v>48</v>
      </c>
      <c r="H2851" t="s">
        <v>22</v>
      </c>
      <c r="I2851" s="2" t="str">
        <f t="shared" si="352"/>
        <v>South</v>
      </c>
      <c r="J2851" t="s">
        <v>306</v>
      </c>
      <c r="K2851" t="s">
        <v>32</v>
      </c>
      <c r="L2851">
        <v>15</v>
      </c>
      <c r="M2851">
        <v>120</v>
      </c>
      <c r="N2851">
        <f t="shared" si="356"/>
        <v>1800</v>
      </c>
      <c r="O2851">
        <f t="shared" si="357"/>
        <v>180</v>
      </c>
      <c r="P2851" t="str">
        <f t="shared" si="358"/>
        <v>Large Order</v>
      </c>
      <c r="Q2851" t="str">
        <f t="shared" si="359"/>
        <v>Weekday</v>
      </c>
    </row>
    <row r="2852" spans="1:17" x14ac:dyDescent="0.35">
      <c r="A2852" t="s">
        <v>3002</v>
      </c>
      <c r="B2852" s="7">
        <v>45545</v>
      </c>
      <c r="C2852" s="13">
        <f t="shared" si="353"/>
        <v>2024</v>
      </c>
      <c r="D2852" s="7" t="str">
        <f t="shared" si="354"/>
        <v>Sep</v>
      </c>
      <c r="E2852" s="7" t="str">
        <f t="shared" si="355"/>
        <v>Tue</v>
      </c>
      <c r="F2852" t="s">
        <v>348</v>
      </c>
      <c r="G2852" t="s">
        <v>160</v>
      </c>
      <c r="H2852" t="s">
        <v>17</v>
      </c>
      <c r="I2852" s="2" t="str">
        <f t="shared" si="352"/>
        <v>Central</v>
      </c>
      <c r="J2852" t="s">
        <v>56</v>
      </c>
      <c r="K2852" t="s">
        <v>32</v>
      </c>
      <c r="L2852">
        <v>6</v>
      </c>
      <c r="M2852">
        <v>120</v>
      </c>
      <c r="N2852">
        <f t="shared" si="356"/>
        <v>720</v>
      </c>
      <c r="O2852">
        <f t="shared" si="357"/>
        <v>72</v>
      </c>
      <c r="P2852" t="str">
        <f t="shared" si="358"/>
        <v>Large Order</v>
      </c>
      <c r="Q2852" t="str">
        <f t="shared" si="359"/>
        <v>Weekday</v>
      </c>
    </row>
    <row r="2853" spans="1:17" x14ac:dyDescent="0.35">
      <c r="A2853" t="s">
        <v>3003</v>
      </c>
      <c r="B2853" s="7">
        <v>45435</v>
      </c>
      <c r="C2853" s="13">
        <f t="shared" si="353"/>
        <v>2024</v>
      </c>
      <c r="D2853" s="7" t="str">
        <f t="shared" si="354"/>
        <v>May</v>
      </c>
      <c r="E2853" s="7" t="str">
        <f t="shared" si="355"/>
        <v>Thu</v>
      </c>
      <c r="F2853" t="s">
        <v>106</v>
      </c>
      <c r="G2853" t="s">
        <v>102</v>
      </c>
      <c r="H2853" t="s">
        <v>22</v>
      </c>
      <c r="I2853" s="2" t="str">
        <f t="shared" si="352"/>
        <v>Central</v>
      </c>
      <c r="J2853" t="s">
        <v>306</v>
      </c>
      <c r="K2853" t="s">
        <v>32</v>
      </c>
      <c r="L2853">
        <v>6</v>
      </c>
      <c r="M2853">
        <v>120</v>
      </c>
      <c r="N2853">
        <f t="shared" si="356"/>
        <v>720</v>
      </c>
      <c r="O2853">
        <f t="shared" si="357"/>
        <v>72</v>
      </c>
      <c r="P2853" t="str">
        <f t="shared" si="358"/>
        <v>Large Order</v>
      </c>
      <c r="Q2853" t="str">
        <f t="shared" si="359"/>
        <v>Weekday</v>
      </c>
    </row>
    <row r="2854" spans="1:17" x14ac:dyDescent="0.35">
      <c r="A2854" t="s">
        <v>3004</v>
      </c>
      <c r="B2854" s="7">
        <v>45541</v>
      </c>
      <c r="C2854" s="13">
        <f t="shared" si="353"/>
        <v>2024</v>
      </c>
      <c r="D2854" s="7" t="str">
        <f t="shared" si="354"/>
        <v>Sep</v>
      </c>
      <c r="E2854" s="7" t="str">
        <f t="shared" si="355"/>
        <v>Fri</v>
      </c>
      <c r="F2854" t="s">
        <v>348</v>
      </c>
      <c r="G2854" t="s">
        <v>70</v>
      </c>
      <c r="H2854" t="s">
        <v>17</v>
      </c>
      <c r="I2854" s="2" t="str">
        <f t="shared" si="352"/>
        <v>Central</v>
      </c>
      <c r="J2854" t="s">
        <v>306</v>
      </c>
      <c r="K2854" t="s">
        <v>32</v>
      </c>
      <c r="L2854">
        <v>11</v>
      </c>
      <c r="M2854">
        <v>120</v>
      </c>
      <c r="N2854">
        <f t="shared" si="356"/>
        <v>1320</v>
      </c>
      <c r="O2854">
        <f t="shared" si="357"/>
        <v>132</v>
      </c>
      <c r="P2854" t="str">
        <f t="shared" si="358"/>
        <v>Large Order</v>
      </c>
      <c r="Q2854" t="str">
        <f t="shared" si="359"/>
        <v>Weekday</v>
      </c>
    </row>
    <row r="2855" spans="1:17" x14ac:dyDescent="0.35">
      <c r="A2855" t="s">
        <v>3005</v>
      </c>
      <c r="B2855" s="7">
        <v>45602</v>
      </c>
      <c r="C2855" s="13">
        <f t="shared" si="353"/>
        <v>2024</v>
      </c>
      <c r="D2855" s="7" t="str">
        <f t="shared" si="354"/>
        <v>Nov</v>
      </c>
      <c r="E2855" s="7" t="str">
        <f t="shared" si="355"/>
        <v>Wed</v>
      </c>
      <c r="F2855" t="s">
        <v>53</v>
      </c>
      <c r="G2855" t="s">
        <v>87</v>
      </c>
      <c r="H2855" t="s">
        <v>11</v>
      </c>
      <c r="I2855" s="2" t="str">
        <f t="shared" si="352"/>
        <v>Central</v>
      </c>
      <c r="J2855" t="s">
        <v>306</v>
      </c>
      <c r="K2855" t="s">
        <v>32</v>
      </c>
      <c r="L2855">
        <v>12</v>
      </c>
      <c r="M2855">
        <v>120</v>
      </c>
      <c r="N2855">
        <f t="shared" si="356"/>
        <v>1440</v>
      </c>
      <c r="O2855">
        <f t="shared" si="357"/>
        <v>144</v>
      </c>
      <c r="P2855" t="str">
        <f t="shared" si="358"/>
        <v>Large Order</v>
      </c>
      <c r="Q2855" t="str">
        <f t="shared" si="359"/>
        <v>Weekday</v>
      </c>
    </row>
    <row r="2856" spans="1:17" x14ac:dyDescent="0.35">
      <c r="A2856" t="s">
        <v>3006</v>
      </c>
      <c r="B2856" s="7">
        <v>45324</v>
      </c>
      <c r="C2856" s="13">
        <f t="shared" si="353"/>
        <v>2024</v>
      </c>
      <c r="D2856" s="7" t="str">
        <f t="shared" si="354"/>
        <v>Feb</v>
      </c>
      <c r="E2856" s="7" t="str">
        <f t="shared" si="355"/>
        <v>Fri</v>
      </c>
      <c r="F2856" t="s">
        <v>430</v>
      </c>
      <c r="G2856" t="s">
        <v>45</v>
      </c>
      <c r="H2856" t="s">
        <v>11</v>
      </c>
      <c r="I2856" s="2" t="str">
        <f t="shared" si="352"/>
        <v>West</v>
      </c>
      <c r="J2856" t="s">
        <v>306</v>
      </c>
      <c r="K2856" t="s">
        <v>32</v>
      </c>
      <c r="L2856">
        <v>19</v>
      </c>
      <c r="M2856">
        <v>120</v>
      </c>
      <c r="N2856">
        <f t="shared" si="356"/>
        <v>2280</v>
      </c>
      <c r="O2856">
        <f t="shared" si="357"/>
        <v>228</v>
      </c>
      <c r="P2856" t="str">
        <f t="shared" si="358"/>
        <v>Large Order</v>
      </c>
      <c r="Q2856" t="str">
        <f t="shared" si="359"/>
        <v>Weekday</v>
      </c>
    </row>
    <row r="2857" spans="1:17" x14ac:dyDescent="0.35">
      <c r="A2857" t="s">
        <v>3007</v>
      </c>
      <c r="B2857" s="7">
        <v>45601</v>
      </c>
      <c r="C2857" s="13">
        <f t="shared" si="353"/>
        <v>2024</v>
      </c>
      <c r="D2857" s="7" t="str">
        <f t="shared" si="354"/>
        <v>Nov</v>
      </c>
      <c r="E2857" s="7" t="str">
        <f t="shared" si="355"/>
        <v>Tue</v>
      </c>
      <c r="F2857" t="s">
        <v>736</v>
      </c>
      <c r="G2857" t="s">
        <v>160</v>
      </c>
      <c r="H2857" t="s">
        <v>17</v>
      </c>
      <c r="I2857" s="2" t="str">
        <f t="shared" si="352"/>
        <v>South</v>
      </c>
      <c r="J2857" t="s">
        <v>27</v>
      </c>
      <c r="K2857" t="s">
        <v>13</v>
      </c>
      <c r="L2857">
        <v>4</v>
      </c>
      <c r="M2857">
        <v>120</v>
      </c>
      <c r="N2857">
        <f t="shared" si="356"/>
        <v>480</v>
      </c>
      <c r="O2857">
        <f t="shared" si="357"/>
        <v>48</v>
      </c>
      <c r="P2857" t="str">
        <f t="shared" si="358"/>
        <v>Standard Order</v>
      </c>
      <c r="Q2857" t="str">
        <f t="shared" si="359"/>
        <v>Weekday</v>
      </c>
    </row>
    <row r="2858" spans="1:17" x14ac:dyDescent="0.35">
      <c r="A2858" t="s">
        <v>3008</v>
      </c>
      <c r="B2858" s="7">
        <v>45457</v>
      </c>
      <c r="C2858" s="13">
        <f t="shared" si="353"/>
        <v>2024</v>
      </c>
      <c r="D2858" s="7" t="str">
        <f t="shared" si="354"/>
        <v>Jun</v>
      </c>
      <c r="E2858" s="7" t="str">
        <f t="shared" si="355"/>
        <v>Fri</v>
      </c>
      <c r="F2858" t="s">
        <v>309</v>
      </c>
      <c r="G2858" t="s">
        <v>45</v>
      </c>
      <c r="H2858" t="s">
        <v>17</v>
      </c>
      <c r="I2858" s="2" t="str">
        <f t="shared" si="352"/>
        <v>North</v>
      </c>
      <c r="J2858" t="s">
        <v>56</v>
      </c>
      <c r="K2858" t="s">
        <v>13</v>
      </c>
      <c r="L2858">
        <v>7</v>
      </c>
      <c r="M2858">
        <v>120</v>
      </c>
      <c r="N2858">
        <f t="shared" si="356"/>
        <v>840</v>
      </c>
      <c r="O2858">
        <f t="shared" si="357"/>
        <v>84</v>
      </c>
      <c r="P2858" t="str">
        <f t="shared" si="358"/>
        <v>Large Order</v>
      </c>
      <c r="Q2858" t="str">
        <f t="shared" si="359"/>
        <v>Weekday</v>
      </c>
    </row>
    <row r="2859" spans="1:17" x14ac:dyDescent="0.35">
      <c r="A2859" t="s">
        <v>3009</v>
      </c>
      <c r="B2859" s="7">
        <v>45482</v>
      </c>
      <c r="C2859" s="13">
        <f t="shared" si="353"/>
        <v>2024</v>
      </c>
      <c r="D2859" s="7" t="str">
        <f t="shared" si="354"/>
        <v>Jul</v>
      </c>
      <c r="E2859" s="7" t="str">
        <f t="shared" si="355"/>
        <v>Tue</v>
      </c>
      <c r="F2859" t="s">
        <v>167</v>
      </c>
      <c r="G2859" t="s">
        <v>119</v>
      </c>
      <c r="H2859" t="s">
        <v>17</v>
      </c>
      <c r="I2859" s="2" t="str">
        <f t="shared" si="352"/>
        <v>East</v>
      </c>
      <c r="J2859" t="s">
        <v>12</v>
      </c>
      <c r="K2859" t="s">
        <v>13</v>
      </c>
      <c r="L2859">
        <v>11</v>
      </c>
      <c r="M2859">
        <v>120</v>
      </c>
      <c r="N2859">
        <f t="shared" si="356"/>
        <v>1320</v>
      </c>
      <c r="O2859">
        <f t="shared" si="357"/>
        <v>132</v>
      </c>
      <c r="P2859" t="str">
        <f t="shared" si="358"/>
        <v>Large Order</v>
      </c>
      <c r="Q2859" t="str">
        <f t="shared" si="359"/>
        <v>Weekday</v>
      </c>
    </row>
    <row r="2860" spans="1:17" x14ac:dyDescent="0.35">
      <c r="A2860" t="s">
        <v>3010</v>
      </c>
      <c r="B2860" s="7">
        <v>45460</v>
      </c>
      <c r="C2860" s="13">
        <f t="shared" si="353"/>
        <v>2024</v>
      </c>
      <c r="D2860" s="7" t="str">
        <f t="shared" si="354"/>
        <v>Jun</v>
      </c>
      <c r="E2860" s="7" t="str">
        <f t="shared" si="355"/>
        <v>Mon</v>
      </c>
      <c r="F2860" t="s">
        <v>133</v>
      </c>
      <c r="G2860" t="s">
        <v>70</v>
      </c>
      <c r="H2860" t="s">
        <v>22</v>
      </c>
      <c r="I2860" s="2" t="str">
        <f t="shared" si="352"/>
        <v>South</v>
      </c>
      <c r="J2860" t="s">
        <v>42</v>
      </c>
      <c r="K2860" t="s">
        <v>28</v>
      </c>
      <c r="L2860">
        <v>18</v>
      </c>
      <c r="M2860">
        <v>120</v>
      </c>
      <c r="N2860">
        <f t="shared" si="356"/>
        <v>2160</v>
      </c>
      <c r="O2860">
        <f t="shared" si="357"/>
        <v>216</v>
      </c>
      <c r="P2860" t="str">
        <f t="shared" si="358"/>
        <v>Large Order</v>
      </c>
      <c r="Q2860" t="str">
        <f t="shared" si="359"/>
        <v>Weekday</v>
      </c>
    </row>
    <row r="2861" spans="1:17" x14ac:dyDescent="0.35">
      <c r="A2861" t="s">
        <v>3011</v>
      </c>
      <c r="B2861" s="7">
        <v>45437</v>
      </c>
      <c r="C2861" s="13">
        <f t="shared" si="353"/>
        <v>2024</v>
      </c>
      <c r="D2861" s="7" t="str">
        <f t="shared" si="354"/>
        <v>May</v>
      </c>
      <c r="E2861" s="7" t="str">
        <f t="shared" si="355"/>
        <v>Sat</v>
      </c>
      <c r="F2861" t="s">
        <v>493</v>
      </c>
      <c r="G2861" t="s">
        <v>65</v>
      </c>
      <c r="H2861" t="s">
        <v>22</v>
      </c>
      <c r="I2861" s="2" t="str">
        <f t="shared" si="352"/>
        <v>West</v>
      </c>
      <c r="J2861" t="s">
        <v>56</v>
      </c>
      <c r="K2861" t="s">
        <v>13</v>
      </c>
      <c r="L2861">
        <v>18</v>
      </c>
      <c r="M2861">
        <v>120</v>
      </c>
      <c r="N2861">
        <f t="shared" si="356"/>
        <v>2160</v>
      </c>
      <c r="O2861">
        <f t="shared" si="357"/>
        <v>216</v>
      </c>
      <c r="P2861" t="str">
        <f t="shared" si="358"/>
        <v>Large Order</v>
      </c>
      <c r="Q2861" t="str">
        <f t="shared" si="359"/>
        <v>Weekend</v>
      </c>
    </row>
    <row r="2862" spans="1:17" x14ac:dyDescent="0.35">
      <c r="A2862" t="s">
        <v>3012</v>
      </c>
      <c r="B2862" s="7">
        <v>45603</v>
      </c>
      <c r="C2862" s="13">
        <f t="shared" si="353"/>
        <v>2024</v>
      </c>
      <c r="D2862" s="7" t="str">
        <f t="shared" si="354"/>
        <v>Nov</v>
      </c>
      <c r="E2862" s="7" t="str">
        <f t="shared" si="355"/>
        <v>Thu</v>
      </c>
      <c r="F2862" t="s">
        <v>317</v>
      </c>
      <c r="G2862" t="s">
        <v>10</v>
      </c>
      <c r="H2862" t="s">
        <v>22</v>
      </c>
      <c r="I2862" s="2" t="str">
        <f t="shared" si="352"/>
        <v>West</v>
      </c>
      <c r="J2862" t="s">
        <v>27</v>
      </c>
      <c r="K2862" t="s">
        <v>23</v>
      </c>
      <c r="L2862">
        <v>11</v>
      </c>
      <c r="M2862">
        <v>120</v>
      </c>
      <c r="N2862">
        <f t="shared" si="356"/>
        <v>1320</v>
      </c>
      <c r="O2862">
        <f t="shared" si="357"/>
        <v>132</v>
      </c>
      <c r="P2862" t="str">
        <f t="shared" si="358"/>
        <v>Large Order</v>
      </c>
      <c r="Q2862" t="str">
        <f t="shared" si="359"/>
        <v>Weekday</v>
      </c>
    </row>
    <row r="2863" spans="1:17" x14ac:dyDescent="0.35">
      <c r="A2863" t="s">
        <v>3013</v>
      </c>
      <c r="B2863" s="7">
        <v>45393</v>
      </c>
      <c r="C2863" s="13">
        <f t="shared" si="353"/>
        <v>2024</v>
      </c>
      <c r="D2863" s="7" t="str">
        <f t="shared" si="354"/>
        <v>Apr</v>
      </c>
      <c r="E2863" s="7" t="str">
        <f t="shared" si="355"/>
        <v>Thu</v>
      </c>
      <c r="F2863" t="s">
        <v>104</v>
      </c>
      <c r="G2863" t="s">
        <v>79</v>
      </c>
      <c r="H2863" t="s">
        <v>17</v>
      </c>
      <c r="I2863" s="2" t="str">
        <f t="shared" si="352"/>
        <v>East</v>
      </c>
      <c r="J2863" t="s">
        <v>27</v>
      </c>
      <c r="K2863" t="s">
        <v>13</v>
      </c>
      <c r="L2863">
        <v>9</v>
      </c>
      <c r="M2863">
        <v>120</v>
      </c>
      <c r="N2863">
        <f t="shared" si="356"/>
        <v>1080</v>
      </c>
      <c r="O2863">
        <f t="shared" si="357"/>
        <v>108</v>
      </c>
      <c r="P2863" t="str">
        <f t="shared" si="358"/>
        <v>Large Order</v>
      </c>
      <c r="Q2863" t="str">
        <f t="shared" si="359"/>
        <v>Weekday</v>
      </c>
    </row>
    <row r="2864" spans="1:17" x14ac:dyDescent="0.35">
      <c r="A2864" t="s">
        <v>3014</v>
      </c>
      <c r="B2864" s="7">
        <v>45355</v>
      </c>
      <c r="C2864" s="13">
        <f t="shared" si="353"/>
        <v>2024</v>
      </c>
      <c r="D2864" s="7" t="str">
        <f t="shared" si="354"/>
        <v>Mar</v>
      </c>
      <c r="E2864" s="7" t="str">
        <f t="shared" si="355"/>
        <v>Mon</v>
      </c>
      <c r="F2864" t="s">
        <v>430</v>
      </c>
      <c r="G2864" t="s">
        <v>45</v>
      </c>
      <c r="H2864" t="s">
        <v>22</v>
      </c>
      <c r="I2864" s="2" t="str">
        <f t="shared" si="352"/>
        <v>Central</v>
      </c>
      <c r="J2864" t="s">
        <v>42</v>
      </c>
      <c r="K2864" t="s">
        <v>36</v>
      </c>
      <c r="L2864">
        <v>13</v>
      </c>
      <c r="M2864">
        <v>120</v>
      </c>
      <c r="N2864">
        <f t="shared" si="356"/>
        <v>1560</v>
      </c>
      <c r="O2864">
        <f t="shared" si="357"/>
        <v>156</v>
      </c>
      <c r="P2864" t="str">
        <f t="shared" si="358"/>
        <v>Large Order</v>
      </c>
      <c r="Q2864" t="str">
        <f t="shared" si="359"/>
        <v>Weekday</v>
      </c>
    </row>
    <row r="2865" spans="1:17" x14ac:dyDescent="0.35">
      <c r="A2865" t="s">
        <v>3015</v>
      </c>
      <c r="B2865" s="7">
        <v>45302</v>
      </c>
      <c r="C2865" s="13">
        <f t="shared" si="353"/>
        <v>2024</v>
      </c>
      <c r="D2865" s="7" t="str">
        <f t="shared" si="354"/>
        <v>Jan</v>
      </c>
      <c r="E2865" s="7" t="str">
        <f t="shared" si="355"/>
        <v>Thu</v>
      </c>
      <c r="F2865" t="s">
        <v>55</v>
      </c>
      <c r="G2865" t="s">
        <v>96</v>
      </c>
      <c r="H2865" t="s">
        <v>22</v>
      </c>
      <c r="I2865" s="2" t="str">
        <f t="shared" si="352"/>
        <v>North</v>
      </c>
      <c r="J2865" t="s">
        <v>306</v>
      </c>
      <c r="K2865" t="s">
        <v>13</v>
      </c>
      <c r="L2865">
        <v>15</v>
      </c>
      <c r="M2865">
        <v>120</v>
      </c>
      <c r="N2865">
        <f t="shared" si="356"/>
        <v>1800</v>
      </c>
      <c r="O2865">
        <f t="shared" si="357"/>
        <v>180</v>
      </c>
      <c r="P2865" t="str">
        <f t="shared" si="358"/>
        <v>Large Order</v>
      </c>
      <c r="Q2865" t="str">
        <f t="shared" si="359"/>
        <v>Weekday</v>
      </c>
    </row>
    <row r="2866" spans="1:17" x14ac:dyDescent="0.35">
      <c r="A2866" t="s">
        <v>3016</v>
      </c>
      <c r="B2866" s="7">
        <v>45498</v>
      </c>
      <c r="C2866" s="13">
        <f t="shared" si="353"/>
        <v>2024</v>
      </c>
      <c r="D2866" s="7" t="str">
        <f t="shared" si="354"/>
        <v>Jul</v>
      </c>
      <c r="E2866" s="7" t="str">
        <f t="shared" si="355"/>
        <v>Thu</v>
      </c>
      <c r="F2866" t="s">
        <v>122</v>
      </c>
      <c r="G2866" t="s">
        <v>174</v>
      </c>
      <c r="H2866" t="s">
        <v>22</v>
      </c>
      <c r="I2866" s="2" t="str">
        <f t="shared" si="352"/>
        <v>East</v>
      </c>
      <c r="J2866" t="s">
        <v>12</v>
      </c>
      <c r="K2866" t="s">
        <v>32</v>
      </c>
      <c r="L2866">
        <v>1</v>
      </c>
      <c r="M2866">
        <v>120</v>
      </c>
      <c r="N2866">
        <f t="shared" si="356"/>
        <v>120</v>
      </c>
      <c r="O2866">
        <f t="shared" si="357"/>
        <v>12</v>
      </c>
      <c r="P2866" t="str">
        <f t="shared" si="358"/>
        <v>Standard Order</v>
      </c>
      <c r="Q2866" t="str">
        <f t="shared" si="359"/>
        <v>Weekday</v>
      </c>
    </row>
    <row r="2867" spans="1:17" x14ac:dyDescent="0.35">
      <c r="A2867" t="s">
        <v>3017</v>
      </c>
      <c r="B2867" s="7">
        <v>45340</v>
      </c>
      <c r="C2867" s="13">
        <f t="shared" si="353"/>
        <v>2024</v>
      </c>
      <c r="D2867" s="7" t="str">
        <f t="shared" si="354"/>
        <v>Feb</v>
      </c>
      <c r="E2867" s="7" t="str">
        <f t="shared" si="355"/>
        <v>Sun</v>
      </c>
      <c r="F2867" t="s">
        <v>572</v>
      </c>
      <c r="G2867" t="s">
        <v>84</v>
      </c>
      <c r="H2867" t="s">
        <v>17</v>
      </c>
      <c r="I2867" s="2" t="str">
        <f t="shared" si="352"/>
        <v>Central</v>
      </c>
      <c r="J2867" t="s">
        <v>42</v>
      </c>
      <c r="K2867" t="s">
        <v>32</v>
      </c>
      <c r="L2867">
        <v>12</v>
      </c>
      <c r="M2867">
        <v>120</v>
      </c>
      <c r="N2867">
        <f t="shared" si="356"/>
        <v>1440</v>
      </c>
      <c r="O2867">
        <f t="shared" si="357"/>
        <v>144</v>
      </c>
      <c r="P2867" t="str">
        <f t="shared" si="358"/>
        <v>Large Order</v>
      </c>
      <c r="Q2867" t="str">
        <f t="shared" si="359"/>
        <v>Weekend</v>
      </c>
    </row>
    <row r="2868" spans="1:17" x14ac:dyDescent="0.35">
      <c r="A2868" t="s">
        <v>3018</v>
      </c>
      <c r="B2868" s="7">
        <v>45576</v>
      </c>
      <c r="C2868" s="13">
        <f t="shared" si="353"/>
        <v>2024</v>
      </c>
      <c r="D2868" s="7" t="str">
        <f t="shared" si="354"/>
        <v>Oct</v>
      </c>
      <c r="E2868" s="7" t="str">
        <f t="shared" si="355"/>
        <v>Fri</v>
      </c>
      <c r="F2868" t="s">
        <v>420</v>
      </c>
      <c r="G2868" t="s">
        <v>72</v>
      </c>
      <c r="H2868" t="s">
        <v>17</v>
      </c>
      <c r="I2868" s="2" t="str">
        <f t="shared" si="352"/>
        <v>East</v>
      </c>
      <c r="J2868" t="s">
        <v>306</v>
      </c>
      <c r="K2868" t="s">
        <v>13</v>
      </c>
      <c r="L2868">
        <v>13</v>
      </c>
      <c r="M2868">
        <v>120</v>
      </c>
      <c r="N2868">
        <f t="shared" si="356"/>
        <v>1560</v>
      </c>
      <c r="O2868">
        <f t="shared" si="357"/>
        <v>156</v>
      </c>
      <c r="P2868" t="str">
        <f t="shared" si="358"/>
        <v>Large Order</v>
      </c>
      <c r="Q2868" t="str">
        <f t="shared" si="359"/>
        <v>Weekday</v>
      </c>
    </row>
    <row r="2869" spans="1:17" x14ac:dyDescent="0.35">
      <c r="A2869" t="s">
        <v>3019</v>
      </c>
      <c r="B2869" s="7">
        <v>45524</v>
      </c>
      <c r="C2869" s="13">
        <f t="shared" si="353"/>
        <v>2024</v>
      </c>
      <c r="D2869" s="7" t="str">
        <f t="shared" si="354"/>
        <v>Aug</v>
      </c>
      <c r="E2869" s="7" t="str">
        <f t="shared" si="355"/>
        <v>Tue</v>
      </c>
      <c r="F2869" t="s">
        <v>432</v>
      </c>
      <c r="G2869" t="s">
        <v>21</v>
      </c>
      <c r="H2869" t="s">
        <v>11</v>
      </c>
      <c r="I2869" s="2" t="str">
        <f t="shared" si="352"/>
        <v>East</v>
      </c>
      <c r="J2869" t="s">
        <v>42</v>
      </c>
      <c r="K2869" t="s">
        <v>36</v>
      </c>
      <c r="L2869">
        <v>4</v>
      </c>
      <c r="M2869">
        <v>120</v>
      </c>
      <c r="N2869">
        <f t="shared" si="356"/>
        <v>480</v>
      </c>
      <c r="O2869">
        <f t="shared" si="357"/>
        <v>48</v>
      </c>
      <c r="P2869" t="str">
        <f t="shared" si="358"/>
        <v>Standard Order</v>
      </c>
      <c r="Q2869" t="str">
        <f t="shared" si="359"/>
        <v>Weekday</v>
      </c>
    </row>
    <row r="2870" spans="1:17" x14ac:dyDescent="0.35">
      <c r="A2870" t="s">
        <v>3020</v>
      </c>
      <c r="B2870" s="7">
        <v>45316</v>
      </c>
      <c r="C2870" s="13">
        <f t="shared" si="353"/>
        <v>2024</v>
      </c>
      <c r="D2870" s="7" t="str">
        <f t="shared" si="354"/>
        <v>Jan</v>
      </c>
      <c r="E2870" s="7" t="str">
        <f t="shared" si="355"/>
        <v>Thu</v>
      </c>
      <c r="F2870" t="s">
        <v>142</v>
      </c>
      <c r="G2870" t="s">
        <v>16</v>
      </c>
      <c r="H2870" t="s">
        <v>11</v>
      </c>
      <c r="I2870" s="2" t="str">
        <f t="shared" si="352"/>
        <v>North</v>
      </c>
      <c r="J2870" t="s">
        <v>42</v>
      </c>
      <c r="K2870" t="s">
        <v>23</v>
      </c>
      <c r="L2870">
        <v>8</v>
      </c>
      <c r="M2870">
        <v>120</v>
      </c>
      <c r="N2870">
        <f t="shared" si="356"/>
        <v>960</v>
      </c>
      <c r="O2870">
        <f t="shared" si="357"/>
        <v>96</v>
      </c>
      <c r="P2870" t="str">
        <f t="shared" si="358"/>
        <v>Large Order</v>
      </c>
      <c r="Q2870" t="str">
        <f t="shared" si="359"/>
        <v>Weekday</v>
      </c>
    </row>
    <row r="2871" spans="1:17" x14ac:dyDescent="0.35">
      <c r="A2871" t="s">
        <v>3021</v>
      </c>
      <c r="B2871" s="7">
        <v>45389</v>
      </c>
      <c r="C2871" s="13">
        <f t="shared" si="353"/>
        <v>2024</v>
      </c>
      <c r="D2871" s="7" t="str">
        <f t="shared" si="354"/>
        <v>Apr</v>
      </c>
      <c r="E2871" s="7" t="str">
        <f t="shared" si="355"/>
        <v>Sun</v>
      </c>
      <c r="F2871" t="s">
        <v>329</v>
      </c>
      <c r="G2871" t="s">
        <v>48</v>
      </c>
      <c r="H2871" t="s">
        <v>22</v>
      </c>
      <c r="I2871" s="2" t="str">
        <f t="shared" si="352"/>
        <v>North</v>
      </c>
      <c r="J2871" t="s">
        <v>12</v>
      </c>
      <c r="K2871" t="s">
        <v>13</v>
      </c>
      <c r="L2871">
        <v>9</v>
      </c>
      <c r="M2871">
        <v>120</v>
      </c>
      <c r="N2871">
        <f t="shared" si="356"/>
        <v>1080</v>
      </c>
      <c r="O2871">
        <f t="shared" si="357"/>
        <v>108</v>
      </c>
      <c r="P2871" t="str">
        <f t="shared" si="358"/>
        <v>Large Order</v>
      </c>
      <c r="Q2871" t="str">
        <f t="shared" si="359"/>
        <v>Weekend</v>
      </c>
    </row>
    <row r="2872" spans="1:17" x14ac:dyDescent="0.35">
      <c r="A2872" t="s">
        <v>3022</v>
      </c>
      <c r="B2872" s="7">
        <v>45314</v>
      </c>
      <c r="C2872" s="13">
        <f t="shared" si="353"/>
        <v>2024</v>
      </c>
      <c r="D2872" s="7" t="str">
        <f t="shared" si="354"/>
        <v>Jan</v>
      </c>
      <c r="E2872" s="7" t="str">
        <f t="shared" si="355"/>
        <v>Tue</v>
      </c>
      <c r="F2872" t="s">
        <v>40</v>
      </c>
      <c r="G2872" t="s">
        <v>79</v>
      </c>
      <c r="H2872" t="s">
        <v>17</v>
      </c>
      <c r="I2872" s="2" t="str">
        <f t="shared" si="352"/>
        <v>South</v>
      </c>
      <c r="J2872" t="s">
        <v>12</v>
      </c>
      <c r="K2872" t="s">
        <v>32</v>
      </c>
      <c r="L2872">
        <v>11</v>
      </c>
      <c r="M2872">
        <v>120</v>
      </c>
      <c r="N2872">
        <f t="shared" si="356"/>
        <v>1320</v>
      </c>
      <c r="O2872">
        <f t="shared" si="357"/>
        <v>132</v>
      </c>
      <c r="P2872" t="str">
        <f t="shared" si="358"/>
        <v>Large Order</v>
      </c>
      <c r="Q2872" t="str">
        <f t="shared" si="359"/>
        <v>Weekday</v>
      </c>
    </row>
    <row r="2873" spans="1:17" x14ac:dyDescent="0.35">
      <c r="A2873" t="s">
        <v>3023</v>
      </c>
      <c r="B2873" s="7">
        <v>45486</v>
      </c>
      <c r="C2873" s="13">
        <f t="shared" si="353"/>
        <v>2024</v>
      </c>
      <c r="D2873" s="7" t="str">
        <f t="shared" si="354"/>
        <v>Jul</v>
      </c>
      <c r="E2873" s="7" t="str">
        <f t="shared" si="355"/>
        <v>Sat</v>
      </c>
      <c r="F2873" t="s">
        <v>101</v>
      </c>
      <c r="G2873" t="s">
        <v>62</v>
      </c>
      <c r="H2873" t="s">
        <v>11</v>
      </c>
      <c r="I2873" s="2" t="str">
        <f t="shared" si="352"/>
        <v>West</v>
      </c>
      <c r="J2873" t="s">
        <v>56</v>
      </c>
      <c r="K2873" t="s">
        <v>36</v>
      </c>
      <c r="L2873">
        <v>15</v>
      </c>
      <c r="M2873">
        <v>120</v>
      </c>
      <c r="N2873">
        <f t="shared" si="356"/>
        <v>1800</v>
      </c>
      <c r="O2873">
        <f t="shared" si="357"/>
        <v>180</v>
      </c>
      <c r="P2873" t="str">
        <f t="shared" si="358"/>
        <v>Large Order</v>
      </c>
      <c r="Q2873" t="str">
        <f t="shared" si="359"/>
        <v>Weekend</v>
      </c>
    </row>
    <row r="2874" spans="1:17" x14ac:dyDescent="0.35">
      <c r="A2874" t="s">
        <v>3024</v>
      </c>
      <c r="B2874" s="7">
        <v>45455</v>
      </c>
      <c r="C2874" s="13">
        <f t="shared" si="353"/>
        <v>2024</v>
      </c>
      <c r="D2874" s="7" t="str">
        <f t="shared" si="354"/>
        <v>Jun</v>
      </c>
      <c r="E2874" s="7" t="str">
        <f t="shared" si="355"/>
        <v>Wed</v>
      </c>
      <c r="F2874" t="s">
        <v>167</v>
      </c>
      <c r="G2874" t="s">
        <v>119</v>
      </c>
      <c r="H2874" t="s">
        <v>22</v>
      </c>
      <c r="I2874" s="2" t="str">
        <f t="shared" si="352"/>
        <v>West</v>
      </c>
      <c r="J2874" t="s">
        <v>27</v>
      </c>
      <c r="K2874" t="s">
        <v>23</v>
      </c>
      <c r="L2874">
        <v>4</v>
      </c>
      <c r="M2874">
        <v>120</v>
      </c>
      <c r="N2874">
        <f t="shared" si="356"/>
        <v>480</v>
      </c>
      <c r="O2874">
        <f t="shared" si="357"/>
        <v>48</v>
      </c>
      <c r="P2874" t="str">
        <f t="shared" si="358"/>
        <v>Standard Order</v>
      </c>
      <c r="Q2874" t="str">
        <f t="shared" si="359"/>
        <v>Weekday</v>
      </c>
    </row>
    <row r="2875" spans="1:17" x14ac:dyDescent="0.35">
      <c r="A2875" t="s">
        <v>3025</v>
      </c>
      <c r="B2875" s="7">
        <v>45415</v>
      </c>
      <c r="C2875" s="13">
        <f t="shared" si="353"/>
        <v>2024</v>
      </c>
      <c r="D2875" s="7" t="str">
        <f t="shared" si="354"/>
        <v>May</v>
      </c>
      <c r="E2875" s="7" t="str">
        <f t="shared" si="355"/>
        <v>Fri</v>
      </c>
      <c r="F2875" t="s">
        <v>314</v>
      </c>
      <c r="G2875" t="s">
        <v>35</v>
      </c>
      <c r="H2875" t="s">
        <v>22</v>
      </c>
      <c r="I2875" s="2" t="str">
        <f t="shared" si="352"/>
        <v>East</v>
      </c>
      <c r="J2875" t="s">
        <v>27</v>
      </c>
      <c r="K2875" t="s">
        <v>32</v>
      </c>
      <c r="L2875">
        <v>11</v>
      </c>
      <c r="M2875">
        <v>120</v>
      </c>
      <c r="N2875">
        <f t="shared" si="356"/>
        <v>1320</v>
      </c>
      <c r="O2875">
        <f t="shared" si="357"/>
        <v>132</v>
      </c>
      <c r="P2875" t="str">
        <f t="shared" si="358"/>
        <v>Large Order</v>
      </c>
      <c r="Q2875" t="str">
        <f t="shared" si="359"/>
        <v>Weekday</v>
      </c>
    </row>
    <row r="2876" spans="1:17" x14ac:dyDescent="0.35">
      <c r="A2876" t="s">
        <v>3026</v>
      </c>
      <c r="B2876" s="7">
        <v>45539</v>
      </c>
      <c r="C2876" s="13">
        <f t="shared" si="353"/>
        <v>2024</v>
      </c>
      <c r="D2876" s="7" t="str">
        <f t="shared" si="354"/>
        <v>Sep</v>
      </c>
      <c r="E2876" s="7" t="str">
        <f t="shared" si="355"/>
        <v>Wed</v>
      </c>
      <c r="F2876" t="s">
        <v>240</v>
      </c>
      <c r="G2876" t="s">
        <v>10</v>
      </c>
      <c r="H2876" t="s">
        <v>17</v>
      </c>
      <c r="I2876" s="2" t="str">
        <f t="shared" si="352"/>
        <v>South</v>
      </c>
      <c r="J2876" t="s">
        <v>42</v>
      </c>
      <c r="K2876" t="s">
        <v>13</v>
      </c>
      <c r="L2876">
        <v>12</v>
      </c>
      <c r="M2876">
        <v>120</v>
      </c>
      <c r="N2876">
        <f t="shared" si="356"/>
        <v>1440</v>
      </c>
      <c r="O2876">
        <f t="shared" si="357"/>
        <v>144</v>
      </c>
      <c r="P2876" t="str">
        <f t="shared" si="358"/>
        <v>Large Order</v>
      </c>
      <c r="Q2876" t="str">
        <f t="shared" si="359"/>
        <v>Weekday</v>
      </c>
    </row>
    <row r="2877" spans="1:17" x14ac:dyDescent="0.35">
      <c r="A2877" t="s">
        <v>3027</v>
      </c>
      <c r="B2877" s="7">
        <v>45416</v>
      </c>
      <c r="C2877" s="13">
        <f t="shared" si="353"/>
        <v>2024</v>
      </c>
      <c r="D2877" s="7" t="str">
        <f t="shared" si="354"/>
        <v>May</v>
      </c>
      <c r="E2877" s="7" t="str">
        <f t="shared" si="355"/>
        <v>Sat</v>
      </c>
      <c r="F2877" t="s">
        <v>371</v>
      </c>
      <c r="G2877" t="s">
        <v>21</v>
      </c>
      <c r="H2877" t="s">
        <v>22</v>
      </c>
      <c r="I2877" s="2" t="str">
        <f t="shared" si="352"/>
        <v>South</v>
      </c>
      <c r="J2877" t="s">
        <v>56</v>
      </c>
      <c r="K2877" t="s">
        <v>13</v>
      </c>
      <c r="L2877">
        <v>3</v>
      </c>
      <c r="M2877">
        <v>120</v>
      </c>
      <c r="N2877">
        <f t="shared" si="356"/>
        <v>360</v>
      </c>
      <c r="O2877">
        <f t="shared" si="357"/>
        <v>36</v>
      </c>
      <c r="P2877" t="str">
        <f t="shared" si="358"/>
        <v>Standard Order</v>
      </c>
      <c r="Q2877" t="str">
        <f t="shared" si="359"/>
        <v>Weekend</v>
      </c>
    </row>
    <row r="2878" spans="1:17" x14ac:dyDescent="0.35">
      <c r="A2878" t="s">
        <v>3028</v>
      </c>
      <c r="B2878" s="7">
        <v>45322</v>
      </c>
      <c r="C2878" s="13">
        <f t="shared" si="353"/>
        <v>2024</v>
      </c>
      <c r="D2878" s="7" t="str">
        <f t="shared" si="354"/>
        <v>Jan</v>
      </c>
      <c r="E2878" s="7" t="str">
        <f t="shared" si="355"/>
        <v>Wed</v>
      </c>
      <c r="F2878" t="s">
        <v>133</v>
      </c>
      <c r="G2878" t="s">
        <v>96</v>
      </c>
      <c r="H2878" t="s">
        <v>22</v>
      </c>
      <c r="I2878" s="2" t="str">
        <f t="shared" si="352"/>
        <v>Central</v>
      </c>
      <c r="J2878" t="s">
        <v>56</v>
      </c>
      <c r="K2878" t="s">
        <v>23</v>
      </c>
      <c r="L2878">
        <v>13</v>
      </c>
      <c r="M2878">
        <v>120</v>
      </c>
      <c r="N2878">
        <f t="shared" si="356"/>
        <v>1560</v>
      </c>
      <c r="O2878">
        <f t="shared" si="357"/>
        <v>156</v>
      </c>
      <c r="P2878" t="str">
        <f t="shared" si="358"/>
        <v>Large Order</v>
      </c>
      <c r="Q2878" t="str">
        <f t="shared" si="359"/>
        <v>Weekday</v>
      </c>
    </row>
    <row r="2879" spans="1:17" x14ac:dyDescent="0.35">
      <c r="A2879" t="s">
        <v>3029</v>
      </c>
      <c r="B2879" s="7">
        <v>45345</v>
      </c>
      <c r="C2879" s="13">
        <f t="shared" si="353"/>
        <v>2024</v>
      </c>
      <c r="D2879" s="7" t="str">
        <f t="shared" si="354"/>
        <v>Feb</v>
      </c>
      <c r="E2879" s="7" t="str">
        <f t="shared" si="355"/>
        <v>Fri</v>
      </c>
      <c r="F2879" t="s">
        <v>47</v>
      </c>
      <c r="G2879" t="s">
        <v>65</v>
      </c>
      <c r="H2879" t="s">
        <v>22</v>
      </c>
      <c r="I2879" s="2" t="str">
        <f t="shared" si="352"/>
        <v>South</v>
      </c>
      <c r="J2879" t="s">
        <v>306</v>
      </c>
      <c r="K2879" t="s">
        <v>36</v>
      </c>
      <c r="L2879">
        <v>11</v>
      </c>
      <c r="M2879">
        <v>120</v>
      </c>
      <c r="N2879">
        <f t="shared" si="356"/>
        <v>1320</v>
      </c>
      <c r="O2879">
        <f t="shared" si="357"/>
        <v>132</v>
      </c>
      <c r="P2879" t="str">
        <f t="shared" si="358"/>
        <v>Large Order</v>
      </c>
      <c r="Q2879" t="str">
        <f t="shared" si="359"/>
        <v>Weekday</v>
      </c>
    </row>
    <row r="2880" spans="1:17" x14ac:dyDescent="0.35">
      <c r="A2880" t="s">
        <v>3030</v>
      </c>
      <c r="B2880" s="7">
        <v>45451</v>
      </c>
      <c r="C2880" s="13">
        <f t="shared" si="353"/>
        <v>2024</v>
      </c>
      <c r="D2880" s="7" t="str">
        <f t="shared" si="354"/>
        <v>Jun</v>
      </c>
      <c r="E2880" s="7" t="str">
        <f t="shared" si="355"/>
        <v>Sat</v>
      </c>
      <c r="F2880" t="s">
        <v>369</v>
      </c>
      <c r="G2880" t="s">
        <v>70</v>
      </c>
      <c r="H2880" t="s">
        <v>22</v>
      </c>
      <c r="I2880" s="2" t="str">
        <f t="shared" si="352"/>
        <v>Central</v>
      </c>
      <c r="J2880" t="s">
        <v>56</v>
      </c>
      <c r="K2880" t="s">
        <v>36</v>
      </c>
      <c r="L2880">
        <v>4</v>
      </c>
      <c r="M2880">
        <v>120</v>
      </c>
      <c r="N2880">
        <f t="shared" si="356"/>
        <v>480</v>
      </c>
      <c r="O2880">
        <f t="shared" si="357"/>
        <v>48</v>
      </c>
      <c r="P2880" t="str">
        <f t="shared" si="358"/>
        <v>Standard Order</v>
      </c>
      <c r="Q2880" t="str">
        <f t="shared" si="359"/>
        <v>Weekend</v>
      </c>
    </row>
    <row r="2881" spans="1:17" x14ac:dyDescent="0.35">
      <c r="A2881" t="s">
        <v>3031</v>
      </c>
      <c r="B2881" s="7">
        <v>45404</v>
      </c>
      <c r="C2881" s="13">
        <f t="shared" si="353"/>
        <v>2024</v>
      </c>
      <c r="D2881" s="7" t="str">
        <f t="shared" si="354"/>
        <v>Apr</v>
      </c>
      <c r="E2881" s="7" t="str">
        <f t="shared" si="355"/>
        <v>Mon</v>
      </c>
      <c r="F2881" t="s">
        <v>83</v>
      </c>
      <c r="G2881" t="s">
        <v>31</v>
      </c>
      <c r="H2881" t="s">
        <v>17</v>
      </c>
      <c r="I2881" s="2" t="str">
        <f t="shared" si="352"/>
        <v>South</v>
      </c>
      <c r="J2881" t="s">
        <v>306</v>
      </c>
      <c r="K2881" t="s">
        <v>36</v>
      </c>
      <c r="L2881">
        <v>7</v>
      </c>
      <c r="M2881">
        <v>120</v>
      </c>
      <c r="N2881">
        <f t="shared" si="356"/>
        <v>840</v>
      </c>
      <c r="O2881">
        <f t="shared" si="357"/>
        <v>84</v>
      </c>
      <c r="P2881" t="str">
        <f t="shared" si="358"/>
        <v>Large Order</v>
      </c>
      <c r="Q2881" t="str">
        <f t="shared" si="359"/>
        <v>Weekday</v>
      </c>
    </row>
    <row r="2882" spans="1:17" x14ac:dyDescent="0.35">
      <c r="A2882" t="s">
        <v>3032</v>
      </c>
      <c r="B2882" s="7">
        <v>45388</v>
      </c>
      <c r="C2882" s="13">
        <f t="shared" si="353"/>
        <v>2024</v>
      </c>
      <c r="D2882" s="7" t="str">
        <f t="shared" si="354"/>
        <v>Apr</v>
      </c>
      <c r="E2882" s="7" t="str">
        <f t="shared" si="355"/>
        <v>Sat</v>
      </c>
      <c r="F2882" t="s">
        <v>58</v>
      </c>
      <c r="G2882" t="s">
        <v>26</v>
      </c>
      <c r="H2882" t="s">
        <v>17</v>
      </c>
      <c r="I2882" s="2" t="str">
        <f t="shared" si="352"/>
        <v>North</v>
      </c>
      <c r="J2882" t="s">
        <v>56</v>
      </c>
      <c r="K2882" t="s">
        <v>32</v>
      </c>
      <c r="L2882">
        <v>19</v>
      </c>
      <c r="M2882">
        <v>120</v>
      </c>
      <c r="N2882">
        <f t="shared" si="356"/>
        <v>2280</v>
      </c>
      <c r="O2882">
        <f t="shared" si="357"/>
        <v>228</v>
      </c>
      <c r="P2882" t="str">
        <f t="shared" si="358"/>
        <v>Large Order</v>
      </c>
      <c r="Q2882" t="str">
        <f t="shared" si="359"/>
        <v>Weekend</v>
      </c>
    </row>
    <row r="2883" spans="1:17" x14ac:dyDescent="0.35">
      <c r="A2883" t="s">
        <v>3033</v>
      </c>
      <c r="B2883" s="7">
        <v>45367</v>
      </c>
      <c r="C2883" s="13">
        <f t="shared" si="353"/>
        <v>2024</v>
      </c>
      <c r="D2883" s="7" t="str">
        <f t="shared" si="354"/>
        <v>Mar</v>
      </c>
      <c r="E2883" s="7" t="str">
        <f t="shared" si="355"/>
        <v>Sat</v>
      </c>
      <c r="F2883" t="s">
        <v>319</v>
      </c>
      <c r="G2883" t="s">
        <v>102</v>
      </c>
      <c r="H2883" t="s">
        <v>22</v>
      </c>
      <c r="I2883" s="2" t="str">
        <f t="shared" ref="I2883:I2946" si="360">TRIM(J2884)</f>
        <v>Central</v>
      </c>
      <c r="J2883" t="s">
        <v>12</v>
      </c>
      <c r="K2883" t="s">
        <v>28</v>
      </c>
      <c r="L2883">
        <v>1</v>
      </c>
      <c r="M2883">
        <v>120</v>
      </c>
      <c r="N2883">
        <f t="shared" si="356"/>
        <v>120</v>
      </c>
      <c r="O2883">
        <f t="shared" si="357"/>
        <v>12</v>
      </c>
      <c r="P2883" t="str">
        <f t="shared" si="358"/>
        <v>Standard Order</v>
      </c>
      <c r="Q2883" t="str">
        <f t="shared" si="359"/>
        <v>Weekend</v>
      </c>
    </row>
    <row r="2884" spans="1:17" x14ac:dyDescent="0.35">
      <c r="A2884" t="s">
        <v>3034</v>
      </c>
      <c r="B2884" s="7">
        <v>45387</v>
      </c>
      <c r="C2884" s="13">
        <f t="shared" ref="C2884:C2947" si="361">YEAR(B2884)</f>
        <v>2024</v>
      </c>
      <c r="D2884" s="7" t="str">
        <f t="shared" ref="D2884:D2947" si="362">TEXT(B2884,"mmm")</f>
        <v>Apr</v>
      </c>
      <c r="E2884" s="7" t="str">
        <f t="shared" ref="E2884:E2947" si="363">TEXT(B2884,"ddd")</f>
        <v>Fri</v>
      </c>
      <c r="F2884" t="s">
        <v>101</v>
      </c>
      <c r="G2884" t="s">
        <v>96</v>
      </c>
      <c r="H2884" t="s">
        <v>17</v>
      </c>
      <c r="I2884" s="2" t="str">
        <f t="shared" si="360"/>
        <v>South</v>
      </c>
      <c r="J2884" t="s">
        <v>306</v>
      </c>
      <c r="K2884" t="s">
        <v>23</v>
      </c>
      <c r="L2884">
        <v>12</v>
      </c>
      <c r="M2884">
        <v>120</v>
      </c>
      <c r="N2884">
        <f t="shared" ref="N2884:N2947" si="364">M2884*L2884</f>
        <v>1440</v>
      </c>
      <c r="O2884">
        <f t="shared" ref="O2884:O2947" si="365">N2884*0.1</f>
        <v>144</v>
      </c>
      <c r="P2884" t="str">
        <f t="shared" ref="P2884:P2947" si="366">IF(N2884&gt;500,"Large Order","Standard Order")</f>
        <v>Large Order</v>
      </c>
      <c r="Q2884" t="str">
        <f t="shared" ref="Q2884:Q2947" si="367">IF(OR(TRIM(E2884)="Sat",TRIM(E2884)="Sun"),"Weekend","Weekday")</f>
        <v>Weekday</v>
      </c>
    </row>
    <row r="2885" spans="1:17" x14ac:dyDescent="0.35">
      <c r="A2885" t="s">
        <v>3035</v>
      </c>
      <c r="B2885" s="7">
        <v>45573</v>
      </c>
      <c r="C2885" s="13">
        <f t="shared" si="361"/>
        <v>2024</v>
      </c>
      <c r="D2885" s="7" t="str">
        <f t="shared" si="362"/>
        <v>Oct</v>
      </c>
      <c r="E2885" s="7" t="str">
        <f t="shared" si="363"/>
        <v>Tue</v>
      </c>
      <c r="F2885" t="s">
        <v>81</v>
      </c>
      <c r="G2885" t="s">
        <v>48</v>
      </c>
      <c r="H2885" t="s">
        <v>17</v>
      </c>
      <c r="I2885" s="2" t="str">
        <f t="shared" si="360"/>
        <v>East</v>
      </c>
      <c r="J2885" t="s">
        <v>56</v>
      </c>
      <c r="K2885" t="s">
        <v>28</v>
      </c>
      <c r="L2885">
        <v>13</v>
      </c>
      <c r="M2885">
        <v>120</v>
      </c>
      <c r="N2885">
        <f t="shared" si="364"/>
        <v>1560</v>
      </c>
      <c r="O2885">
        <f t="shared" si="365"/>
        <v>156</v>
      </c>
      <c r="P2885" t="str">
        <f t="shared" si="366"/>
        <v>Large Order</v>
      </c>
      <c r="Q2885" t="str">
        <f t="shared" si="367"/>
        <v>Weekday</v>
      </c>
    </row>
    <row r="2886" spans="1:17" x14ac:dyDescent="0.35">
      <c r="A2886" t="s">
        <v>3036</v>
      </c>
      <c r="B2886" s="7">
        <v>45552</v>
      </c>
      <c r="C2886" s="13">
        <f t="shared" si="361"/>
        <v>2024</v>
      </c>
      <c r="D2886" s="7" t="str">
        <f t="shared" si="362"/>
        <v>Sep</v>
      </c>
      <c r="E2886" s="7" t="str">
        <f t="shared" si="363"/>
        <v>Tue</v>
      </c>
      <c r="F2886" t="s">
        <v>118</v>
      </c>
      <c r="G2886" t="s">
        <v>79</v>
      </c>
      <c r="H2886" t="s">
        <v>17</v>
      </c>
      <c r="I2886" s="2" t="str">
        <f t="shared" si="360"/>
        <v>East</v>
      </c>
      <c r="J2886" t="s">
        <v>42</v>
      </c>
      <c r="K2886" t="s">
        <v>32</v>
      </c>
      <c r="L2886">
        <v>4</v>
      </c>
      <c r="M2886">
        <v>120</v>
      </c>
      <c r="N2886">
        <f t="shared" si="364"/>
        <v>480</v>
      </c>
      <c r="O2886">
        <f t="shared" si="365"/>
        <v>48</v>
      </c>
      <c r="P2886" t="str">
        <f t="shared" si="366"/>
        <v>Standard Order</v>
      </c>
      <c r="Q2886" t="str">
        <f t="shared" si="367"/>
        <v>Weekday</v>
      </c>
    </row>
    <row r="2887" spans="1:17" x14ac:dyDescent="0.35">
      <c r="A2887" t="s">
        <v>3037</v>
      </c>
      <c r="B2887" s="7">
        <v>45487</v>
      </c>
      <c r="C2887" s="13">
        <f t="shared" si="361"/>
        <v>2024</v>
      </c>
      <c r="D2887" s="7" t="str">
        <f t="shared" si="362"/>
        <v>Jul</v>
      </c>
      <c r="E2887" s="7" t="str">
        <f t="shared" si="363"/>
        <v>Sun</v>
      </c>
      <c r="F2887" t="s">
        <v>388</v>
      </c>
      <c r="G2887" t="s">
        <v>87</v>
      </c>
      <c r="H2887" t="s">
        <v>11</v>
      </c>
      <c r="I2887" s="2" t="str">
        <f t="shared" si="360"/>
        <v>Central</v>
      </c>
      <c r="J2887" t="s">
        <v>42</v>
      </c>
      <c r="K2887" t="s">
        <v>28</v>
      </c>
      <c r="L2887">
        <v>13</v>
      </c>
      <c r="M2887">
        <v>120</v>
      </c>
      <c r="N2887">
        <f t="shared" si="364"/>
        <v>1560</v>
      </c>
      <c r="O2887">
        <f t="shared" si="365"/>
        <v>156</v>
      </c>
      <c r="P2887" t="str">
        <f t="shared" si="366"/>
        <v>Large Order</v>
      </c>
      <c r="Q2887" t="str">
        <f t="shared" si="367"/>
        <v>Weekend</v>
      </c>
    </row>
    <row r="2888" spans="1:17" x14ac:dyDescent="0.35">
      <c r="A2888" t="s">
        <v>3038</v>
      </c>
      <c r="B2888" s="7">
        <v>45433</v>
      </c>
      <c r="C2888" s="13">
        <f t="shared" si="361"/>
        <v>2024</v>
      </c>
      <c r="D2888" s="7" t="str">
        <f t="shared" si="362"/>
        <v>May</v>
      </c>
      <c r="E2888" s="7" t="str">
        <f t="shared" si="363"/>
        <v>Tue</v>
      </c>
      <c r="F2888" t="s">
        <v>339</v>
      </c>
      <c r="G2888" t="s">
        <v>109</v>
      </c>
      <c r="H2888" t="s">
        <v>17</v>
      </c>
      <c r="I2888" s="2" t="str">
        <f t="shared" si="360"/>
        <v>North</v>
      </c>
      <c r="J2888" t="s">
        <v>306</v>
      </c>
      <c r="K2888" t="s">
        <v>23</v>
      </c>
      <c r="L2888">
        <v>4</v>
      </c>
      <c r="M2888">
        <v>120</v>
      </c>
      <c r="N2888">
        <f t="shared" si="364"/>
        <v>480</v>
      </c>
      <c r="O2888">
        <f t="shared" si="365"/>
        <v>48</v>
      </c>
      <c r="P2888" t="str">
        <f t="shared" si="366"/>
        <v>Standard Order</v>
      </c>
      <c r="Q2888" t="str">
        <f t="shared" si="367"/>
        <v>Weekday</v>
      </c>
    </row>
    <row r="2889" spans="1:17" x14ac:dyDescent="0.35">
      <c r="A2889" t="s">
        <v>3039</v>
      </c>
      <c r="B2889" s="7">
        <v>45622</v>
      </c>
      <c r="C2889" s="13">
        <f t="shared" si="361"/>
        <v>2024</v>
      </c>
      <c r="D2889" s="7" t="str">
        <f t="shared" si="362"/>
        <v>Nov</v>
      </c>
      <c r="E2889" s="7" t="str">
        <f t="shared" si="363"/>
        <v>Tue</v>
      </c>
      <c r="F2889" t="s">
        <v>78</v>
      </c>
      <c r="G2889" t="s">
        <v>102</v>
      </c>
      <c r="H2889" t="s">
        <v>11</v>
      </c>
      <c r="I2889" s="2" t="str">
        <f t="shared" si="360"/>
        <v>East</v>
      </c>
      <c r="J2889" t="s">
        <v>12</v>
      </c>
      <c r="K2889" t="s">
        <v>13</v>
      </c>
      <c r="L2889">
        <v>2</v>
      </c>
      <c r="M2889">
        <v>120</v>
      </c>
      <c r="N2889">
        <f t="shared" si="364"/>
        <v>240</v>
      </c>
      <c r="O2889">
        <f t="shared" si="365"/>
        <v>24</v>
      </c>
      <c r="P2889" t="str">
        <f t="shared" si="366"/>
        <v>Standard Order</v>
      </c>
      <c r="Q2889" t="str">
        <f t="shared" si="367"/>
        <v>Weekday</v>
      </c>
    </row>
    <row r="2890" spans="1:17" x14ac:dyDescent="0.35">
      <c r="A2890" t="s">
        <v>3040</v>
      </c>
      <c r="B2890" s="7">
        <v>45414</v>
      </c>
      <c r="C2890" s="13">
        <f t="shared" si="361"/>
        <v>2024</v>
      </c>
      <c r="D2890" s="7" t="str">
        <f t="shared" si="362"/>
        <v>May</v>
      </c>
      <c r="E2890" s="7" t="str">
        <f t="shared" si="363"/>
        <v>Thu</v>
      </c>
      <c r="F2890" t="s">
        <v>58</v>
      </c>
      <c r="G2890" t="s">
        <v>174</v>
      </c>
      <c r="H2890" t="s">
        <v>11</v>
      </c>
      <c r="I2890" s="2" t="str">
        <f t="shared" si="360"/>
        <v>South</v>
      </c>
      <c r="J2890" t="s">
        <v>42</v>
      </c>
      <c r="K2890" t="s">
        <v>28</v>
      </c>
      <c r="L2890">
        <v>20</v>
      </c>
      <c r="M2890">
        <v>120</v>
      </c>
      <c r="N2890">
        <f t="shared" si="364"/>
        <v>2400</v>
      </c>
      <c r="O2890">
        <f t="shared" si="365"/>
        <v>240</v>
      </c>
      <c r="P2890" t="str">
        <f t="shared" si="366"/>
        <v>Large Order</v>
      </c>
      <c r="Q2890" t="str">
        <f t="shared" si="367"/>
        <v>Weekday</v>
      </c>
    </row>
    <row r="2891" spans="1:17" x14ac:dyDescent="0.35">
      <c r="A2891" t="s">
        <v>3041</v>
      </c>
      <c r="B2891" s="7">
        <v>45499</v>
      </c>
      <c r="C2891" s="13">
        <f t="shared" si="361"/>
        <v>2024</v>
      </c>
      <c r="D2891" s="7" t="str">
        <f t="shared" si="362"/>
        <v>Jul</v>
      </c>
      <c r="E2891" s="7" t="str">
        <f t="shared" si="363"/>
        <v>Fri</v>
      </c>
      <c r="F2891" t="s">
        <v>106</v>
      </c>
      <c r="G2891" t="s">
        <v>31</v>
      </c>
      <c r="H2891" t="s">
        <v>11</v>
      </c>
      <c r="I2891" s="2" t="str">
        <f t="shared" si="360"/>
        <v>Central</v>
      </c>
      <c r="J2891" t="s">
        <v>56</v>
      </c>
      <c r="K2891" t="s">
        <v>32</v>
      </c>
      <c r="L2891">
        <v>16</v>
      </c>
      <c r="M2891">
        <v>120</v>
      </c>
      <c r="N2891">
        <f t="shared" si="364"/>
        <v>1920</v>
      </c>
      <c r="O2891">
        <f t="shared" si="365"/>
        <v>192</v>
      </c>
      <c r="P2891" t="str">
        <f t="shared" si="366"/>
        <v>Large Order</v>
      </c>
      <c r="Q2891" t="str">
        <f t="shared" si="367"/>
        <v>Weekday</v>
      </c>
    </row>
    <row r="2892" spans="1:17" x14ac:dyDescent="0.35">
      <c r="A2892" t="s">
        <v>3042</v>
      </c>
      <c r="B2892" s="7">
        <v>45396</v>
      </c>
      <c r="C2892" s="13">
        <f t="shared" si="361"/>
        <v>2024</v>
      </c>
      <c r="D2892" s="7" t="str">
        <f t="shared" si="362"/>
        <v>Apr</v>
      </c>
      <c r="E2892" s="7" t="str">
        <f t="shared" si="363"/>
        <v>Sun</v>
      </c>
      <c r="F2892" t="s">
        <v>20</v>
      </c>
      <c r="G2892" t="s">
        <v>21</v>
      </c>
      <c r="H2892" t="s">
        <v>17</v>
      </c>
      <c r="I2892" s="2" t="str">
        <f t="shared" si="360"/>
        <v>East</v>
      </c>
      <c r="J2892" t="s">
        <v>306</v>
      </c>
      <c r="K2892" t="s">
        <v>32</v>
      </c>
      <c r="L2892">
        <v>1</v>
      </c>
      <c r="M2892">
        <v>120</v>
      </c>
      <c r="N2892">
        <f t="shared" si="364"/>
        <v>120</v>
      </c>
      <c r="O2892">
        <f t="shared" si="365"/>
        <v>12</v>
      </c>
      <c r="P2892" t="str">
        <f t="shared" si="366"/>
        <v>Standard Order</v>
      </c>
      <c r="Q2892" t="str">
        <f t="shared" si="367"/>
        <v>Weekend</v>
      </c>
    </row>
    <row r="2893" spans="1:17" x14ac:dyDescent="0.35">
      <c r="A2893" t="s">
        <v>3043</v>
      </c>
      <c r="B2893" s="7">
        <v>45549</v>
      </c>
      <c r="C2893" s="13">
        <f t="shared" si="361"/>
        <v>2024</v>
      </c>
      <c r="D2893" s="7" t="str">
        <f t="shared" si="362"/>
        <v>Sep</v>
      </c>
      <c r="E2893" s="7" t="str">
        <f t="shared" si="363"/>
        <v>Sat</v>
      </c>
      <c r="F2893" t="s">
        <v>424</v>
      </c>
      <c r="G2893" t="s">
        <v>109</v>
      </c>
      <c r="H2893" t="s">
        <v>17</v>
      </c>
      <c r="I2893" s="2" t="str">
        <f t="shared" si="360"/>
        <v>West</v>
      </c>
      <c r="J2893" t="s">
        <v>42</v>
      </c>
      <c r="K2893" t="s">
        <v>28</v>
      </c>
      <c r="L2893">
        <v>6</v>
      </c>
      <c r="M2893">
        <v>120</v>
      </c>
      <c r="N2893">
        <f t="shared" si="364"/>
        <v>720</v>
      </c>
      <c r="O2893">
        <f t="shared" si="365"/>
        <v>72</v>
      </c>
      <c r="P2893" t="str">
        <f t="shared" si="366"/>
        <v>Large Order</v>
      </c>
      <c r="Q2893" t="str">
        <f t="shared" si="367"/>
        <v>Weekend</v>
      </c>
    </row>
    <row r="2894" spans="1:17" x14ac:dyDescent="0.35">
      <c r="A2894" t="s">
        <v>3044</v>
      </c>
      <c r="B2894" s="7">
        <v>45327</v>
      </c>
      <c r="C2894" s="13">
        <f t="shared" si="361"/>
        <v>2024</v>
      </c>
      <c r="D2894" s="7" t="str">
        <f t="shared" si="362"/>
        <v>Feb</v>
      </c>
      <c r="E2894" s="7" t="str">
        <f t="shared" si="363"/>
        <v>Mon</v>
      </c>
      <c r="F2894" t="s">
        <v>30</v>
      </c>
      <c r="G2894" t="s">
        <v>45</v>
      </c>
      <c r="H2894" t="s">
        <v>17</v>
      </c>
      <c r="I2894" s="2" t="str">
        <f t="shared" si="360"/>
        <v>East</v>
      </c>
      <c r="J2894" t="s">
        <v>27</v>
      </c>
      <c r="K2894" t="s">
        <v>28</v>
      </c>
      <c r="L2894">
        <v>1</v>
      </c>
      <c r="M2894">
        <v>120</v>
      </c>
      <c r="N2894">
        <f t="shared" si="364"/>
        <v>120</v>
      </c>
      <c r="O2894">
        <f t="shared" si="365"/>
        <v>12</v>
      </c>
      <c r="P2894" t="str">
        <f t="shared" si="366"/>
        <v>Standard Order</v>
      </c>
      <c r="Q2894" t="str">
        <f t="shared" si="367"/>
        <v>Weekday</v>
      </c>
    </row>
    <row r="2895" spans="1:17" x14ac:dyDescent="0.35">
      <c r="A2895" t="s">
        <v>3045</v>
      </c>
      <c r="B2895" s="7">
        <v>45511</v>
      </c>
      <c r="C2895" s="13">
        <f t="shared" si="361"/>
        <v>2024</v>
      </c>
      <c r="D2895" s="7" t="str">
        <f t="shared" si="362"/>
        <v>Aug</v>
      </c>
      <c r="E2895" s="7" t="str">
        <f t="shared" si="363"/>
        <v>Wed</v>
      </c>
      <c r="F2895" t="s">
        <v>118</v>
      </c>
      <c r="G2895" t="s">
        <v>96</v>
      </c>
      <c r="H2895" t="s">
        <v>11</v>
      </c>
      <c r="I2895" s="2" t="str">
        <f t="shared" si="360"/>
        <v>Central</v>
      </c>
      <c r="J2895" t="s">
        <v>42</v>
      </c>
      <c r="K2895" t="s">
        <v>13</v>
      </c>
      <c r="L2895">
        <v>6</v>
      </c>
      <c r="M2895">
        <v>120</v>
      </c>
      <c r="N2895">
        <f t="shared" si="364"/>
        <v>720</v>
      </c>
      <c r="O2895">
        <f t="shared" si="365"/>
        <v>72</v>
      </c>
      <c r="P2895" t="str">
        <f t="shared" si="366"/>
        <v>Large Order</v>
      </c>
      <c r="Q2895" t="str">
        <f t="shared" si="367"/>
        <v>Weekday</v>
      </c>
    </row>
    <row r="2896" spans="1:17" x14ac:dyDescent="0.35">
      <c r="A2896" t="s">
        <v>3046</v>
      </c>
      <c r="B2896" s="7">
        <v>45296</v>
      </c>
      <c r="C2896" s="13">
        <f t="shared" si="361"/>
        <v>2024</v>
      </c>
      <c r="D2896" s="7" t="str">
        <f t="shared" si="362"/>
        <v>Jan</v>
      </c>
      <c r="E2896" s="7" t="str">
        <f t="shared" si="363"/>
        <v>Fri</v>
      </c>
      <c r="F2896" t="s">
        <v>327</v>
      </c>
      <c r="G2896" t="s">
        <v>48</v>
      </c>
      <c r="H2896" t="s">
        <v>17</v>
      </c>
      <c r="I2896" s="2" t="str">
        <f t="shared" si="360"/>
        <v>Central</v>
      </c>
      <c r="J2896" t="s">
        <v>306</v>
      </c>
      <c r="K2896" t="s">
        <v>13</v>
      </c>
      <c r="L2896">
        <v>16</v>
      </c>
      <c r="M2896">
        <v>120</v>
      </c>
      <c r="N2896">
        <f t="shared" si="364"/>
        <v>1920</v>
      </c>
      <c r="O2896">
        <f t="shared" si="365"/>
        <v>192</v>
      </c>
      <c r="P2896" t="str">
        <f t="shared" si="366"/>
        <v>Large Order</v>
      </c>
      <c r="Q2896" t="str">
        <f t="shared" si="367"/>
        <v>Weekday</v>
      </c>
    </row>
    <row r="2897" spans="1:17" x14ac:dyDescent="0.35">
      <c r="A2897" t="s">
        <v>3047</v>
      </c>
      <c r="B2897" s="7">
        <v>45533</v>
      </c>
      <c r="C2897" s="13">
        <f t="shared" si="361"/>
        <v>2024</v>
      </c>
      <c r="D2897" s="7" t="str">
        <f t="shared" si="362"/>
        <v>Aug</v>
      </c>
      <c r="E2897" s="7" t="str">
        <f t="shared" si="363"/>
        <v>Thu</v>
      </c>
      <c r="F2897" t="s">
        <v>40</v>
      </c>
      <c r="G2897" t="s">
        <v>79</v>
      </c>
      <c r="H2897" t="s">
        <v>11</v>
      </c>
      <c r="I2897" s="2" t="str">
        <f t="shared" si="360"/>
        <v>North</v>
      </c>
      <c r="J2897" t="s">
        <v>306</v>
      </c>
      <c r="K2897" t="s">
        <v>32</v>
      </c>
      <c r="L2897">
        <v>8</v>
      </c>
      <c r="M2897">
        <v>120</v>
      </c>
      <c r="N2897">
        <f t="shared" si="364"/>
        <v>960</v>
      </c>
      <c r="O2897">
        <f t="shared" si="365"/>
        <v>96</v>
      </c>
      <c r="P2897" t="str">
        <f t="shared" si="366"/>
        <v>Large Order</v>
      </c>
      <c r="Q2897" t="str">
        <f t="shared" si="367"/>
        <v>Weekday</v>
      </c>
    </row>
    <row r="2898" spans="1:17" x14ac:dyDescent="0.35">
      <c r="A2898" t="s">
        <v>3048</v>
      </c>
      <c r="B2898" s="7">
        <v>45377</v>
      </c>
      <c r="C2898" s="13">
        <f t="shared" si="361"/>
        <v>2024</v>
      </c>
      <c r="D2898" s="7" t="str">
        <f t="shared" si="362"/>
        <v>Mar</v>
      </c>
      <c r="E2898" s="7" t="str">
        <f t="shared" si="363"/>
        <v>Tue</v>
      </c>
      <c r="F2898" t="s">
        <v>664</v>
      </c>
      <c r="G2898" t="s">
        <v>16</v>
      </c>
      <c r="H2898" t="s">
        <v>11</v>
      </c>
      <c r="I2898" s="2" t="str">
        <f t="shared" si="360"/>
        <v>West</v>
      </c>
      <c r="J2898" t="s">
        <v>12</v>
      </c>
      <c r="K2898" t="s">
        <v>32</v>
      </c>
      <c r="L2898">
        <v>11</v>
      </c>
      <c r="M2898">
        <v>120</v>
      </c>
      <c r="N2898">
        <f t="shared" si="364"/>
        <v>1320</v>
      </c>
      <c r="O2898">
        <f t="shared" si="365"/>
        <v>132</v>
      </c>
      <c r="P2898" t="str">
        <f t="shared" si="366"/>
        <v>Large Order</v>
      </c>
      <c r="Q2898" t="str">
        <f t="shared" si="367"/>
        <v>Weekday</v>
      </c>
    </row>
    <row r="2899" spans="1:17" x14ac:dyDescent="0.35">
      <c r="A2899" t="s">
        <v>3049</v>
      </c>
      <c r="B2899" s="7">
        <v>45471</v>
      </c>
      <c r="C2899" s="13">
        <f t="shared" si="361"/>
        <v>2024</v>
      </c>
      <c r="D2899" s="7" t="str">
        <f t="shared" si="362"/>
        <v>Jun</v>
      </c>
      <c r="E2899" s="7" t="str">
        <f t="shared" si="363"/>
        <v>Fri</v>
      </c>
      <c r="F2899" t="s">
        <v>591</v>
      </c>
      <c r="G2899" t="s">
        <v>26</v>
      </c>
      <c r="H2899" t="s">
        <v>22</v>
      </c>
      <c r="I2899" s="2" t="str">
        <f t="shared" si="360"/>
        <v>Central</v>
      </c>
      <c r="J2899" t="s">
        <v>27</v>
      </c>
      <c r="K2899" t="s">
        <v>32</v>
      </c>
      <c r="L2899">
        <v>12</v>
      </c>
      <c r="M2899">
        <v>120</v>
      </c>
      <c r="N2899">
        <f t="shared" si="364"/>
        <v>1440</v>
      </c>
      <c r="O2899">
        <f t="shared" si="365"/>
        <v>144</v>
      </c>
      <c r="P2899" t="str">
        <f t="shared" si="366"/>
        <v>Large Order</v>
      </c>
      <c r="Q2899" t="str">
        <f t="shared" si="367"/>
        <v>Weekday</v>
      </c>
    </row>
    <row r="2900" spans="1:17" x14ac:dyDescent="0.35">
      <c r="A2900" t="s">
        <v>3050</v>
      </c>
      <c r="B2900" s="7">
        <v>45472</v>
      </c>
      <c r="C2900" s="13">
        <f t="shared" si="361"/>
        <v>2024</v>
      </c>
      <c r="D2900" s="7" t="str">
        <f t="shared" si="362"/>
        <v>Jun</v>
      </c>
      <c r="E2900" s="7" t="str">
        <f t="shared" si="363"/>
        <v>Sat</v>
      </c>
      <c r="F2900" t="s">
        <v>68</v>
      </c>
      <c r="G2900" t="s">
        <v>62</v>
      </c>
      <c r="H2900" t="s">
        <v>17</v>
      </c>
      <c r="I2900" s="2" t="str">
        <f t="shared" si="360"/>
        <v>North</v>
      </c>
      <c r="J2900" t="s">
        <v>306</v>
      </c>
      <c r="K2900" t="s">
        <v>36</v>
      </c>
      <c r="L2900">
        <v>16</v>
      </c>
      <c r="M2900">
        <v>120</v>
      </c>
      <c r="N2900">
        <f t="shared" si="364"/>
        <v>1920</v>
      </c>
      <c r="O2900">
        <f t="shared" si="365"/>
        <v>192</v>
      </c>
      <c r="P2900" t="str">
        <f t="shared" si="366"/>
        <v>Large Order</v>
      </c>
      <c r="Q2900" t="str">
        <f t="shared" si="367"/>
        <v>Weekend</v>
      </c>
    </row>
    <row r="2901" spans="1:17" x14ac:dyDescent="0.35">
      <c r="A2901" t="s">
        <v>3051</v>
      </c>
      <c r="B2901" s="7">
        <v>45643</v>
      </c>
      <c r="C2901" s="13">
        <f t="shared" si="361"/>
        <v>2024</v>
      </c>
      <c r="D2901" s="7" t="str">
        <f t="shared" si="362"/>
        <v>Dec</v>
      </c>
      <c r="E2901" s="7" t="str">
        <f t="shared" si="363"/>
        <v>Tue</v>
      </c>
      <c r="F2901" t="s">
        <v>363</v>
      </c>
      <c r="G2901" t="s">
        <v>84</v>
      </c>
      <c r="H2901" t="s">
        <v>22</v>
      </c>
      <c r="I2901" s="2" t="str">
        <f t="shared" si="360"/>
        <v>North</v>
      </c>
      <c r="J2901" t="s">
        <v>12</v>
      </c>
      <c r="K2901" t="s">
        <v>28</v>
      </c>
      <c r="L2901">
        <v>14</v>
      </c>
      <c r="M2901">
        <v>120</v>
      </c>
      <c r="N2901">
        <f t="shared" si="364"/>
        <v>1680</v>
      </c>
      <c r="O2901">
        <f t="shared" si="365"/>
        <v>168</v>
      </c>
      <c r="P2901" t="str">
        <f t="shared" si="366"/>
        <v>Large Order</v>
      </c>
      <c r="Q2901" t="str">
        <f t="shared" si="367"/>
        <v>Weekday</v>
      </c>
    </row>
    <row r="2902" spans="1:17" x14ac:dyDescent="0.35">
      <c r="A2902" t="s">
        <v>3052</v>
      </c>
      <c r="B2902" s="7">
        <v>45629</v>
      </c>
      <c r="C2902" s="13">
        <f t="shared" si="361"/>
        <v>2024</v>
      </c>
      <c r="D2902" s="7" t="str">
        <f t="shared" si="362"/>
        <v>Dec</v>
      </c>
      <c r="E2902" s="7" t="str">
        <f t="shared" si="363"/>
        <v>Tue</v>
      </c>
      <c r="F2902" t="s">
        <v>167</v>
      </c>
      <c r="G2902" t="s">
        <v>48</v>
      </c>
      <c r="H2902" t="s">
        <v>17</v>
      </c>
      <c r="I2902" s="2" t="str">
        <f t="shared" si="360"/>
        <v>North</v>
      </c>
      <c r="J2902" t="s">
        <v>12</v>
      </c>
      <c r="K2902" t="s">
        <v>28</v>
      </c>
      <c r="L2902">
        <v>19</v>
      </c>
      <c r="M2902">
        <v>120</v>
      </c>
      <c r="N2902">
        <f t="shared" si="364"/>
        <v>2280</v>
      </c>
      <c r="O2902">
        <f t="shared" si="365"/>
        <v>228</v>
      </c>
      <c r="P2902" t="str">
        <f t="shared" si="366"/>
        <v>Large Order</v>
      </c>
      <c r="Q2902" t="str">
        <f t="shared" si="367"/>
        <v>Weekday</v>
      </c>
    </row>
    <row r="2903" spans="1:17" x14ac:dyDescent="0.35">
      <c r="A2903" t="s">
        <v>3053</v>
      </c>
      <c r="B2903" s="7">
        <v>45512</v>
      </c>
      <c r="C2903" s="13">
        <f t="shared" si="361"/>
        <v>2024</v>
      </c>
      <c r="D2903" s="7" t="str">
        <f t="shared" si="362"/>
        <v>Aug</v>
      </c>
      <c r="E2903" s="7" t="str">
        <f t="shared" si="363"/>
        <v>Thu</v>
      </c>
      <c r="F2903" t="s">
        <v>83</v>
      </c>
      <c r="G2903" t="s">
        <v>65</v>
      </c>
      <c r="H2903" t="s">
        <v>22</v>
      </c>
      <c r="I2903" s="2" t="str">
        <f t="shared" si="360"/>
        <v>West</v>
      </c>
      <c r="J2903" t="s">
        <v>12</v>
      </c>
      <c r="K2903" t="s">
        <v>28</v>
      </c>
      <c r="L2903">
        <v>13</v>
      </c>
      <c r="M2903">
        <v>120</v>
      </c>
      <c r="N2903">
        <f t="shared" si="364"/>
        <v>1560</v>
      </c>
      <c r="O2903">
        <f t="shared" si="365"/>
        <v>156</v>
      </c>
      <c r="P2903" t="str">
        <f t="shared" si="366"/>
        <v>Large Order</v>
      </c>
      <c r="Q2903" t="str">
        <f t="shared" si="367"/>
        <v>Weekday</v>
      </c>
    </row>
    <row r="2904" spans="1:17" x14ac:dyDescent="0.35">
      <c r="A2904" t="s">
        <v>3054</v>
      </c>
      <c r="B2904" s="7">
        <v>45432</v>
      </c>
      <c r="C2904" s="13">
        <f t="shared" si="361"/>
        <v>2024</v>
      </c>
      <c r="D2904" s="7" t="str">
        <f t="shared" si="362"/>
        <v>May</v>
      </c>
      <c r="E2904" s="7" t="str">
        <f t="shared" si="363"/>
        <v>Mon</v>
      </c>
      <c r="F2904" t="s">
        <v>451</v>
      </c>
      <c r="G2904" t="s">
        <v>41</v>
      </c>
      <c r="H2904" t="s">
        <v>22</v>
      </c>
      <c r="I2904" s="2" t="str">
        <f t="shared" si="360"/>
        <v>Central</v>
      </c>
      <c r="J2904" t="s">
        <v>27</v>
      </c>
      <c r="K2904" t="s">
        <v>36</v>
      </c>
      <c r="L2904">
        <v>6</v>
      </c>
      <c r="M2904">
        <v>120</v>
      </c>
      <c r="N2904">
        <f t="shared" si="364"/>
        <v>720</v>
      </c>
      <c r="O2904">
        <f t="shared" si="365"/>
        <v>72</v>
      </c>
      <c r="P2904" t="str">
        <f t="shared" si="366"/>
        <v>Large Order</v>
      </c>
      <c r="Q2904" t="str">
        <f t="shared" si="367"/>
        <v>Weekday</v>
      </c>
    </row>
    <row r="2905" spans="1:17" x14ac:dyDescent="0.35">
      <c r="A2905" t="s">
        <v>3055</v>
      </c>
      <c r="B2905" s="7">
        <v>45639</v>
      </c>
      <c r="C2905" s="13">
        <f t="shared" si="361"/>
        <v>2024</v>
      </c>
      <c r="D2905" s="7" t="str">
        <f t="shared" si="362"/>
        <v>Dec</v>
      </c>
      <c r="E2905" s="7" t="str">
        <f t="shared" si="363"/>
        <v>Fri</v>
      </c>
      <c r="F2905" t="s">
        <v>20</v>
      </c>
      <c r="G2905" t="s">
        <v>72</v>
      </c>
      <c r="H2905" t="s">
        <v>17</v>
      </c>
      <c r="I2905" s="2" t="str">
        <f t="shared" si="360"/>
        <v>East</v>
      </c>
      <c r="J2905" t="s">
        <v>306</v>
      </c>
      <c r="K2905" t="s">
        <v>23</v>
      </c>
      <c r="L2905">
        <v>9</v>
      </c>
      <c r="M2905">
        <v>120</v>
      </c>
      <c r="N2905">
        <f t="shared" si="364"/>
        <v>1080</v>
      </c>
      <c r="O2905">
        <f t="shared" si="365"/>
        <v>108</v>
      </c>
      <c r="P2905" t="str">
        <f t="shared" si="366"/>
        <v>Large Order</v>
      </c>
      <c r="Q2905" t="str">
        <f t="shared" si="367"/>
        <v>Weekday</v>
      </c>
    </row>
    <row r="2906" spans="1:17" x14ac:dyDescent="0.35">
      <c r="A2906" t="s">
        <v>3056</v>
      </c>
      <c r="B2906" s="7">
        <v>45313</v>
      </c>
      <c r="C2906" s="13">
        <f t="shared" si="361"/>
        <v>2024</v>
      </c>
      <c r="D2906" s="7" t="str">
        <f t="shared" si="362"/>
        <v>Jan</v>
      </c>
      <c r="E2906" s="7" t="str">
        <f t="shared" si="363"/>
        <v>Mon</v>
      </c>
      <c r="F2906" t="s">
        <v>361</v>
      </c>
      <c r="G2906" t="s">
        <v>160</v>
      </c>
      <c r="H2906" t="s">
        <v>22</v>
      </c>
      <c r="I2906" s="2" t="str">
        <f t="shared" si="360"/>
        <v>North</v>
      </c>
      <c r="J2906" t="s">
        <v>42</v>
      </c>
      <c r="K2906" t="s">
        <v>36</v>
      </c>
      <c r="L2906">
        <v>4</v>
      </c>
      <c r="M2906">
        <v>120</v>
      </c>
      <c r="N2906">
        <f t="shared" si="364"/>
        <v>480</v>
      </c>
      <c r="O2906">
        <f t="shared" si="365"/>
        <v>48</v>
      </c>
      <c r="P2906" t="str">
        <f t="shared" si="366"/>
        <v>Standard Order</v>
      </c>
      <c r="Q2906" t="str">
        <f t="shared" si="367"/>
        <v>Weekday</v>
      </c>
    </row>
    <row r="2907" spans="1:17" x14ac:dyDescent="0.35">
      <c r="A2907" t="s">
        <v>3057</v>
      </c>
      <c r="B2907" s="7">
        <v>45524</v>
      </c>
      <c r="C2907" s="13">
        <f t="shared" si="361"/>
        <v>2024</v>
      </c>
      <c r="D2907" s="7" t="str">
        <f t="shared" si="362"/>
        <v>Aug</v>
      </c>
      <c r="E2907" s="7" t="str">
        <f t="shared" si="363"/>
        <v>Tue</v>
      </c>
      <c r="F2907" t="s">
        <v>614</v>
      </c>
      <c r="G2907" t="s">
        <v>48</v>
      </c>
      <c r="H2907" t="s">
        <v>17</v>
      </c>
      <c r="I2907" s="2" t="str">
        <f t="shared" si="360"/>
        <v>Central</v>
      </c>
      <c r="J2907" t="s">
        <v>12</v>
      </c>
      <c r="K2907" t="s">
        <v>13</v>
      </c>
      <c r="L2907">
        <v>16</v>
      </c>
      <c r="M2907">
        <v>120</v>
      </c>
      <c r="N2907">
        <f t="shared" si="364"/>
        <v>1920</v>
      </c>
      <c r="O2907">
        <f t="shared" si="365"/>
        <v>192</v>
      </c>
      <c r="P2907" t="str">
        <f t="shared" si="366"/>
        <v>Large Order</v>
      </c>
      <c r="Q2907" t="str">
        <f t="shared" si="367"/>
        <v>Weekday</v>
      </c>
    </row>
    <row r="2908" spans="1:17" x14ac:dyDescent="0.35">
      <c r="A2908" t="s">
        <v>3058</v>
      </c>
      <c r="B2908" s="7">
        <v>45367</v>
      </c>
      <c r="C2908" s="13">
        <f t="shared" si="361"/>
        <v>2024</v>
      </c>
      <c r="D2908" s="7" t="str">
        <f t="shared" si="362"/>
        <v>Mar</v>
      </c>
      <c r="E2908" s="7" t="str">
        <f t="shared" si="363"/>
        <v>Sat</v>
      </c>
      <c r="F2908" t="s">
        <v>319</v>
      </c>
      <c r="G2908" t="s">
        <v>41</v>
      </c>
      <c r="H2908" t="s">
        <v>11</v>
      </c>
      <c r="I2908" s="2" t="str">
        <f t="shared" si="360"/>
        <v>North</v>
      </c>
      <c r="J2908" t="s">
        <v>306</v>
      </c>
      <c r="K2908" t="s">
        <v>32</v>
      </c>
      <c r="L2908">
        <v>20</v>
      </c>
      <c r="M2908">
        <v>120</v>
      </c>
      <c r="N2908">
        <f t="shared" si="364"/>
        <v>2400</v>
      </c>
      <c r="O2908">
        <f t="shared" si="365"/>
        <v>240</v>
      </c>
      <c r="P2908" t="str">
        <f t="shared" si="366"/>
        <v>Large Order</v>
      </c>
      <c r="Q2908" t="str">
        <f t="shared" si="367"/>
        <v>Weekend</v>
      </c>
    </row>
    <row r="2909" spans="1:17" x14ac:dyDescent="0.35">
      <c r="A2909" t="s">
        <v>3059</v>
      </c>
      <c r="B2909" s="7">
        <v>45375</v>
      </c>
      <c r="C2909" s="13">
        <f t="shared" si="361"/>
        <v>2024</v>
      </c>
      <c r="D2909" s="7" t="str">
        <f t="shared" si="362"/>
        <v>Mar</v>
      </c>
      <c r="E2909" s="7" t="str">
        <f t="shared" si="363"/>
        <v>Sun</v>
      </c>
      <c r="F2909" t="s">
        <v>68</v>
      </c>
      <c r="G2909" t="s">
        <v>35</v>
      </c>
      <c r="H2909" t="s">
        <v>17</v>
      </c>
      <c r="I2909" s="2" t="str">
        <f t="shared" si="360"/>
        <v>North</v>
      </c>
      <c r="J2909" t="s">
        <v>12</v>
      </c>
      <c r="K2909" t="s">
        <v>32</v>
      </c>
      <c r="L2909">
        <v>1</v>
      </c>
      <c r="M2909">
        <v>120</v>
      </c>
      <c r="N2909">
        <f t="shared" si="364"/>
        <v>120</v>
      </c>
      <c r="O2909">
        <f t="shared" si="365"/>
        <v>12</v>
      </c>
      <c r="P2909" t="str">
        <f t="shared" si="366"/>
        <v>Standard Order</v>
      </c>
      <c r="Q2909" t="str">
        <f t="shared" si="367"/>
        <v>Weekend</v>
      </c>
    </row>
    <row r="2910" spans="1:17" x14ac:dyDescent="0.35">
      <c r="A2910" t="s">
        <v>3060</v>
      </c>
      <c r="B2910" s="7">
        <v>45403</v>
      </c>
      <c r="C2910" s="13">
        <f t="shared" si="361"/>
        <v>2024</v>
      </c>
      <c r="D2910" s="7" t="str">
        <f t="shared" si="362"/>
        <v>Apr</v>
      </c>
      <c r="E2910" s="7" t="str">
        <f t="shared" si="363"/>
        <v>Sun</v>
      </c>
      <c r="F2910" t="s">
        <v>55</v>
      </c>
      <c r="G2910" t="s">
        <v>59</v>
      </c>
      <c r="H2910" t="s">
        <v>11</v>
      </c>
      <c r="I2910" s="2" t="str">
        <f t="shared" si="360"/>
        <v>East</v>
      </c>
      <c r="J2910" t="s">
        <v>12</v>
      </c>
      <c r="K2910" t="s">
        <v>23</v>
      </c>
      <c r="L2910">
        <v>10</v>
      </c>
      <c r="M2910">
        <v>120</v>
      </c>
      <c r="N2910">
        <f t="shared" si="364"/>
        <v>1200</v>
      </c>
      <c r="O2910">
        <f t="shared" si="365"/>
        <v>120</v>
      </c>
      <c r="P2910" t="str">
        <f t="shared" si="366"/>
        <v>Large Order</v>
      </c>
      <c r="Q2910" t="str">
        <f t="shared" si="367"/>
        <v>Weekend</v>
      </c>
    </row>
    <row r="2911" spans="1:17" x14ac:dyDescent="0.35">
      <c r="A2911" t="s">
        <v>3061</v>
      </c>
      <c r="B2911" s="7">
        <v>45472</v>
      </c>
      <c r="C2911" s="13">
        <f t="shared" si="361"/>
        <v>2024</v>
      </c>
      <c r="D2911" s="7" t="str">
        <f t="shared" si="362"/>
        <v>Jun</v>
      </c>
      <c r="E2911" s="7" t="str">
        <f t="shared" si="363"/>
        <v>Sat</v>
      </c>
      <c r="F2911" t="s">
        <v>371</v>
      </c>
      <c r="G2911" t="s">
        <v>96</v>
      </c>
      <c r="H2911" t="s">
        <v>11</v>
      </c>
      <c r="I2911" s="2" t="str">
        <f t="shared" si="360"/>
        <v>South</v>
      </c>
      <c r="J2911" t="s">
        <v>42</v>
      </c>
      <c r="K2911" t="s">
        <v>28</v>
      </c>
      <c r="L2911">
        <v>12</v>
      </c>
      <c r="M2911">
        <v>120</v>
      </c>
      <c r="N2911">
        <f t="shared" si="364"/>
        <v>1440</v>
      </c>
      <c r="O2911">
        <f t="shared" si="365"/>
        <v>144</v>
      </c>
      <c r="P2911" t="str">
        <f t="shared" si="366"/>
        <v>Large Order</v>
      </c>
      <c r="Q2911" t="str">
        <f t="shared" si="367"/>
        <v>Weekend</v>
      </c>
    </row>
    <row r="2912" spans="1:17" x14ac:dyDescent="0.35">
      <c r="A2912" t="s">
        <v>3062</v>
      </c>
      <c r="B2912" s="7">
        <v>45549</v>
      </c>
      <c r="C2912" s="13">
        <f t="shared" si="361"/>
        <v>2024</v>
      </c>
      <c r="D2912" s="7" t="str">
        <f t="shared" si="362"/>
        <v>Sep</v>
      </c>
      <c r="E2912" s="7" t="str">
        <f t="shared" si="363"/>
        <v>Sat</v>
      </c>
      <c r="F2912" t="s">
        <v>317</v>
      </c>
      <c r="G2912" t="s">
        <v>119</v>
      </c>
      <c r="H2912" t="s">
        <v>22</v>
      </c>
      <c r="I2912" s="2" t="str">
        <f t="shared" si="360"/>
        <v>East</v>
      </c>
      <c r="J2912" t="s">
        <v>56</v>
      </c>
      <c r="K2912" t="s">
        <v>13</v>
      </c>
      <c r="L2912">
        <v>9</v>
      </c>
      <c r="M2912">
        <v>120</v>
      </c>
      <c r="N2912">
        <f t="shared" si="364"/>
        <v>1080</v>
      </c>
      <c r="O2912">
        <f t="shared" si="365"/>
        <v>108</v>
      </c>
      <c r="P2912" t="str">
        <f t="shared" si="366"/>
        <v>Large Order</v>
      </c>
      <c r="Q2912" t="str">
        <f t="shared" si="367"/>
        <v>Weekend</v>
      </c>
    </row>
    <row r="2913" spans="1:17" x14ac:dyDescent="0.35">
      <c r="A2913" t="s">
        <v>3063</v>
      </c>
      <c r="B2913" s="7">
        <v>45392</v>
      </c>
      <c r="C2913" s="13">
        <f t="shared" si="361"/>
        <v>2024</v>
      </c>
      <c r="D2913" s="7" t="str">
        <f t="shared" si="362"/>
        <v>Apr</v>
      </c>
      <c r="E2913" s="7" t="str">
        <f t="shared" si="363"/>
        <v>Wed</v>
      </c>
      <c r="F2913" t="s">
        <v>348</v>
      </c>
      <c r="G2913" t="s">
        <v>59</v>
      </c>
      <c r="H2913" t="s">
        <v>11</v>
      </c>
      <c r="I2913" s="2" t="str">
        <f t="shared" si="360"/>
        <v>West</v>
      </c>
      <c r="J2913" t="s">
        <v>42</v>
      </c>
      <c r="K2913" t="s">
        <v>28</v>
      </c>
      <c r="L2913">
        <v>2</v>
      </c>
      <c r="M2913">
        <v>120</v>
      </c>
      <c r="N2913">
        <f t="shared" si="364"/>
        <v>240</v>
      </c>
      <c r="O2913">
        <f t="shared" si="365"/>
        <v>24</v>
      </c>
      <c r="P2913" t="str">
        <f t="shared" si="366"/>
        <v>Standard Order</v>
      </c>
      <c r="Q2913" t="str">
        <f t="shared" si="367"/>
        <v>Weekday</v>
      </c>
    </row>
    <row r="2914" spans="1:17" x14ac:dyDescent="0.35">
      <c r="A2914" t="s">
        <v>3064</v>
      </c>
      <c r="B2914" s="7">
        <v>45473</v>
      </c>
      <c r="C2914" s="13">
        <f t="shared" si="361"/>
        <v>2024</v>
      </c>
      <c r="D2914" s="7" t="str">
        <f t="shared" si="362"/>
        <v>Jun</v>
      </c>
      <c r="E2914" s="7" t="str">
        <f t="shared" si="363"/>
        <v>Sun</v>
      </c>
      <c r="F2914" t="s">
        <v>78</v>
      </c>
      <c r="G2914" t="s">
        <v>41</v>
      </c>
      <c r="H2914" t="s">
        <v>22</v>
      </c>
      <c r="I2914" s="2" t="str">
        <f t="shared" si="360"/>
        <v>East</v>
      </c>
      <c r="J2914" t="s">
        <v>27</v>
      </c>
      <c r="K2914" t="s">
        <v>23</v>
      </c>
      <c r="L2914">
        <v>13</v>
      </c>
      <c r="M2914">
        <v>120</v>
      </c>
      <c r="N2914">
        <f t="shared" si="364"/>
        <v>1560</v>
      </c>
      <c r="O2914">
        <f t="shared" si="365"/>
        <v>156</v>
      </c>
      <c r="P2914" t="str">
        <f t="shared" si="366"/>
        <v>Large Order</v>
      </c>
      <c r="Q2914" t="str">
        <f t="shared" si="367"/>
        <v>Weekend</v>
      </c>
    </row>
    <row r="2915" spans="1:17" x14ac:dyDescent="0.35">
      <c r="A2915" t="s">
        <v>3065</v>
      </c>
      <c r="B2915" s="7">
        <v>45342</v>
      </c>
      <c r="C2915" s="13">
        <f t="shared" si="361"/>
        <v>2024</v>
      </c>
      <c r="D2915" s="7" t="str">
        <f t="shared" si="362"/>
        <v>Feb</v>
      </c>
      <c r="E2915" s="7" t="str">
        <f t="shared" si="363"/>
        <v>Tue</v>
      </c>
      <c r="F2915" t="s">
        <v>86</v>
      </c>
      <c r="G2915" t="s">
        <v>74</v>
      </c>
      <c r="H2915" t="s">
        <v>22</v>
      </c>
      <c r="I2915" s="2" t="str">
        <f t="shared" si="360"/>
        <v>South</v>
      </c>
      <c r="J2915" t="s">
        <v>42</v>
      </c>
      <c r="K2915" t="s">
        <v>28</v>
      </c>
      <c r="L2915">
        <v>19</v>
      </c>
      <c r="M2915">
        <v>120</v>
      </c>
      <c r="N2915">
        <f t="shared" si="364"/>
        <v>2280</v>
      </c>
      <c r="O2915">
        <f t="shared" si="365"/>
        <v>228</v>
      </c>
      <c r="P2915" t="str">
        <f t="shared" si="366"/>
        <v>Large Order</v>
      </c>
      <c r="Q2915" t="str">
        <f t="shared" si="367"/>
        <v>Weekday</v>
      </c>
    </row>
    <row r="2916" spans="1:17" x14ac:dyDescent="0.35">
      <c r="A2916" t="s">
        <v>3066</v>
      </c>
      <c r="B2916" s="7">
        <v>45457</v>
      </c>
      <c r="C2916" s="13">
        <f t="shared" si="361"/>
        <v>2024</v>
      </c>
      <c r="D2916" s="7" t="str">
        <f t="shared" si="362"/>
        <v>Jun</v>
      </c>
      <c r="E2916" s="7" t="str">
        <f t="shared" si="363"/>
        <v>Fri</v>
      </c>
      <c r="F2916" t="s">
        <v>361</v>
      </c>
      <c r="G2916" t="s">
        <v>16</v>
      </c>
      <c r="H2916" t="s">
        <v>22</v>
      </c>
      <c r="I2916" s="2" t="str">
        <f t="shared" si="360"/>
        <v>East</v>
      </c>
      <c r="J2916" t="s">
        <v>56</v>
      </c>
      <c r="K2916" t="s">
        <v>32</v>
      </c>
      <c r="L2916">
        <v>5</v>
      </c>
      <c r="M2916">
        <v>120</v>
      </c>
      <c r="N2916">
        <f t="shared" si="364"/>
        <v>600</v>
      </c>
      <c r="O2916">
        <f t="shared" si="365"/>
        <v>60</v>
      </c>
      <c r="P2916" t="str">
        <f t="shared" si="366"/>
        <v>Large Order</v>
      </c>
      <c r="Q2916" t="str">
        <f t="shared" si="367"/>
        <v>Weekday</v>
      </c>
    </row>
    <row r="2917" spans="1:17" x14ac:dyDescent="0.35">
      <c r="A2917" t="s">
        <v>3067</v>
      </c>
      <c r="B2917" s="7">
        <v>45394</v>
      </c>
      <c r="C2917" s="13">
        <f t="shared" si="361"/>
        <v>2024</v>
      </c>
      <c r="D2917" s="7" t="str">
        <f t="shared" si="362"/>
        <v>Apr</v>
      </c>
      <c r="E2917" s="7" t="str">
        <f t="shared" si="363"/>
        <v>Fri</v>
      </c>
      <c r="F2917" t="s">
        <v>68</v>
      </c>
      <c r="G2917" t="s">
        <v>74</v>
      </c>
      <c r="H2917" t="s">
        <v>11</v>
      </c>
      <c r="I2917" s="2" t="str">
        <f t="shared" si="360"/>
        <v>South</v>
      </c>
      <c r="J2917" t="s">
        <v>42</v>
      </c>
      <c r="K2917" t="s">
        <v>36</v>
      </c>
      <c r="L2917">
        <v>15</v>
      </c>
      <c r="M2917">
        <v>120</v>
      </c>
      <c r="N2917">
        <f t="shared" si="364"/>
        <v>1800</v>
      </c>
      <c r="O2917">
        <f t="shared" si="365"/>
        <v>180</v>
      </c>
      <c r="P2917" t="str">
        <f t="shared" si="366"/>
        <v>Large Order</v>
      </c>
      <c r="Q2917" t="str">
        <f t="shared" si="367"/>
        <v>Weekday</v>
      </c>
    </row>
    <row r="2918" spans="1:17" x14ac:dyDescent="0.35">
      <c r="A2918" t="s">
        <v>3068</v>
      </c>
      <c r="B2918" s="7">
        <v>45484</v>
      </c>
      <c r="C2918" s="13">
        <f t="shared" si="361"/>
        <v>2024</v>
      </c>
      <c r="D2918" s="7" t="str">
        <f t="shared" si="362"/>
        <v>Jul</v>
      </c>
      <c r="E2918" s="7" t="str">
        <f t="shared" si="363"/>
        <v>Thu</v>
      </c>
      <c r="F2918" t="s">
        <v>728</v>
      </c>
      <c r="G2918" t="s">
        <v>87</v>
      </c>
      <c r="H2918" t="s">
        <v>11</v>
      </c>
      <c r="I2918" s="2" t="str">
        <f t="shared" si="360"/>
        <v>West</v>
      </c>
      <c r="J2918" t="s">
        <v>56</v>
      </c>
      <c r="K2918" t="s">
        <v>36</v>
      </c>
      <c r="L2918">
        <v>15</v>
      </c>
      <c r="M2918">
        <v>120</v>
      </c>
      <c r="N2918">
        <f t="shared" si="364"/>
        <v>1800</v>
      </c>
      <c r="O2918">
        <f t="shared" si="365"/>
        <v>180</v>
      </c>
      <c r="P2918" t="str">
        <f t="shared" si="366"/>
        <v>Large Order</v>
      </c>
      <c r="Q2918" t="str">
        <f t="shared" si="367"/>
        <v>Weekday</v>
      </c>
    </row>
    <row r="2919" spans="1:17" x14ac:dyDescent="0.35">
      <c r="A2919" t="s">
        <v>3069</v>
      </c>
      <c r="B2919" s="7">
        <v>45549</v>
      </c>
      <c r="C2919" s="13">
        <f t="shared" si="361"/>
        <v>2024</v>
      </c>
      <c r="D2919" s="7" t="str">
        <f t="shared" si="362"/>
        <v>Sep</v>
      </c>
      <c r="E2919" s="7" t="str">
        <f t="shared" si="363"/>
        <v>Sat</v>
      </c>
      <c r="F2919" t="s">
        <v>455</v>
      </c>
      <c r="G2919" t="s">
        <v>62</v>
      </c>
      <c r="H2919" t="s">
        <v>17</v>
      </c>
      <c r="I2919" s="2" t="str">
        <f t="shared" si="360"/>
        <v>North</v>
      </c>
      <c r="J2919" t="s">
        <v>27</v>
      </c>
      <c r="K2919" t="s">
        <v>32</v>
      </c>
      <c r="L2919">
        <v>14</v>
      </c>
      <c r="M2919">
        <v>120</v>
      </c>
      <c r="N2919">
        <f t="shared" si="364"/>
        <v>1680</v>
      </c>
      <c r="O2919">
        <f t="shared" si="365"/>
        <v>168</v>
      </c>
      <c r="P2919" t="str">
        <f t="shared" si="366"/>
        <v>Large Order</v>
      </c>
      <c r="Q2919" t="str">
        <f t="shared" si="367"/>
        <v>Weekend</v>
      </c>
    </row>
    <row r="2920" spans="1:17" x14ac:dyDescent="0.35">
      <c r="A2920" t="s">
        <v>3070</v>
      </c>
      <c r="B2920" s="7">
        <v>45502</v>
      </c>
      <c r="C2920" s="13">
        <f t="shared" si="361"/>
        <v>2024</v>
      </c>
      <c r="D2920" s="7" t="str">
        <f t="shared" si="362"/>
        <v>Jul</v>
      </c>
      <c r="E2920" s="7" t="str">
        <f t="shared" si="363"/>
        <v>Mon</v>
      </c>
      <c r="F2920" t="s">
        <v>319</v>
      </c>
      <c r="G2920" t="s">
        <v>96</v>
      </c>
      <c r="H2920" t="s">
        <v>22</v>
      </c>
      <c r="I2920" s="2" t="str">
        <f t="shared" si="360"/>
        <v>Central</v>
      </c>
      <c r="J2920" t="s">
        <v>12</v>
      </c>
      <c r="K2920" t="s">
        <v>23</v>
      </c>
      <c r="L2920">
        <v>3</v>
      </c>
      <c r="M2920">
        <v>120</v>
      </c>
      <c r="N2920">
        <f t="shared" si="364"/>
        <v>360</v>
      </c>
      <c r="O2920">
        <f t="shared" si="365"/>
        <v>36</v>
      </c>
      <c r="P2920" t="str">
        <f t="shared" si="366"/>
        <v>Standard Order</v>
      </c>
      <c r="Q2920" t="str">
        <f t="shared" si="367"/>
        <v>Weekday</v>
      </c>
    </row>
    <row r="2921" spans="1:17" x14ac:dyDescent="0.35">
      <c r="A2921" t="s">
        <v>3071</v>
      </c>
      <c r="B2921" s="7">
        <v>45606</v>
      </c>
      <c r="C2921" s="13">
        <f t="shared" si="361"/>
        <v>2024</v>
      </c>
      <c r="D2921" s="7" t="str">
        <f t="shared" si="362"/>
        <v>Nov</v>
      </c>
      <c r="E2921" s="7" t="str">
        <f t="shared" si="363"/>
        <v>Sun</v>
      </c>
      <c r="F2921" t="s">
        <v>68</v>
      </c>
      <c r="G2921" t="s">
        <v>197</v>
      </c>
      <c r="H2921" t="s">
        <v>22</v>
      </c>
      <c r="I2921" s="2" t="str">
        <f t="shared" si="360"/>
        <v>South</v>
      </c>
      <c r="J2921" t="s">
        <v>306</v>
      </c>
      <c r="K2921" t="s">
        <v>32</v>
      </c>
      <c r="L2921">
        <v>5</v>
      </c>
      <c r="M2921">
        <v>120</v>
      </c>
      <c r="N2921">
        <f t="shared" si="364"/>
        <v>600</v>
      </c>
      <c r="O2921">
        <f t="shared" si="365"/>
        <v>60</v>
      </c>
      <c r="P2921" t="str">
        <f t="shared" si="366"/>
        <v>Large Order</v>
      </c>
      <c r="Q2921" t="str">
        <f t="shared" si="367"/>
        <v>Weekend</v>
      </c>
    </row>
    <row r="2922" spans="1:17" x14ac:dyDescent="0.35">
      <c r="A2922" t="s">
        <v>3072</v>
      </c>
      <c r="B2922" s="7">
        <v>45581</v>
      </c>
      <c r="C2922" s="13">
        <f t="shared" si="361"/>
        <v>2024</v>
      </c>
      <c r="D2922" s="7" t="str">
        <f t="shared" si="362"/>
        <v>Oct</v>
      </c>
      <c r="E2922" s="7" t="str">
        <f t="shared" si="363"/>
        <v>Wed</v>
      </c>
      <c r="F2922" t="s">
        <v>61</v>
      </c>
      <c r="G2922" t="s">
        <v>79</v>
      </c>
      <c r="H2922" t="s">
        <v>17</v>
      </c>
      <c r="I2922" s="2" t="str">
        <f t="shared" si="360"/>
        <v>North</v>
      </c>
      <c r="J2922" t="s">
        <v>56</v>
      </c>
      <c r="K2922" t="s">
        <v>23</v>
      </c>
      <c r="L2922">
        <v>1</v>
      </c>
      <c r="M2922">
        <v>120</v>
      </c>
      <c r="N2922">
        <f t="shared" si="364"/>
        <v>120</v>
      </c>
      <c r="O2922">
        <f t="shared" si="365"/>
        <v>12</v>
      </c>
      <c r="P2922" t="str">
        <f t="shared" si="366"/>
        <v>Standard Order</v>
      </c>
      <c r="Q2922" t="str">
        <f t="shared" si="367"/>
        <v>Weekday</v>
      </c>
    </row>
    <row r="2923" spans="1:17" x14ac:dyDescent="0.35">
      <c r="A2923" t="s">
        <v>3073</v>
      </c>
      <c r="B2923" s="7">
        <v>45557</v>
      </c>
      <c r="C2923" s="13">
        <f t="shared" si="361"/>
        <v>2024</v>
      </c>
      <c r="D2923" s="7" t="str">
        <f t="shared" si="362"/>
        <v>Sep</v>
      </c>
      <c r="E2923" s="7" t="str">
        <f t="shared" si="363"/>
        <v>Sun</v>
      </c>
      <c r="F2923" t="s">
        <v>366</v>
      </c>
      <c r="G2923" t="s">
        <v>79</v>
      </c>
      <c r="H2923" t="s">
        <v>11</v>
      </c>
      <c r="I2923" s="2" t="str">
        <f t="shared" si="360"/>
        <v>East</v>
      </c>
      <c r="J2923" t="s">
        <v>12</v>
      </c>
      <c r="K2923" t="s">
        <v>32</v>
      </c>
      <c r="L2923">
        <v>4</v>
      </c>
      <c r="M2923">
        <v>120</v>
      </c>
      <c r="N2923">
        <f t="shared" si="364"/>
        <v>480</v>
      </c>
      <c r="O2923">
        <f t="shared" si="365"/>
        <v>48</v>
      </c>
      <c r="P2923" t="str">
        <f t="shared" si="366"/>
        <v>Standard Order</v>
      </c>
      <c r="Q2923" t="str">
        <f t="shared" si="367"/>
        <v>Weekend</v>
      </c>
    </row>
    <row r="2924" spans="1:17" x14ac:dyDescent="0.35">
      <c r="A2924" t="s">
        <v>3074</v>
      </c>
      <c r="B2924" s="7">
        <v>45341</v>
      </c>
      <c r="C2924" s="13">
        <f t="shared" si="361"/>
        <v>2024</v>
      </c>
      <c r="D2924" s="7" t="str">
        <f t="shared" si="362"/>
        <v>Feb</v>
      </c>
      <c r="E2924" s="7" t="str">
        <f t="shared" si="363"/>
        <v>Mon</v>
      </c>
      <c r="F2924" t="s">
        <v>61</v>
      </c>
      <c r="G2924" t="s">
        <v>59</v>
      </c>
      <c r="H2924" t="s">
        <v>17</v>
      </c>
      <c r="I2924" s="2" t="str">
        <f t="shared" si="360"/>
        <v>North</v>
      </c>
      <c r="J2924" t="s">
        <v>42</v>
      </c>
      <c r="K2924" t="s">
        <v>13</v>
      </c>
      <c r="L2924">
        <v>4</v>
      </c>
      <c r="M2924">
        <v>120</v>
      </c>
      <c r="N2924">
        <f t="shared" si="364"/>
        <v>480</v>
      </c>
      <c r="O2924">
        <f t="shared" si="365"/>
        <v>48</v>
      </c>
      <c r="P2924" t="str">
        <f t="shared" si="366"/>
        <v>Standard Order</v>
      </c>
      <c r="Q2924" t="str">
        <f t="shared" si="367"/>
        <v>Weekday</v>
      </c>
    </row>
    <row r="2925" spans="1:17" x14ac:dyDescent="0.35">
      <c r="A2925" t="s">
        <v>3075</v>
      </c>
      <c r="B2925" s="7">
        <v>45637</v>
      </c>
      <c r="C2925" s="13">
        <f t="shared" si="361"/>
        <v>2024</v>
      </c>
      <c r="D2925" s="7" t="str">
        <f t="shared" si="362"/>
        <v>Dec</v>
      </c>
      <c r="E2925" s="7" t="str">
        <f t="shared" si="363"/>
        <v>Wed</v>
      </c>
      <c r="F2925" t="s">
        <v>345</v>
      </c>
      <c r="G2925" t="s">
        <v>84</v>
      </c>
      <c r="H2925" t="s">
        <v>22</v>
      </c>
      <c r="I2925" s="2" t="str">
        <f t="shared" si="360"/>
        <v>South</v>
      </c>
      <c r="J2925" t="s">
        <v>12</v>
      </c>
      <c r="K2925" t="s">
        <v>28</v>
      </c>
      <c r="L2925">
        <v>17</v>
      </c>
      <c r="M2925">
        <v>120</v>
      </c>
      <c r="N2925">
        <f t="shared" si="364"/>
        <v>2040</v>
      </c>
      <c r="O2925">
        <f t="shared" si="365"/>
        <v>204</v>
      </c>
      <c r="P2925" t="str">
        <f t="shared" si="366"/>
        <v>Large Order</v>
      </c>
      <c r="Q2925" t="str">
        <f t="shared" si="367"/>
        <v>Weekday</v>
      </c>
    </row>
    <row r="2926" spans="1:17" x14ac:dyDescent="0.35">
      <c r="A2926" t="s">
        <v>3076</v>
      </c>
      <c r="B2926" s="7">
        <v>45545</v>
      </c>
      <c r="C2926" s="13">
        <f t="shared" si="361"/>
        <v>2024</v>
      </c>
      <c r="D2926" s="7" t="str">
        <f t="shared" si="362"/>
        <v>Sep</v>
      </c>
      <c r="E2926" s="7" t="str">
        <f t="shared" si="363"/>
        <v>Tue</v>
      </c>
      <c r="F2926" t="s">
        <v>99</v>
      </c>
      <c r="G2926" t="s">
        <v>197</v>
      </c>
      <c r="H2926" t="s">
        <v>22</v>
      </c>
      <c r="I2926" s="2" t="str">
        <f t="shared" si="360"/>
        <v>South</v>
      </c>
      <c r="J2926" t="s">
        <v>56</v>
      </c>
      <c r="K2926" t="s">
        <v>32</v>
      </c>
      <c r="L2926">
        <v>10</v>
      </c>
      <c r="M2926">
        <v>120</v>
      </c>
      <c r="N2926">
        <f t="shared" si="364"/>
        <v>1200</v>
      </c>
      <c r="O2926">
        <f t="shared" si="365"/>
        <v>120</v>
      </c>
      <c r="P2926" t="str">
        <f t="shared" si="366"/>
        <v>Large Order</v>
      </c>
      <c r="Q2926" t="str">
        <f t="shared" si="367"/>
        <v>Weekday</v>
      </c>
    </row>
    <row r="2927" spans="1:17" x14ac:dyDescent="0.35">
      <c r="A2927" t="s">
        <v>3077</v>
      </c>
      <c r="B2927" s="7">
        <v>45295</v>
      </c>
      <c r="C2927" s="13">
        <f t="shared" si="361"/>
        <v>2024</v>
      </c>
      <c r="D2927" s="7" t="str">
        <f t="shared" si="362"/>
        <v>Jan</v>
      </c>
      <c r="E2927" s="7" t="str">
        <f t="shared" si="363"/>
        <v>Thu</v>
      </c>
      <c r="F2927" t="s">
        <v>374</v>
      </c>
      <c r="G2927" t="s">
        <v>109</v>
      </c>
      <c r="H2927" t="s">
        <v>22</v>
      </c>
      <c r="I2927" s="2" t="str">
        <f t="shared" si="360"/>
        <v>South</v>
      </c>
      <c r="J2927" t="s">
        <v>56</v>
      </c>
      <c r="K2927" t="s">
        <v>13</v>
      </c>
      <c r="L2927">
        <v>3</v>
      </c>
      <c r="M2927">
        <v>120</v>
      </c>
      <c r="N2927">
        <f t="shared" si="364"/>
        <v>360</v>
      </c>
      <c r="O2927">
        <f t="shared" si="365"/>
        <v>36</v>
      </c>
      <c r="P2927" t="str">
        <f t="shared" si="366"/>
        <v>Standard Order</v>
      </c>
      <c r="Q2927" t="str">
        <f t="shared" si="367"/>
        <v>Weekday</v>
      </c>
    </row>
    <row r="2928" spans="1:17" x14ac:dyDescent="0.35">
      <c r="A2928" t="s">
        <v>3078</v>
      </c>
      <c r="B2928" s="7">
        <v>45601</v>
      </c>
      <c r="C2928" s="13">
        <f t="shared" si="361"/>
        <v>2024</v>
      </c>
      <c r="D2928" s="7" t="str">
        <f t="shared" si="362"/>
        <v>Nov</v>
      </c>
      <c r="E2928" s="7" t="str">
        <f t="shared" si="363"/>
        <v>Tue</v>
      </c>
      <c r="F2928" t="s">
        <v>114</v>
      </c>
      <c r="G2928" t="s">
        <v>160</v>
      </c>
      <c r="H2928" t="s">
        <v>11</v>
      </c>
      <c r="I2928" s="2" t="str">
        <f t="shared" si="360"/>
        <v>North</v>
      </c>
      <c r="J2928" t="s">
        <v>56</v>
      </c>
      <c r="K2928" t="s">
        <v>28</v>
      </c>
      <c r="L2928">
        <v>4</v>
      </c>
      <c r="M2928">
        <v>120</v>
      </c>
      <c r="N2928">
        <f t="shared" si="364"/>
        <v>480</v>
      </c>
      <c r="O2928">
        <f t="shared" si="365"/>
        <v>48</v>
      </c>
      <c r="P2928" t="str">
        <f t="shared" si="366"/>
        <v>Standard Order</v>
      </c>
      <c r="Q2928" t="str">
        <f t="shared" si="367"/>
        <v>Weekday</v>
      </c>
    </row>
    <row r="2929" spans="1:17" x14ac:dyDescent="0.35">
      <c r="A2929" t="s">
        <v>3079</v>
      </c>
      <c r="B2929" s="7">
        <v>45550</v>
      </c>
      <c r="C2929" s="13">
        <f t="shared" si="361"/>
        <v>2024</v>
      </c>
      <c r="D2929" s="7" t="str">
        <f t="shared" si="362"/>
        <v>Sep</v>
      </c>
      <c r="E2929" s="7" t="str">
        <f t="shared" si="363"/>
        <v>Sun</v>
      </c>
      <c r="F2929" t="s">
        <v>396</v>
      </c>
      <c r="G2929" t="s">
        <v>31</v>
      </c>
      <c r="H2929" t="s">
        <v>11</v>
      </c>
      <c r="I2929" s="2" t="str">
        <f t="shared" si="360"/>
        <v>Central</v>
      </c>
      <c r="J2929" t="s">
        <v>12</v>
      </c>
      <c r="K2929" t="s">
        <v>32</v>
      </c>
      <c r="L2929">
        <v>13</v>
      </c>
      <c r="M2929">
        <v>120</v>
      </c>
      <c r="N2929">
        <f t="shared" si="364"/>
        <v>1560</v>
      </c>
      <c r="O2929">
        <f t="shared" si="365"/>
        <v>156</v>
      </c>
      <c r="P2929" t="str">
        <f t="shared" si="366"/>
        <v>Large Order</v>
      </c>
      <c r="Q2929" t="str">
        <f t="shared" si="367"/>
        <v>Weekend</v>
      </c>
    </row>
    <row r="2930" spans="1:17" x14ac:dyDescent="0.35">
      <c r="A2930" t="s">
        <v>3080</v>
      </c>
      <c r="B2930" s="7">
        <v>45386</v>
      </c>
      <c r="C2930" s="13">
        <f t="shared" si="361"/>
        <v>2024</v>
      </c>
      <c r="D2930" s="7" t="str">
        <f t="shared" si="362"/>
        <v>Apr</v>
      </c>
      <c r="E2930" s="7" t="str">
        <f t="shared" si="363"/>
        <v>Thu</v>
      </c>
      <c r="F2930" t="s">
        <v>93</v>
      </c>
      <c r="G2930" t="s">
        <v>174</v>
      </c>
      <c r="H2930" t="s">
        <v>17</v>
      </c>
      <c r="I2930" s="2" t="str">
        <f t="shared" si="360"/>
        <v>South</v>
      </c>
      <c r="J2930" t="s">
        <v>306</v>
      </c>
      <c r="K2930" t="s">
        <v>23</v>
      </c>
      <c r="L2930">
        <v>20</v>
      </c>
      <c r="M2930">
        <v>120</v>
      </c>
      <c r="N2930">
        <f t="shared" si="364"/>
        <v>2400</v>
      </c>
      <c r="O2930">
        <f t="shared" si="365"/>
        <v>240</v>
      </c>
      <c r="P2930" t="str">
        <f t="shared" si="366"/>
        <v>Large Order</v>
      </c>
      <c r="Q2930" t="str">
        <f t="shared" si="367"/>
        <v>Weekday</v>
      </c>
    </row>
    <row r="2931" spans="1:17" x14ac:dyDescent="0.35">
      <c r="A2931" t="s">
        <v>3081</v>
      </c>
      <c r="B2931" s="7">
        <v>45366</v>
      </c>
      <c r="C2931" s="13">
        <f t="shared" si="361"/>
        <v>2024</v>
      </c>
      <c r="D2931" s="7" t="str">
        <f t="shared" si="362"/>
        <v>Mar</v>
      </c>
      <c r="E2931" s="7" t="str">
        <f t="shared" si="363"/>
        <v>Fri</v>
      </c>
      <c r="F2931" t="s">
        <v>541</v>
      </c>
      <c r="G2931" t="s">
        <v>96</v>
      </c>
      <c r="H2931" t="s">
        <v>11</v>
      </c>
      <c r="I2931" s="2" t="str">
        <f t="shared" si="360"/>
        <v>West</v>
      </c>
      <c r="J2931" t="s">
        <v>56</v>
      </c>
      <c r="K2931" t="s">
        <v>28</v>
      </c>
      <c r="L2931">
        <v>6</v>
      </c>
      <c r="M2931">
        <v>120</v>
      </c>
      <c r="N2931">
        <f t="shared" si="364"/>
        <v>720</v>
      </c>
      <c r="O2931">
        <f t="shared" si="365"/>
        <v>72</v>
      </c>
      <c r="P2931" t="str">
        <f t="shared" si="366"/>
        <v>Large Order</v>
      </c>
      <c r="Q2931" t="str">
        <f t="shared" si="367"/>
        <v>Weekday</v>
      </c>
    </row>
    <row r="2932" spans="1:17" x14ac:dyDescent="0.35">
      <c r="A2932" t="s">
        <v>3082</v>
      </c>
      <c r="B2932" s="7">
        <v>45650</v>
      </c>
      <c r="C2932" s="13">
        <f t="shared" si="361"/>
        <v>2024</v>
      </c>
      <c r="D2932" s="7" t="str">
        <f t="shared" si="362"/>
        <v>Dec</v>
      </c>
      <c r="E2932" s="7" t="str">
        <f t="shared" si="363"/>
        <v>Tue</v>
      </c>
      <c r="F2932" t="s">
        <v>591</v>
      </c>
      <c r="G2932" t="s">
        <v>65</v>
      </c>
      <c r="H2932" t="s">
        <v>17</v>
      </c>
      <c r="I2932" s="2" t="str">
        <f t="shared" si="360"/>
        <v>East</v>
      </c>
      <c r="J2932" t="s">
        <v>27</v>
      </c>
      <c r="K2932" t="s">
        <v>32</v>
      </c>
      <c r="L2932">
        <v>10</v>
      </c>
      <c r="M2932">
        <v>120</v>
      </c>
      <c r="N2932">
        <f t="shared" si="364"/>
        <v>1200</v>
      </c>
      <c r="O2932">
        <f t="shared" si="365"/>
        <v>120</v>
      </c>
      <c r="P2932" t="str">
        <f t="shared" si="366"/>
        <v>Large Order</v>
      </c>
      <c r="Q2932" t="str">
        <f t="shared" si="367"/>
        <v>Weekday</v>
      </c>
    </row>
    <row r="2933" spans="1:17" x14ac:dyDescent="0.35">
      <c r="A2933" t="s">
        <v>3083</v>
      </c>
      <c r="B2933" s="7">
        <v>45593</v>
      </c>
      <c r="C2933" s="13">
        <f t="shared" si="361"/>
        <v>2024</v>
      </c>
      <c r="D2933" s="7" t="str">
        <f t="shared" si="362"/>
        <v>Oct</v>
      </c>
      <c r="E2933" s="7" t="str">
        <f t="shared" si="363"/>
        <v>Mon</v>
      </c>
      <c r="F2933" t="s">
        <v>432</v>
      </c>
      <c r="G2933" t="s">
        <v>48</v>
      </c>
      <c r="H2933" t="s">
        <v>22</v>
      </c>
      <c r="I2933" s="2" t="str">
        <f t="shared" si="360"/>
        <v>South</v>
      </c>
      <c r="J2933" t="s">
        <v>42</v>
      </c>
      <c r="K2933" t="s">
        <v>23</v>
      </c>
      <c r="L2933">
        <v>13</v>
      </c>
      <c r="M2933">
        <v>120</v>
      </c>
      <c r="N2933">
        <f t="shared" si="364"/>
        <v>1560</v>
      </c>
      <c r="O2933">
        <f t="shared" si="365"/>
        <v>156</v>
      </c>
      <c r="P2933" t="str">
        <f t="shared" si="366"/>
        <v>Large Order</v>
      </c>
      <c r="Q2933" t="str">
        <f t="shared" si="367"/>
        <v>Weekday</v>
      </c>
    </row>
    <row r="2934" spans="1:17" x14ac:dyDescent="0.35">
      <c r="A2934" t="s">
        <v>3084</v>
      </c>
      <c r="B2934" s="7">
        <v>45346</v>
      </c>
      <c r="C2934" s="13">
        <f t="shared" si="361"/>
        <v>2024</v>
      </c>
      <c r="D2934" s="7" t="str">
        <f t="shared" si="362"/>
        <v>Feb</v>
      </c>
      <c r="E2934" s="7" t="str">
        <f t="shared" si="363"/>
        <v>Sat</v>
      </c>
      <c r="F2934" t="s">
        <v>319</v>
      </c>
      <c r="G2934" t="s">
        <v>87</v>
      </c>
      <c r="H2934" t="s">
        <v>17</v>
      </c>
      <c r="I2934" s="2" t="str">
        <f t="shared" si="360"/>
        <v>East</v>
      </c>
      <c r="J2934" t="s">
        <v>56</v>
      </c>
      <c r="K2934" t="s">
        <v>13</v>
      </c>
      <c r="L2934">
        <v>10</v>
      </c>
      <c r="M2934">
        <v>120</v>
      </c>
      <c r="N2934">
        <f t="shared" si="364"/>
        <v>1200</v>
      </c>
      <c r="O2934">
        <f t="shared" si="365"/>
        <v>120</v>
      </c>
      <c r="P2934" t="str">
        <f t="shared" si="366"/>
        <v>Large Order</v>
      </c>
      <c r="Q2934" t="str">
        <f t="shared" si="367"/>
        <v>Weekend</v>
      </c>
    </row>
    <row r="2935" spans="1:17" x14ac:dyDescent="0.35">
      <c r="A2935" t="s">
        <v>3085</v>
      </c>
      <c r="B2935" s="7">
        <v>45580</v>
      </c>
      <c r="C2935" s="13">
        <f t="shared" si="361"/>
        <v>2024</v>
      </c>
      <c r="D2935" s="7" t="str">
        <f t="shared" si="362"/>
        <v>Oct</v>
      </c>
      <c r="E2935" s="7" t="str">
        <f t="shared" si="363"/>
        <v>Tue</v>
      </c>
      <c r="F2935" t="s">
        <v>53</v>
      </c>
      <c r="G2935" t="s">
        <v>96</v>
      </c>
      <c r="H2935" t="s">
        <v>22</v>
      </c>
      <c r="I2935" s="2" t="str">
        <f t="shared" si="360"/>
        <v>West</v>
      </c>
      <c r="J2935" t="s">
        <v>42</v>
      </c>
      <c r="K2935" t="s">
        <v>13</v>
      </c>
      <c r="L2935">
        <v>20</v>
      </c>
      <c r="M2935">
        <v>120</v>
      </c>
      <c r="N2935">
        <f t="shared" si="364"/>
        <v>2400</v>
      </c>
      <c r="O2935">
        <f t="shared" si="365"/>
        <v>240</v>
      </c>
      <c r="P2935" t="str">
        <f t="shared" si="366"/>
        <v>Large Order</v>
      </c>
      <c r="Q2935" t="str">
        <f t="shared" si="367"/>
        <v>Weekday</v>
      </c>
    </row>
    <row r="2936" spans="1:17" x14ac:dyDescent="0.35">
      <c r="A2936" t="s">
        <v>3086</v>
      </c>
      <c r="B2936" s="7">
        <v>45473</v>
      </c>
      <c r="C2936" s="13">
        <f t="shared" si="361"/>
        <v>2024</v>
      </c>
      <c r="D2936" s="7" t="str">
        <f t="shared" si="362"/>
        <v>Jun</v>
      </c>
      <c r="E2936" s="7" t="str">
        <f t="shared" si="363"/>
        <v>Sun</v>
      </c>
      <c r="F2936" t="s">
        <v>99</v>
      </c>
      <c r="G2936" t="s">
        <v>70</v>
      </c>
      <c r="H2936" t="s">
        <v>22</v>
      </c>
      <c r="I2936" s="2" t="str">
        <f t="shared" si="360"/>
        <v>East</v>
      </c>
      <c r="J2936" t="s">
        <v>27</v>
      </c>
      <c r="K2936" t="s">
        <v>32</v>
      </c>
      <c r="L2936">
        <v>1</v>
      </c>
      <c r="M2936">
        <v>120</v>
      </c>
      <c r="N2936">
        <f t="shared" si="364"/>
        <v>120</v>
      </c>
      <c r="O2936">
        <f t="shared" si="365"/>
        <v>12</v>
      </c>
      <c r="P2936" t="str">
        <f t="shared" si="366"/>
        <v>Standard Order</v>
      </c>
      <c r="Q2936" t="str">
        <f t="shared" si="367"/>
        <v>Weekend</v>
      </c>
    </row>
    <row r="2937" spans="1:17" x14ac:dyDescent="0.35">
      <c r="A2937" t="s">
        <v>3087</v>
      </c>
      <c r="B2937" s="7">
        <v>45475</v>
      </c>
      <c r="C2937" s="13">
        <f t="shared" si="361"/>
        <v>2024</v>
      </c>
      <c r="D2937" s="7" t="str">
        <f t="shared" si="362"/>
        <v>Jul</v>
      </c>
      <c r="E2937" s="7" t="str">
        <f t="shared" si="363"/>
        <v>Tue</v>
      </c>
      <c r="F2937" t="s">
        <v>358</v>
      </c>
      <c r="G2937" t="s">
        <v>160</v>
      </c>
      <c r="H2937" t="s">
        <v>11</v>
      </c>
      <c r="I2937" s="2" t="str">
        <f t="shared" si="360"/>
        <v>Central</v>
      </c>
      <c r="J2937" t="s">
        <v>42</v>
      </c>
      <c r="K2937" t="s">
        <v>36</v>
      </c>
      <c r="L2937">
        <v>13</v>
      </c>
      <c r="M2937">
        <v>120</v>
      </c>
      <c r="N2937">
        <f t="shared" si="364"/>
        <v>1560</v>
      </c>
      <c r="O2937">
        <f t="shared" si="365"/>
        <v>156</v>
      </c>
      <c r="P2937" t="str">
        <f t="shared" si="366"/>
        <v>Large Order</v>
      </c>
      <c r="Q2937" t="str">
        <f t="shared" si="367"/>
        <v>Weekday</v>
      </c>
    </row>
    <row r="2938" spans="1:17" x14ac:dyDescent="0.35">
      <c r="A2938" t="s">
        <v>3088</v>
      </c>
      <c r="B2938" s="7">
        <v>45381</v>
      </c>
      <c r="C2938" s="13">
        <f t="shared" si="361"/>
        <v>2024</v>
      </c>
      <c r="D2938" s="7" t="str">
        <f t="shared" si="362"/>
        <v>Mar</v>
      </c>
      <c r="E2938" s="7" t="str">
        <f t="shared" si="363"/>
        <v>Sat</v>
      </c>
      <c r="F2938" t="s">
        <v>350</v>
      </c>
      <c r="G2938" t="s">
        <v>16</v>
      </c>
      <c r="H2938" t="s">
        <v>17</v>
      </c>
      <c r="I2938" s="2" t="str">
        <f t="shared" si="360"/>
        <v>East</v>
      </c>
      <c r="J2938" t="s">
        <v>306</v>
      </c>
      <c r="K2938" t="s">
        <v>32</v>
      </c>
      <c r="L2938">
        <v>15</v>
      </c>
      <c r="M2938">
        <v>120</v>
      </c>
      <c r="N2938">
        <f t="shared" si="364"/>
        <v>1800</v>
      </c>
      <c r="O2938">
        <f t="shared" si="365"/>
        <v>180</v>
      </c>
      <c r="P2938" t="str">
        <f t="shared" si="366"/>
        <v>Large Order</v>
      </c>
      <c r="Q2938" t="str">
        <f t="shared" si="367"/>
        <v>Weekend</v>
      </c>
    </row>
    <row r="2939" spans="1:17" x14ac:dyDescent="0.35">
      <c r="A2939" t="s">
        <v>3089</v>
      </c>
      <c r="B2939" s="7">
        <v>45363</v>
      </c>
      <c r="C2939" s="13">
        <f t="shared" si="361"/>
        <v>2024</v>
      </c>
      <c r="D2939" s="7" t="str">
        <f t="shared" si="362"/>
        <v>Mar</v>
      </c>
      <c r="E2939" s="7" t="str">
        <f t="shared" si="363"/>
        <v>Tue</v>
      </c>
      <c r="F2939" t="s">
        <v>89</v>
      </c>
      <c r="G2939" t="s">
        <v>119</v>
      </c>
      <c r="H2939" t="s">
        <v>22</v>
      </c>
      <c r="I2939" s="2" t="str">
        <f t="shared" si="360"/>
        <v>Central</v>
      </c>
      <c r="J2939" t="s">
        <v>42</v>
      </c>
      <c r="K2939" t="s">
        <v>23</v>
      </c>
      <c r="L2939">
        <v>3</v>
      </c>
      <c r="M2939">
        <v>120</v>
      </c>
      <c r="N2939">
        <f t="shared" si="364"/>
        <v>360</v>
      </c>
      <c r="O2939">
        <f t="shared" si="365"/>
        <v>36</v>
      </c>
      <c r="P2939" t="str">
        <f t="shared" si="366"/>
        <v>Standard Order</v>
      </c>
      <c r="Q2939" t="str">
        <f t="shared" si="367"/>
        <v>Weekday</v>
      </c>
    </row>
    <row r="2940" spans="1:17" x14ac:dyDescent="0.35">
      <c r="A2940" t="s">
        <v>3090</v>
      </c>
      <c r="B2940" s="7">
        <v>45622</v>
      </c>
      <c r="C2940" s="13">
        <f t="shared" si="361"/>
        <v>2024</v>
      </c>
      <c r="D2940" s="7" t="str">
        <f t="shared" si="362"/>
        <v>Nov</v>
      </c>
      <c r="E2940" s="7" t="str">
        <f t="shared" si="363"/>
        <v>Tue</v>
      </c>
      <c r="F2940" t="s">
        <v>517</v>
      </c>
      <c r="G2940" t="s">
        <v>31</v>
      </c>
      <c r="H2940" t="s">
        <v>17</v>
      </c>
      <c r="I2940" s="2" t="str">
        <f t="shared" si="360"/>
        <v>East</v>
      </c>
      <c r="J2940" t="s">
        <v>306</v>
      </c>
      <c r="K2940" t="s">
        <v>28</v>
      </c>
      <c r="L2940">
        <v>19</v>
      </c>
      <c r="M2940">
        <v>120</v>
      </c>
      <c r="N2940">
        <f t="shared" si="364"/>
        <v>2280</v>
      </c>
      <c r="O2940">
        <f t="shared" si="365"/>
        <v>228</v>
      </c>
      <c r="P2940" t="str">
        <f t="shared" si="366"/>
        <v>Large Order</v>
      </c>
      <c r="Q2940" t="str">
        <f t="shared" si="367"/>
        <v>Weekday</v>
      </c>
    </row>
    <row r="2941" spans="1:17" x14ac:dyDescent="0.35">
      <c r="A2941" t="s">
        <v>3091</v>
      </c>
      <c r="B2941" s="7">
        <v>45551</v>
      </c>
      <c r="C2941" s="13">
        <f t="shared" si="361"/>
        <v>2024</v>
      </c>
      <c r="D2941" s="7" t="str">
        <f t="shared" si="362"/>
        <v>Sep</v>
      </c>
      <c r="E2941" s="7" t="str">
        <f t="shared" si="363"/>
        <v>Mon</v>
      </c>
      <c r="F2941" t="s">
        <v>420</v>
      </c>
      <c r="G2941" t="s">
        <v>41</v>
      </c>
      <c r="H2941" t="s">
        <v>22</v>
      </c>
      <c r="I2941" s="2" t="str">
        <f t="shared" si="360"/>
        <v>West</v>
      </c>
      <c r="J2941" t="s">
        <v>42</v>
      </c>
      <c r="K2941" t="s">
        <v>28</v>
      </c>
      <c r="L2941">
        <v>11</v>
      </c>
      <c r="M2941">
        <v>120</v>
      </c>
      <c r="N2941">
        <f t="shared" si="364"/>
        <v>1320</v>
      </c>
      <c r="O2941">
        <f t="shared" si="365"/>
        <v>132</v>
      </c>
      <c r="P2941" t="str">
        <f t="shared" si="366"/>
        <v>Large Order</v>
      </c>
      <c r="Q2941" t="str">
        <f t="shared" si="367"/>
        <v>Weekday</v>
      </c>
    </row>
    <row r="2942" spans="1:17" x14ac:dyDescent="0.35">
      <c r="A2942" t="s">
        <v>3092</v>
      </c>
      <c r="B2942" s="7">
        <v>45589</v>
      </c>
      <c r="C2942" s="13">
        <f t="shared" si="361"/>
        <v>2024</v>
      </c>
      <c r="D2942" s="7" t="str">
        <f t="shared" si="362"/>
        <v>Oct</v>
      </c>
      <c r="E2942" s="7" t="str">
        <f t="shared" si="363"/>
        <v>Thu</v>
      </c>
      <c r="F2942" t="s">
        <v>20</v>
      </c>
      <c r="G2942" t="s">
        <v>59</v>
      </c>
      <c r="H2942" t="s">
        <v>22</v>
      </c>
      <c r="I2942" s="2" t="str">
        <f t="shared" si="360"/>
        <v>North</v>
      </c>
      <c r="J2942" t="s">
        <v>27</v>
      </c>
      <c r="K2942" t="s">
        <v>13</v>
      </c>
      <c r="L2942">
        <v>2</v>
      </c>
      <c r="M2942">
        <v>120</v>
      </c>
      <c r="N2942">
        <f t="shared" si="364"/>
        <v>240</v>
      </c>
      <c r="O2942">
        <f t="shared" si="365"/>
        <v>24</v>
      </c>
      <c r="P2942" t="str">
        <f t="shared" si="366"/>
        <v>Standard Order</v>
      </c>
      <c r="Q2942" t="str">
        <f t="shared" si="367"/>
        <v>Weekday</v>
      </c>
    </row>
    <row r="2943" spans="1:17" x14ac:dyDescent="0.35">
      <c r="A2943" t="s">
        <v>3093</v>
      </c>
      <c r="B2943" s="7">
        <v>45373</v>
      </c>
      <c r="C2943" s="13">
        <f t="shared" si="361"/>
        <v>2024</v>
      </c>
      <c r="D2943" s="7" t="str">
        <f t="shared" si="362"/>
        <v>Mar</v>
      </c>
      <c r="E2943" s="7" t="str">
        <f t="shared" si="363"/>
        <v>Fri</v>
      </c>
      <c r="F2943" t="s">
        <v>51</v>
      </c>
      <c r="G2943" t="s">
        <v>102</v>
      </c>
      <c r="H2943" t="s">
        <v>22</v>
      </c>
      <c r="I2943" s="2" t="str">
        <f t="shared" si="360"/>
        <v>North</v>
      </c>
      <c r="J2943" t="s">
        <v>12</v>
      </c>
      <c r="K2943" t="s">
        <v>23</v>
      </c>
      <c r="L2943">
        <v>16</v>
      </c>
      <c r="M2943">
        <v>120</v>
      </c>
      <c r="N2943">
        <f t="shared" si="364"/>
        <v>1920</v>
      </c>
      <c r="O2943">
        <f t="shared" si="365"/>
        <v>192</v>
      </c>
      <c r="P2943" t="str">
        <f t="shared" si="366"/>
        <v>Large Order</v>
      </c>
      <c r="Q2943" t="str">
        <f t="shared" si="367"/>
        <v>Weekday</v>
      </c>
    </row>
    <row r="2944" spans="1:17" x14ac:dyDescent="0.35">
      <c r="A2944" t="s">
        <v>3094</v>
      </c>
      <c r="B2944" s="7">
        <v>45410</v>
      </c>
      <c r="C2944" s="13">
        <f t="shared" si="361"/>
        <v>2024</v>
      </c>
      <c r="D2944" s="7" t="str">
        <f t="shared" si="362"/>
        <v>Apr</v>
      </c>
      <c r="E2944" s="7" t="str">
        <f t="shared" si="363"/>
        <v>Sun</v>
      </c>
      <c r="F2944" t="s">
        <v>337</v>
      </c>
      <c r="G2944" t="s">
        <v>84</v>
      </c>
      <c r="H2944" t="s">
        <v>11</v>
      </c>
      <c r="I2944" s="2" t="str">
        <f t="shared" si="360"/>
        <v>East</v>
      </c>
      <c r="J2944" t="s">
        <v>12</v>
      </c>
      <c r="K2944" t="s">
        <v>28</v>
      </c>
      <c r="L2944">
        <v>13</v>
      </c>
      <c r="M2944">
        <v>120</v>
      </c>
      <c r="N2944">
        <f t="shared" si="364"/>
        <v>1560</v>
      </c>
      <c r="O2944">
        <f t="shared" si="365"/>
        <v>156</v>
      </c>
      <c r="P2944" t="str">
        <f t="shared" si="366"/>
        <v>Large Order</v>
      </c>
      <c r="Q2944" t="str">
        <f t="shared" si="367"/>
        <v>Weekend</v>
      </c>
    </row>
    <row r="2945" spans="1:17" x14ac:dyDescent="0.35">
      <c r="A2945" t="s">
        <v>3095</v>
      </c>
      <c r="B2945" s="7">
        <v>45507</v>
      </c>
      <c r="C2945" s="13">
        <f t="shared" si="361"/>
        <v>2024</v>
      </c>
      <c r="D2945" s="7" t="str">
        <f t="shared" si="362"/>
        <v>Aug</v>
      </c>
      <c r="E2945" s="7" t="str">
        <f t="shared" si="363"/>
        <v>Sat</v>
      </c>
      <c r="F2945" t="s">
        <v>58</v>
      </c>
      <c r="G2945" t="s">
        <v>79</v>
      </c>
      <c r="H2945" t="s">
        <v>22</v>
      </c>
      <c r="I2945" s="2" t="str">
        <f t="shared" si="360"/>
        <v>Central</v>
      </c>
      <c r="J2945" t="s">
        <v>42</v>
      </c>
      <c r="K2945" t="s">
        <v>13</v>
      </c>
      <c r="L2945">
        <v>2</v>
      </c>
      <c r="M2945">
        <v>120</v>
      </c>
      <c r="N2945">
        <f t="shared" si="364"/>
        <v>240</v>
      </c>
      <c r="O2945">
        <f t="shared" si="365"/>
        <v>24</v>
      </c>
      <c r="P2945" t="str">
        <f t="shared" si="366"/>
        <v>Standard Order</v>
      </c>
      <c r="Q2945" t="str">
        <f t="shared" si="367"/>
        <v>Weekend</v>
      </c>
    </row>
    <row r="2946" spans="1:17" x14ac:dyDescent="0.35">
      <c r="A2946" t="s">
        <v>3096</v>
      </c>
      <c r="B2946" s="7">
        <v>45329</v>
      </c>
      <c r="C2946" s="13">
        <f t="shared" si="361"/>
        <v>2024</v>
      </c>
      <c r="D2946" s="7" t="str">
        <f t="shared" si="362"/>
        <v>Feb</v>
      </c>
      <c r="E2946" s="7" t="str">
        <f t="shared" si="363"/>
        <v>Wed</v>
      </c>
      <c r="F2946" t="s">
        <v>396</v>
      </c>
      <c r="G2946" t="s">
        <v>119</v>
      </c>
      <c r="H2946" t="s">
        <v>17</v>
      </c>
      <c r="I2946" s="2" t="str">
        <f t="shared" si="360"/>
        <v>Central</v>
      </c>
      <c r="J2946" t="s">
        <v>306</v>
      </c>
      <c r="K2946" t="s">
        <v>13</v>
      </c>
      <c r="L2946">
        <v>6</v>
      </c>
      <c r="M2946">
        <v>120</v>
      </c>
      <c r="N2946">
        <f t="shared" si="364"/>
        <v>720</v>
      </c>
      <c r="O2946">
        <f t="shared" si="365"/>
        <v>72</v>
      </c>
      <c r="P2946" t="str">
        <f t="shared" si="366"/>
        <v>Large Order</v>
      </c>
      <c r="Q2946" t="str">
        <f t="shared" si="367"/>
        <v>Weekday</v>
      </c>
    </row>
    <row r="2947" spans="1:17" x14ac:dyDescent="0.35">
      <c r="A2947" t="s">
        <v>3097</v>
      </c>
      <c r="B2947" s="7">
        <v>45649</v>
      </c>
      <c r="C2947" s="13">
        <f t="shared" si="361"/>
        <v>2024</v>
      </c>
      <c r="D2947" s="7" t="str">
        <f t="shared" si="362"/>
        <v>Dec</v>
      </c>
      <c r="E2947" s="7" t="str">
        <f t="shared" si="363"/>
        <v>Mon</v>
      </c>
      <c r="F2947" t="s">
        <v>430</v>
      </c>
      <c r="G2947" t="s">
        <v>31</v>
      </c>
      <c r="H2947" t="s">
        <v>11</v>
      </c>
      <c r="I2947" s="2" t="str">
        <f t="shared" ref="I2947:I3010" si="368">TRIM(J2948)</f>
        <v>South</v>
      </c>
      <c r="J2947" t="s">
        <v>306</v>
      </c>
      <c r="K2947" t="s">
        <v>36</v>
      </c>
      <c r="L2947">
        <v>7</v>
      </c>
      <c r="M2947">
        <v>120</v>
      </c>
      <c r="N2947">
        <f t="shared" si="364"/>
        <v>840</v>
      </c>
      <c r="O2947">
        <f t="shared" si="365"/>
        <v>84</v>
      </c>
      <c r="P2947" t="str">
        <f t="shared" si="366"/>
        <v>Large Order</v>
      </c>
      <c r="Q2947" t="str">
        <f t="shared" si="367"/>
        <v>Weekday</v>
      </c>
    </row>
    <row r="2948" spans="1:17" x14ac:dyDescent="0.35">
      <c r="A2948" t="s">
        <v>3098</v>
      </c>
      <c r="B2948" s="7">
        <v>45543</v>
      </c>
      <c r="C2948" s="13">
        <f t="shared" ref="C2948:C3011" si="369">YEAR(B2948)</f>
        <v>2024</v>
      </c>
      <c r="D2948" s="7" t="str">
        <f t="shared" ref="D2948:D3011" si="370">TEXT(B2948,"mmm")</f>
        <v>Sep</v>
      </c>
      <c r="E2948" s="7" t="str">
        <f t="shared" ref="E2948:E3011" si="371">TEXT(B2948,"ddd")</f>
        <v>Sun</v>
      </c>
      <c r="F2948" t="s">
        <v>396</v>
      </c>
      <c r="G2948" t="s">
        <v>41</v>
      </c>
      <c r="H2948" t="s">
        <v>17</v>
      </c>
      <c r="I2948" s="2" t="str">
        <f t="shared" si="368"/>
        <v>North</v>
      </c>
      <c r="J2948" t="s">
        <v>56</v>
      </c>
      <c r="K2948" t="s">
        <v>28</v>
      </c>
      <c r="L2948">
        <v>6</v>
      </c>
      <c r="M2948">
        <v>120</v>
      </c>
      <c r="N2948">
        <f t="shared" ref="N2948:N3011" si="372">M2948*L2948</f>
        <v>720</v>
      </c>
      <c r="O2948">
        <f t="shared" ref="O2948:O3011" si="373">N2948*0.1</f>
        <v>72</v>
      </c>
      <c r="P2948" t="str">
        <f t="shared" ref="P2948:P3011" si="374">IF(N2948&gt;500,"Large Order","Standard Order")</f>
        <v>Large Order</v>
      </c>
      <c r="Q2948" t="str">
        <f t="shared" ref="Q2948:Q3011" si="375">IF(OR(TRIM(E2948)="Sat",TRIM(E2948)="Sun"),"Weekend","Weekday")</f>
        <v>Weekend</v>
      </c>
    </row>
    <row r="2949" spans="1:17" x14ac:dyDescent="0.35">
      <c r="A2949" t="s">
        <v>3099</v>
      </c>
      <c r="B2949" s="7">
        <v>45562</v>
      </c>
      <c r="C2949" s="13">
        <f t="shared" si="369"/>
        <v>2024</v>
      </c>
      <c r="D2949" s="7" t="str">
        <f t="shared" si="370"/>
        <v>Sep</v>
      </c>
      <c r="E2949" s="7" t="str">
        <f t="shared" si="371"/>
        <v>Fri</v>
      </c>
      <c r="F2949" t="s">
        <v>150</v>
      </c>
      <c r="G2949" t="s">
        <v>10</v>
      </c>
      <c r="H2949" t="s">
        <v>22</v>
      </c>
      <c r="I2949" s="2" t="str">
        <f t="shared" si="368"/>
        <v>Central</v>
      </c>
      <c r="J2949" t="s">
        <v>12</v>
      </c>
      <c r="K2949" t="s">
        <v>13</v>
      </c>
      <c r="L2949">
        <v>7</v>
      </c>
      <c r="M2949">
        <v>120</v>
      </c>
      <c r="N2949">
        <f t="shared" si="372"/>
        <v>840</v>
      </c>
      <c r="O2949">
        <f t="shared" si="373"/>
        <v>84</v>
      </c>
      <c r="P2949" t="str">
        <f t="shared" si="374"/>
        <v>Large Order</v>
      </c>
      <c r="Q2949" t="str">
        <f t="shared" si="375"/>
        <v>Weekday</v>
      </c>
    </row>
    <row r="2950" spans="1:17" x14ac:dyDescent="0.35">
      <c r="A2950" t="s">
        <v>3100</v>
      </c>
      <c r="B2950" s="7">
        <v>45363</v>
      </c>
      <c r="C2950" s="13">
        <f t="shared" si="369"/>
        <v>2024</v>
      </c>
      <c r="D2950" s="7" t="str">
        <f t="shared" si="370"/>
        <v>Mar</v>
      </c>
      <c r="E2950" s="7" t="str">
        <f t="shared" si="371"/>
        <v>Tue</v>
      </c>
      <c r="F2950" t="s">
        <v>25</v>
      </c>
      <c r="G2950" t="s">
        <v>48</v>
      </c>
      <c r="H2950" t="s">
        <v>17</v>
      </c>
      <c r="I2950" s="2" t="str">
        <f t="shared" si="368"/>
        <v>Central</v>
      </c>
      <c r="J2950" t="s">
        <v>306</v>
      </c>
      <c r="K2950" t="s">
        <v>36</v>
      </c>
      <c r="L2950">
        <v>3</v>
      </c>
      <c r="M2950">
        <v>120</v>
      </c>
      <c r="N2950">
        <f t="shared" si="372"/>
        <v>360</v>
      </c>
      <c r="O2950">
        <f t="shared" si="373"/>
        <v>36</v>
      </c>
      <c r="P2950" t="str">
        <f t="shared" si="374"/>
        <v>Standard Order</v>
      </c>
      <c r="Q2950" t="str">
        <f t="shared" si="375"/>
        <v>Weekday</v>
      </c>
    </row>
    <row r="2951" spans="1:17" x14ac:dyDescent="0.35">
      <c r="A2951" t="s">
        <v>3101</v>
      </c>
      <c r="B2951" s="7">
        <v>45641</v>
      </c>
      <c r="C2951" s="13">
        <f t="shared" si="369"/>
        <v>2024</v>
      </c>
      <c r="D2951" s="7" t="str">
        <f t="shared" si="370"/>
        <v>Dec</v>
      </c>
      <c r="E2951" s="7" t="str">
        <f t="shared" si="371"/>
        <v>Sun</v>
      </c>
      <c r="F2951" t="s">
        <v>388</v>
      </c>
      <c r="G2951" t="s">
        <v>84</v>
      </c>
      <c r="H2951" t="s">
        <v>22</v>
      </c>
      <c r="I2951" s="2" t="str">
        <f t="shared" si="368"/>
        <v>East</v>
      </c>
      <c r="J2951" t="s">
        <v>306</v>
      </c>
      <c r="K2951" t="s">
        <v>23</v>
      </c>
      <c r="L2951">
        <v>7</v>
      </c>
      <c r="M2951">
        <v>120</v>
      </c>
      <c r="N2951">
        <f t="shared" si="372"/>
        <v>840</v>
      </c>
      <c r="O2951">
        <f t="shared" si="373"/>
        <v>84</v>
      </c>
      <c r="P2951" t="str">
        <f t="shared" si="374"/>
        <v>Large Order</v>
      </c>
      <c r="Q2951" t="str">
        <f t="shared" si="375"/>
        <v>Weekend</v>
      </c>
    </row>
    <row r="2952" spans="1:17" x14ac:dyDescent="0.35">
      <c r="A2952" t="s">
        <v>3102</v>
      </c>
      <c r="B2952" s="7">
        <v>45584</v>
      </c>
      <c r="C2952" s="13">
        <f t="shared" si="369"/>
        <v>2024</v>
      </c>
      <c r="D2952" s="7" t="str">
        <f t="shared" si="370"/>
        <v>Oct</v>
      </c>
      <c r="E2952" s="7" t="str">
        <f t="shared" si="371"/>
        <v>Sat</v>
      </c>
      <c r="F2952" t="s">
        <v>553</v>
      </c>
      <c r="G2952" t="s">
        <v>160</v>
      </c>
      <c r="H2952" t="s">
        <v>17</v>
      </c>
      <c r="I2952" s="2" t="str">
        <f t="shared" si="368"/>
        <v>West</v>
      </c>
      <c r="J2952" t="s">
        <v>42</v>
      </c>
      <c r="K2952" t="s">
        <v>36</v>
      </c>
      <c r="L2952">
        <v>18</v>
      </c>
      <c r="M2952">
        <v>120</v>
      </c>
      <c r="N2952">
        <f t="shared" si="372"/>
        <v>2160</v>
      </c>
      <c r="O2952">
        <f t="shared" si="373"/>
        <v>216</v>
      </c>
      <c r="P2952" t="str">
        <f t="shared" si="374"/>
        <v>Large Order</v>
      </c>
      <c r="Q2952" t="str">
        <f t="shared" si="375"/>
        <v>Weekend</v>
      </c>
    </row>
    <row r="2953" spans="1:17" x14ac:dyDescent="0.35">
      <c r="A2953" t="s">
        <v>3103</v>
      </c>
      <c r="B2953" s="7">
        <v>45326</v>
      </c>
      <c r="C2953" s="13">
        <f t="shared" si="369"/>
        <v>2024</v>
      </c>
      <c r="D2953" s="7" t="str">
        <f t="shared" si="370"/>
        <v>Feb</v>
      </c>
      <c r="E2953" s="7" t="str">
        <f t="shared" si="371"/>
        <v>Sun</v>
      </c>
      <c r="F2953" t="s">
        <v>396</v>
      </c>
      <c r="G2953" t="s">
        <v>87</v>
      </c>
      <c r="H2953" t="s">
        <v>22</v>
      </c>
      <c r="I2953" s="2" t="str">
        <f t="shared" si="368"/>
        <v>West</v>
      </c>
      <c r="J2953" t="s">
        <v>27</v>
      </c>
      <c r="K2953" t="s">
        <v>13</v>
      </c>
      <c r="L2953">
        <v>19</v>
      </c>
      <c r="M2953">
        <v>120</v>
      </c>
      <c r="N2953">
        <f t="shared" si="372"/>
        <v>2280</v>
      </c>
      <c r="O2953">
        <f t="shared" si="373"/>
        <v>228</v>
      </c>
      <c r="P2953" t="str">
        <f t="shared" si="374"/>
        <v>Large Order</v>
      </c>
      <c r="Q2953" t="str">
        <f t="shared" si="375"/>
        <v>Weekend</v>
      </c>
    </row>
    <row r="2954" spans="1:17" x14ac:dyDescent="0.35">
      <c r="A2954" t="s">
        <v>3104</v>
      </c>
      <c r="B2954" s="7">
        <v>45556</v>
      </c>
      <c r="C2954" s="13">
        <f t="shared" si="369"/>
        <v>2024</v>
      </c>
      <c r="D2954" s="7" t="str">
        <f t="shared" si="370"/>
        <v>Sep</v>
      </c>
      <c r="E2954" s="7" t="str">
        <f t="shared" si="371"/>
        <v>Sat</v>
      </c>
      <c r="F2954" t="s">
        <v>68</v>
      </c>
      <c r="G2954" t="s">
        <v>102</v>
      </c>
      <c r="H2954" t="s">
        <v>11</v>
      </c>
      <c r="I2954" s="2" t="str">
        <f t="shared" si="368"/>
        <v>East</v>
      </c>
      <c r="J2954" t="s">
        <v>27</v>
      </c>
      <c r="K2954" t="s">
        <v>28</v>
      </c>
      <c r="L2954">
        <v>2</v>
      </c>
      <c r="M2954">
        <v>120</v>
      </c>
      <c r="N2954">
        <f t="shared" si="372"/>
        <v>240</v>
      </c>
      <c r="O2954">
        <f t="shared" si="373"/>
        <v>24</v>
      </c>
      <c r="P2954" t="str">
        <f t="shared" si="374"/>
        <v>Standard Order</v>
      </c>
      <c r="Q2954" t="str">
        <f t="shared" si="375"/>
        <v>Weekend</v>
      </c>
    </row>
    <row r="2955" spans="1:17" x14ac:dyDescent="0.35">
      <c r="A2955" t="s">
        <v>3105</v>
      </c>
      <c r="B2955" s="7">
        <v>45461</v>
      </c>
      <c r="C2955" s="13">
        <f t="shared" si="369"/>
        <v>2024</v>
      </c>
      <c r="D2955" s="7" t="str">
        <f t="shared" si="370"/>
        <v>Jun</v>
      </c>
      <c r="E2955" s="7" t="str">
        <f t="shared" si="371"/>
        <v>Tue</v>
      </c>
      <c r="F2955" t="s">
        <v>138</v>
      </c>
      <c r="G2955" t="s">
        <v>197</v>
      </c>
      <c r="H2955" t="s">
        <v>17</v>
      </c>
      <c r="I2955" s="2" t="str">
        <f t="shared" si="368"/>
        <v>Central</v>
      </c>
      <c r="J2955" t="s">
        <v>42</v>
      </c>
      <c r="K2955" t="s">
        <v>23</v>
      </c>
      <c r="L2955">
        <v>12</v>
      </c>
      <c r="M2955">
        <v>120</v>
      </c>
      <c r="N2955">
        <f t="shared" si="372"/>
        <v>1440</v>
      </c>
      <c r="O2955">
        <f t="shared" si="373"/>
        <v>144</v>
      </c>
      <c r="P2955" t="str">
        <f t="shared" si="374"/>
        <v>Large Order</v>
      </c>
      <c r="Q2955" t="str">
        <f t="shared" si="375"/>
        <v>Weekday</v>
      </c>
    </row>
    <row r="2956" spans="1:17" x14ac:dyDescent="0.35">
      <c r="A2956" t="s">
        <v>3106</v>
      </c>
      <c r="B2956" s="7">
        <v>45372</v>
      </c>
      <c r="C2956" s="13">
        <f t="shared" si="369"/>
        <v>2024</v>
      </c>
      <c r="D2956" s="7" t="str">
        <f t="shared" si="370"/>
        <v>Mar</v>
      </c>
      <c r="E2956" s="7" t="str">
        <f t="shared" si="371"/>
        <v>Thu</v>
      </c>
      <c r="F2956" t="s">
        <v>55</v>
      </c>
      <c r="G2956" t="s">
        <v>10</v>
      </c>
      <c r="H2956" t="s">
        <v>22</v>
      </c>
      <c r="I2956" s="2" t="str">
        <f t="shared" si="368"/>
        <v>North</v>
      </c>
      <c r="J2956" t="s">
        <v>306</v>
      </c>
      <c r="K2956" t="s">
        <v>28</v>
      </c>
      <c r="L2956">
        <v>17</v>
      </c>
      <c r="M2956">
        <v>120</v>
      </c>
      <c r="N2956">
        <f t="shared" si="372"/>
        <v>2040</v>
      </c>
      <c r="O2956">
        <f t="shared" si="373"/>
        <v>204</v>
      </c>
      <c r="P2956" t="str">
        <f t="shared" si="374"/>
        <v>Large Order</v>
      </c>
      <c r="Q2956" t="str">
        <f t="shared" si="375"/>
        <v>Weekday</v>
      </c>
    </row>
    <row r="2957" spans="1:17" x14ac:dyDescent="0.35">
      <c r="A2957" t="s">
        <v>3107</v>
      </c>
      <c r="B2957" s="7">
        <v>45548</v>
      </c>
      <c r="C2957" s="13">
        <f t="shared" si="369"/>
        <v>2024</v>
      </c>
      <c r="D2957" s="7" t="str">
        <f t="shared" si="370"/>
        <v>Sep</v>
      </c>
      <c r="E2957" s="7" t="str">
        <f t="shared" si="371"/>
        <v>Fri</v>
      </c>
      <c r="F2957" t="s">
        <v>147</v>
      </c>
      <c r="G2957" t="s">
        <v>31</v>
      </c>
      <c r="H2957" t="s">
        <v>22</v>
      </c>
      <c r="I2957" s="2" t="str">
        <f t="shared" si="368"/>
        <v>East</v>
      </c>
      <c r="J2957" t="s">
        <v>12</v>
      </c>
      <c r="K2957" t="s">
        <v>36</v>
      </c>
      <c r="L2957">
        <v>4</v>
      </c>
      <c r="M2957">
        <v>120</v>
      </c>
      <c r="N2957">
        <f t="shared" si="372"/>
        <v>480</v>
      </c>
      <c r="O2957">
        <f t="shared" si="373"/>
        <v>48</v>
      </c>
      <c r="P2957" t="str">
        <f t="shared" si="374"/>
        <v>Standard Order</v>
      </c>
      <c r="Q2957" t="str">
        <f t="shared" si="375"/>
        <v>Weekday</v>
      </c>
    </row>
    <row r="2958" spans="1:17" x14ac:dyDescent="0.35">
      <c r="A2958" t="s">
        <v>3108</v>
      </c>
      <c r="B2958" s="7">
        <v>45426</v>
      </c>
      <c r="C2958" s="13">
        <f t="shared" si="369"/>
        <v>2024</v>
      </c>
      <c r="D2958" s="7" t="str">
        <f t="shared" si="370"/>
        <v>May</v>
      </c>
      <c r="E2958" s="7" t="str">
        <f t="shared" si="371"/>
        <v>Tue</v>
      </c>
      <c r="F2958" t="s">
        <v>350</v>
      </c>
      <c r="G2958" t="s">
        <v>96</v>
      </c>
      <c r="H2958" t="s">
        <v>11</v>
      </c>
      <c r="I2958" s="2" t="str">
        <f t="shared" si="368"/>
        <v>East</v>
      </c>
      <c r="J2958" t="s">
        <v>42</v>
      </c>
      <c r="K2958" t="s">
        <v>23</v>
      </c>
      <c r="L2958">
        <v>9</v>
      </c>
      <c r="M2958">
        <v>120</v>
      </c>
      <c r="N2958">
        <f t="shared" si="372"/>
        <v>1080</v>
      </c>
      <c r="O2958">
        <f t="shared" si="373"/>
        <v>108</v>
      </c>
      <c r="P2958" t="str">
        <f t="shared" si="374"/>
        <v>Large Order</v>
      </c>
      <c r="Q2958" t="str">
        <f t="shared" si="375"/>
        <v>Weekday</v>
      </c>
    </row>
    <row r="2959" spans="1:17" x14ac:dyDescent="0.35">
      <c r="A2959" t="s">
        <v>3109</v>
      </c>
      <c r="B2959" s="7">
        <v>45322</v>
      </c>
      <c r="C2959" s="13">
        <f t="shared" si="369"/>
        <v>2024</v>
      </c>
      <c r="D2959" s="7" t="str">
        <f t="shared" si="370"/>
        <v>Jan</v>
      </c>
      <c r="E2959" s="7" t="str">
        <f t="shared" si="371"/>
        <v>Wed</v>
      </c>
      <c r="F2959" t="s">
        <v>99</v>
      </c>
      <c r="G2959" t="s">
        <v>65</v>
      </c>
      <c r="H2959" t="s">
        <v>22</v>
      </c>
      <c r="I2959" s="2" t="str">
        <f t="shared" si="368"/>
        <v>East</v>
      </c>
      <c r="J2959" t="s">
        <v>42</v>
      </c>
      <c r="K2959" t="s">
        <v>13</v>
      </c>
      <c r="L2959">
        <v>8</v>
      </c>
      <c r="M2959">
        <v>120</v>
      </c>
      <c r="N2959">
        <f t="shared" si="372"/>
        <v>960</v>
      </c>
      <c r="O2959">
        <f t="shared" si="373"/>
        <v>96</v>
      </c>
      <c r="P2959" t="str">
        <f t="shared" si="374"/>
        <v>Large Order</v>
      </c>
      <c r="Q2959" t="str">
        <f t="shared" si="375"/>
        <v>Weekday</v>
      </c>
    </row>
    <row r="2960" spans="1:17" x14ac:dyDescent="0.35">
      <c r="A2960" t="s">
        <v>3110</v>
      </c>
      <c r="B2960" s="7">
        <v>45580</v>
      </c>
      <c r="C2960" s="13">
        <f t="shared" si="369"/>
        <v>2024</v>
      </c>
      <c r="D2960" s="7" t="str">
        <f t="shared" si="370"/>
        <v>Oct</v>
      </c>
      <c r="E2960" s="7" t="str">
        <f t="shared" si="371"/>
        <v>Tue</v>
      </c>
      <c r="F2960" t="s">
        <v>594</v>
      </c>
      <c r="G2960" t="s">
        <v>62</v>
      </c>
      <c r="H2960" t="s">
        <v>11</v>
      </c>
      <c r="I2960" s="2" t="str">
        <f t="shared" si="368"/>
        <v>South</v>
      </c>
      <c r="J2960" t="s">
        <v>42</v>
      </c>
      <c r="K2960" t="s">
        <v>13</v>
      </c>
      <c r="L2960">
        <v>14</v>
      </c>
      <c r="M2960">
        <v>120</v>
      </c>
      <c r="N2960">
        <f t="shared" si="372"/>
        <v>1680</v>
      </c>
      <c r="O2960">
        <f t="shared" si="373"/>
        <v>168</v>
      </c>
      <c r="P2960" t="str">
        <f t="shared" si="374"/>
        <v>Large Order</v>
      </c>
      <c r="Q2960" t="str">
        <f t="shared" si="375"/>
        <v>Weekday</v>
      </c>
    </row>
    <row r="2961" spans="1:17" x14ac:dyDescent="0.35">
      <c r="A2961" t="s">
        <v>3111</v>
      </c>
      <c r="B2961" s="7">
        <v>45605</v>
      </c>
      <c r="C2961" s="13">
        <f t="shared" si="369"/>
        <v>2024</v>
      </c>
      <c r="D2961" s="7" t="str">
        <f t="shared" si="370"/>
        <v>Nov</v>
      </c>
      <c r="E2961" s="7" t="str">
        <f t="shared" si="371"/>
        <v>Sat</v>
      </c>
      <c r="F2961" t="s">
        <v>81</v>
      </c>
      <c r="G2961" t="s">
        <v>174</v>
      </c>
      <c r="H2961" t="s">
        <v>17</v>
      </c>
      <c r="I2961" s="2" t="str">
        <f t="shared" si="368"/>
        <v>East</v>
      </c>
      <c r="J2961" t="s">
        <v>56</v>
      </c>
      <c r="K2961" t="s">
        <v>32</v>
      </c>
      <c r="L2961">
        <v>2</v>
      </c>
      <c r="M2961">
        <v>120</v>
      </c>
      <c r="N2961">
        <f t="shared" si="372"/>
        <v>240</v>
      </c>
      <c r="O2961">
        <f t="shared" si="373"/>
        <v>24</v>
      </c>
      <c r="P2961" t="str">
        <f t="shared" si="374"/>
        <v>Standard Order</v>
      </c>
      <c r="Q2961" t="str">
        <f t="shared" si="375"/>
        <v>Weekend</v>
      </c>
    </row>
    <row r="2962" spans="1:17" x14ac:dyDescent="0.35">
      <c r="A2962" t="s">
        <v>3112</v>
      </c>
      <c r="B2962" s="7">
        <v>45546</v>
      </c>
      <c r="C2962" s="13">
        <f t="shared" si="369"/>
        <v>2024</v>
      </c>
      <c r="D2962" s="7" t="str">
        <f t="shared" si="370"/>
        <v>Sep</v>
      </c>
      <c r="E2962" s="7" t="str">
        <f t="shared" si="371"/>
        <v>Wed</v>
      </c>
      <c r="F2962" t="s">
        <v>358</v>
      </c>
      <c r="G2962" t="s">
        <v>197</v>
      </c>
      <c r="H2962" t="s">
        <v>22</v>
      </c>
      <c r="I2962" s="2" t="str">
        <f t="shared" si="368"/>
        <v>South</v>
      </c>
      <c r="J2962" t="s">
        <v>42</v>
      </c>
      <c r="K2962" t="s">
        <v>23</v>
      </c>
      <c r="L2962">
        <v>16</v>
      </c>
      <c r="M2962">
        <v>120</v>
      </c>
      <c r="N2962">
        <f t="shared" si="372"/>
        <v>1920</v>
      </c>
      <c r="O2962">
        <f t="shared" si="373"/>
        <v>192</v>
      </c>
      <c r="P2962" t="str">
        <f t="shared" si="374"/>
        <v>Large Order</v>
      </c>
      <c r="Q2962" t="str">
        <f t="shared" si="375"/>
        <v>Weekday</v>
      </c>
    </row>
    <row r="2963" spans="1:17" x14ac:dyDescent="0.35">
      <c r="A2963" t="s">
        <v>3113</v>
      </c>
      <c r="B2963" s="7">
        <v>45408</v>
      </c>
      <c r="C2963" s="13">
        <f t="shared" si="369"/>
        <v>2024</v>
      </c>
      <c r="D2963" s="7" t="str">
        <f t="shared" si="370"/>
        <v>Apr</v>
      </c>
      <c r="E2963" s="7" t="str">
        <f t="shared" si="371"/>
        <v>Fri</v>
      </c>
      <c r="F2963" t="s">
        <v>138</v>
      </c>
      <c r="G2963" t="s">
        <v>79</v>
      </c>
      <c r="H2963" t="s">
        <v>11</v>
      </c>
      <c r="I2963" s="2" t="str">
        <f t="shared" si="368"/>
        <v>Central</v>
      </c>
      <c r="J2963" t="s">
        <v>56</v>
      </c>
      <c r="K2963" t="s">
        <v>36</v>
      </c>
      <c r="L2963">
        <v>20</v>
      </c>
      <c r="M2963">
        <v>120</v>
      </c>
      <c r="N2963">
        <f t="shared" si="372"/>
        <v>2400</v>
      </c>
      <c r="O2963">
        <f t="shared" si="373"/>
        <v>240</v>
      </c>
      <c r="P2963" t="str">
        <f t="shared" si="374"/>
        <v>Large Order</v>
      </c>
      <c r="Q2963" t="str">
        <f t="shared" si="375"/>
        <v>Weekday</v>
      </c>
    </row>
    <row r="2964" spans="1:17" x14ac:dyDescent="0.35">
      <c r="A2964" t="s">
        <v>3114</v>
      </c>
      <c r="B2964" s="7">
        <v>45641</v>
      </c>
      <c r="C2964" s="13">
        <f t="shared" si="369"/>
        <v>2024</v>
      </c>
      <c r="D2964" s="7" t="str">
        <f t="shared" si="370"/>
        <v>Dec</v>
      </c>
      <c r="E2964" s="7" t="str">
        <f t="shared" si="371"/>
        <v>Sun</v>
      </c>
      <c r="F2964" t="s">
        <v>455</v>
      </c>
      <c r="G2964" t="s">
        <v>84</v>
      </c>
      <c r="H2964" t="s">
        <v>11</v>
      </c>
      <c r="I2964" s="2" t="str">
        <f t="shared" si="368"/>
        <v>West</v>
      </c>
      <c r="J2964" t="s">
        <v>306</v>
      </c>
      <c r="K2964" t="s">
        <v>23</v>
      </c>
      <c r="L2964">
        <v>2</v>
      </c>
      <c r="M2964">
        <v>120</v>
      </c>
      <c r="N2964">
        <f t="shared" si="372"/>
        <v>240</v>
      </c>
      <c r="O2964">
        <f t="shared" si="373"/>
        <v>24</v>
      </c>
      <c r="P2964" t="str">
        <f t="shared" si="374"/>
        <v>Standard Order</v>
      </c>
      <c r="Q2964" t="str">
        <f t="shared" si="375"/>
        <v>Weekend</v>
      </c>
    </row>
    <row r="2965" spans="1:17" x14ac:dyDescent="0.35">
      <c r="A2965" t="s">
        <v>3115</v>
      </c>
      <c r="B2965" s="7">
        <v>45485</v>
      </c>
      <c r="C2965" s="13">
        <f t="shared" si="369"/>
        <v>2024</v>
      </c>
      <c r="D2965" s="7" t="str">
        <f t="shared" si="370"/>
        <v>Jul</v>
      </c>
      <c r="E2965" s="7" t="str">
        <f t="shared" si="371"/>
        <v>Fri</v>
      </c>
      <c r="F2965" t="s">
        <v>424</v>
      </c>
      <c r="G2965" t="s">
        <v>16</v>
      </c>
      <c r="H2965" t="s">
        <v>17</v>
      </c>
      <c r="I2965" s="2" t="str">
        <f t="shared" si="368"/>
        <v>South</v>
      </c>
      <c r="J2965" t="s">
        <v>27</v>
      </c>
      <c r="K2965" t="s">
        <v>36</v>
      </c>
      <c r="L2965">
        <v>5</v>
      </c>
      <c r="M2965">
        <v>120</v>
      </c>
      <c r="N2965">
        <f t="shared" si="372"/>
        <v>600</v>
      </c>
      <c r="O2965">
        <f t="shared" si="373"/>
        <v>60</v>
      </c>
      <c r="P2965" t="str">
        <f t="shared" si="374"/>
        <v>Large Order</v>
      </c>
      <c r="Q2965" t="str">
        <f t="shared" si="375"/>
        <v>Weekday</v>
      </c>
    </row>
    <row r="2966" spans="1:17" x14ac:dyDescent="0.35">
      <c r="A2966" t="s">
        <v>3116</v>
      </c>
      <c r="B2966" s="7">
        <v>45352</v>
      </c>
      <c r="C2966" s="13">
        <f t="shared" si="369"/>
        <v>2024</v>
      </c>
      <c r="D2966" s="7" t="str">
        <f t="shared" si="370"/>
        <v>Mar</v>
      </c>
      <c r="E2966" s="7" t="str">
        <f t="shared" si="371"/>
        <v>Fri</v>
      </c>
      <c r="F2966" t="s">
        <v>594</v>
      </c>
      <c r="G2966" t="s">
        <v>48</v>
      </c>
      <c r="H2966" t="s">
        <v>17</v>
      </c>
      <c r="I2966" s="2" t="str">
        <f t="shared" si="368"/>
        <v>North</v>
      </c>
      <c r="J2966" t="s">
        <v>56</v>
      </c>
      <c r="K2966" t="s">
        <v>32</v>
      </c>
      <c r="L2966">
        <v>14</v>
      </c>
      <c r="M2966">
        <v>120</v>
      </c>
      <c r="N2966">
        <f t="shared" si="372"/>
        <v>1680</v>
      </c>
      <c r="O2966">
        <f t="shared" si="373"/>
        <v>168</v>
      </c>
      <c r="P2966" t="str">
        <f t="shared" si="374"/>
        <v>Large Order</v>
      </c>
      <c r="Q2966" t="str">
        <f t="shared" si="375"/>
        <v>Weekday</v>
      </c>
    </row>
    <row r="2967" spans="1:17" x14ac:dyDescent="0.35">
      <c r="A2967" t="s">
        <v>3117</v>
      </c>
      <c r="B2967" s="7">
        <v>45413</v>
      </c>
      <c r="C2967" s="13">
        <f t="shared" si="369"/>
        <v>2024</v>
      </c>
      <c r="D2967" s="7" t="str">
        <f t="shared" si="370"/>
        <v>May</v>
      </c>
      <c r="E2967" s="7" t="str">
        <f t="shared" si="371"/>
        <v>Wed</v>
      </c>
      <c r="F2967" t="s">
        <v>51</v>
      </c>
      <c r="G2967" t="s">
        <v>10</v>
      </c>
      <c r="H2967" t="s">
        <v>22</v>
      </c>
      <c r="I2967" s="2" t="str">
        <f t="shared" si="368"/>
        <v>South</v>
      </c>
      <c r="J2967" t="s">
        <v>12</v>
      </c>
      <c r="K2967" t="s">
        <v>28</v>
      </c>
      <c r="L2967">
        <v>14</v>
      </c>
      <c r="M2967">
        <v>120</v>
      </c>
      <c r="N2967">
        <f t="shared" si="372"/>
        <v>1680</v>
      </c>
      <c r="O2967">
        <f t="shared" si="373"/>
        <v>168</v>
      </c>
      <c r="P2967" t="str">
        <f t="shared" si="374"/>
        <v>Large Order</v>
      </c>
      <c r="Q2967" t="str">
        <f t="shared" si="375"/>
        <v>Weekday</v>
      </c>
    </row>
    <row r="2968" spans="1:17" x14ac:dyDescent="0.35">
      <c r="A2968" t="s">
        <v>3118</v>
      </c>
      <c r="B2968" s="7">
        <v>45566</v>
      </c>
      <c r="C2968" s="13">
        <f t="shared" si="369"/>
        <v>2024</v>
      </c>
      <c r="D2968" s="7" t="str">
        <f t="shared" si="370"/>
        <v>Oct</v>
      </c>
      <c r="E2968" s="7" t="str">
        <f t="shared" si="371"/>
        <v>Tue</v>
      </c>
      <c r="F2968" t="s">
        <v>614</v>
      </c>
      <c r="G2968" t="s">
        <v>79</v>
      </c>
      <c r="H2968" t="s">
        <v>11</v>
      </c>
      <c r="I2968" s="2" t="str">
        <f t="shared" si="368"/>
        <v>East</v>
      </c>
      <c r="J2968" t="s">
        <v>56</v>
      </c>
      <c r="K2968" t="s">
        <v>13</v>
      </c>
      <c r="L2968">
        <v>3</v>
      </c>
      <c r="M2968">
        <v>120</v>
      </c>
      <c r="N2968">
        <f t="shared" si="372"/>
        <v>360</v>
      </c>
      <c r="O2968">
        <f t="shared" si="373"/>
        <v>36</v>
      </c>
      <c r="P2968" t="str">
        <f t="shared" si="374"/>
        <v>Standard Order</v>
      </c>
      <c r="Q2968" t="str">
        <f t="shared" si="375"/>
        <v>Weekday</v>
      </c>
    </row>
    <row r="2969" spans="1:17" x14ac:dyDescent="0.35">
      <c r="A2969" t="s">
        <v>3119</v>
      </c>
      <c r="B2969" s="7">
        <v>45516</v>
      </c>
      <c r="C2969" s="13">
        <f t="shared" si="369"/>
        <v>2024</v>
      </c>
      <c r="D2969" s="7" t="str">
        <f t="shared" si="370"/>
        <v>Aug</v>
      </c>
      <c r="E2969" s="7" t="str">
        <f t="shared" si="371"/>
        <v>Mon</v>
      </c>
      <c r="F2969" t="s">
        <v>44</v>
      </c>
      <c r="G2969" t="s">
        <v>74</v>
      </c>
      <c r="H2969" t="s">
        <v>11</v>
      </c>
      <c r="I2969" s="2" t="str">
        <f t="shared" si="368"/>
        <v>West</v>
      </c>
      <c r="J2969" t="s">
        <v>42</v>
      </c>
      <c r="K2969" t="s">
        <v>32</v>
      </c>
      <c r="L2969">
        <v>20</v>
      </c>
      <c r="M2969">
        <v>120</v>
      </c>
      <c r="N2969">
        <f t="shared" si="372"/>
        <v>2400</v>
      </c>
      <c r="O2969">
        <f t="shared" si="373"/>
        <v>240</v>
      </c>
      <c r="P2969" t="str">
        <f t="shared" si="374"/>
        <v>Large Order</v>
      </c>
      <c r="Q2969" t="str">
        <f t="shared" si="375"/>
        <v>Weekday</v>
      </c>
    </row>
    <row r="2970" spans="1:17" x14ac:dyDescent="0.35">
      <c r="A2970" t="s">
        <v>3120</v>
      </c>
      <c r="B2970" s="7">
        <v>45417</v>
      </c>
      <c r="C2970" s="13">
        <f t="shared" si="369"/>
        <v>2024</v>
      </c>
      <c r="D2970" s="7" t="str">
        <f t="shared" si="370"/>
        <v>May</v>
      </c>
      <c r="E2970" s="7" t="str">
        <f t="shared" si="371"/>
        <v>Sun</v>
      </c>
      <c r="F2970" t="s">
        <v>61</v>
      </c>
      <c r="G2970" t="s">
        <v>16</v>
      </c>
      <c r="H2970" t="s">
        <v>22</v>
      </c>
      <c r="I2970" s="2" t="str">
        <f t="shared" si="368"/>
        <v>West</v>
      </c>
      <c r="J2970" t="s">
        <v>27</v>
      </c>
      <c r="K2970" t="s">
        <v>23</v>
      </c>
      <c r="L2970">
        <v>4</v>
      </c>
      <c r="M2970">
        <v>120</v>
      </c>
      <c r="N2970">
        <f t="shared" si="372"/>
        <v>480</v>
      </c>
      <c r="O2970">
        <f t="shared" si="373"/>
        <v>48</v>
      </c>
      <c r="P2970" t="str">
        <f t="shared" si="374"/>
        <v>Standard Order</v>
      </c>
      <c r="Q2970" t="str">
        <f t="shared" si="375"/>
        <v>Weekend</v>
      </c>
    </row>
    <row r="2971" spans="1:17" x14ac:dyDescent="0.35">
      <c r="A2971" t="s">
        <v>3121</v>
      </c>
      <c r="B2971" s="7">
        <v>45331</v>
      </c>
      <c r="C2971" s="13">
        <f t="shared" si="369"/>
        <v>2024</v>
      </c>
      <c r="D2971" s="7" t="str">
        <f t="shared" si="370"/>
        <v>Feb</v>
      </c>
      <c r="E2971" s="7" t="str">
        <f t="shared" si="371"/>
        <v>Fri</v>
      </c>
      <c r="F2971" t="s">
        <v>230</v>
      </c>
      <c r="G2971" t="s">
        <v>174</v>
      </c>
      <c r="H2971" t="s">
        <v>11</v>
      </c>
      <c r="I2971" s="2" t="str">
        <f t="shared" si="368"/>
        <v>East</v>
      </c>
      <c r="J2971" t="s">
        <v>27</v>
      </c>
      <c r="K2971" t="s">
        <v>32</v>
      </c>
      <c r="L2971">
        <v>8</v>
      </c>
      <c r="M2971">
        <v>120</v>
      </c>
      <c r="N2971">
        <f t="shared" si="372"/>
        <v>960</v>
      </c>
      <c r="O2971">
        <f t="shared" si="373"/>
        <v>96</v>
      </c>
      <c r="P2971" t="str">
        <f t="shared" si="374"/>
        <v>Large Order</v>
      </c>
      <c r="Q2971" t="str">
        <f t="shared" si="375"/>
        <v>Weekday</v>
      </c>
    </row>
    <row r="2972" spans="1:17" x14ac:dyDescent="0.35">
      <c r="A2972" t="s">
        <v>3122</v>
      </c>
      <c r="B2972" s="7">
        <v>45446</v>
      </c>
      <c r="C2972" s="13">
        <f t="shared" si="369"/>
        <v>2024</v>
      </c>
      <c r="D2972" s="7" t="str">
        <f t="shared" si="370"/>
        <v>Jun</v>
      </c>
      <c r="E2972" s="7" t="str">
        <f t="shared" si="371"/>
        <v>Mon</v>
      </c>
      <c r="F2972" t="s">
        <v>83</v>
      </c>
      <c r="G2972" t="s">
        <v>119</v>
      </c>
      <c r="H2972" t="s">
        <v>22</v>
      </c>
      <c r="I2972" s="2" t="str">
        <f t="shared" si="368"/>
        <v>North</v>
      </c>
      <c r="J2972" t="s">
        <v>42</v>
      </c>
      <c r="K2972" t="s">
        <v>28</v>
      </c>
      <c r="L2972">
        <v>17</v>
      </c>
      <c r="M2972">
        <v>120</v>
      </c>
      <c r="N2972">
        <f t="shared" si="372"/>
        <v>2040</v>
      </c>
      <c r="O2972">
        <f t="shared" si="373"/>
        <v>204</v>
      </c>
      <c r="P2972" t="str">
        <f t="shared" si="374"/>
        <v>Large Order</v>
      </c>
      <c r="Q2972" t="str">
        <f t="shared" si="375"/>
        <v>Weekday</v>
      </c>
    </row>
    <row r="2973" spans="1:17" x14ac:dyDescent="0.35">
      <c r="A2973" t="s">
        <v>3123</v>
      </c>
      <c r="B2973" s="7">
        <v>45455</v>
      </c>
      <c r="C2973" s="13">
        <f t="shared" si="369"/>
        <v>2024</v>
      </c>
      <c r="D2973" s="7" t="str">
        <f t="shared" si="370"/>
        <v>Jun</v>
      </c>
      <c r="E2973" s="7" t="str">
        <f t="shared" si="371"/>
        <v>Wed</v>
      </c>
      <c r="F2973" t="s">
        <v>424</v>
      </c>
      <c r="G2973" t="s">
        <v>174</v>
      </c>
      <c r="H2973" t="s">
        <v>22</v>
      </c>
      <c r="I2973" s="2" t="str">
        <f t="shared" si="368"/>
        <v>North</v>
      </c>
      <c r="J2973" t="s">
        <v>12</v>
      </c>
      <c r="K2973" t="s">
        <v>13</v>
      </c>
      <c r="L2973">
        <v>12</v>
      </c>
      <c r="M2973">
        <v>120</v>
      </c>
      <c r="N2973">
        <f t="shared" si="372"/>
        <v>1440</v>
      </c>
      <c r="O2973">
        <f t="shared" si="373"/>
        <v>144</v>
      </c>
      <c r="P2973" t="str">
        <f t="shared" si="374"/>
        <v>Large Order</v>
      </c>
      <c r="Q2973" t="str">
        <f t="shared" si="375"/>
        <v>Weekday</v>
      </c>
    </row>
    <row r="2974" spans="1:17" x14ac:dyDescent="0.35">
      <c r="A2974" t="s">
        <v>3124</v>
      </c>
      <c r="B2974" s="7">
        <v>45653</v>
      </c>
      <c r="C2974" s="13">
        <f t="shared" si="369"/>
        <v>2024</v>
      </c>
      <c r="D2974" s="7" t="str">
        <f t="shared" si="370"/>
        <v>Dec</v>
      </c>
      <c r="E2974" s="7" t="str">
        <f t="shared" si="371"/>
        <v>Fri</v>
      </c>
      <c r="F2974" t="s">
        <v>381</v>
      </c>
      <c r="G2974" t="s">
        <v>35</v>
      </c>
      <c r="H2974" t="s">
        <v>17</v>
      </c>
      <c r="I2974" s="2" t="str">
        <f t="shared" si="368"/>
        <v>Central</v>
      </c>
      <c r="J2974" t="s">
        <v>12</v>
      </c>
      <c r="K2974" t="s">
        <v>28</v>
      </c>
      <c r="L2974">
        <v>5</v>
      </c>
      <c r="M2974">
        <v>120</v>
      </c>
      <c r="N2974">
        <f t="shared" si="372"/>
        <v>600</v>
      </c>
      <c r="O2974">
        <f t="shared" si="373"/>
        <v>60</v>
      </c>
      <c r="P2974" t="str">
        <f t="shared" si="374"/>
        <v>Large Order</v>
      </c>
      <c r="Q2974" t="str">
        <f t="shared" si="375"/>
        <v>Weekday</v>
      </c>
    </row>
    <row r="2975" spans="1:17" x14ac:dyDescent="0.35">
      <c r="A2975" t="s">
        <v>3125</v>
      </c>
      <c r="B2975" s="7">
        <v>45558</v>
      </c>
      <c r="C2975" s="13">
        <f t="shared" si="369"/>
        <v>2024</v>
      </c>
      <c r="D2975" s="7" t="str">
        <f t="shared" si="370"/>
        <v>Sep</v>
      </c>
      <c r="E2975" s="7" t="str">
        <f t="shared" si="371"/>
        <v>Mon</v>
      </c>
      <c r="F2975" t="s">
        <v>51</v>
      </c>
      <c r="G2975" t="s">
        <v>74</v>
      </c>
      <c r="H2975" t="s">
        <v>22</v>
      </c>
      <c r="I2975" s="2" t="str">
        <f t="shared" si="368"/>
        <v>West</v>
      </c>
      <c r="J2975" t="s">
        <v>306</v>
      </c>
      <c r="K2975" t="s">
        <v>28</v>
      </c>
      <c r="L2975">
        <v>4</v>
      </c>
      <c r="M2975">
        <v>120</v>
      </c>
      <c r="N2975">
        <f t="shared" si="372"/>
        <v>480</v>
      </c>
      <c r="O2975">
        <f t="shared" si="373"/>
        <v>48</v>
      </c>
      <c r="P2975" t="str">
        <f t="shared" si="374"/>
        <v>Standard Order</v>
      </c>
      <c r="Q2975" t="str">
        <f t="shared" si="375"/>
        <v>Weekday</v>
      </c>
    </row>
    <row r="2976" spans="1:17" x14ac:dyDescent="0.35">
      <c r="A2976" t="s">
        <v>3126</v>
      </c>
      <c r="B2976" s="7">
        <v>45364</v>
      </c>
      <c r="C2976" s="13">
        <f t="shared" si="369"/>
        <v>2024</v>
      </c>
      <c r="D2976" s="7" t="str">
        <f t="shared" si="370"/>
        <v>Mar</v>
      </c>
      <c r="E2976" s="7" t="str">
        <f t="shared" si="371"/>
        <v>Wed</v>
      </c>
      <c r="F2976" t="s">
        <v>122</v>
      </c>
      <c r="G2976" t="s">
        <v>197</v>
      </c>
      <c r="H2976" t="s">
        <v>22</v>
      </c>
      <c r="I2976" s="2" t="str">
        <f t="shared" si="368"/>
        <v>West</v>
      </c>
      <c r="J2976" t="s">
        <v>27</v>
      </c>
      <c r="K2976" t="s">
        <v>23</v>
      </c>
      <c r="L2976">
        <v>4</v>
      </c>
      <c r="M2976">
        <v>120</v>
      </c>
      <c r="N2976">
        <f t="shared" si="372"/>
        <v>480</v>
      </c>
      <c r="O2976">
        <f t="shared" si="373"/>
        <v>48</v>
      </c>
      <c r="P2976" t="str">
        <f t="shared" si="374"/>
        <v>Standard Order</v>
      </c>
      <c r="Q2976" t="str">
        <f t="shared" si="375"/>
        <v>Weekday</v>
      </c>
    </row>
    <row r="2977" spans="1:17" x14ac:dyDescent="0.35">
      <c r="A2977" t="s">
        <v>3127</v>
      </c>
      <c r="B2977" s="7">
        <v>45309</v>
      </c>
      <c r="C2977" s="13">
        <f t="shared" si="369"/>
        <v>2024</v>
      </c>
      <c r="D2977" s="7" t="str">
        <f t="shared" si="370"/>
        <v>Jan</v>
      </c>
      <c r="E2977" s="7" t="str">
        <f t="shared" si="371"/>
        <v>Thu</v>
      </c>
      <c r="F2977" t="s">
        <v>101</v>
      </c>
      <c r="G2977" t="s">
        <v>26</v>
      </c>
      <c r="H2977" t="s">
        <v>22</v>
      </c>
      <c r="I2977" s="2" t="str">
        <f t="shared" si="368"/>
        <v>West</v>
      </c>
      <c r="J2977" t="s">
        <v>27</v>
      </c>
      <c r="K2977" t="s">
        <v>32</v>
      </c>
      <c r="L2977">
        <v>3</v>
      </c>
      <c r="M2977">
        <v>120</v>
      </c>
      <c r="N2977">
        <f t="shared" si="372"/>
        <v>360</v>
      </c>
      <c r="O2977">
        <f t="shared" si="373"/>
        <v>36</v>
      </c>
      <c r="P2977" t="str">
        <f t="shared" si="374"/>
        <v>Standard Order</v>
      </c>
      <c r="Q2977" t="str">
        <f t="shared" si="375"/>
        <v>Weekday</v>
      </c>
    </row>
    <row r="2978" spans="1:17" x14ac:dyDescent="0.35">
      <c r="A2978" t="s">
        <v>3128</v>
      </c>
      <c r="B2978" s="7">
        <v>45604</v>
      </c>
      <c r="C2978" s="13">
        <f t="shared" si="369"/>
        <v>2024</v>
      </c>
      <c r="D2978" s="7" t="str">
        <f t="shared" si="370"/>
        <v>Nov</v>
      </c>
      <c r="E2978" s="7" t="str">
        <f t="shared" si="371"/>
        <v>Fri</v>
      </c>
      <c r="F2978" t="s">
        <v>53</v>
      </c>
      <c r="G2978" t="s">
        <v>35</v>
      </c>
      <c r="H2978" t="s">
        <v>11</v>
      </c>
      <c r="I2978" s="2" t="str">
        <f t="shared" si="368"/>
        <v>West</v>
      </c>
      <c r="J2978" t="s">
        <v>27</v>
      </c>
      <c r="K2978" t="s">
        <v>23</v>
      </c>
      <c r="L2978">
        <v>15</v>
      </c>
      <c r="M2978">
        <v>120</v>
      </c>
      <c r="N2978">
        <f t="shared" si="372"/>
        <v>1800</v>
      </c>
      <c r="O2978">
        <f t="shared" si="373"/>
        <v>180</v>
      </c>
      <c r="P2978" t="str">
        <f t="shared" si="374"/>
        <v>Large Order</v>
      </c>
      <c r="Q2978" t="str">
        <f t="shared" si="375"/>
        <v>Weekday</v>
      </c>
    </row>
    <row r="2979" spans="1:17" x14ac:dyDescent="0.35">
      <c r="A2979" t="s">
        <v>3129</v>
      </c>
      <c r="B2979" s="7">
        <v>45397</v>
      </c>
      <c r="C2979" s="13">
        <f t="shared" si="369"/>
        <v>2024</v>
      </c>
      <c r="D2979" s="7" t="str">
        <f t="shared" si="370"/>
        <v>Apr</v>
      </c>
      <c r="E2979" s="7" t="str">
        <f t="shared" si="371"/>
        <v>Mon</v>
      </c>
      <c r="F2979" t="s">
        <v>159</v>
      </c>
      <c r="G2979" t="s">
        <v>45</v>
      </c>
      <c r="H2979" t="s">
        <v>22</v>
      </c>
      <c r="I2979" s="2" t="str">
        <f t="shared" si="368"/>
        <v>North</v>
      </c>
      <c r="J2979" t="s">
        <v>27</v>
      </c>
      <c r="K2979" t="s">
        <v>36</v>
      </c>
      <c r="L2979">
        <v>2</v>
      </c>
      <c r="M2979">
        <v>120</v>
      </c>
      <c r="N2979">
        <f t="shared" si="372"/>
        <v>240</v>
      </c>
      <c r="O2979">
        <f t="shared" si="373"/>
        <v>24</v>
      </c>
      <c r="P2979" t="str">
        <f t="shared" si="374"/>
        <v>Standard Order</v>
      </c>
      <c r="Q2979" t="str">
        <f t="shared" si="375"/>
        <v>Weekday</v>
      </c>
    </row>
    <row r="2980" spans="1:17" x14ac:dyDescent="0.35">
      <c r="A2980" t="s">
        <v>3130</v>
      </c>
      <c r="B2980" s="7">
        <v>45308</v>
      </c>
      <c r="C2980" s="13">
        <f t="shared" si="369"/>
        <v>2024</v>
      </c>
      <c r="D2980" s="7" t="str">
        <f t="shared" si="370"/>
        <v>Jan</v>
      </c>
      <c r="E2980" s="7" t="str">
        <f t="shared" si="371"/>
        <v>Wed</v>
      </c>
      <c r="F2980" t="s">
        <v>591</v>
      </c>
      <c r="G2980" t="s">
        <v>119</v>
      </c>
      <c r="H2980" t="s">
        <v>17</v>
      </c>
      <c r="I2980" s="2" t="str">
        <f t="shared" si="368"/>
        <v>North</v>
      </c>
      <c r="J2980" t="s">
        <v>12</v>
      </c>
      <c r="K2980" t="s">
        <v>36</v>
      </c>
      <c r="L2980">
        <v>11</v>
      </c>
      <c r="M2980">
        <v>120</v>
      </c>
      <c r="N2980">
        <f t="shared" si="372"/>
        <v>1320</v>
      </c>
      <c r="O2980">
        <f t="shared" si="373"/>
        <v>132</v>
      </c>
      <c r="P2980" t="str">
        <f t="shared" si="374"/>
        <v>Large Order</v>
      </c>
      <c r="Q2980" t="str">
        <f t="shared" si="375"/>
        <v>Weekday</v>
      </c>
    </row>
    <row r="2981" spans="1:17" x14ac:dyDescent="0.35">
      <c r="A2981" t="s">
        <v>3131</v>
      </c>
      <c r="B2981" s="7">
        <v>45426</v>
      </c>
      <c r="C2981" s="13">
        <f t="shared" si="369"/>
        <v>2024</v>
      </c>
      <c r="D2981" s="7" t="str">
        <f t="shared" si="370"/>
        <v>May</v>
      </c>
      <c r="E2981" s="7" t="str">
        <f t="shared" si="371"/>
        <v>Tue</v>
      </c>
      <c r="F2981" t="s">
        <v>664</v>
      </c>
      <c r="G2981" t="s">
        <v>59</v>
      </c>
      <c r="H2981" t="s">
        <v>11</v>
      </c>
      <c r="I2981" s="2" t="str">
        <f t="shared" si="368"/>
        <v>North</v>
      </c>
      <c r="J2981" t="s">
        <v>12</v>
      </c>
      <c r="K2981" t="s">
        <v>32</v>
      </c>
      <c r="L2981">
        <v>20</v>
      </c>
      <c r="M2981">
        <v>120</v>
      </c>
      <c r="N2981">
        <f t="shared" si="372"/>
        <v>2400</v>
      </c>
      <c r="O2981">
        <f t="shared" si="373"/>
        <v>240</v>
      </c>
      <c r="P2981" t="str">
        <f t="shared" si="374"/>
        <v>Large Order</v>
      </c>
      <c r="Q2981" t="str">
        <f t="shared" si="375"/>
        <v>Weekday</v>
      </c>
    </row>
    <row r="2982" spans="1:17" x14ac:dyDescent="0.35">
      <c r="A2982" t="s">
        <v>3132</v>
      </c>
      <c r="B2982" s="7">
        <v>45510</v>
      </c>
      <c r="C2982" s="13">
        <f t="shared" si="369"/>
        <v>2024</v>
      </c>
      <c r="D2982" s="7" t="str">
        <f t="shared" si="370"/>
        <v>Aug</v>
      </c>
      <c r="E2982" s="7" t="str">
        <f t="shared" si="371"/>
        <v>Tue</v>
      </c>
      <c r="F2982" t="s">
        <v>728</v>
      </c>
      <c r="G2982" t="s">
        <v>84</v>
      </c>
      <c r="H2982" t="s">
        <v>22</v>
      </c>
      <c r="I2982" s="2" t="str">
        <f t="shared" si="368"/>
        <v>West</v>
      </c>
      <c r="J2982" t="s">
        <v>12</v>
      </c>
      <c r="K2982" t="s">
        <v>13</v>
      </c>
      <c r="L2982">
        <v>18</v>
      </c>
      <c r="M2982">
        <v>120</v>
      </c>
      <c r="N2982">
        <f t="shared" si="372"/>
        <v>2160</v>
      </c>
      <c r="O2982">
        <f t="shared" si="373"/>
        <v>216</v>
      </c>
      <c r="P2982" t="str">
        <f t="shared" si="374"/>
        <v>Large Order</v>
      </c>
      <c r="Q2982" t="str">
        <f t="shared" si="375"/>
        <v>Weekday</v>
      </c>
    </row>
    <row r="2983" spans="1:17" x14ac:dyDescent="0.35">
      <c r="A2983" t="s">
        <v>3133</v>
      </c>
      <c r="B2983" s="7">
        <v>45639</v>
      </c>
      <c r="C2983" s="13">
        <f t="shared" si="369"/>
        <v>2024</v>
      </c>
      <c r="D2983" s="7" t="str">
        <f t="shared" si="370"/>
        <v>Dec</v>
      </c>
      <c r="E2983" s="7" t="str">
        <f t="shared" si="371"/>
        <v>Fri</v>
      </c>
      <c r="F2983" t="s">
        <v>55</v>
      </c>
      <c r="G2983" t="s">
        <v>174</v>
      </c>
      <c r="H2983" t="s">
        <v>17</v>
      </c>
      <c r="I2983" s="2" t="str">
        <f t="shared" si="368"/>
        <v>South</v>
      </c>
      <c r="J2983" t="s">
        <v>27</v>
      </c>
      <c r="K2983" t="s">
        <v>36</v>
      </c>
      <c r="L2983">
        <v>19</v>
      </c>
      <c r="M2983">
        <v>120</v>
      </c>
      <c r="N2983">
        <f t="shared" si="372"/>
        <v>2280</v>
      </c>
      <c r="O2983">
        <f t="shared" si="373"/>
        <v>228</v>
      </c>
      <c r="P2983" t="str">
        <f t="shared" si="374"/>
        <v>Large Order</v>
      </c>
      <c r="Q2983" t="str">
        <f t="shared" si="375"/>
        <v>Weekday</v>
      </c>
    </row>
    <row r="2984" spans="1:17" x14ac:dyDescent="0.35">
      <c r="A2984" t="s">
        <v>3134</v>
      </c>
      <c r="B2984" s="7">
        <v>45425</v>
      </c>
      <c r="C2984" s="13">
        <f t="shared" si="369"/>
        <v>2024</v>
      </c>
      <c r="D2984" s="7" t="str">
        <f t="shared" si="370"/>
        <v>May</v>
      </c>
      <c r="E2984" s="7" t="str">
        <f t="shared" si="371"/>
        <v>Mon</v>
      </c>
      <c r="F2984" t="s">
        <v>111</v>
      </c>
      <c r="G2984" t="s">
        <v>31</v>
      </c>
      <c r="H2984" t="s">
        <v>17</v>
      </c>
      <c r="I2984" s="2" t="str">
        <f t="shared" si="368"/>
        <v>Central</v>
      </c>
      <c r="J2984" t="s">
        <v>56</v>
      </c>
      <c r="K2984" t="s">
        <v>28</v>
      </c>
      <c r="L2984">
        <v>1</v>
      </c>
      <c r="M2984">
        <v>120</v>
      </c>
      <c r="N2984">
        <f t="shared" si="372"/>
        <v>120</v>
      </c>
      <c r="O2984">
        <f t="shared" si="373"/>
        <v>12</v>
      </c>
      <c r="P2984" t="str">
        <f t="shared" si="374"/>
        <v>Standard Order</v>
      </c>
      <c r="Q2984" t="str">
        <f t="shared" si="375"/>
        <v>Weekday</v>
      </c>
    </row>
    <row r="2985" spans="1:17" x14ac:dyDescent="0.35">
      <c r="A2985" t="s">
        <v>3135</v>
      </c>
      <c r="B2985" s="7">
        <v>45641</v>
      </c>
      <c r="C2985" s="13">
        <f t="shared" si="369"/>
        <v>2024</v>
      </c>
      <c r="D2985" s="7" t="str">
        <f t="shared" si="370"/>
        <v>Dec</v>
      </c>
      <c r="E2985" s="7" t="str">
        <f t="shared" si="371"/>
        <v>Sun</v>
      </c>
      <c r="F2985" t="s">
        <v>89</v>
      </c>
      <c r="G2985" t="s">
        <v>10</v>
      </c>
      <c r="H2985" t="s">
        <v>11</v>
      </c>
      <c r="I2985" s="2" t="str">
        <f t="shared" si="368"/>
        <v>East</v>
      </c>
      <c r="J2985" t="s">
        <v>306</v>
      </c>
      <c r="K2985" t="s">
        <v>32</v>
      </c>
      <c r="L2985">
        <v>11</v>
      </c>
      <c r="M2985">
        <v>120</v>
      </c>
      <c r="N2985">
        <f t="shared" si="372"/>
        <v>1320</v>
      </c>
      <c r="O2985">
        <f t="shared" si="373"/>
        <v>132</v>
      </c>
      <c r="P2985" t="str">
        <f t="shared" si="374"/>
        <v>Large Order</v>
      </c>
      <c r="Q2985" t="str">
        <f t="shared" si="375"/>
        <v>Weekend</v>
      </c>
    </row>
    <row r="2986" spans="1:17" x14ac:dyDescent="0.35">
      <c r="A2986" t="s">
        <v>3136</v>
      </c>
      <c r="B2986" s="7">
        <v>45311</v>
      </c>
      <c r="C2986" s="13">
        <f t="shared" si="369"/>
        <v>2024</v>
      </c>
      <c r="D2986" s="7" t="str">
        <f t="shared" si="370"/>
        <v>Jan</v>
      </c>
      <c r="E2986" s="7" t="str">
        <f t="shared" si="371"/>
        <v>Sat</v>
      </c>
      <c r="F2986" t="s">
        <v>594</v>
      </c>
      <c r="G2986" t="s">
        <v>26</v>
      </c>
      <c r="H2986" t="s">
        <v>17</v>
      </c>
      <c r="I2986" s="2" t="str">
        <f t="shared" si="368"/>
        <v>East</v>
      </c>
      <c r="J2986" t="s">
        <v>42</v>
      </c>
      <c r="K2986" t="s">
        <v>32</v>
      </c>
      <c r="L2986">
        <v>20</v>
      </c>
      <c r="M2986">
        <v>120</v>
      </c>
      <c r="N2986">
        <f t="shared" si="372"/>
        <v>2400</v>
      </c>
      <c r="O2986">
        <f t="shared" si="373"/>
        <v>240</v>
      </c>
      <c r="P2986" t="str">
        <f t="shared" si="374"/>
        <v>Large Order</v>
      </c>
      <c r="Q2986" t="str">
        <f t="shared" si="375"/>
        <v>Weekend</v>
      </c>
    </row>
    <row r="2987" spans="1:17" x14ac:dyDescent="0.35">
      <c r="A2987" t="s">
        <v>3137</v>
      </c>
      <c r="B2987" s="7">
        <v>45449</v>
      </c>
      <c r="C2987" s="13">
        <f t="shared" si="369"/>
        <v>2024</v>
      </c>
      <c r="D2987" s="7" t="str">
        <f t="shared" si="370"/>
        <v>Jun</v>
      </c>
      <c r="E2987" s="7" t="str">
        <f t="shared" si="371"/>
        <v>Thu</v>
      </c>
      <c r="F2987" t="s">
        <v>614</v>
      </c>
      <c r="G2987" t="s">
        <v>41</v>
      </c>
      <c r="H2987" t="s">
        <v>17</v>
      </c>
      <c r="I2987" s="2" t="str">
        <f t="shared" si="368"/>
        <v>East</v>
      </c>
      <c r="J2987" t="s">
        <v>42</v>
      </c>
      <c r="K2987" t="s">
        <v>28</v>
      </c>
      <c r="L2987">
        <v>15</v>
      </c>
      <c r="M2987">
        <v>120</v>
      </c>
      <c r="N2987">
        <f t="shared" si="372"/>
        <v>1800</v>
      </c>
      <c r="O2987">
        <f t="shared" si="373"/>
        <v>180</v>
      </c>
      <c r="P2987" t="str">
        <f t="shared" si="374"/>
        <v>Large Order</v>
      </c>
      <c r="Q2987" t="str">
        <f t="shared" si="375"/>
        <v>Weekday</v>
      </c>
    </row>
    <row r="2988" spans="1:17" x14ac:dyDescent="0.35">
      <c r="A2988" t="s">
        <v>3138</v>
      </c>
      <c r="B2988" s="7">
        <v>45517</v>
      </c>
      <c r="C2988" s="13">
        <f t="shared" si="369"/>
        <v>2024</v>
      </c>
      <c r="D2988" s="7" t="str">
        <f t="shared" si="370"/>
        <v>Aug</v>
      </c>
      <c r="E2988" s="7" t="str">
        <f t="shared" si="371"/>
        <v>Tue</v>
      </c>
      <c r="F2988" t="s">
        <v>142</v>
      </c>
      <c r="G2988" t="s">
        <v>70</v>
      </c>
      <c r="H2988" t="s">
        <v>11</v>
      </c>
      <c r="I2988" s="2" t="str">
        <f t="shared" si="368"/>
        <v>Central</v>
      </c>
      <c r="J2988" t="s">
        <v>42</v>
      </c>
      <c r="K2988" t="s">
        <v>23</v>
      </c>
      <c r="L2988">
        <v>18</v>
      </c>
      <c r="M2988">
        <v>120</v>
      </c>
      <c r="N2988">
        <f t="shared" si="372"/>
        <v>2160</v>
      </c>
      <c r="O2988">
        <f t="shared" si="373"/>
        <v>216</v>
      </c>
      <c r="P2988" t="str">
        <f t="shared" si="374"/>
        <v>Large Order</v>
      </c>
      <c r="Q2988" t="str">
        <f t="shared" si="375"/>
        <v>Weekday</v>
      </c>
    </row>
    <row r="2989" spans="1:17" x14ac:dyDescent="0.35">
      <c r="A2989" t="s">
        <v>3139</v>
      </c>
      <c r="B2989" s="7">
        <v>45321</v>
      </c>
      <c r="C2989" s="13">
        <f t="shared" si="369"/>
        <v>2024</v>
      </c>
      <c r="D2989" s="7" t="str">
        <f t="shared" si="370"/>
        <v>Jan</v>
      </c>
      <c r="E2989" s="7" t="str">
        <f t="shared" si="371"/>
        <v>Tue</v>
      </c>
      <c r="F2989" t="s">
        <v>361</v>
      </c>
      <c r="G2989" t="s">
        <v>10</v>
      </c>
      <c r="H2989" t="s">
        <v>17</v>
      </c>
      <c r="I2989" s="2" t="str">
        <f t="shared" si="368"/>
        <v>East</v>
      </c>
      <c r="J2989" t="s">
        <v>306</v>
      </c>
      <c r="K2989" t="s">
        <v>36</v>
      </c>
      <c r="L2989">
        <v>11</v>
      </c>
      <c r="M2989">
        <v>120</v>
      </c>
      <c r="N2989">
        <f t="shared" si="372"/>
        <v>1320</v>
      </c>
      <c r="O2989">
        <f t="shared" si="373"/>
        <v>132</v>
      </c>
      <c r="P2989" t="str">
        <f t="shared" si="374"/>
        <v>Large Order</v>
      </c>
      <c r="Q2989" t="str">
        <f t="shared" si="375"/>
        <v>Weekday</v>
      </c>
    </row>
    <row r="2990" spans="1:17" x14ac:dyDescent="0.35">
      <c r="A2990" t="s">
        <v>3140</v>
      </c>
      <c r="B2990" s="7">
        <v>45517</v>
      </c>
      <c r="C2990" s="13">
        <f t="shared" si="369"/>
        <v>2024</v>
      </c>
      <c r="D2990" s="7" t="str">
        <f t="shared" si="370"/>
        <v>Aug</v>
      </c>
      <c r="E2990" s="7" t="str">
        <f t="shared" si="371"/>
        <v>Tue</v>
      </c>
      <c r="F2990" t="s">
        <v>44</v>
      </c>
      <c r="G2990" t="s">
        <v>26</v>
      </c>
      <c r="H2990" t="s">
        <v>17</v>
      </c>
      <c r="I2990" s="2" t="str">
        <f t="shared" si="368"/>
        <v>North</v>
      </c>
      <c r="J2990" t="s">
        <v>42</v>
      </c>
      <c r="K2990" t="s">
        <v>23</v>
      </c>
      <c r="L2990">
        <v>5</v>
      </c>
      <c r="M2990">
        <v>120</v>
      </c>
      <c r="N2990">
        <f t="shared" si="372"/>
        <v>600</v>
      </c>
      <c r="O2990">
        <f t="shared" si="373"/>
        <v>60</v>
      </c>
      <c r="P2990" t="str">
        <f t="shared" si="374"/>
        <v>Large Order</v>
      </c>
      <c r="Q2990" t="str">
        <f t="shared" si="375"/>
        <v>Weekday</v>
      </c>
    </row>
    <row r="2991" spans="1:17" x14ac:dyDescent="0.35">
      <c r="A2991" t="s">
        <v>3141</v>
      </c>
      <c r="B2991" s="7">
        <v>45381</v>
      </c>
      <c r="C2991" s="13">
        <f t="shared" si="369"/>
        <v>2024</v>
      </c>
      <c r="D2991" s="7" t="str">
        <f t="shared" si="370"/>
        <v>Mar</v>
      </c>
      <c r="E2991" s="7" t="str">
        <f t="shared" si="371"/>
        <v>Sat</v>
      </c>
      <c r="F2991" t="s">
        <v>167</v>
      </c>
      <c r="G2991" t="s">
        <v>109</v>
      </c>
      <c r="H2991" t="s">
        <v>22</v>
      </c>
      <c r="I2991" s="2" t="str">
        <f t="shared" si="368"/>
        <v>Central</v>
      </c>
      <c r="J2991" t="s">
        <v>12</v>
      </c>
      <c r="K2991" t="s">
        <v>28</v>
      </c>
      <c r="L2991">
        <v>4</v>
      </c>
      <c r="M2991">
        <v>120</v>
      </c>
      <c r="N2991">
        <f t="shared" si="372"/>
        <v>480</v>
      </c>
      <c r="O2991">
        <f t="shared" si="373"/>
        <v>48</v>
      </c>
      <c r="P2991" t="str">
        <f t="shared" si="374"/>
        <v>Standard Order</v>
      </c>
      <c r="Q2991" t="str">
        <f t="shared" si="375"/>
        <v>Weekend</v>
      </c>
    </row>
    <row r="2992" spans="1:17" x14ac:dyDescent="0.35">
      <c r="A2992" t="s">
        <v>3142</v>
      </c>
      <c r="B2992" s="7">
        <v>45386</v>
      </c>
      <c r="C2992" s="13">
        <f t="shared" si="369"/>
        <v>2024</v>
      </c>
      <c r="D2992" s="7" t="str">
        <f t="shared" si="370"/>
        <v>Apr</v>
      </c>
      <c r="E2992" s="7" t="str">
        <f t="shared" si="371"/>
        <v>Thu</v>
      </c>
      <c r="F2992" t="s">
        <v>455</v>
      </c>
      <c r="G2992" t="s">
        <v>160</v>
      </c>
      <c r="H2992" t="s">
        <v>17</v>
      </c>
      <c r="I2992" s="2" t="str">
        <f t="shared" si="368"/>
        <v>East</v>
      </c>
      <c r="J2992" t="s">
        <v>306</v>
      </c>
      <c r="K2992" t="s">
        <v>32</v>
      </c>
      <c r="L2992">
        <v>2</v>
      </c>
      <c r="M2992">
        <v>120</v>
      </c>
      <c r="N2992">
        <f t="shared" si="372"/>
        <v>240</v>
      </c>
      <c r="O2992">
        <f t="shared" si="373"/>
        <v>24</v>
      </c>
      <c r="P2992" t="str">
        <f t="shared" si="374"/>
        <v>Standard Order</v>
      </c>
      <c r="Q2992" t="str">
        <f t="shared" si="375"/>
        <v>Weekday</v>
      </c>
    </row>
    <row r="2993" spans="1:17" x14ac:dyDescent="0.35">
      <c r="A2993" t="s">
        <v>3143</v>
      </c>
      <c r="B2993" s="7">
        <v>45408</v>
      </c>
      <c r="C2993" s="13">
        <f t="shared" si="369"/>
        <v>2024</v>
      </c>
      <c r="D2993" s="7" t="str">
        <f t="shared" si="370"/>
        <v>Apr</v>
      </c>
      <c r="E2993" s="7" t="str">
        <f t="shared" si="371"/>
        <v>Fri</v>
      </c>
      <c r="F2993" t="s">
        <v>131</v>
      </c>
      <c r="G2993" t="s">
        <v>62</v>
      </c>
      <c r="H2993" t="s">
        <v>17</v>
      </c>
      <c r="I2993" s="2" t="str">
        <f t="shared" si="368"/>
        <v>North</v>
      </c>
      <c r="J2993" t="s">
        <v>42</v>
      </c>
      <c r="K2993" t="s">
        <v>13</v>
      </c>
      <c r="L2993">
        <v>12</v>
      </c>
      <c r="M2993">
        <v>120</v>
      </c>
      <c r="N2993">
        <f t="shared" si="372"/>
        <v>1440</v>
      </c>
      <c r="O2993">
        <f t="shared" si="373"/>
        <v>144</v>
      </c>
      <c r="P2993" t="str">
        <f t="shared" si="374"/>
        <v>Large Order</v>
      </c>
      <c r="Q2993" t="str">
        <f t="shared" si="375"/>
        <v>Weekday</v>
      </c>
    </row>
    <row r="2994" spans="1:17" x14ac:dyDescent="0.35">
      <c r="A2994" t="s">
        <v>3144</v>
      </c>
      <c r="B2994" s="7">
        <v>45314</v>
      </c>
      <c r="C2994" s="13">
        <f t="shared" si="369"/>
        <v>2024</v>
      </c>
      <c r="D2994" s="7" t="str">
        <f t="shared" si="370"/>
        <v>Jan</v>
      </c>
      <c r="E2994" s="7" t="str">
        <f t="shared" si="371"/>
        <v>Tue</v>
      </c>
      <c r="F2994" t="s">
        <v>327</v>
      </c>
      <c r="G2994" t="s">
        <v>197</v>
      </c>
      <c r="H2994" t="s">
        <v>17</v>
      </c>
      <c r="I2994" s="2" t="str">
        <f t="shared" si="368"/>
        <v>East</v>
      </c>
      <c r="J2994" t="s">
        <v>12</v>
      </c>
      <c r="K2994" t="s">
        <v>13</v>
      </c>
      <c r="L2994">
        <v>17</v>
      </c>
      <c r="M2994">
        <v>120</v>
      </c>
      <c r="N2994">
        <f t="shared" si="372"/>
        <v>2040</v>
      </c>
      <c r="O2994">
        <f t="shared" si="373"/>
        <v>204</v>
      </c>
      <c r="P2994" t="str">
        <f t="shared" si="374"/>
        <v>Large Order</v>
      </c>
      <c r="Q2994" t="str">
        <f t="shared" si="375"/>
        <v>Weekday</v>
      </c>
    </row>
    <row r="2995" spans="1:17" x14ac:dyDescent="0.35">
      <c r="A2995" t="s">
        <v>3145</v>
      </c>
      <c r="B2995" s="7">
        <v>45553</v>
      </c>
      <c r="C2995" s="13">
        <f t="shared" si="369"/>
        <v>2024</v>
      </c>
      <c r="D2995" s="7" t="str">
        <f t="shared" si="370"/>
        <v>Sep</v>
      </c>
      <c r="E2995" s="7" t="str">
        <f t="shared" si="371"/>
        <v>Wed</v>
      </c>
      <c r="F2995" t="s">
        <v>208</v>
      </c>
      <c r="G2995" t="s">
        <v>197</v>
      </c>
      <c r="H2995" t="s">
        <v>11</v>
      </c>
      <c r="I2995" s="2" t="str">
        <f t="shared" si="368"/>
        <v>West</v>
      </c>
      <c r="J2995" t="s">
        <v>42</v>
      </c>
      <c r="K2995" t="s">
        <v>36</v>
      </c>
      <c r="L2995">
        <v>12</v>
      </c>
      <c r="M2995">
        <v>120</v>
      </c>
      <c r="N2995">
        <f t="shared" si="372"/>
        <v>1440</v>
      </c>
      <c r="O2995">
        <f t="shared" si="373"/>
        <v>144</v>
      </c>
      <c r="P2995" t="str">
        <f t="shared" si="374"/>
        <v>Large Order</v>
      </c>
      <c r="Q2995" t="str">
        <f t="shared" si="375"/>
        <v>Weekday</v>
      </c>
    </row>
    <row r="2996" spans="1:17" x14ac:dyDescent="0.35">
      <c r="A2996" t="s">
        <v>3146</v>
      </c>
      <c r="B2996" s="7">
        <v>45640</v>
      </c>
      <c r="C2996" s="13">
        <f t="shared" si="369"/>
        <v>2024</v>
      </c>
      <c r="D2996" s="7" t="str">
        <f t="shared" si="370"/>
        <v>Dec</v>
      </c>
      <c r="E2996" s="7" t="str">
        <f t="shared" si="371"/>
        <v>Sat</v>
      </c>
      <c r="F2996" t="s">
        <v>572</v>
      </c>
      <c r="G2996" t="s">
        <v>10</v>
      </c>
      <c r="H2996" t="s">
        <v>22</v>
      </c>
      <c r="I2996" s="2" t="str">
        <f t="shared" si="368"/>
        <v>West</v>
      </c>
      <c r="J2996" t="s">
        <v>27</v>
      </c>
      <c r="K2996" t="s">
        <v>32</v>
      </c>
      <c r="L2996">
        <v>5</v>
      </c>
      <c r="M2996">
        <v>120</v>
      </c>
      <c r="N2996">
        <f t="shared" si="372"/>
        <v>600</v>
      </c>
      <c r="O2996">
        <f t="shared" si="373"/>
        <v>60</v>
      </c>
      <c r="P2996" t="str">
        <f t="shared" si="374"/>
        <v>Large Order</v>
      </c>
      <c r="Q2996" t="str">
        <f t="shared" si="375"/>
        <v>Weekend</v>
      </c>
    </row>
    <row r="2997" spans="1:17" x14ac:dyDescent="0.35">
      <c r="A2997" t="s">
        <v>3147</v>
      </c>
      <c r="B2997" s="7">
        <v>45602</v>
      </c>
      <c r="C2997" s="13">
        <f t="shared" si="369"/>
        <v>2024</v>
      </c>
      <c r="D2997" s="7" t="str">
        <f t="shared" si="370"/>
        <v>Nov</v>
      </c>
      <c r="E2997" s="7" t="str">
        <f t="shared" si="371"/>
        <v>Wed</v>
      </c>
      <c r="F2997" t="s">
        <v>728</v>
      </c>
      <c r="G2997" t="s">
        <v>48</v>
      </c>
      <c r="H2997" t="s">
        <v>17</v>
      </c>
      <c r="I2997" s="2" t="str">
        <f t="shared" si="368"/>
        <v>East</v>
      </c>
      <c r="J2997" t="s">
        <v>27</v>
      </c>
      <c r="K2997" t="s">
        <v>32</v>
      </c>
      <c r="L2997">
        <v>16</v>
      </c>
      <c r="M2997">
        <v>120</v>
      </c>
      <c r="N2997">
        <f t="shared" si="372"/>
        <v>1920</v>
      </c>
      <c r="O2997">
        <f t="shared" si="373"/>
        <v>192</v>
      </c>
      <c r="P2997" t="str">
        <f t="shared" si="374"/>
        <v>Large Order</v>
      </c>
      <c r="Q2997" t="str">
        <f t="shared" si="375"/>
        <v>Weekday</v>
      </c>
    </row>
    <row r="2998" spans="1:17" x14ac:dyDescent="0.35">
      <c r="A2998" t="s">
        <v>3148</v>
      </c>
      <c r="B2998" s="7">
        <v>45442</v>
      </c>
      <c r="C2998" s="13">
        <f t="shared" si="369"/>
        <v>2024</v>
      </c>
      <c r="D2998" s="7" t="str">
        <f t="shared" si="370"/>
        <v>May</v>
      </c>
      <c r="E2998" s="7" t="str">
        <f t="shared" si="371"/>
        <v>Thu</v>
      </c>
      <c r="F2998" t="s">
        <v>381</v>
      </c>
      <c r="G2998" t="s">
        <v>96</v>
      </c>
      <c r="H2998" t="s">
        <v>11</v>
      </c>
      <c r="I2998" s="2" t="str">
        <f t="shared" si="368"/>
        <v>South</v>
      </c>
      <c r="J2998" t="s">
        <v>42</v>
      </c>
      <c r="K2998" t="s">
        <v>13</v>
      </c>
      <c r="L2998">
        <v>10</v>
      </c>
      <c r="M2998">
        <v>120</v>
      </c>
      <c r="N2998">
        <f t="shared" si="372"/>
        <v>1200</v>
      </c>
      <c r="O2998">
        <f t="shared" si="373"/>
        <v>120</v>
      </c>
      <c r="P2998" t="str">
        <f t="shared" si="374"/>
        <v>Large Order</v>
      </c>
      <c r="Q2998" t="str">
        <f t="shared" si="375"/>
        <v>Weekday</v>
      </c>
    </row>
    <row r="2999" spans="1:17" x14ac:dyDescent="0.35">
      <c r="A2999" t="s">
        <v>3149</v>
      </c>
      <c r="B2999" s="7">
        <v>45594</v>
      </c>
      <c r="C2999" s="13">
        <f t="shared" si="369"/>
        <v>2024</v>
      </c>
      <c r="D2999" s="7" t="str">
        <f t="shared" si="370"/>
        <v>Oct</v>
      </c>
      <c r="E2999" s="7" t="str">
        <f t="shared" si="371"/>
        <v>Tue</v>
      </c>
      <c r="F2999" t="s">
        <v>64</v>
      </c>
      <c r="G2999" t="s">
        <v>102</v>
      </c>
      <c r="H2999" t="s">
        <v>22</v>
      </c>
      <c r="I2999" s="2" t="str">
        <f t="shared" si="368"/>
        <v>East</v>
      </c>
      <c r="J2999" t="s">
        <v>56</v>
      </c>
      <c r="K2999" t="s">
        <v>32</v>
      </c>
      <c r="L2999">
        <v>17</v>
      </c>
      <c r="M2999">
        <v>120</v>
      </c>
      <c r="N2999">
        <f t="shared" si="372"/>
        <v>2040</v>
      </c>
      <c r="O2999">
        <f t="shared" si="373"/>
        <v>204</v>
      </c>
      <c r="P2999" t="str">
        <f t="shared" si="374"/>
        <v>Large Order</v>
      </c>
      <c r="Q2999" t="str">
        <f t="shared" si="375"/>
        <v>Weekday</v>
      </c>
    </row>
    <row r="3000" spans="1:17" x14ac:dyDescent="0.35">
      <c r="A3000" t="s">
        <v>3150</v>
      </c>
      <c r="B3000" s="7">
        <v>45552</v>
      </c>
      <c r="C3000" s="13">
        <f t="shared" si="369"/>
        <v>2024</v>
      </c>
      <c r="D3000" s="7" t="str">
        <f t="shared" si="370"/>
        <v>Sep</v>
      </c>
      <c r="E3000" s="7" t="str">
        <f t="shared" si="371"/>
        <v>Tue</v>
      </c>
      <c r="F3000" t="s">
        <v>728</v>
      </c>
      <c r="G3000" t="s">
        <v>59</v>
      </c>
      <c r="H3000" t="s">
        <v>22</v>
      </c>
      <c r="I3000" s="2" t="str">
        <f t="shared" si="368"/>
        <v>West</v>
      </c>
      <c r="J3000" t="s">
        <v>42</v>
      </c>
      <c r="K3000" t="s">
        <v>28</v>
      </c>
      <c r="L3000">
        <v>13</v>
      </c>
      <c r="M3000">
        <v>120</v>
      </c>
      <c r="N3000">
        <f t="shared" si="372"/>
        <v>1560</v>
      </c>
      <c r="O3000">
        <f t="shared" si="373"/>
        <v>156</v>
      </c>
      <c r="P3000" t="str">
        <f t="shared" si="374"/>
        <v>Large Order</v>
      </c>
      <c r="Q3000" t="str">
        <f t="shared" si="375"/>
        <v>Weekday</v>
      </c>
    </row>
    <row r="3001" spans="1:17" x14ac:dyDescent="0.35">
      <c r="A3001" t="s">
        <v>3151</v>
      </c>
      <c r="B3001" s="7">
        <v>45308</v>
      </c>
      <c r="C3001" s="13">
        <f t="shared" si="369"/>
        <v>2024</v>
      </c>
      <c r="D3001" s="7" t="str">
        <f t="shared" si="370"/>
        <v>Jan</v>
      </c>
      <c r="E3001" s="7" t="str">
        <f t="shared" si="371"/>
        <v>Wed</v>
      </c>
      <c r="F3001" t="s">
        <v>371</v>
      </c>
      <c r="G3001" t="s">
        <v>84</v>
      </c>
      <c r="H3001" t="s">
        <v>11</v>
      </c>
      <c r="I3001" s="2" t="str">
        <f t="shared" si="368"/>
        <v>Central</v>
      </c>
      <c r="J3001" t="s">
        <v>27</v>
      </c>
      <c r="K3001" t="s">
        <v>13</v>
      </c>
      <c r="L3001">
        <v>3</v>
      </c>
      <c r="M3001">
        <v>120</v>
      </c>
      <c r="N3001">
        <f t="shared" si="372"/>
        <v>360</v>
      </c>
      <c r="O3001">
        <f t="shared" si="373"/>
        <v>36</v>
      </c>
      <c r="P3001" t="str">
        <f t="shared" si="374"/>
        <v>Standard Order</v>
      </c>
      <c r="Q3001" t="str">
        <f t="shared" si="375"/>
        <v>Weekday</v>
      </c>
    </row>
    <row r="3002" spans="1:17" x14ac:dyDescent="0.35">
      <c r="A3002" t="s">
        <v>3152</v>
      </c>
      <c r="B3002" s="7">
        <v>45406</v>
      </c>
      <c r="C3002" s="13">
        <f t="shared" si="369"/>
        <v>2024</v>
      </c>
      <c r="D3002" s="7" t="str">
        <f t="shared" si="370"/>
        <v>Apr</v>
      </c>
      <c r="E3002" s="7" t="str">
        <f t="shared" si="371"/>
        <v>Wed</v>
      </c>
      <c r="F3002" t="s">
        <v>614</v>
      </c>
      <c r="G3002" t="s">
        <v>160</v>
      </c>
      <c r="H3002" t="s">
        <v>22</v>
      </c>
      <c r="I3002" s="2" t="str">
        <f t="shared" si="368"/>
        <v>Central</v>
      </c>
      <c r="J3002" t="s">
        <v>306</v>
      </c>
      <c r="K3002" t="s">
        <v>23</v>
      </c>
      <c r="L3002">
        <v>18</v>
      </c>
      <c r="M3002">
        <v>120</v>
      </c>
      <c r="N3002">
        <f t="shared" si="372"/>
        <v>2160</v>
      </c>
      <c r="O3002">
        <f t="shared" si="373"/>
        <v>216</v>
      </c>
      <c r="P3002" t="str">
        <f t="shared" si="374"/>
        <v>Large Order</v>
      </c>
      <c r="Q3002" t="str">
        <f t="shared" si="375"/>
        <v>Weekday</v>
      </c>
    </row>
    <row r="3003" spans="1:17" x14ac:dyDescent="0.35">
      <c r="A3003" t="s">
        <v>3153</v>
      </c>
      <c r="B3003" s="7">
        <v>45562</v>
      </c>
      <c r="C3003" s="13">
        <f t="shared" si="369"/>
        <v>2024</v>
      </c>
      <c r="D3003" s="7" t="str">
        <f t="shared" si="370"/>
        <v>Sep</v>
      </c>
      <c r="E3003" s="7" t="str">
        <f t="shared" si="371"/>
        <v>Fri</v>
      </c>
      <c r="F3003" t="s">
        <v>9</v>
      </c>
      <c r="G3003" t="s">
        <v>109</v>
      </c>
      <c r="H3003" t="s">
        <v>17</v>
      </c>
      <c r="I3003" s="2" t="str">
        <f t="shared" si="368"/>
        <v>East</v>
      </c>
      <c r="J3003" t="s">
        <v>306</v>
      </c>
      <c r="K3003" t="s">
        <v>36</v>
      </c>
      <c r="L3003">
        <v>15</v>
      </c>
      <c r="M3003">
        <v>120</v>
      </c>
      <c r="N3003">
        <f t="shared" si="372"/>
        <v>1800</v>
      </c>
      <c r="O3003">
        <f t="shared" si="373"/>
        <v>180</v>
      </c>
      <c r="P3003" t="str">
        <f t="shared" si="374"/>
        <v>Large Order</v>
      </c>
      <c r="Q3003" t="str">
        <f t="shared" si="375"/>
        <v>Weekday</v>
      </c>
    </row>
    <row r="3004" spans="1:17" x14ac:dyDescent="0.35">
      <c r="A3004" t="s">
        <v>3154</v>
      </c>
      <c r="B3004" s="7">
        <v>45391</v>
      </c>
      <c r="C3004" s="13">
        <f t="shared" si="369"/>
        <v>2024</v>
      </c>
      <c r="D3004" s="7" t="str">
        <f t="shared" si="370"/>
        <v>Apr</v>
      </c>
      <c r="E3004" s="7" t="str">
        <f t="shared" si="371"/>
        <v>Tue</v>
      </c>
      <c r="F3004" t="s">
        <v>314</v>
      </c>
      <c r="G3004" t="s">
        <v>74</v>
      </c>
      <c r="H3004" t="s">
        <v>11</v>
      </c>
      <c r="I3004" s="2" t="str">
        <f t="shared" si="368"/>
        <v>South</v>
      </c>
      <c r="J3004" t="s">
        <v>42</v>
      </c>
      <c r="K3004" t="s">
        <v>28</v>
      </c>
      <c r="L3004">
        <v>12</v>
      </c>
      <c r="M3004">
        <v>120</v>
      </c>
      <c r="N3004">
        <f t="shared" si="372"/>
        <v>1440</v>
      </c>
      <c r="O3004">
        <f t="shared" si="373"/>
        <v>144</v>
      </c>
      <c r="P3004" t="str">
        <f t="shared" si="374"/>
        <v>Large Order</v>
      </c>
      <c r="Q3004" t="str">
        <f t="shared" si="375"/>
        <v>Weekday</v>
      </c>
    </row>
    <row r="3005" spans="1:17" x14ac:dyDescent="0.35">
      <c r="A3005" t="s">
        <v>3155</v>
      </c>
      <c r="B3005" s="7">
        <v>45453</v>
      </c>
      <c r="C3005" s="13">
        <f t="shared" si="369"/>
        <v>2024</v>
      </c>
      <c r="D3005" s="7" t="str">
        <f t="shared" si="370"/>
        <v>Jun</v>
      </c>
      <c r="E3005" s="7" t="str">
        <f t="shared" si="371"/>
        <v>Mon</v>
      </c>
      <c r="F3005" t="s">
        <v>323</v>
      </c>
      <c r="G3005" t="s">
        <v>102</v>
      </c>
      <c r="H3005" t="s">
        <v>22</v>
      </c>
      <c r="I3005" s="2" t="str">
        <f t="shared" si="368"/>
        <v>East</v>
      </c>
      <c r="J3005" t="s">
        <v>56</v>
      </c>
      <c r="K3005" t="s">
        <v>23</v>
      </c>
      <c r="L3005">
        <v>14</v>
      </c>
      <c r="M3005">
        <v>120</v>
      </c>
      <c r="N3005">
        <f t="shared" si="372"/>
        <v>1680</v>
      </c>
      <c r="O3005">
        <f t="shared" si="373"/>
        <v>168</v>
      </c>
      <c r="P3005" t="str">
        <f t="shared" si="374"/>
        <v>Large Order</v>
      </c>
      <c r="Q3005" t="str">
        <f t="shared" si="375"/>
        <v>Weekday</v>
      </c>
    </row>
    <row r="3006" spans="1:17" x14ac:dyDescent="0.35">
      <c r="A3006" t="s">
        <v>3156</v>
      </c>
      <c r="B3006" s="7">
        <v>45472</v>
      </c>
      <c r="C3006" s="13">
        <f t="shared" si="369"/>
        <v>2024</v>
      </c>
      <c r="D3006" s="7" t="str">
        <f t="shared" si="370"/>
        <v>Jun</v>
      </c>
      <c r="E3006" s="7" t="str">
        <f t="shared" si="371"/>
        <v>Sat</v>
      </c>
      <c r="F3006" t="s">
        <v>642</v>
      </c>
      <c r="G3006" t="s">
        <v>160</v>
      </c>
      <c r="H3006" t="s">
        <v>11</v>
      </c>
      <c r="I3006" s="2" t="str">
        <f t="shared" si="368"/>
        <v>Central</v>
      </c>
      <c r="J3006" t="s">
        <v>42</v>
      </c>
      <c r="K3006" t="s">
        <v>23</v>
      </c>
      <c r="L3006">
        <v>20</v>
      </c>
      <c r="M3006">
        <v>120</v>
      </c>
      <c r="N3006">
        <f t="shared" si="372"/>
        <v>2400</v>
      </c>
      <c r="O3006">
        <f t="shared" si="373"/>
        <v>240</v>
      </c>
      <c r="P3006" t="str">
        <f t="shared" si="374"/>
        <v>Large Order</v>
      </c>
      <c r="Q3006" t="str">
        <f t="shared" si="375"/>
        <v>Weekend</v>
      </c>
    </row>
    <row r="3007" spans="1:17" x14ac:dyDescent="0.35">
      <c r="A3007" t="s">
        <v>3157</v>
      </c>
      <c r="B3007" s="7">
        <v>45506</v>
      </c>
      <c r="C3007" s="13">
        <f t="shared" si="369"/>
        <v>2024</v>
      </c>
      <c r="D3007" s="7" t="str">
        <f t="shared" si="370"/>
        <v>Aug</v>
      </c>
      <c r="E3007" s="7" t="str">
        <f t="shared" si="371"/>
        <v>Fri</v>
      </c>
      <c r="F3007" t="s">
        <v>51</v>
      </c>
      <c r="G3007" t="s">
        <v>59</v>
      </c>
      <c r="H3007" t="s">
        <v>11</v>
      </c>
      <c r="I3007" s="2" t="str">
        <f t="shared" si="368"/>
        <v>East</v>
      </c>
      <c r="J3007" t="s">
        <v>306</v>
      </c>
      <c r="K3007" t="s">
        <v>28</v>
      </c>
      <c r="L3007">
        <v>14</v>
      </c>
      <c r="M3007">
        <v>120</v>
      </c>
      <c r="N3007">
        <f t="shared" si="372"/>
        <v>1680</v>
      </c>
      <c r="O3007">
        <f t="shared" si="373"/>
        <v>168</v>
      </c>
      <c r="P3007" t="str">
        <f t="shared" si="374"/>
        <v>Large Order</v>
      </c>
      <c r="Q3007" t="str">
        <f t="shared" si="375"/>
        <v>Weekday</v>
      </c>
    </row>
    <row r="3008" spans="1:17" x14ac:dyDescent="0.35">
      <c r="A3008" t="s">
        <v>3158</v>
      </c>
      <c r="B3008" s="7">
        <v>45632</v>
      </c>
      <c r="C3008" s="13">
        <f t="shared" si="369"/>
        <v>2024</v>
      </c>
      <c r="D3008" s="7" t="str">
        <f t="shared" si="370"/>
        <v>Dec</v>
      </c>
      <c r="E3008" s="7" t="str">
        <f t="shared" si="371"/>
        <v>Fri</v>
      </c>
      <c r="F3008" t="s">
        <v>99</v>
      </c>
      <c r="G3008" t="s">
        <v>109</v>
      </c>
      <c r="H3008" t="s">
        <v>17</v>
      </c>
      <c r="I3008" s="2" t="str">
        <f t="shared" si="368"/>
        <v>Central</v>
      </c>
      <c r="J3008" t="s">
        <v>42</v>
      </c>
      <c r="K3008" t="s">
        <v>32</v>
      </c>
      <c r="L3008">
        <v>11</v>
      </c>
      <c r="M3008">
        <v>120</v>
      </c>
      <c r="N3008">
        <f t="shared" si="372"/>
        <v>1320</v>
      </c>
      <c r="O3008">
        <f t="shared" si="373"/>
        <v>132</v>
      </c>
      <c r="P3008" t="str">
        <f t="shared" si="374"/>
        <v>Large Order</v>
      </c>
      <c r="Q3008" t="str">
        <f t="shared" si="375"/>
        <v>Weekday</v>
      </c>
    </row>
    <row r="3009" spans="1:17" x14ac:dyDescent="0.35">
      <c r="A3009" t="s">
        <v>3159</v>
      </c>
      <c r="B3009" s="7">
        <v>45501</v>
      </c>
      <c r="C3009" s="13">
        <f t="shared" si="369"/>
        <v>2024</v>
      </c>
      <c r="D3009" s="7" t="str">
        <f t="shared" si="370"/>
        <v>Jul</v>
      </c>
      <c r="E3009" s="7" t="str">
        <f t="shared" si="371"/>
        <v>Sun</v>
      </c>
      <c r="F3009" t="s">
        <v>572</v>
      </c>
      <c r="G3009" t="s">
        <v>160</v>
      </c>
      <c r="H3009" t="s">
        <v>11</v>
      </c>
      <c r="I3009" s="2" t="str">
        <f t="shared" si="368"/>
        <v>West</v>
      </c>
      <c r="J3009" t="s">
        <v>306</v>
      </c>
      <c r="K3009" t="s">
        <v>23</v>
      </c>
      <c r="L3009">
        <v>7</v>
      </c>
      <c r="M3009">
        <v>120</v>
      </c>
      <c r="N3009">
        <f t="shared" si="372"/>
        <v>840</v>
      </c>
      <c r="O3009">
        <f t="shared" si="373"/>
        <v>84</v>
      </c>
      <c r="P3009" t="str">
        <f t="shared" si="374"/>
        <v>Large Order</v>
      </c>
      <c r="Q3009" t="str">
        <f t="shared" si="375"/>
        <v>Weekend</v>
      </c>
    </row>
    <row r="3010" spans="1:17" x14ac:dyDescent="0.35">
      <c r="A3010" t="s">
        <v>3160</v>
      </c>
      <c r="B3010" s="7">
        <v>45524</v>
      </c>
      <c r="C3010" s="13">
        <f t="shared" si="369"/>
        <v>2024</v>
      </c>
      <c r="D3010" s="7" t="str">
        <f t="shared" si="370"/>
        <v>Aug</v>
      </c>
      <c r="E3010" s="7" t="str">
        <f t="shared" si="371"/>
        <v>Tue</v>
      </c>
      <c r="F3010" t="s">
        <v>142</v>
      </c>
      <c r="G3010" t="s">
        <v>45</v>
      </c>
      <c r="H3010" t="s">
        <v>11</v>
      </c>
      <c r="I3010" s="2" t="str">
        <f t="shared" si="368"/>
        <v>North</v>
      </c>
      <c r="J3010" t="s">
        <v>27</v>
      </c>
      <c r="K3010" t="s">
        <v>32</v>
      </c>
      <c r="L3010">
        <v>18</v>
      </c>
      <c r="M3010">
        <v>120</v>
      </c>
      <c r="N3010">
        <f t="shared" si="372"/>
        <v>2160</v>
      </c>
      <c r="O3010">
        <f t="shared" si="373"/>
        <v>216</v>
      </c>
      <c r="P3010" t="str">
        <f t="shared" si="374"/>
        <v>Large Order</v>
      </c>
      <c r="Q3010" t="str">
        <f t="shared" si="375"/>
        <v>Weekday</v>
      </c>
    </row>
    <row r="3011" spans="1:17" x14ac:dyDescent="0.35">
      <c r="A3011" t="s">
        <v>3161</v>
      </c>
      <c r="B3011" s="7">
        <v>45532</v>
      </c>
      <c r="C3011" s="13">
        <f t="shared" si="369"/>
        <v>2024</v>
      </c>
      <c r="D3011" s="7" t="str">
        <f t="shared" si="370"/>
        <v>Aug</v>
      </c>
      <c r="E3011" s="7" t="str">
        <f t="shared" si="371"/>
        <v>Wed</v>
      </c>
      <c r="F3011" t="s">
        <v>323</v>
      </c>
      <c r="G3011" t="s">
        <v>102</v>
      </c>
      <c r="H3011" t="s">
        <v>11</v>
      </c>
      <c r="I3011" s="2" t="str">
        <f t="shared" ref="I3011:I3074" si="376">TRIM(J3012)</f>
        <v>West</v>
      </c>
      <c r="J3011" t="s">
        <v>12</v>
      </c>
      <c r="K3011" t="s">
        <v>23</v>
      </c>
      <c r="L3011">
        <v>1</v>
      </c>
      <c r="M3011">
        <v>120</v>
      </c>
      <c r="N3011">
        <f t="shared" si="372"/>
        <v>120</v>
      </c>
      <c r="O3011">
        <f t="shared" si="373"/>
        <v>12</v>
      </c>
      <c r="P3011" t="str">
        <f t="shared" si="374"/>
        <v>Standard Order</v>
      </c>
      <c r="Q3011" t="str">
        <f t="shared" si="375"/>
        <v>Weekday</v>
      </c>
    </row>
    <row r="3012" spans="1:17" x14ac:dyDescent="0.35">
      <c r="A3012" t="s">
        <v>3162</v>
      </c>
      <c r="B3012" s="7">
        <v>45329</v>
      </c>
      <c r="C3012" s="13">
        <f t="shared" ref="C3012:C3075" si="377">YEAR(B3012)</f>
        <v>2024</v>
      </c>
      <c r="D3012" s="7" t="str">
        <f t="shared" ref="D3012:D3075" si="378">TEXT(B3012,"mmm")</f>
        <v>Feb</v>
      </c>
      <c r="E3012" s="7" t="str">
        <f t="shared" ref="E3012:E3075" si="379">TEXT(B3012,"ddd")</f>
        <v>Wed</v>
      </c>
      <c r="F3012" t="s">
        <v>34</v>
      </c>
      <c r="G3012" t="s">
        <v>160</v>
      </c>
      <c r="H3012" t="s">
        <v>22</v>
      </c>
      <c r="I3012" s="2" t="str">
        <f t="shared" si="376"/>
        <v>East</v>
      </c>
      <c r="J3012" t="s">
        <v>27</v>
      </c>
      <c r="K3012" t="s">
        <v>23</v>
      </c>
      <c r="L3012">
        <v>12</v>
      </c>
      <c r="M3012">
        <v>120</v>
      </c>
      <c r="N3012">
        <f t="shared" ref="N3012:N3075" si="380">M3012*L3012</f>
        <v>1440</v>
      </c>
      <c r="O3012">
        <f t="shared" ref="O3012:O3075" si="381">N3012*0.1</f>
        <v>144</v>
      </c>
      <c r="P3012" t="str">
        <f t="shared" ref="P3012:P3075" si="382">IF(N3012&gt;500,"Large Order","Standard Order")</f>
        <v>Large Order</v>
      </c>
      <c r="Q3012" t="str">
        <f t="shared" ref="Q3012:Q3075" si="383">IF(OR(TRIM(E3012)="Sat",TRIM(E3012)="Sun"),"Weekend","Weekday")</f>
        <v>Weekday</v>
      </c>
    </row>
    <row r="3013" spans="1:17" x14ac:dyDescent="0.35">
      <c r="A3013" t="s">
        <v>3163</v>
      </c>
      <c r="B3013" s="7">
        <v>45648</v>
      </c>
      <c r="C3013" s="13">
        <f t="shared" si="377"/>
        <v>2024</v>
      </c>
      <c r="D3013" s="7" t="str">
        <f t="shared" si="378"/>
        <v>Dec</v>
      </c>
      <c r="E3013" s="7" t="str">
        <f t="shared" si="379"/>
        <v>Sun</v>
      </c>
      <c r="F3013" t="s">
        <v>642</v>
      </c>
      <c r="G3013" t="s">
        <v>197</v>
      </c>
      <c r="H3013" t="s">
        <v>22</v>
      </c>
      <c r="I3013" s="2" t="str">
        <f t="shared" si="376"/>
        <v>North</v>
      </c>
      <c r="J3013" t="s">
        <v>42</v>
      </c>
      <c r="K3013" t="s">
        <v>13</v>
      </c>
      <c r="L3013">
        <v>11</v>
      </c>
      <c r="M3013">
        <v>120</v>
      </c>
      <c r="N3013">
        <f t="shared" si="380"/>
        <v>1320</v>
      </c>
      <c r="O3013">
        <f t="shared" si="381"/>
        <v>132</v>
      </c>
      <c r="P3013" t="str">
        <f t="shared" si="382"/>
        <v>Large Order</v>
      </c>
      <c r="Q3013" t="str">
        <f t="shared" si="383"/>
        <v>Weekend</v>
      </c>
    </row>
    <row r="3014" spans="1:17" x14ac:dyDescent="0.35">
      <c r="A3014" t="s">
        <v>3164</v>
      </c>
      <c r="B3014" s="7">
        <v>45464</v>
      </c>
      <c r="C3014" s="13">
        <f t="shared" si="377"/>
        <v>2024</v>
      </c>
      <c r="D3014" s="7" t="str">
        <f t="shared" si="378"/>
        <v>Jun</v>
      </c>
      <c r="E3014" s="7" t="str">
        <f t="shared" si="379"/>
        <v>Fri</v>
      </c>
      <c r="F3014" t="s">
        <v>449</v>
      </c>
      <c r="G3014" t="s">
        <v>109</v>
      </c>
      <c r="H3014" t="s">
        <v>22</v>
      </c>
      <c r="I3014" s="2" t="str">
        <f t="shared" si="376"/>
        <v>West</v>
      </c>
      <c r="J3014" t="s">
        <v>12</v>
      </c>
      <c r="K3014" t="s">
        <v>13</v>
      </c>
      <c r="L3014">
        <v>3</v>
      </c>
      <c r="M3014">
        <v>120</v>
      </c>
      <c r="N3014">
        <f t="shared" si="380"/>
        <v>360</v>
      </c>
      <c r="O3014">
        <f t="shared" si="381"/>
        <v>36</v>
      </c>
      <c r="P3014" t="str">
        <f t="shared" si="382"/>
        <v>Standard Order</v>
      </c>
      <c r="Q3014" t="str">
        <f t="shared" si="383"/>
        <v>Weekday</v>
      </c>
    </row>
    <row r="3015" spans="1:17" x14ac:dyDescent="0.35">
      <c r="A3015" t="s">
        <v>3165</v>
      </c>
      <c r="B3015" s="7">
        <v>45473</v>
      </c>
      <c r="C3015" s="13">
        <f t="shared" si="377"/>
        <v>2024</v>
      </c>
      <c r="D3015" s="7" t="str">
        <f t="shared" si="378"/>
        <v>Jun</v>
      </c>
      <c r="E3015" s="7" t="str">
        <f t="shared" si="379"/>
        <v>Sun</v>
      </c>
      <c r="F3015" t="s">
        <v>430</v>
      </c>
      <c r="G3015" t="s">
        <v>87</v>
      </c>
      <c r="H3015" t="s">
        <v>22</v>
      </c>
      <c r="I3015" s="2" t="str">
        <f t="shared" si="376"/>
        <v>Central</v>
      </c>
      <c r="J3015" t="s">
        <v>27</v>
      </c>
      <c r="K3015" t="s">
        <v>23</v>
      </c>
      <c r="L3015">
        <v>10</v>
      </c>
      <c r="M3015">
        <v>120</v>
      </c>
      <c r="N3015">
        <f t="shared" si="380"/>
        <v>1200</v>
      </c>
      <c r="O3015">
        <f t="shared" si="381"/>
        <v>120</v>
      </c>
      <c r="P3015" t="str">
        <f t="shared" si="382"/>
        <v>Large Order</v>
      </c>
      <c r="Q3015" t="str">
        <f t="shared" si="383"/>
        <v>Weekend</v>
      </c>
    </row>
    <row r="3016" spans="1:17" x14ac:dyDescent="0.35">
      <c r="A3016" t="s">
        <v>3166</v>
      </c>
      <c r="B3016" s="7">
        <v>45650</v>
      </c>
      <c r="C3016" s="13">
        <f t="shared" si="377"/>
        <v>2024</v>
      </c>
      <c r="D3016" s="7" t="str">
        <f t="shared" si="378"/>
        <v>Dec</v>
      </c>
      <c r="E3016" s="7" t="str">
        <f t="shared" si="379"/>
        <v>Tue</v>
      </c>
      <c r="F3016" t="s">
        <v>99</v>
      </c>
      <c r="G3016" t="s">
        <v>84</v>
      </c>
      <c r="H3016" t="s">
        <v>11</v>
      </c>
      <c r="I3016" s="2" t="str">
        <f t="shared" si="376"/>
        <v>West</v>
      </c>
      <c r="J3016" t="s">
        <v>306</v>
      </c>
      <c r="K3016" t="s">
        <v>36</v>
      </c>
      <c r="L3016">
        <v>3</v>
      </c>
      <c r="M3016">
        <v>120</v>
      </c>
      <c r="N3016">
        <f t="shared" si="380"/>
        <v>360</v>
      </c>
      <c r="O3016">
        <f t="shared" si="381"/>
        <v>36</v>
      </c>
      <c r="P3016" t="str">
        <f t="shared" si="382"/>
        <v>Standard Order</v>
      </c>
      <c r="Q3016" t="str">
        <f t="shared" si="383"/>
        <v>Weekday</v>
      </c>
    </row>
    <row r="3017" spans="1:17" x14ac:dyDescent="0.35">
      <c r="A3017" t="s">
        <v>3167</v>
      </c>
      <c r="B3017" s="7">
        <v>45295</v>
      </c>
      <c r="C3017" s="13">
        <f t="shared" si="377"/>
        <v>2024</v>
      </c>
      <c r="D3017" s="7" t="str">
        <f t="shared" si="378"/>
        <v>Jan</v>
      </c>
      <c r="E3017" s="7" t="str">
        <f t="shared" si="379"/>
        <v>Thu</v>
      </c>
      <c r="F3017" t="s">
        <v>449</v>
      </c>
      <c r="G3017" t="s">
        <v>59</v>
      </c>
      <c r="H3017" t="s">
        <v>17</v>
      </c>
      <c r="I3017" s="2" t="str">
        <f t="shared" si="376"/>
        <v>North</v>
      </c>
      <c r="J3017" t="s">
        <v>27</v>
      </c>
      <c r="K3017" t="s">
        <v>23</v>
      </c>
      <c r="L3017">
        <v>11</v>
      </c>
      <c r="M3017">
        <v>120</v>
      </c>
      <c r="N3017">
        <f t="shared" si="380"/>
        <v>1320</v>
      </c>
      <c r="O3017">
        <f t="shared" si="381"/>
        <v>132</v>
      </c>
      <c r="P3017" t="str">
        <f t="shared" si="382"/>
        <v>Large Order</v>
      </c>
      <c r="Q3017" t="str">
        <f t="shared" si="383"/>
        <v>Weekday</v>
      </c>
    </row>
    <row r="3018" spans="1:17" x14ac:dyDescent="0.35">
      <c r="A3018" t="s">
        <v>3168</v>
      </c>
      <c r="B3018" s="7">
        <v>45552</v>
      </c>
      <c r="C3018" s="13">
        <f t="shared" si="377"/>
        <v>2024</v>
      </c>
      <c r="D3018" s="7" t="str">
        <f t="shared" si="378"/>
        <v>Sep</v>
      </c>
      <c r="E3018" s="7" t="str">
        <f t="shared" si="379"/>
        <v>Tue</v>
      </c>
      <c r="F3018" t="s">
        <v>329</v>
      </c>
      <c r="G3018" t="s">
        <v>59</v>
      </c>
      <c r="H3018" t="s">
        <v>17</v>
      </c>
      <c r="I3018" s="2" t="str">
        <f t="shared" si="376"/>
        <v>Central</v>
      </c>
      <c r="J3018" t="s">
        <v>12</v>
      </c>
      <c r="K3018" t="s">
        <v>28</v>
      </c>
      <c r="L3018">
        <v>10</v>
      </c>
      <c r="M3018">
        <v>120</v>
      </c>
      <c r="N3018">
        <f t="shared" si="380"/>
        <v>1200</v>
      </c>
      <c r="O3018">
        <f t="shared" si="381"/>
        <v>120</v>
      </c>
      <c r="P3018" t="str">
        <f t="shared" si="382"/>
        <v>Large Order</v>
      </c>
      <c r="Q3018" t="str">
        <f t="shared" si="383"/>
        <v>Weekday</v>
      </c>
    </row>
    <row r="3019" spans="1:17" x14ac:dyDescent="0.35">
      <c r="A3019" t="s">
        <v>3169</v>
      </c>
      <c r="B3019" s="7">
        <v>45316</v>
      </c>
      <c r="C3019" s="13">
        <f t="shared" si="377"/>
        <v>2024</v>
      </c>
      <c r="D3019" s="7" t="str">
        <f t="shared" si="378"/>
        <v>Jan</v>
      </c>
      <c r="E3019" s="7" t="str">
        <f t="shared" si="379"/>
        <v>Thu</v>
      </c>
      <c r="F3019" t="s">
        <v>614</v>
      </c>
      <c r="G3019" t="s">
        <v>160</v>
      </c>
      <c r="H3019" t="s">
        <v>22</v>
      </c>
      <c r="I3019" s="2" t="str">
        <f t="shared" si="376"/>
        <v>South</v>
      </c>
      <c r="J3019" t="s">
        <v>306</v>
      </c>
      <c r="K3019" t="s">
        <v>36</v>
      </c>
      <c r="L3019">
        <v>14</v>
      </c>
      <c r="M3019">
        <v>120</v>
      </c>
      <c r="N3019">
        <f t="shared" si="380"/>
        <v>1680</v>
      </c>
      <c r="O3019">
        <f t="shared" si="381"/>
        <v>168</v>
      </c>
      <c r="P3019" t="str">
        <f t="shared" si="382"/>
        <v>Large Order</v>
      </c>
      <c r="Q3019" t="str">
        <f t="shared" si="383"/>
        <v>Weekday</v>
      </c>
    </row>
    <row r="3020" spans="1:17" x14ac:dyDescent="0.35">
      <c r="A3020" t="s">
        <v>3170</v>
      </c>
      <c r="B3020" s="7">
        <v>45488</v>
      </c>
      <c r="C3020" s="13">
        <f t="shared" si="377"/>
        <v>2024</v>
      </c>
      <c r="D3020" s="7" t="str">
        <f t="shared" si="378"/>
        <v>Jul</v>
      </c>
      <c r="E3020" s="7" t="str">
        <f t="shared" si="379"/>
        <v>Mon</v>
      </c>
      <c r="F3020" t="s">
        <v>38</v>
      </c>
      <c r="G3020" t="s">
        <v>119</v>
      </c>
      <c r="H3020" t="s">
        <v>11</v>
      </c>
      <c r="I3020" s="2" t="str">
        <f t="shared" si="376"/>
        <v>North</v>
      </c>
      <c r="J3020" t="s">
        <v>56</v>
      </c>
      <c r="K3020" t="s">
        <v>13</v>
      </c>
      <c r="L3020">
        <v>7</v>
      </c>
      <c r="M3020">
        <v>120</v>
      </c>
      <c r="N3020">
        <f t="shared" si="380"/>
        <v>840</v>
      </c>
      <c r="O3020">
        <f t="shared" si="381"/>
        <v>84</v>
      </c>
      <c r="P3020" t="str">
        <f t="shared" si="382"/>
        <v>Large Order</v>
      </c>
      <c r="Q3020" t="str">
        <f t="shared" si="383"/>
        <v>Weekday</v>
      </c>
    </row>
    <row r="3021" spans="1:17" x14ac:dyDescent="0.35">
      <c r="A3021" t="s">
        <v>3171</v>
      </c>
      <c r="B3021" s="7">
        <v>45434</v>
      </c>
      <c r="C3021" s="13">
        <f t="shared" si="377"/>
        <v>2024</v>
      </c>
      <c r="D3021" s="7" t="str">
        <f t="shared" si="378"/>
        <v>May</v>
      </c>
      <c r="E3021" s="7" t="str">
        <f t="shared" si="379"/>
        <v>Wed</v>
      </c>
      <c r="F3021" t="s">
        <v>314</v>
      </c>
      <c r="G3021" t="s">
        <v>109</v>
      </c>
      <c r="H3021" t="s">
        <v>17</v>
      </c>
      <c r="I3021" s="2" t="str">
        <f t="shared" si="376"/>
        <v>South</v>
      </c>
      <c r="J3021" t="s">
        <v>12</v>
      </c>
      <c r="K3021" t="s">
        <v>32</v>
      </c>
      <c r="L3021">
        <v>10</v>
      </c>
      <c r="M3021">
        <v>120</v>
      </c>
      <c r="N3021">
        <f t="shared" si="380"/>
        <v>1200</v>
      </c>
      <c r="O3021">
        <f t="shared" si="381"/>
        <v>120</v>
      </c>
      <c r="P3021" t="str">
        <f t="shared" si="382"/>
        <v>Large Order</v>
      </c>
      <c r="Q3021" t="str">
        <f t="shared" si="383"/>
        <v>Weekday</v>
      </c>
    </row>
    <row r="3022" spans="1:17" x14ac:dyDescent="0.35">
      <c r="A3022" t="s">
        <v>3172</v>
      </c>
      <c r="B3022" s="7">
        <v>45439</v>
      </c>
      <c r="C3022" s="13">
        <f t="shared" si="377"/>
        <v>2024</v>
      </c>
      <c r="D3022" s="7" t="str">
        <f t="shared" si="378"/>
        <v>May</v>
      </c>
      <c r="E3022" s="7" t="str">
        <f t="shared" si="379"/>
        <v>Mon</v>
      </c>
      <c r="F3022" t="s">
        <v>89</v>
      </c>
      <c r="G3022" t="s">
        <v>35</v>
      </c>
      <c r="H3022" t="s">
        <v>17</v>
      </c>
      <c r="I3022" s="2" t="str">
        <f t="shared" si="376"/>
        <v>South</v>
      </c>
      <c r="J3022" t="s">
        <v>56</v>
      </c>
      <c r="K3022" t="s">
        <v>28</v>
      </c>
      <c r="L3022">
        <v>10</v>
      </c>
      <c r="M3022">
        <v>120</v>
      </c>
      <c r="N3022">
        <f t="shared" si="380"/>
        <v>1200</v>
      </c>
      <c r="O3022">
        <f t="shared" si="381"/>
        <v>120</v>
      </c>
      <c r="P3022" t="str">
        <f t="shared" si="382"/>
        <v>Large Order</v>
      </c>
      <c r="Q3022" t="str">
        <f t="shared" si="383"/>
        <v>Weekday</v>
      </c>
    </row>
    <row r="3023" spans="1:17" x14ac:dyDescent="0.35">
      <c r="A3023" t="s">
        <v>3173</v>
      </c>
      <c r="B3023" s="7">
        <v>45424</v>
      </c>
      <c r="C3023" s="13">
        <f t="shared" si="377"/>
        <v>2024</v>
      </c>
      <c r="D3023" s="7" t="str">
        <f t="shared" si="378"/>
        <v>May</v>
      </c>
      <c r="E3023" s="7" t="str">
        <f t="shared" si="379"/>
        <v>Sun</v>
      </c>
      <c r="F3023" t="s">
        <v>493</v>
      </c>
      <c r="G3023" t="s">
        <v>119</v>
      </c>
      <c r="H3023" t="s">
        <v>11</v>
      </c>
      <c r="I3023" s="2" t="str">
        <f t="shared" si="376"/>
        <v>North</v>
      </c>
      <c r="J3023" t="s">
        <v>56</v>
      </c>
      <c r="K3023" t="s">
        <v>32</v>
      </c>
      <c r="L3023">
        <v>5</v>
      </c>
      <c r="M3023">
        <v>120</v>
      </c>
      <c r="N3023">
        <f t="shared" si="380"/>
        <v>600</v>
      </c>
      <c r="O3023">
        <f t="shared" si="381"/>
        <v>60</v>
      </c>
      <c r="P3023" t="str">
        <f t="shared" si="382"/>
        <v>Large Order</v>
      </c>
      <c r="Q3023" t="str">
        <f t="shared" si="383"/>
        <v>Weekend</v>
      </c>
    </row>
    <row r="3024" spans="1:17" x14ac:dyDescent="0.35">
      <c r="A3024" t="s">
        <v>3174</v>
      </c>
      <c r="B3024" s="7">
        <v>45574</v>
      </c>
      <c r="C3024" s="13">
        <f t="shared" si="377"/>
        <v>2024</v>
      </c>
      <c r="D3024" s="7" t="str">
        <f t="shared" si="378"/>
        <v>Oct</v>
      </c>
      <c r="E3024" s="7" t="str">
        <f t="shared" si="379"/>
        <v>Wed</v>
      </c>
      <c r="F3024" t="s">
        <v>345</v>
      </c>
      <c r="G3024" t="s">
        <v>119</v>
      </c>
      <c r="H3024" t="s">
        <v>11</v>
      </c>
      <c r="I3024" s="2" t="str">
        <f t="shared" si="376"/>
        <v>West</v>
      </c>
      <c r="J3024" t="s">
        <v>12</v>
      </c>
      <c r="K3024" t="s">
        <v>36</v>
      </c>
      <c r="L3024">
        <v>2</v>
      </c>
      <c r="M3024">
        <v>120</v>
      </c>
      <c r="N3024">
        <f t="shared" si="380"/>
        <v>240</v>
      </c>
      <c r="O3024">
        <f t="shared" si="381"/>
        <v>24</v>
      </c>
      <c r="P3024" t="str">
        <f t="shared" si="382"/>
        <v>Standard Order</v>
      </c>
      <c r="Q3024" t="str">
        <f t="shared" si="383"/>
        <v>Weekday</v>
      </c>
    </row>
    <row r="3025" spans="1:17" x14ac:dyDescent="0.35">
      <c r="A3025" t="s">
        <v>3175</v>
      </c>
      <c r="B3025" s="7">
        <v>45568</v>
      </c>
      <c r="C3025" s="13">
        <f t="shared" si="377"/>
        <v>2024</v>
      </c>
      <c r="D3025" s="7" t="str">
        <f t="shared" si="378"/>
        <v>Oct</v>
      </c>
      <c r="E3025" s="7" t="str">
        <f t="shared" si="379"/>
        <v>Thu</v>
      </c>
      <c r="F3025" t="s">
        <v>312</v>
      </c>
      <c r="G3025" t="s">
        <v>65</v>
      </c>
      <c r="H3025" t="s">
        <v>11</v>
      </c>
      <c r="I3025" s="2" t="str">
        <f t="shared" si="376"/>
        <v>Central</v>
      </c>
      <c r="J3025" t="s">
        <v>27</v>
      </c>
      <c r="K3025" t="s">
        <v>13</v>
      </c>
      <c r="L3025">
        <v>12</v>
      </c>
      <c r="M3025">
        <v>120</v>
      </c>
      <c r="N3025">
        <f t="shared" si="380"/>
        <v>1440</v>
      </c>
      <c r="O3025">
        <f t="shared" si="381"/>
        <v>144</v>
      </c>
      <c r="P3025" t="str">
        <f t="shared" si="382"/>
        <v>Large Order</v>
      </c>
      <c r="Q3025" t="str">
        <f t="shared" si="383"/>
        <v>Weekday</v>
      </c>
    </row>
    <row r="3026" spans="1:17" x14ac:dyDescent="0.35">
      <c r="A3026" t="s">
        <v>3176</v>
      </c>
      <c r="B3026" s="7">
        <v>45584</v>
      </c>
      <c r="C3026" s="13">
        <f t="shared" si="377"/>
        <v>2024</v>
      </c>
      <c r="D3026" s="7" t="str">
        <f t="shared" si="378"/>
        <v>Oct</v>
      </c>
      <c r="E3026" s="7" t="str">
        <f t="shared" si="379"/>
        <v>Sat</v>
      </c>
      <c r="F3026" t="s">
        <v>309</v>
      </c>
      <c r="G3026" t="s">
        <v>84</v>
      </c>
      <c r="H3026" t="s">
        <v>17</v>
      </c>
      <c r="I3026" s="2" t="str">
        <f t="shared" si="376"/>
        <v>West</v>
      </c>
      <c r="J3026" t="s">
        <v>306</v>
      </c>
      <c r="K3026" t="s">
        <v>28</v>
      </c>
      <c r="L3026">
        <v>15</v>
      </c>
      <c r="M3026">
        <v>120</v>
      </c>
      <c r="N3026">
        <f t="shared" si="380"/>
        <v>1800</v>
      </c>
      <c r="O3026">
        <f t="shared" si="381"/>
        <v>180</v>
      </c>
      <c r="P3026" t="str">
        <f t="shared" si="382"/>
        <v>Large Order</v>
      </c>
      <c r="Q3026" t="str">
        <f t="shared" si="383"/>
        <v>Weekend</v>
      </c>
    </row>
    <row r="3027" spans="1:17" x14ac:dyDescent="0.35">
      <c r="A3027" t="s">
        <v>3177</v>
      </c>
      <c r="B3027" s="7">
        <v>45348</v>
      </c>
      <c r="C3027" s="13">
        <f t="shared" si="377"/>
        <v>2024</v>
      </c>
      <c r="D3027" s="7" t="str">
        <f t="shared" si="378"/>
        <v>Feb</v>
      </c>
      <c r="E3027" s="7" t="str">
        <f t="shared" si="379"/>
        <v>Mon</v>
      </c>
      <c r="F3027" t="s">
        <v>436</v>
      </c>
      <c r="G3027" t="s">
        <v>62</v>
      </c>
      <c r="H3027" t="s">
        <v>11</v>
      </c>
      <c r="I3027" s="2" t="str">
        <f t="shared" si="376"/>
        <v>North</v>
      </c>
      <c r="J3027" t="s">
        <v>27</v>
      </c>
      <c r="K3027" t="s">
        <v>23</v>
      </c>
      <c r="L3027">
        <v>16</v>
      </c>
      <c r="M3027">
        <v>120</v>
      </c>
      <c r="N3027">
        <f t="shared" si="380"/>
        <v>1920</v>
      </c>
      <c r="O3027">
        <f t="shared" si="381"/>
        <v>192</v>
      </c>
      <c r="P3027" t="str">
        <f t="shared" si="382"/>
        <v>Large Order</v>
      </c>
      <c r="Q3027" t="str">
        <f t="shared" si="383"/>
        <v>Weekday</v>
      </c>
    </row>
    <row r="3028" spans="1:17" x14ac:dyDescent="0.35">
      <c r="A3028" t="s">
        <v>3178</v>
      </c>
      <c r="B3028" s="7">
        <v>45362</v>
      </c>
      <c r="C3028" s="13">
        <f t="shared" si="377"/>
        <v>2024</v>
      </c>
      <c r="D3028" s="7" t="str">
        <f t="shared" si="378"/>
        <v>Mar</v>
      </c>
      <c r="E3028" s="7" t="str">
        <f t="shared" si="379"/>
        <v>Mon</v>
      </c>
      <c r="F3028" t="s">
        <v>89</v>
      </c>
      <c r="G3028" t="s">
        <v>84</v>
      </c>
      <c r="H3028" t="s">
        <v>22</v>
      </c>
      <c r="I3028" s="2" t="str">
        <f t="shared" si="376"/>
        <v>South</v>
      </c>
      <c r="J3028" t="s">
        <v>12</v>
      </c>
      <c r="K3028" t="s">
        <v>32</v>
      </c>
      <c r="L3028">
        <v>3</v>
      </c>
      <c r="M3028">
        <v>120</v>
      </c>
      <c r="N3028">
        <f t="shared" si="380"/>
        <v>360</v>
      </c>
      <c r="O3028">
        <f t="shared" si="381"/>
        <v>36</v>
      </c>
      <c r="P3028" t="str">
        <f t="shared" si="382"/>
        <v>Standard Order</v>
      </c>
      <c r="Q3028" t="str">
        <f t="shared" si="383"/>
        <v>Weekday</v>
      </c>
    </row>
    <row r="3029" spans="1:17" x14ac:dyDescent="0.35">
      <c r="A3029" t="s">
        <v>3179</v>
      </c>
      <c r="B3029" s="7">
        <v>45405</v>
      </c>
      <c r="C3029" s="13">
        <f t="shared" si="377"/>
        <v>2024</v>
      </c>
      <c r="D3029" s="7" t="str">
        <f t="shared" si="378"/>
        <v>Apr</v>
      </c>
      <c r="E3029" s="7" t="str">
        <f t="shared" si="379"/>
        <v>Tue</v>
      </c>
      <c r="F3029" t="s">
        <v>388</v>
      </c>
      <c r="G3029" t="s">
        <v>10</v>
      </c>
      <c r="H3029" t="s">
        <v>17</v>
      </c>
      <c r="I3029" s="2" t="str">
        <f t="shared" si="376"/>
        <v>North</v>
      </c>
      <c r="J3029" t="s">
        <v>56</v>
      </c>
      <c r="K3029" t="s">
        <v>36</v>
      </c>
      <c r="L3029">
        <v>11</v>
      </c>
      <c r="M3029">
        <v>120</v>
      </c>
      <c r="N3029">
        <f t="shared" si="380"/>
        <v>1320</v>
      </c>
      <c r="O3029">
        <f t="shared" si="381"/>
        <v>132</v>
      </c>
      <c r="P3029" t="str">
        <f t="shared" si="382"/>
        <v>Large Order</v>
      </c>
      <c r="Q3029" t="str">
        <f t="shared" si="383"/>
        <v>Weekday</v>
      </c>
    </row>
    <row r="3030" spans="1:17" x14ac:dyDescent="0.35">
      <c r="A3030" t="s">
        <v>3180</v>
      </c>
      <c r="B3030" s="7">
        <v>45614</v>
      </c>
      <c r="C3030" s="13">
        <f t="shared" si="377"/>
        <v>2024</v>
      </c>
      <c r="D3030" s="7" t="str">
        <f t="shared" si="378"/>
        <v>Nov</v>
      </c>
      <c r="E3030" s="7" t="str">
        <f t="shared" si="379"/>
        <v>Mon</v>
      </c>
      <c r="F3030" t="s">
        <v>304</v>
      </c>
      <c r="G3030" t="s">
        <v>160</v>
      </c>
      <c r="H3030" t="s">
        <v>22</v>
      </c>
      <c r="I3030" s="2" t="str">
        <f t="shared" si="376"/>
        <v>Central</v>
      </c>
      <c r="J3030" t="s">
        <v>12</v>
      </c>
      <c r="K3030" t="s">
        <v>32</v>
      </c>
      <c r="L3030">
        <v>2</v>
      </c>
      <c r="M3030">
        <v>120</v>
      </c>
      <c r="N3030">
        <f t="shared" si="380"/>
        <v>240</v>
      </c>
      <c r="O3030">
        <f t="shared" si="381"/>
        <v>24</v>
      </c>
      <c r="P3030" t="str">
        <f t="shared" si="382"/>
        <v>Standard Order</v>
      </c>
      <c r="Q3030" t="str">
        <f t="shared" si="383"/>
        <v>Weekday</v>
      </c>
    </row>
    <row r="3031" spans="1:17" x14ac:dyDescent="0.35">
      <c r="A3031" t="s">
        <v>3181</v>
      </c>
      <c r="B3031" s="7">
        <v>45653</v>
      </c>
      <c r="C3031" s="13">
        <f t="shared" si="377"/>
        <v>2024</v>
      </c>
      <c r="D3031" s="7" t="str">
        <f t="shared" si="378"/>
        <v>Dec</v>
      </c>
      <c r="E3031" s="7" t="str">
        <f t="shared" si="379"/>
        <v>Fri</v>
      </c>
      <c r="F3031" t="s">
        <v>363</v>
      </c>
      <c r="G3031" t="s">
        <v>72</v>
      </c>
      <c r="H3031" t="s">
        <v>11</v>
      </c>
      <c r="I3031" s="2" t="str">
        <f t="shared" si="376"/>
        <v>South</v>
      </c>
      <c r="J3031" t="s">
        <v>306</v>
      </c>
      <c r="K3031" t="s">
        <v>13</v>
      </c>
      <c r="L3031">
        <v>1</v>
      </c>
      <c r="M3031">
        <v>120</v>
      </c>
      <c r="N3031">
        <f t="shared" si="380"/>
        <v>120</v>
      </c>
      <c r="O3031">
        <f t="shared" si="381"/>
        <v>12</v>
      </c>
      <c r="P3031" t="str">
        <f t="shared" si="382"/>
        <v>Standard Order</v>
      </c>
      <c r="Q3031" t="str">
        <f t="shared" si="383"/>
        <v>Weekday</v>
      </c>
    </row>
    <row r="3032" spans="1:17" x14ac:dyDescent="0.35">
      <c r="A3032" t="s">
        <v>3182</v>
      </c>
      <c r="B3032" s="7">
        <v>45592</v>
      </c>
      <c r="C3032" s="13">
        <f t="shared" si="377"/>
        <v>2024</v>
      </c>
      <c r="D3032" s="7" t="str">
        <f t="shared" si="378"/>
        <v>Oct</v>
      </c>
      <c r="E3032" s="7" t="str">
        <f t="shared" si="379"/>
        <v>Sun</v>
      </c>
      <c r="F3032" t="s">
        <v>159</v>
      </c>
      <c r="G3032" t="s">
        <v>197</v>
      </c>
      <c r="H3032" t="s">
        <v>22</v>
      </c>
      <c r="I3032" s="2" t="str">
        <f t="shared" si="376"/>
        <v>South</v>
      </c>
      <c r="J3032" t="s">
        <v>56</v>
      </c>
      <c r="K3032" t="s">
        <v>32</v>
      </c>
      <c r="L3032">
        <v>16</v>
      </c>
      <c r="M3032">
        <v>120</v>
      </c>
      <c r="N3032">
        <f t="shared" si="380"/>
        <v>1920</v>
      </c>
      <c r="O3032">
        <f t="shared" si="381"/>
        <v>192</v>
      </c>
      <c r="P3032" t="str">
        <f t="shared" si="382"/>
        <v>Large Order</v>
      </c>
      <c r="Q3032" t="str">
        <f t="shared" si="383"/>
        <v>Weekend</v>
      </c>
    </row>
    <row r="3033" spans="1:17" x14ac:dyDescent="0.35">
      <c r="A3033" t="s">
        <v>3183</v>
      </c>
      <c r="B3033" s="7">
        <v>45387</v>
      </c>
      <c r="C3033" s="13">
        <f t="shared" si="377"/>
        <v>2024</v>
      </c>
      <c r="D3033" s="7" t="str">
        <f t="shared" si="378"/>
        <v>Apr</v>
      </c>
      <c r="E3033" s="7" t="str">
        <f t="shared" si="379"/>
        <v>Fri</v>
      </c>
      <c r="F3033" t="s">
        <v>388</v>
      </c>
      <c r="G3033" t="s">
        <v>35</v>
      </c>
      <c r="H3033" t="s">
        <v>17</v>
      </c>
      <c r="I3033" s="2" t="str">
        <f t="shared" si="376"/>
        <v>West</v>
      </c>
      <c r="J3033" t="s">
        <v>56</v>
      </c>
      <c r="K3033" t="s">
        <v>28</v>
      </c>
      <c r="L3033">
        <v>3</v>
      </c>
      <c r="M3033">
        <v>120</v>
      </c>
      <c r="N3033">
        <f t="shared" si="380"/>
        <v>360</v>
      </c>
      <c r="O3033">
        <f t="shared" si="381"/>
        <v>36</v>
      </c>
      <c r="P3033" t="str">
        <f t="shared" si="382"/>
        <v>Standard Order</v>
      </c>
      <c r="Q3033" t="str">
        <f t="shared" si="383"/>
        <v>Weekday</v>
      </c>
    </row>
    <row r="3034" spans="1:17" x14ac:dyDescent="0.35">
      <c r="A3034" t="s">
        <v>3184</v>
      </c>
      <c r="B3034" s="7">
        <v>45401</v>
      </c>
      <c r="C3034" s="13">
        <f t="shared" si="377"/>
        <v>2024</v>
      </c>
      <c r="D3034" s="7" t="str">
        <f t="shared" si="378"/>
        <v>Apr</v>
      </c>
      <c r="E3034" s="7" t="str">
        <f t="shared" si="379"/>
        <v>Fri</v>
      </c>
      <c r="F3034" t="s">
        <v>25</v>
      </c>
      <c r="G3034" t="s">
        <v>87</v>
      </c>
      <c r="H3034" t="s">
        <v>11</v>
      </c>
      <c r="I3034" s="2" t="str">
        <f t="shared" si="376"/>
        <v>East</v>
      </c>
      <c r="J3034" t="s">
        <v>27</v>
      </c>
      <c r="K3034" t="s">
        <v>36</v>
      </c>
      <c r="L3034">
        <v>20</v>
      </c>
      <c r="M3034">
        <v>120</v>
      </c>
      <c r="N3034">
        <f t="shared" si="380"/>
        <v>2400</v>
      </c>
      <c r="O3034">
        <f t="shared" si="381"/>
        <v>240</v>
      </c>
      <c r="P3034" t="str">
        <f t="shared" si="382"/>
        <v>Large Order</v>
      </c>
      <c r="Q3034" t="str">
        <f t="shared" si="383"/>
        <v>Weekday</v>
      </c>
    </row>
    <row r="3035" spans="1:17" x14ac:dyDescent="0.35">
      <c r="A3035" t="s">
        <v>3185</v>
      </c>
      <c r="B3035" s="7">
        <v>45383</v>
      </c>
      <c r="C3035" s="13">
        <f t="shared" si="377"/>
        <v>2024</v>
      </c>
      <c r="D3035" s="7" t="str">
        <f t="shared" si="378"/>
        <v>Apr</v>
      </c>
      <c r="E3035" s="7" t="str">
        <f t="shared" si="379"/>
        <v>Mon</v>
      </c>
      <c r="F3035" t="s">
        <v>122</v>
      </c>
      <c r="G3035" t="s">
        <v>87</v>
      </c>
      <c r="H3035" t="s">
        <v>22</v>
      </c>
      <c r="I3035" s="2" t="str">
        <f t="shared" si="376"/>
        <v>Central</v>
      </c>
      <c r="J3035" t="s">
        <v>42</v>
      </c>
      <c r="K3035" t="s">
        <v>36</v>
      </c>
      <c r="L3035">
        <v>13</v>
      </c>
      <c r="M3035">
        <v>120</v>
      </c>
      <c r="N3035">
        <f t="shared" si="380"/>
        <v>1560</v>
      </c>
      <c r="O3035">
        <f t="shared" si="381"/>
        <v>156</v>
      </c>
      <c r="P3035" t="str">
        <f t="shared" si="382"/>
        <v>Large Order</v>
      </c>
      <c r="Q3035" t="str">
        <f t="shared" si="383"/>
        <v>Weekday</v>
      </c>
    </row>
    <row r="3036" spans="1:17" x14ac:dyDescent="0.35">
      <c r="A3036" t="s">
        <v>3186</v>
      </c>
      <c r="B3036" s="7">
        <v>45412</v>
      </c>
      <c r="C3036" s="13">
        <f t="shared" si="377"/>
        <v>2024</v>
      </c>
      <c r="D3036" s="7" t="str">
        <f t="shared" si="378"/>
        <v>Apr</v>
      </c>
      <c r="E3036" s="7" t="str">
        <f t="shared" si="379"/>
        <v>Tue</v>
      </c>
      <c r="F3036" t="s">
        <v>541</v>
      </c>
      <c r="G3036" t="s">
        <v>48</v>
      </c>
      <c r="H3036" t="s">
        <v>17</v>
      </c>
      <c r="I3036" s="2" t="str">
        <f t="shared" si="376"/>
        <v>West</v>
      </c>
      <c r="J3036" t="s">
        <v>306</v>
      </c>
      <c r="K3036" t="s">
        <v>28</v>
      </c>
      <c r="L3036">
        <v>10</v>
      </c>
      <c r="M3036">
        <v>120</v>
      </c>
      <c r="N3036">
        <f t="shared" si="380"/>
        <v>1200</v>
      </c>
      <c r="O3036">
        <f t="shared" si="381"/>
        <v>120</v>
      </c>
      <c r="P3036" t="str">
        <f t="shared" si="382"/>
        <v>Large Order</v>
      </c>
      <c r="Q3036" t="str">
        <f t="shared" si="383"/>
        <v>Weekday</v>
      </c>
    </row>
    <row r="3037" spans="1:17" x14ac:dyDescent="0.35">
      <c r="A3037" t="s">
        <v>3187</v>
      </c>
      <c r="B3037" s="7">
        <v>45441</v>
      </c>
      <c r="C3037" s="13">
        <f t="shared" si="377"/>
        <v>2024</v>
      </c>
      <c r="D3037" s="7" t="str">
        <f t="shared" si="378"/>
        <v>May</v>
      </c>
      <c r="E3037" s="7" t="str">
        <f t="shared" si="379"/>
        <v>Wed</v>
      </c>
      <c r="F3037" t="s">
        <v>317</v>
      </c>
      <c r="G3037" t="s">
        <v>35</v>
      </c>
      <c r="H3037" t="s">
        <v>17</v>
      </c>
      <c r="I3037" s="2" t="str">
        <f t="shared" si="376"/>
        <v>East</v>
      </c>
      <c r="J3037" t="s">
        <v>27</v>
      </c>
      <c r="K3037" t="s">
        <v>36</v>
      </c>
      <c r="L3037">
        <v>12</v>
      </c>
      <c r="M3037">
        <v>120</v>
      </c>
      <c r="N3037">
        <f t="shared" si="380"/>
        <v>1440</v>
      </c>
      <c r="O3037">
        <f t="shared" si="381"/>
        <v>144</v>
      </c>
      <c r="P3037" t="str">
        <f t="shared" si="382"/>
        <v>Large Order</v>
      </c>
      <c r="Q3037" t="str">
        <f t="shared" si="383"/>
        <v>Weekday</v>
      </c>
    </row>
    <row r="3038" spans="1:17" x14ac:dyDescent="0.35">
      <c r="A3038" t="s">
        <v>3188</v>
      </c>
      <c r="B3038" s="7">
        <v>45443</v>
      </c>
      <c r="C3038" s="13">
        <f t="shared" si="377"/>
        <v>2024</v>
      </c>
      <c r="D3038" s="7" t="str">
        <f t="shared" si="378"/>
        <v>May</v>
      </c>
      <c r="E3038" s="7" t="str">
        <f t="shared" si="379"/>
        <v>Fri</v>
      </c>
      <c r="F3038" t="s">
        <v>108</v>
      </c>
      <c r="G3038" t="s">
        <v>197</v>
      </c>
      <c r="H3038" t="s">
        <v>11</v>
      </c>
      <c r="I3038" s="2" t="str">
        <f t="shared" si="376"/>
        <v>West</v>
      </c>
      <c r="J3038" t="s">
        <v>42</v>
      </c>
      <c r="K3038" t="s">
        <v>23</v>
      </c>
      <c r="L3038">
        <v>15</v>
      </c>
      <c r="M3038">
        <v>120</v>
      </c>
      <c r="N3038">
        <f t="shared" si="380"/>
        <v>1800</v>
      </c>
      <c r="O3038">
        <f t="shared" si="381"/>
        <v>180</v>
      </c>
      <c r="P3038" t="str">
        <f t="shared" si="382"/>
        <v>Large Order</v>
      </c>
      <c r="Q3038" t="str">
        <f t="shared" si="383"/>
        <v>Weekday</v>
      </c>
    </row>
    <row r="3039" spans="1:17" x14ac:dyDescent="0.35">
      <c r="A3039" t="s">
        <v>3189</v>
      </c>
      <c r="B3039" s="7">
        <v>45631</v>
      </c>
      <c r="C3039" s="13">
        <f t="shared" si="377"/>
        <v>2024</v>
      </c>
      <c r="D3039" s="7" t="str">
        <f t="shared" si="378"/>
        <v>Dec</v>
      </c>
      <c r="E3039" s="7" t="str">
        <f t="shared" si="379"/>
        <v>Thu</v>
      </c>
      <c r="F3039" t="s">
        <v>309</v>
      </c>
      <c r="G3039" t="s">
        <v>102</v>
      </c>
      <c r="H3039" t="s">
        <v>11</v>
      </c>
      <c r="I3039" s="2" t="str">
        <f t="shared" si="376"/>
        <v>West</v>
      </c>
      <c r="J3039" t="s">
        <v>27</v>
      </c>
      <c r="K3039" t="s">
        <v>32</v>
      </c>
      <c r="L3039">
        <v>4</v>
      </c>
      <c r="M3039">
        <v>120</v>
      </c>
      <c r="N3039">
        <f t="shared" si="380"/>
        <v>480</v>
      </c>
      <c r="O3039">
        <f t="shared" si="381"/>
        <v>48</v>
      </c>
      <c r="P3039" t="str">
        <f t="shared" si="382"/>
        <v>Standard Order</v>
      </c>
      <c r="Q3039" t="str">
        <f t="shared" si="383"/>
        <v>Weekday</v>
      </c>
    </row>
    <row r="3040" spans="1:17" x14ac:dyDescent="0.35">
      <c r="A3040" t="s">
        <v>3190</v>
      </c>
      <c r="B3040" s="7">
        <v>45495</v>
      </c>
      <c r="C3040" s="13">
        <f t="shared" si="377"/>
        <v>2024</v>
      </c>
      <c r="D3040" s="7" t="str">
        <f t="shared" si="378"/>
        <v>Jul</v>
      </c>
      <c r="E3040" s="7" t="str">
        <f t="shared" si="379"/>
        <v>Mon</v>
      </c>
      <c r="F3040" t="s">
        <v>369</v>
      </c>
      <c r="G3040" t="s">
        <v>16</v>
      </c>
      <c r="H3040" t="s">
        <v>17</v>
      </c>
      <c r="I3040" s="2" t="str">
        <f t="shared" si="376"/>
        <v>South</v>
      </c>
      <c r="J3040" t="s">
        <v>27</v>
      </c>
      <c r="K3040" t="s">
        <v>36</v>
      </c>
      <c r="L3040">
        <v>14</v>
      </c>
      <c r="M3040">
        <v>120</v>
      </c>
      <c r="N3040">
        <f t="shared" si="380"/>
        <v>1680</v>
      </c>
      <c r="O3040">
        <f t="shared" si="381"/>
        <v>168</v>
      </c>
      <c r="P3040" t="str">
        <f t="shared" si="382"/>
        <v>Large Order</v>
      </c>
      <c r="Q3040" t="str">
        <f t="shared" si="383"/>
        <v>Weekday</v>
      </c>
    </row>
    <row r="3041" spans="1:17" x14ac:dyDescent="0.35">
      <c r="A3041" t="s">
        <v>3191</v>
      </c>
      <c r="B3041" s="7">
        <v>45306</v>
      </c>
      <c r="C3041" s="13">
        <f t="shared" si="377"/>
        <v>2024</v>
      </c>
      <c r="D3041" s="7" t="str">
        <f t="shared" si="378"/>
        <v>Jan</v>
      </c>
      <c r="E3041" s="7" t="str">
        <f t="shared" si="379"/>
        <v>Mon</v>
      </c>
      <c r="F3041" t="s">
        <v>61</v>
      </c>
      <c r="G3041" t="s">
        <v>26</v>
      </c>
      <c r="H3041" t="s">
        <v>22</v>
      </c>
      <c r="I3041" s="2" t="str">
        <f t="shared" si="376"/>
        <v>West</v>
      </c>
      <c r="J3041" t="s">
        <v>56</v>
      </c>
      <c r="K3041" t="s">
        <v>23</v>
      </c>
      <c r="L3041">
        <v>2</v>
      </c>
      <c r="M3041">
        <v>120</v>
      </c>
      <c r="N3041">
        <f t="shared" si="380"/>
        <v>240</v>
      </c>
      <c r="O3041">
        <f t="shared" si="381"/>
        <v>24</v>
      </c>
      <c r="P3041" t="str">
        <f t="shared" si="382"/>
        <v>Standard Order</v>
      </c>
      <c r="Q3041" t="str">
        <f t="shared" si="383"/>
        <v>Weekday</v>
      </c>
    </row>
    <row r="3042" spans="1:17" x14ac:dyDescent="0.35">
      <c r="A3042" t="s">
        <v>3192</v>
      </c>
      <c r="B3042" s="7">
        <v>45457</v>
      </c>
      <c r="C3042" s="13">
        <f t="shared" si="377"/>
        <v>2024</v>
      </c>
      <c r="D3042" s="7" t="str">
        <f t="shared" si="378"/>
        <v>Jun</v>
      </c>
      <c r="E3042" s="7" t="str">
        <f t="shared" si="379"/>
        <v>Fri</v>
      </c>
      <c r="F3042" t="s">
        <v>86</v>
      </c>
      <c r="G3042" t="s">
        <v>41</v>
      </c>
      <c r="H3042" t="s">
        <v>17</v>
      </c>
      <c r="I3042" s="2" t="str">
        <f t="shared" si="376"/>
        <v>South</v>
      </c>
      <c r="J3042" t="s">
        <v>27</v>
      </c>
      <c r="K3042" t="s">
        <v>23</v>
      </c>
      <c r="L3042">
        <v>15</v>
      </c>
      <c r="M3042">
        <v>120</v>
      </c>
      <c r="N3042">
        <f t="shared" si="380"/>
        <v>1800</v>
      </c>
      <c r="O3042">
        <f t="shared" si="381"/>
        <v>180</v>
      </c>
      <c r="P3042" t="str">
        <f t="shared" si="382"/>
        <v>Large Order</v>
      </c>
      <c r="Q3042" t="str">
        <f t="shared" si="383"/>
        <v>Weekday</v>
      </c>
    </row>
    <row r="3043" spans="1:17" x14ac:dyDescent="0.35">
      <c r="A3043" t="s">
        <v>3193</v>
      </c>
      <c r="B3043" s="7">
        <v>45425</v>
      </c>
      <c r="C3043" s="13">
        <f t="shared" si="377"/>
        <v>2024</v>
      </c>
      <c r="D3043" s="7" t="str">
        <f t="shared" si="378"/>
        <v>May</v>
      </c>
      <c r="E3043" s="7" t="str">
        <f t="shared" si="379"/>
        <v>Mon</v>
      </c>
      <c r="F3043" t="s">
        <v>9</v>
      </c>
      <c r="G3043" t="s">
        <v>26</v>
      </c>
      <c r="H3043" t="s">
        <v>17</v>
      </c>
      <c r="I3043" s="2" t="str">
        <f t="shared" si="376"/>
        <v>Central</v>
      </c>
      <c r="J3043" t="s">
        <v>56</v>
      </c>
      <c r="K3043" t="s">
        <v>32</v>
      </c>
      <c r="L3043">
        <v>2</v>
      </c>
      <c r="M3043">
        <v>120</v>
      </c>
      <c r="N3043">
        <f t="shared" si="380"/>
        <v>240</v>
      </c>
      <c r="O3043">
        <f t="shared" si="381"/>
        <v>24</v>
      </c>
      <c r="P3043" t="str">
        <f t="shared" si="382"/>
        <v>Standard Order</v>
      </c>
      <c r="Q3043" t="str">
        <f t="shared" si="383"/>
        <v>Weekday</v>
      </c>
    </row>
    <row r="3044" spans="1:17" x14ac:dyDescent="0.35">
      <c r="A3044" t="s">
        <v>3194</v>
      </c>
      <c r="B3044" s="7">
        <v>45501</v>
      </c>
      <c r="C3044" s="13">
        <f t="shared" si="377"/>
        <v>2024</v>
      </c>
      <c r="D3044" s="7" t="str">
        <f t="shared" si="378"/>
        <v>Jul</v>
      </c>
      <c r="E3044" s="7" t="str">
        <f t="shared" si="379"/>
        <v>Sun</v>
      </c>
      <c r="F3044" t="s">
        <v>240</v>
      </c>
      <c r="G3044" t="s">
        <v>59</v>
      </c>
      <c r="H3044" t="s">
        <v>11</v>
      </c>
      <c r="I3044" s="2" t="str">
        <f t="shared" si="376"/>
        <v>Central</v>
      </c>
      <c r="J3044" t="s">
        <v>306</v>
      </c>
      <c r="K3044" t="s">
        <v>28</v>
      </c>
      <c r="L3044">
        <v>4</v>
      </c>
      <c r="M3044">
        <v>120</v>
      </c>
      <c r="N3044">
        <f t="shared" si="380"/>
        <v>480</v>
      </c>
      <c r="O3044">
        <f t="shared" si="381"/>
        <v>48</v>
      </c>
      <c r="P3044" t="str">
        <f t="shared" si="382"/>
        <v>Standard Order</v>
      </c>
      <c r="Q3044" t="str">
        <f t="shared" si="383"/>
        <v>Weekend</v>
      </c>
    </row>
    <row r="3045" spans="1:17" x14ac:dyDescent="0.35">
      <c r="A3045" t="s">
        <v>3195</v>
      </c>
      <c r="B3045" s="7">
        <v>45606</v>
      </c>
      <c r="C3045" s="13">
        <f t="shared" si="377"/>
        <v>2024</v>
      </c>
      <c r="D3045" s="7" t="str">
        <f t="shared" si="378"/>
        <v>Nov</v>
      </c>
      <c r="E3045" s="7" t="str">
        <f t="shared" si="379"/>
        <v>Sun</v>
      </c>
      <c r="F3045" t="s">
        <v>594</v>
      </c>
      <c r="G3045" t="s">
        <v>72</v>
      </c>
      <c r="H3045" t="s">
        <v>11</v>
      </c>
      <c r="I3045" s="2" t="str">
        <f t="shared" si="376"/>
        <v>East</v>
      </c>
      <c r="J3045" t="s">
        <v>306</v>
      </c>
      <c r="K3045" t="s">
        <v>36</v>
      </c>
      <c r="L3045">
        <v>1</v>
      </c>
      <c r="M3045">
        <v>120</v>
      </c>
      <c r="N3045">
        <f t="shared" si="380"/>
        <v>120</v>
      </c>
      <c r="O3045">
        <f t="shared" si="381"/>
        <v>12</v>
      </c>
      <c r="P3045" t="str">
        <f t="shared" si="382"/>
        <v>Standard Order</v>
      </c>
      <c r="Q3045" t="str">
        <f t="shared" si="383"/>
        <v>Weekend</v>
      </c>
    </row>
    <row r="3046" spans="1:17" x14ac:dyDescent="0.35">
      <c r="A3046" t="s">
        <v>3196</v>
      </c>
      <c r="B3046" s="7">
        <v>45302</v>
      </c>
      <c r="C3046" s="13">
        <f t="shared" si="377"/>
        <v>2024</v>
      </c>
      <c r="D3046" s="7" t="str">
        <f t="shared" si="378"/>
        <v>Jan</v>
      </c>
      <c r="E3046" s="7" t="str">
        <f t="shared" si="379"/>
        <v>Thu</v>
      </c>
      <c r="F3046" t="s">
        <v>159</v>
      </c>
      <c r="G3046" t="s">
        <v>10</v>
      </c>
      <c r="H3046" t="s">
        <v>22</v>
      </c>
      <c r="I3046" s="2" t="str">
        <f t="shared" si="376"/>
        <v>Central</v>
      </c>
      <c r="J3046" t="s">
        <v>42</v>
      </c>
      <c r="K3046" t="s">
        <v>32</v>
      </c>
      <c r="L3046">
        <v>18</v>
      </c>
      <c r="M3046">
        <v>120</v>
      </c>
      <c r="N3046">
        <f t="shared" si="380"/>
        <v>2160</v>
      </c>
      <c r="O3046">
        <f t="shared" si="381"/>
        <v>216</v>
      </c>
      <c r="P3046" t="str">
        <f t="shared" si="382"/>
        <v>Large Order</v>
      </c>
      <c r="Q3046" t="str">
        <f t="shared" si="383"/>
        <v>Weekday</v>
      </c>
    </row>
    <row r="3047" spans="1:17" x14ac:dyDescent="0.35">
      <c r="A3047" t="s">
        <v>3197</v>
      </c>
      <c r="B3047" s="7">
        <v>45317</v>
      </c>
      <c r="C3047" s="13">
        <f t="shared" si="377"/>
        <v>2024</v>
      </c>
      <c r="D3047" s="7" t="str">
        <f t="shared" si="378"/>
        <v>Jan</v>
      </c>
      <c r="E3047" s="7" t="str">
        <f t="shared" si="379"/>
        <v>Fri</v>
      </c>
      <c r="F3047" t="s">
        <v>363</v>
      </c>
      <c r="G3047" t="s">
        <v>65</v>
      </c>
      <c r="H3047" t="s">
        <v>17</v>
      </c>
      <c r="I3047" s="2" t="str">
        <f t="shared" si="376"/>
        <v>South</v>
      </c>
      <c r="J3047" t="s">
        <v>306</v>
      </c>
      <c r="K3047" t="s">
        <v>28</v>
      </c>
      <c r="L3047">
        <v>6</v>
      </c>
      <c r="M3047">
        <v>120</v>
      </c>
      <c r="N3047">
        <f t="shared" si="380"/>
        <v>720</v>
      </c>
      <c r="O3047">
        <f t="shared" si="381"/>
        <v>72</v>
      </c>
      <c r="P3047" t="str">
        <f t="shared" si="382"/>
        <v>Large Order</v>
      </c>
      <c r="Q3047" t="str">
        <f t="shared" si="383"/>
        <v>Weekday</v>
      </c>
    </row>
    <row r="3048" spans="1:17" x14ac:dyDescent="0.35">
      <c r="A3048" t="s">
        <v>3198</v>
      </c>
      <c r="B3048" s="7">
        <v>45494</v>
      </c>
      <c r="C3048" s="13">
        <f t="shared" si="377"/>
        <v>2024</v>
      </c>
      <c r="D3048" s="7" t="str">
        <f t="shared" si="378"/>
        <v>Jul</v>
      </c>
      <c r="E3048" s="7" t="str">
        <f t="shared" si="379"/>
        <v>Sun</v>
      </c>
      <c r="F3048" t="s">
        <v>436</v>
      </c>
      <c r="G3048" t="s">
        <v>197</v>
      </c>
      <c r="H3048" t="s">
        <v>17</v>
      </c>
      <c r="I3048" s="2" t="str">
        <f t="shared" si="376"/>
        <v>North</v>
      </c>
      <c r="J3048" t="s">
        <v>56</v>
      </c>
      <c r="K3048" t="s">
        <v>32</v>
      </c>
      <c r="L3048">
        <v>11</v>
      </c>
      <c r="M3048">
        <v>120</v>
      </c>
      <c r="N3048">
        <f t="shared" si="380"/>
        <v>1320</v>
      </c>
      <c r="O3048">
        <f t="shared" si="381"/>
        <v>132</v>
      </c>
      <c r="P3048" t="str">
        <f t="shared" si="382"/>
        <v>Large Order</v>
      </c>
      <c r="Q3048" t="str">
        <f t="shared" si="383"/>
        <v>Weekend</v>
      </c>
    </row>
    <row r="3049" spans="1:17" x14ac:dyDescent="0.35">
      <c r="A3049" t="s">
        <v>3199</v>
      </c>
      <c r="B3049" s="7">
        <v>45575</v>
      </c>
      <c r="C3049" s="13">
        <f t="shared" si="377"/>
        <v>2024</v>
      </c>
      <c r="D3049" s="7" t="str">
        <f t="shared" si="378"/>
        <v>Oct</v>
      </c>
      <c r="E3049" s="7" t="str">
        <f t="shared" si="379"/>
        <v>Thu</v>
      </c>
      <c r="F3049" t="s">
        <v>388</v>
      </c>
      <c r="G3049" t="s">
        <v>197</v>
      </c>
      <c r="H3049" t="s">
        <v>11</v>
      </c>
      <c r="I3049" s="2" t="str">
        <f t="shared" si="376"/>
        <v>East</v>
      </c>
      <c r="J3049" t="s">
        <v>12</v>
      </c>
      <c r="K3049" t="s">
        <v>13</v>
      </c>
      <c r="L3049">
        <v>17</v>
      </c>
      <c r="M3049">
        <v>120</v>
      </c>
      <c r="N3049">
        <f t="shared" si="380"/>
        <v>2040</v>
      </c>
      <c r="O3049">
        <f t="shared" si="381"/>
        <v>204</v>
      </c>
      <c r="P3049" t="str">
        <f t="shared" si="382"/>
        <v>Large Order</v>
      </c>
      <c r="Q3049" t="str">
        <f t="shared" si="383"/>
        <v>Weekday</v>
      </c>
    </row>
    <row r="3050" spans="1:17" x14ac:dyDescent="0.35">
      <c r="A3050" t="s">
        <v>3200</v>
      </c>
      <c r="B3050" s="7">
        <v>45495</v>
      </c>
      <c r="C3050" s="13">
        <f t="shared" si="377"/>
        <v>2024</v>
      </c>
      <c r="D3050" s="7" t="str">
        <f t="shared" si="378"/>
        <v>Jul</v>
      </c>
      <c r="E3050" s="7" t="str">
        <f t="shared" si="379"/>
        <v>Mon</v>
      </c>
      <c r="F3050" t="s">
        <v>374</v>
      </c>
      <c r="G3050" t="s">
        <v>79</v>
      </c>
      <c r="H3050" t="s">
        <v>11</v>
      </c>
      <c r="I3050" s="2" t="str">
        <f t="shared" si="376"/>
        <v>North</v>
      </c>
      <c r="J3050" t="s">
        <v>42</v>
      </c>
      <c r="K3050" t="s">
        <v>32</v>
      </c>
      <c r="L3050">
        <v>1</v>
      </c>
      <c r="M3050">
        <v>120</v>
      </c>
      <c r="N3050">
        <f t="shared" si="380"/>
        <v>120</v>
      </c>
      <c r="O3050">
        <f t="shared" si="381"/>
        <v>12</v>
      </c>
      <c r="P3050" t="str">
        <f t="shared" si="382"/>
        <v>Standard Order</v>
      </c>
      <c r="Q3050" t="str">
        <f t="shared" si="383"/>
        <v>Weekday</v>
      </c>
    </row>
    <row r="3051" spans="1:17" x14ac:dyDescent="0.35">
      <c r="A3051" t="s">
        <v>3201</v>
      </c>
      <c r="B3051" s="7">
        <v>45644</v>
      </c>
      <c r="C3051" s="13">
        <f t="shared" si="377"/>
        <v>2024</v>
      </c>
      <c r="D3051" s="7" t="str">
        <f t="shared" si="378"/>
        <v>Dec</v>
      </c>
      <c r="E3051" s="7" t="str">
        <f t="shared" si="379"/>
        <v>Wed</v>
      </c>
      <c r="F3051" t="s">
        <v>78</v>
      </c>
      <c r="G3051" t="s">
        <v>79</v>
      </c>
      <c r="H3051" t="s">
        <v>17</v>
      </c>
      <c r="I3051" s="2" t="str">
        <f t="shared" si="376"/>
        <v>Central</v>
      </c>
      <c r="J3051" t="s">
        <v>12</v>
      </c>
      <c r="K3051" t="s">
        <v>23</v>
      </c>
      <c r="L3051">
        <v>13</v>
      </c>
      <c r="M3051">
        <v>120</v>
      </c>
      <c r="N3051">
        <f t="shared" si="380"/>
        <v>1560</v>
      </c>
      <c r="O3051">
        <f t="shared" si="381"/>
        <v>156</v>
      </c>
      <c r="P3051" t="str">
        <f t="shared" si="382"/>
        <v>Large Order</v>
      </c>
      <c r="Q3051" t="str">
        <f t="shared" si="383"/>
        <v>Weekday</v>
      </c>
    </row>
    <row r="3052" spans="1:17" x14ac:dyDescent="0.35">
      <c r="A3052" t="s">
        <v>3202</v>
      </c>
      <c r="B3052" s="7">
        <v>45430</v>
      </c>
      <c r="C3052" s="13">
        <f t="shared" si="377"/>
        <v>2024</v>
      </c>
      <c r="D3052" s="7" t="str">
        <f t="shared" si="378"/>
        <v>May</v>
      </c>
      <c r="E3052" s="7" t="str">
        <f t="shared" si="379"/>
        <v>Sat</v>
      </c>
      <c r="F3052" t="s">
        <v>81</v>
      </c>
      <c r="G3052" t="s">
        <v>10</v>
      </c>
      <c r="H3052" t="s">
        <v>11</v>
      </c>
      <c r="I3052" s="2" t="str">
        <f t="shared" si="376"/>
        <v>Central</v>
      </c>
      <c r="J3052" t="s">
        <v>306</v>
      </c>
      <c r="K3052" t="s">
        <v>23</v>
      </c>
      <c r="L3052">
        <v>1</v>
      </c>
      <c r="M3052">
        <v>120</v>
      </c>
      <c r="N3052">
        <f t="shared" si="380"/>
        <v>120</v>
      </c>
      <c r="O3052">
        <f t="shared" si="381"/>
        <v>12</v>
      </c>
      <c r="P3052" t="str">
        <f t="shared" si="382"/>
        <v>Standard Order</v>
      </c>
      <c r="Q3052" t="str">
        <f t="shared" si="383"/>
        <v>Weekend</v>
      </c>
    </row>
    <row r="3053" spans="1:17" x14ac:dyDescent="0.35">
      <c r="A3053" t="s">
        <v>3203</v>
      </c>
      <c r="B3053" s="7">
        <v>45569</v>
      </c>
      <c r="C3053" s="13">
        <f t="shared" si="377"/>
        <v>2024</v>
      </c>
      <c r="D3053" s="7" t="str">
        <f t="shared" si="378"/>
        <v>Oct</v>
      </c>
      <c r="E3053" s="7" t="str">
        <f t="shared" si="379"/>
        <v>Fri</v>
      </c>
      <c r="F3053" t="s">
        <v>493</v>
      </c>
      <c r="G3053" t="s">
        <v>16</v>
      </c>
      <c r="H3053" t="s">
        <v>11</v>
      </c>
      <c r="I3053" s="2" t="str">
        <f t="shared" si="376"/>
        <v>Central</v>
      </c>
      <c r="J3053" t="s">
        <v>306</v>
      </c>
      <c r="K3053" t="s">
        <v>23</v>
      </c>
      <c r="L3053">
        <v>7</v>
      </c>
      <c r="M3053">
        <v>120</v>
      </c>
      <c r="N3053">
        <f t="shared" si="380"/>
        <v>840</v>
      </c>
      <c r="O3053">
        <f t="shared" si="381"/>
        <v>84</v>
      </c>
      <c r="P3053" t="str">
        <f t="shared" si="382"/>
        <v>Large Order</v>
      </c>
      <c r="Q3053" t="str">
        <f t="shared" si="383"/>
        <v>Weekday</v>
      </c>
    </row>
    <row r="3054" spans="1:17" x14ac:dyDescent="0.35">
      <c r="A3054" t="s">
        <v>3204</v>
      </c>
      <c r="B3054" s="7">
        <v>45451</v>
      </c>
      <c r="C3054" s="13">
        <f t="shared" si="377"/>
        <v>2024</v>
      </c>
      <c r="D3054" s="7" t="str">
        <f t="shared" si="378"/>
        <v>Jun</v>
      </c>
      <c r="E3054" s="7" t="str">
        <f t="shared" si="379"/>
        <v>Sat</v>
      </c>
      <c r="F3054" t="s">
        <v>728</v>
      </c>
      <c r="G3054" t="s">
        <v>72</v>
      </c>
      <c r="H3054" t="s">
        <v>17</v>
      </c>
      <c r="I3054" s="2" t="str">
        <f t="shared" si="376"/>
        <v>Central</v>
      </c>
      <c r="J3054" t="s">
        <v>306</v>
      </c>
      <c r="K3054" t="s">
        <v>13</v>
      </c>
      <c r="L3054">
        <v>10</v>
      </c>
      <c r="M3054">
        <v>120</v>
      </c>
      <c r="N3054">
        <f t="shared" si="380"/>
        <v>1200</v>
      </c>
      <c r="O3054">
        <f t="shared" si="381"/>
        <v>120</v>
      </c>
      <c r="P3054" t="str">
        <f t="shared" si="382"/>
        <v>Large Order</v>
      </c>
      <c r="Q3054" t="str">
        <f t="shared" si="383"/>
        <v>Weekend</v>
      </c>
    </row>
    <row r="3055" spans="1:17" x14ac:dyDescent="0.35">
      <c r="A3055" t="s">
        <v>3205</v>
      </c>
      <c r="B3055" s="7">
        <v>45395</v>
      </c>
      <c r="C3055" s="13">
        <f t="shared" si="377"/>
        <v>2024</v>
      </c>
      <c r="D3055" s="7" t="str">
        <f t="shared" si="378"/>
        <v>Apr</v>
      </c>
      <c r="E3055" s="7" t="str">
        <f t="shared" si="379"/>
        <v>Sat</v>
      </c>
      <c r="F3055" t="s">
        <v>108</v>
      </c>
      <c r="G3055" t="s">
        <v>26</v>
      </c>
      <c r="H3055" t="s">
        <v>22</v>
      </c>
      <c r="I3055" s="2" t="str">
        <f t="shared" si="376"/>
        <v>East</v>
      </c>
      <c r="J3055" t="s">
        <v>306</v>
      </c>
      <c r="K3055" t="s">
        <v>23</v>
      </c>
      <c r="L3055">
        <v>13</v>
      </c>
      <c r="M3055">
        <v>120</v>
      </c>
      <c r="N3055">
        <f t="shared" si="380"/>
        <v>1560</v>
      </c>
      <c r="O3055">
        <f t="shared" si="381"/>
        <v>156</v>
      </c>
      <c r="P3055" t="str">
        <f t="shared" si="382"/>
        <v>Large Order</v>
      </c>
      <c r="Q3055" t="str">
        <f t="shared" si="383"/>
        <v>Weekend</v>
      </c>
    </row>
    <row r="3056" spans="1:17" x14ac:dyDescent="0.35">
      <c r="A3056" t="s">
        <v>3206</v>
      </c>
      <c r="B3056" s="7">
        <v>45339</v>
      </c>
      <c r="C3056" s="13">
        <f t="shared" si="377"/>
        <v>2024</v>
      </c>
      <c r="D3056" s="7" t="str">
        <f t="shared" si="378"/>
        <v>Feb</v>
      </c>
      <c r="E3056" s="7" t="str">
        <f t="shared" si="379"/>
        <v>Sat</v>
      </c>
      <c r="F3056" t="s">
        <v>240</v>
      </c>
      <c r="G3056" t="s">
        <v>87</v>
      </c>
      <c r="H3056" t="s">
        <v>22</v>
      </c>
      <c r="I3056" s="2" t="str">
        <f t="shared" si="376"/>
        <v>North</v>
      </c>
      <c r="J3056" t="s">
        <v>42</v>
      </c>
      <c r="K3056" t="s">
        <v>23</v>
      </c>
      <c r="L3056">
        <v>10</v>
      </c>
      <c r="M3056">
        <v>120</v>
      </c>
      <c r="N3056">
        <f t="shared" si="380"/>
        <v>1200</v>
      </c>
      <c r="O3056">
        <f t="shared" si="381"/>
        <v>120</v>
      </c>
      <c r="P3056" t="str">
        <f t="shared" si="382"/>
        <v>Large Order</v>
      </c>
      <c r="Q3056" t="str">
        <f t="shared" si="383"/>
        <v>Weekend</v>
      </c>
    </row>
    <row r="3057" spans="1:17" x14ac:dyDescent="0.35">
      <c r="A3057" t="s">
        <v>3207</v>
      </c>
      <c r="B3057" s="7">
        <v>45565</v>
      </c>
      <c r="C3057" s="13">
        <f t="shared" si="377"/>
        <v>2024</v>
      </c>
      <c r="D3057" s="7" t="str">
        <f t="shared" si="378"/>
        <v>Sep</v>
      </c>
      <c r="E3057" s="7" t="str">
        <f t="shared" si="379"/>
        <v>Mon</v>
      </c>
      <c r="F3057" t="s">
        <v>358</v>
      </c>
      <c r="G3057" t="s">
        <v>197</v>
      </c>
      <c r="H3057" t="s">
        <v>17</v>
      </c>
      <c r="I3057" s="2" t="str">
        <f t="shared" si="376"/>
        <v>South</v>
      </c>
      <c r="J3057" t="s">
        <v>12</v>
      </c>
      <c r="K3057" t="s">
        <v>23</v>
      </c>
      <c r="L3057">
        <v>13</v>
      </c>
      <c r="M3057">
        <v>120</v>
      </c>
      <c r="N3057">
        <f t="shared" si="380"/>
        <v>1560</v>
      </c>
      <c r="O3057">
        <f t="shared" si="381"/>
        <v>156</v>
      </c>
      <c r="P3057" t="str">
        <f t="shared" si="382"/>
        <v>Large Order</v>
      </c>
      <c r="Q3057" t="str">
        <f t="shared" si="383"/>
        <v>Weekday</v>
      </c>
    </row>
    <row r="3058" spans="1:17" x14ac:dyDescent="0.35">
      <c r="A3058" t="s">
        <v>3208</v>
      </c>
      <c r="B3058" s="7">
        <v>45571</v>
      </c>
      <c r="C3058" s="13">
        <f t="shared" si="377"/>
        <v>2024</v>
      </c>
      <c r="D3058" s="7" t="str">
        <f t="shared" si="378"/>
        <v>Oct</v>
      </c>
      <c r="E3058" s="7" t="str">
        <f t="shared" si="379"/>
        <v>Sun</v>
      </c>
      <c r="F3058" t="s">
        <v>436</v>
      </c>
      <c r="G3058" t="s">
        <v>102</v>
      </c>
      <c r="H3058" t="s">
        <v>17</v>
      </c>
      <c r="I3058" s="2" t="str">
        <f t="shared" si="376"/>
        <v>Central</v>
      </c>
      <c r="J3058" t="s">
        <v>56</v>
      </c>
      <c r="K3058" t="s">
        <v>36</v>
      </c>
      <c r="L3058">
        <v>1</v>
      </c>
      <c r="M3058">
        <v>120</v>
      </c>
      <c r="N3058">
        <f t="shared" si="380"/>
        <v>120</v>
      </c>
      <c r="O3058">
        <f t="shared" si="381"/>
        <v>12</v>
      </c>
      <c r="P3058" t="str">
        <f t="shared" si="382"/>
        <v>Standard Order</v>
      </c>
      <c r="Q3058" t="str">
        <f t="shared" si="383"/>
        <v>Weekend</v>
      </c>
    </row>
    <row r="3059" spans="1:17" x14ac:dyDescent="0.35">
      <c r="A3059" t="s">
        <v>3209</v>
      </c>
      <c r="B3059" s="7">
        <v>45410</v>
      </c>
      <c r="C3059" s="13">
        <f t="shared" si="377"/>
        <v>2024</v>
      </c>
      <c r="D3059" s="7" t="str">
        <f t="shared" si="378"/>
        <v>Apr</v>
      </c>
      <c r="E3059" s="7" t="str">
        <f t="shared" si="379"/>
        <v>Sun</v>
      </c>
      <c r="F3059" t="s">
        <v>430</v>
      </c>
      <c r="G3059" t="s">
        <v>48</v>
      </c>
      <c r="H3059" t="s">
        <v>17</v>
      </c>
      <c r="I3059" s="2" t="str">
        <f t="shared" si="376"/>
        <v>South</v>
      </c>
      <c r="J3059" t="s">
        <v>306</v>
      </c>
      <c r="K3059" t="s">
        <v>13</v>
      </c>
      <c r="L3059">
        <v>10</v>
      </c>
      <c r="M3059">
        <v>120</v>
      </c>
      <c r="N3059">
        <f t="shared" si="380"/>
        <v>1200</v>
      </c>
      <c r="O3059">
        <f t="shared" si="381"/>
        <v>120</v>
      </c>
      <c r="P3059" t="str">
        <f t="shared" si="382"/>
        <v>Large Order</v>
      </c>
      <c r="Q3059" t="str">
        <f t="shared" si="383"/>
        <v>Weekend</v>
      </c>
    </row>
    <row r="3060" spans="1:17" x14ac:dyDescent="0.35">
      <c r="A3060" t="s">
        <v>3210</v>
      </c>
      <c r="B3060" s="7">
        <v>45614</v>
      </c>
      <c r="C3060" s="13">
        <f t="shared" si="377"/>
        <v>2024</v>
      </c>
      <c r="D3060" s="7" t="str">
        <f t="shared" si="378"/>
        <v>Nov</v>
      </c>
      <c r="E3060" s="7" t="str">
        <f t="shared" si="379"/>
        <v>Mon</v>
      </c>
      <c r="F3060" t="s">
        <v>81</v>
      </c>
      <c r="G3060" t="s">
        <v>102</v>
      </c>
      <c r="H3060" t="s">
        <v>22</v>
      </c>
      <c r="I3060" s="2" t="str">
        <f t="shared" si="376"/>
        <v>West</v>
      </c>
      <c r="J3060" t="s">
        <v>56</v>
      </c>
      <c r="K3060" t="s">
        <v>28</v>
      </c>
      <c r="L3060">
        <v>16</v>
      </c>
      <c r="M3060">
        <v>120</v>
      </c>
      <c r="N3060">
        <f t="shared" si="380"/>
        <v>1920</v>
      </c>
      <c r="O3060">
        <f t="shared" si="381"/>
        <v>192</v>
      </c>
      <c r="P3060" t="str">
        <f t="shared" si="382"/>
        <v>Large Order</v>
      </c>
      <c r="Q3060" t="str">
        <f t="shared" si="383"/>
        <v>Weekday</v>
      </c>
    </row>
    <row r="3061" spans="1:17" x14ac:dyDescent="0.35">
      <c r="A3061" t="s">
        <v>3211</v>
      </c>
      <c r="B3061" s="7">
        <v>45334</v>
      </c>
      <c r="C3061" s="13">
        <f t="shared" si="377"/>
        <v>2024</v>
      </c>
      <c r="D3061" s="7" t="str">
        <f t="shared" si="378"/>
        <v>Feb</v>
      </c>
      <c r="E3061" s="7" t="str">
        <f t="shared" si="379"/>
        <v>Mon</v>
      </c>
      <c r="F3061" t="s">
        <v>167</v>
      </c>
      <c r="G3061" t="s">
        <v>31</v>
      </c>
      <c r="H3061" t="s">
        <v>22</v>
      </c>
      <c r="I3061" s="2" t="str">
        <f t="shared" si="376"/>
        <v>West</v>
      </c>
      <c r="J3061" t="s">
        <v>27</v>
      </c>
      <c r="K3061" t="s">
        <v>36</v>
      </c>
      <c r="L3061">
        <v>19</v>
      </c>
      <c r="M3061">
        <v>120</v>
      </c>
      <c r="N3061">
        <f t="shared" si="380"/>
        <v>2280</v>
      </c>
      <c r="O3061">
        <f t="shared" si="381"/>
        <v>228</v>
      </c>
      <c r="P3061" t="str">
        <f t="shared" si="382"/>
        <v>Large Order</v>
      </c>
      <c r="Q3061" t="str">
        <f t="shared" si="383"/>
        <v>Weekday</v>
      </c>
    </row>
    <row r="3062" spans="1:17" x14ac:dyDescent="0.35">
      <c r="A3062" t="s">
        <v>3212</v>
      </c>
      <c r="B3062" s="7">
        <v>45322</v>
      </c>
      <c r="C3062" s="13">
        <f t="shared" si="377"/>
        <v>2024</v>
      </c>
      <c r="D3062" s="7" t="str">
        <f t="shared" si="378"/>
        <v>Jan</v>
      </c>
      <c r="E3062" s="7" t="str">
        <f t="shared" si="379"/>
        <v>Wed</v>
      </c>
      <c r="F3062" t="s">
        <v>337</v>
      </c>
      <c r="G3062" t="s">
        <v>35</v>
      </c>
      <c r="H3062" t="s">
        <v>17</v>
      </c>
      <c r="I3062" s="2" t="str">
        <f t="shared" si="376"/>
        <v>Central</v>
      </c>
      <c r="J3062" t="s">
        <v>27</v>
      </c>
      <c r="K3062" t="s">
        <v>32</v>
      </c>
      <c r="L3062">
        <v>11</v>
      </c>
      <c r="M3062">
        <v>120</v>
      </c>
      <c r="N3062">
        <f t="shared" si="380"/>
        <v>1320</v>
      </c>
      <c r="O3062">
        <f t="shared" si="381"/>
        <v>132</v>
      </c>
      <c r="P3062" t="str">
        <f t="shared" si="382"/>
        <v>Large Order</v>
      </c>
      <c r="Q3062" t="str">
        <f t="shared" si="383"/>
        <v>Weekday</v>
      </c>
    </row>
    <row r="3063" spans="1:17" x14ac:dyDescent="0.35">
      <c r="A3063" t="s">
        <v>3213</v>
      </c>
      <c r="B3063" s="7">
        <v>45310</v>
      </c>
      <c r="C3063" s="13">
        <f t="shared" si="377"/>
        <v>2024</v>
      </c>
      <c r="D3063" s="7" t="str">
        <f t="shared" si="378"/>
        <v>Jan</v>
      </c>
      <c r="E3063" s="7" t="str">
        <f t="shared" si="379"/>
        <v>Fri</v>
      </c>
      <c r="F3063" t="s">
        <v>187</v>
      </c>
      <c r="G3063" t="s">
        <v>62</v>
      </c>
      <c r="H3063" t="s">
        <v>22</v>
      </c>
      <c r="I3063" s="2" t="str">
        <f t="shared" si="376"/>
        <v>Central</v>
      </c>
      <c r="J3063" t="s">
        <v>306</v>
      </c>
      <c r="K3063" t="s">
        <v>23</v>
      </c>
      <c r="L3063">
        <v>1</v>
      </c>
      <c r="M3063">
        <v>120</v>
      </c>
      <c r="N3063">
        <f t="shared" si="380"/>
        <v>120</v>
      </c>
      <c r="O3063">
        <f t="shared" si="381"/>
        <v>12</v>
      </c>
      <c r="P3063" t="str">
        <f t="shared" si="382"/>
        <v>Standard Order</v>
      </c>
      <c r="Q3063" t="str">
        <f t="shared" si="383"/>
        <v>Weekday</v>
      </c>
    </row>
    <row r="3064" spans="1:17" x14ac:dyDescent="0.35">
      <c r="A3064" t="s">
        <v>3214</v>
      </c>
      <c r="B3064" s="7">
        <v>45399</v>
      </c>
      <c r="C3064" s="13">
        <f t="shared" si="377"/>
        <v>2024</v>
      </c>
      <c r="D3064" s="7" t="str">
        <f t="shared" si="378"/>
        <v>Apr</v>
      </c>
      <c r="E3064" s="7" t="str">
        <f t="shared" si="379"/>
        <v>Wed</v>
      </c>
      <c r="F3064" t="s">
        <v>664</v>
      </c>
      <c r="G3064" t="s">
        <v>174</v>
      </c>
      <c r="H3064" t="s">
        <v>17</v>
      </c>
      <c r="I3064" s="2" t="str">
        <f t="shared" si="376"/>
        <v>West</v>
      </c>
      <c r="J3064" t="s">
        <v>306</v>
      </c>
      <c r="K3064" t="s">
        <v>23</v>
      </c>
      <c r="L3064">
        <v>11</v>
      </c>
      <c r="M3064">
        <v>120</v>
      </c>
      <c r="N3064">
        <f t="shared" si="380"/>
        <v>1320</v>
      </c>
      <c r="O3064">
        <f t="shared" si="381"/>
        <v>132</v>
      </c>
      <c r="P3064" t="str">
        <f t="shared" si="382"/>
        <v>Large Order</v>
      </c>
      <c r="Q3064" t="str">
        <f t="shared" si="383"/>
        <v>Weekday</v>
      </c>
    </row>
    <row r="3065" spans="1:17" x14ac:dyDescent="0.35">
      <c r="A3065" t="s">
        <v>3215</v>
      </c>
      <c r="B3065" s="7">
        <v>45412</v>
      </c>
      <c r="C3065" s="13">
        <f t="shared" si="377"/>
        <v>2024</v>
      </c>
      <c r="D3065" s="7" t="str">
        <f t="shared" si="378"/>
        <v>Apr</v>
      </c>
      <c r="E3065" s="7" t="str">
        <f t="shared" si="379"/>
        <v>Tue</v>
      </c>
      <c r="F3065" t="s">
        <v>187</v>
      </c>
      <c r="G3065" t="s">
        <v>70</v>
      </c>
      <c r="H3065" t="s">
        <v>22</v>
      </c>
      <c r="I3065" s="2" t="str">
        <f t="shared" si="376"/>
        <v>North</v>
      </c>
      <c r="J3065" t="s">
        <v>27</v>
      </c>
      <c r="K3065" t="s">
        <v>36</v>
      </c>
      <c r="L3065">
        <v>18</v>
      </c>
      <c r="M3065">
        <v>120</v>
      </c>
      <c r="N3065">
        <f t="shared" si="380"/>
        <v>2160</v>
      </c>
      <c r="O3065">
        <f t="shared" si="381"/>
        <v>216</v>
      </c>
      <c r="P3065" t="str">
        <f t="shared" si="382"/>
        <v>Large Order</v>
      </c>
      <c r="Q3065" t="str">
        <f t="shared" si="383"/>
        <v>Weekday</v>
      </c>
    </row>
    <row r="3066" spans="1:17" x14ac:dyDescent="0.35">
      <c r="A3066" t="s">
        <v>3216</v>
      </c>
      <c r="B3066" s="7">
        <v>45333</v>
      </c>
      <c r="C3066" s="13">
        <f t="shared" si="377"/>
        <v>2024</v>
      </c>
      <c r="D3066" s="7" t="str">
        <f t="shared" si="378"/>
        <v>Feb</v>
      </c>
      <c r="E3066" s="7" t="str">
        <f t="shared" si="379"/>
        <v>Sun</v>
      </c>
      <c r="F3066" t="s">
        <v>15</v>
      </c>
      <c r="G3066" t="s">
        <v>87</v>
      </c>
      <c r="H3066" t="s">
        <v>22</v>
      </c>
      <c r="I3066" s="2" t="str">
        <f t="shared" si="376"/>
        <v>South</v>
      </c>
      <c r="J3066" t="s">
        <v>12</v>
      </c>
      <c r="K3066" t="s">
        <v>23</v>
      </c>
      <c r="L3066">
        <v>5</v>
      </c>
      <c r="M3066">
        <v>120</v>
      </c>
      <c r="N3066">
        <f t="shared" si="380"/>
        <v>600</v>
      </c>
      <c r="O3066">
        <f t="shared" si="381"/>
        <v>60</v>
      </c>
      <c r="P3066" t="str">
        <f t="shared" si="382"/>
        <v>Large Order</v>
      </c>
      <c r="Q3066" t="str">
        <f t="shared" si="383"/>
        <v>Weekend</v>
      </c>
    </row>
    <row r="3067" spans="1:17" x14ac:dyDescent="0.35">
      <c r="A3067" t="s">
        <v>3217</v>
      </c>
      <c r="B3067" s="7">
        <v>45374</v>
      </c>
      <c r="C3067" s="13">
        <f t="shared" si="377"/>
        <v>2024</v>
      </c>
      <c r="D3067" s="7" t="str">
        <f t="shared" si="378"/>
        <v>Mar</v>
      </c>
      <c r="E3067" s="7" t="str">
        <f t="shared" si="379"/>
        <v>Sat</v>
      </c>
      <c r="F3067" t="s">
        <v>363</v>
      </c>
      <c r="G3067" t="s">
        <v>84</v>
      </c>
      <c r="H3067" t="s">
        <v>11</v>
      </c>
      <c r="I3067" s="2" t="str">
        <f t="shared" si="376"/>
        <v>South</v>
      </c>
      <c r="J3067" t="s">
        <v>56</v>
      </c>
      <c r="K3067" t="s">
        <v>28</v>
      </c>
      <c r="L3067">
        <v>15</v>
      </c>
      <c r="M3067">
        <v>120</v>
      </c>
      <c r="N3067">
        <f t="shared" si="380"/>
        <v>1800</v>
      </c>
      <c r="O3067">
        <f t="shared" si="381"/>
        <v>180</v>
      </c>
      <c r="P3067" t="str">
        <f t="shared" si="382"/>
        <v>Large Order</v>
      </c>
      <c r="Q3067" t="str">
        <f t="shared" si="383"/>
        <v>Weekend</v>
      </c>
    </row>
    <row r="3068" spans="1:17" x14ac:dyDescent="0.35">
      <c r="A3068" t="s">
        <v>3218</v>
      </c>
      <c r="B3068" s="7">
        <v>45350</v>
      </c>
      <c r="C3068" s="13">
        <f t="shared" si="377"/>
        <v>2024</v>
      </c>
      <c r="D3068" s="7" t="str">
        <f t="shared" si="378"/>
        <v>Feb</v>
      </c>
      <c r="E3068" s="7" t="str">
        <f t="shared" si="379"/>
        <v>Wed</v>
      </c>
      <c r="F3068" t="s">
        <v>122</v>
      </c>
      <c r="G3068" t="s">
        <v>87</v>
      </c>
      <c r="H3068" t="s">
        <v>17</v>
      </c>
      <c r="I3068" s="2" t="str">
        <f t="shared" si="376"/>
        <v>East</v>
      </c>
      <c r="J3068" t="s">
        <v>56</v>
      </c>
      <c r="K3068" t="s">
        <v>36</v>
      </c>
      <c r="L3068">
        <v>16</v>
      </c>
      <c r="M3068">
        <v>120</v>
      </c>
      <c r="N3068">
        <f t="shared" si="380"/>
        <v>1920</v>
      </c>
      <c r="O3068">
        <f t="shared" si="381"/>
        <v>192</v>
      </c>
      <c r="P3068" t="str">
        <f t="shared" si="382"/>
        <v>Large Order</v>
      </c>
      <c r="Q3068" t="str">
        <f t="shared" si="383"/>
        <v>Weekday</v>
      </c>
    </row>
    <row r="3069" spans="1:17" x14ac:dyDescent="0.35">
      <c r="A3069" t="s">
        <v>3219</v>
      </c>
      <c r="B3069" s="7">
        <v>45572</v>
      </c>
      <c r="C3069" s="13">
        <f t="shared" si="377"/>
        <v>2024</v>
      </c>
      <c r="D3069" s="7" t="str">
        <f t="shared" si="378"/>
        <v>Oct</v>
      </c>
      <c r="E3069" s="7" t="str">
        <f t="shared" si="379"/>
        <v>Mon</v>
      </c>
      <c r="F3069" t="s">
        <v>572</v>
      </c>
      <c r="G3069" t="s">
        <v>31</v>
      </c>
      <c r="H3069" t="s">
        <v>11</v>
      </c>
      <c r="I3069" s="2" t="str">
        <f t="shared" si="376"/>
        <v>Central</v>
      </c>
      <c r="J3069" t="s">
        <v>42</v>
      </c>
      <c r="K3069" t="s">
        <v>13</v>
      </c>
      <c r="L3069">
        <v>14</v>
      </c>
      <c r="M3069">
        <v>120</v>
      </c>
      <c r="N3069">
        <f t="shared" si="380"/>
        <v>1680</v>
      </c>
      <c r="O3069">
        <f t="shared" si="381"/>
        <v>168</v>
      </c>
      <c r="P3069" t="str">
        <f t="shared" si="382"/>
        <v>Large Order</v>
      </c>
      <c r="Q3069" t="str">
        <f t="shared" si="383"/>
        <v>Weekday</v>
      </c>
    </row>
    <row r="3070" spans="1:17" x14ac:dyDescent="0.35">
      <c r="A3070" t="s">
        <v>3220</v>
      </c>
      <c r="B3070" s="7">
        <v>45638</v>
      </c>
      <c r="C3070" s="13">
        <f t="shared" si="377"/>
        <v>2024</v>
      </c>
      <c r="D3070" s="7" t="str">
        <f t="shared" si="378"/>
        <v>Dec</v>
      </c>
      <c r="E3070" s="7" t="str">
        <f t="shared" si="379"/>
        <v>Thu</v>
      </c>
      <c r="F3070" t="s">
        <v>101</v>
      </c>
      <c r="G3070" t="s">
        <v>160</v>
      </c>
      <c r="H3070" t="s">
        <v>17</v>
      </c>
      <c r="I3070" s="2" t="str">
        <f t="shared" si="376"/>
        <v>South</v>
      </c>
      <c r="J3070" t="s">
        <v>306</v>
      </c>
      <c r="K3070" t="s">
        <v>32</v>
      </c>
      <c r="L3070">
        <v>19</v>
      </c>
      <c r="M3070">
        <v>120</v>
      </c>
      <c r="N3070">
        <f t="shared" si="380"/>
        <v>2280</v>
      </c>
      <c r="O3070">
        <f t="shared" si="381"/>
        <v>228</v>
      </c>
      <c r="P3070" t="str">
        <f t="shared" si="382"/>
        <v>Large Order</v>
      </c>
      <c r="Q3070" t="str">
        <f t="shared" si="383"/>
        <v>Weekday</v>
      </c>
    </row>
    <row r="3071" spans="1:17" x14ac:dyDescent="0.35">
      <c r="A3071" t="s">
        <v>3221</v>
      </c>
      <c r="B3071" s="7">
        <v>45364</v>
      </c>
      <c r="C3071" s="13">
        <f t="shared" si="377"/>
        <v>2024</v>
      </c>
      <c r="D3071" s="7" t="str">
        <f t="shared" si="378"/>
        <v>Mar</v>
      </c>
      <c r="E3071" s="7" t="str">
        <f t="shared" si="379"/>
        <v>Wed</v>
      </c>
      <c r="F3071" t="s">
        <v>61</v>
      </c>
      <c r="G3071" t="s">
        <v>160</v>
      </c>
      <c r="H3071" t="s">
        <v>22</v>
      </c>
      <c r="I3071" s="2" t="str">
        <f t="shared" si="376"/>
        <v>East</v>
      </c>
      <c r="J3071" t="s">
        <v>56</v>
      </c>
      <c r="K3071" t="s">
        <v>36</v>
      </c>
      <c r="L3071">
        <v>12</v>
      </c>
      <c r="M3071">
        <v>120</v>
      </c>
      <c r="N3071">
        <f t="shared" si="380"/>
        <v>1440</v>
      </c>
      <c r="O3071">
        <f t="shared" si="381"/>
        <v>144</v>
      </c>
      <c r="P3071" t="str">
        <f t="shared" si="382"/>
        <v>Large Order</v>
      </c>
      <c r="Q3071" t="str">
        <f t="shared" si="383"/>
        <v>Weekday</v>
      </c>
    </row>
    <row r="3072" spans="1:17" x14ac:dyDescent="0.35">
      <c r="A3072" t="s">
        <v>3222</v>
      </c>
      <c r="B3072" s="7">
        <v>45420</v>
      </c>
      <c r="C3072" s="13">
        <f t="shared" si="377"/>
        <v>2024</v>
      </c>
      <c r="D3072" s="7" t="str">
        <f t="shared" si="378"/>
        <v>May</v>
      </c>
      <c r="E3072" s="7" t="str">
        <f t="shared" si="379"/>
        <v>Wed</v>
      </c>
      <c r="F3072" t="s">
        <v>553</v>
      </c>
      <c r="G3072" t="s">
        <v>70</v>
      </c>
      <c r="H3072" t="s">
        <v>11</v>
      </c>
      <c r="I3072" s="2" t="str">
        <f t="shared" si="376"/>
        <v>South</v>
      </c>
      <c r="J3072" t="s">
        <v>42</v>
      </c>
      <c r="K3072" t="s">
        <v>28</v>
      </c>
      <c r="L3072">
        <v>6</v>
      </c>
      <c r="M3072">
        <v>120</v>
      </c>
      <c r="N3072">
        <f t="shared" si="380"/>
        <v>720</v>
      </c>
      <c r="O3072">
        <f t="shared" si="381"/>
        <v>72</v>
      </c>
      <c r="P3072" t="str">
        <f t="shared" si="382"/>
        <v>Large Order</v>
      </c>
      <c r="Q3072" t="str">
        <f t="shared" si="383"/>
        <v>Weekday</v>
      </c>
    </row>
    <row r="3073" spans="1:17" x14ac:dyDescent="0.35">
      <c r="A3073" t="s">
        <v>3223</v>
      </c>
      <c r="B3073" s="7">
        <v>45534</v>
      </c>
      <c r="C3073" s="13">
        <f t="shared" si="377"/>
        <v>2024</v>
      </c>
      <c r="D3073" s="7" t="str">
        <f t="shared" si="378"/>
        <v>Aug</v>
      </c>
      <c r="E3073" s="7" t="str">
        <f t="shared" si="379"/>
        <v>Fri</v>
      </c>
      <c r="F3073" t="s">
        <v>142</v>
      </c>
      <c r="G3073" t="s">
        <v>72</v>
      </c>
      <c r="H3073" t="s">
        <v>17</v>
      </c>
      <c r="I3073" s="2" t="str">
        <f t="shared" si="376"/>
        <v>South</v>
      </c>
      <c r="J3073" t="s">
        <v>56</v>
      </c>
      <c r="K3073" t="s">
        <v>28</v>
      </c>
      <c r="L3073">
        <v>16</v>
      </c>
      <c r="M3073">
        <v>120</v>
      </c>
      <c r="N3073">
        <f t="shared" si="380"/>
        <v>1920</v>
      </c>
      <c r="O3073">
        <f t="shared" si="381"/>
        <v>192</v>
      </c>
      <c r="P3073" t="str">
        <f t="shared" si="382"/>
        <v>Large Order</v>
      </c>
      <c r="Q3073" t="str">
        <f t="shared" si="383"/>
        <v>Weekday</v>
      </c>
    </row>
    <row r="3074" spans="1:17" x14ac:dyDescent="0.35">
      <c r="A3074" t="s">
        <v>3224</v>
      </c>
      <c r="B3074" s="7">
        <v>45294</v>
      </c>
      <c r="C3074" s="13">
        <f t="shared" si="377"/>
        <v>2024</v>
      </c>
      <c r="D3074" s="7" t="str">
        <f t="shared" si="378"/>
        <v>Jan</v>
      </c>
      <c r="E3074" s="7" t="str">
        <f t="shared" si="379"/>
        <v>Wed</v>
      </c>
      <c r="F3074" t="s">
        <v>147</v>
      </c>
      <c r="G3074" t="s">
        <v>62</v>
      </c>
      <c r="H3074" t="s">
        <v>11</v>
      </c>
      <c r="I3074" s="2" t="str">
        <f t="shared" si="376"/>
        <v>Central</v>
      </c>
      <c r="J3074" t="s">
        <v>56</v>
      </c>
      <c r="K3074" t="s">
        <v>13</v>
      </c>
      <c r="L3074">
        <v>18</v>
      </c>
      <c r="M3074">
        <v>120</v>
      </c>
      <c r="N3074">
        <f t="shared" si="380"/>
        <v>2160</v>
      </c>
      <c r="O3074">
        <f t="shared" si="381"/>
        <v>216</v>
      </c>
      <c r="P3074" t="str">
        <f t="shared" si="382"/>
        <v>Large Order</v>
      </c>
      <c r="Q3074" t="str">
        <f t="shared" si="383"/>
        <v>Weekday</v>
      </c>
    </row>
    <row r="3075" spans="1:17" x14ac:dyDescent="0.35">
      <c r="A3075" t="s">
        <v>3225</v>
      </c>
      <c r="B3075" s="7">
        <v>45340</v>
      </c>
      <c r="C3075" s="13">
        <f t="shared" si="377"/>
        <v>2024</v>
      </c>
      <c r="D3075" s="7" t="str">
        <f t="shared" si="378"/>
        <v>Feb</v>
      </c>
      <c r="E3075" s="7" t="str">
        <f t="shared" si="379"/>
        <v>Sun</v>
      </c>
      <c r="F3075" t="s">
        <v>131</v>
      </c>
      <c r="G3075" t="s">
        <v>109</v>
      </c>
      <c r="H3075" t="s">
        <v>17</v>
      </c>
      <c r="I3075" s="2" t="str">
        <f t="shared" ref="I3075:I3138" si="384">TRIM(J3076)</f>
        <v>North</v>
      </c>
      <c r="J3075" t="s">
        <v>306</v>
      </c>
      <c r="K3075" t="s">
        <v>28</v>
      </c>
      <c r="L3075">
        <v>3</v>
      </c>
      <c r="M3075">
        <v>120</v>
      </c>
      <c r="N3075">
        <f t="shared" si="380"/>
        <v>360</v>
      </c>
      <c r="O3075">
        <f t="shared" si="381"/>
        <v>36</v>
      </c>
      <c r="P3075" t="str">
        <f t="shared" si="382"/>
        <v>Standard Order</v>
      </c>
      <c r="Q3075" t="str">
        <f t="shared" si="383"/>
        <v>Weekend</v>
      </c>
    </row>
    <row r="3076" spans="1:17" x14ac:dyDescent="0.35">
      <c r="A3076" t="s">
        <v>3226</v>
      </c>
      <c r="B3076" s="7">
        <v>45578</v>
      </c>
      <c r="C3076" s="13">
        <f t="shared" ref="C3076:C3139" si="385">YEAR(B3076)</f>
        <v>2024</v>
      </c>
      <c r="D3076" s="7" t="str">
        <f t="shared" ref="D3076:D3139" si="386">TEXT(B3076,"mmm")</f>
        <v>Oct</v>
      </c>
      <c r="E3076" s="7" t="str">
        <f t="shared" ref="E3076:E3139" si="387">TEXT(B3076,"ddd")</f>
        <v>Sun</v>
      </c>
      <c r="F3076" t="s">
        <v>240</v>
      </c>
      <c r="G3076" t="s">
        <v>48</v>
      </c>
      <c r="H3076" t="s">
        <v>22</v>
      </c>
      <c r="I3076" s="2" t="str">
        <f t="shared" si="384"/>
        <v>East</v>
      </c>
      <c r="J3076" t="s">
        <v>12</v>
      </c>
      <c r="K3076" t="s">
        <v>28</v>
      </c>
      <c r="L3076">
        <v>9</v>
      </c>
      <c r="M3076">
        <v>120</v>
      </c>
      <c r="N3076">
        <f t="shared" ref="N3076:N3139" si="388">M3076*L3076</f>
        <v>1080</v>
      </c>
      <c r="O3076">
        <f t="shared" ref="O3076:O3139" si="389">N3076*0.1</f>
        <v>108</v>
      </c>
      <c r="P3076" t="str">
        <f t="shared" ref="P3076:P3139" si="390">IF(N3076&gt;500,"Large Order","Standard Order")</f>
        <v>Large Order</v>
      </c>
      <c r="Q3076" t="str">
        <f t="shared" ref="Q3076:Q3139" si="391">IF(OR(TRIM(E3076)="Sat",TRIM(E3076)="Sun"),"Weekend","Weekday")</f>
        <v>Weekend</v>
      </c>
    </row>
    <row r="3077" spans="1:17" x14ac:dyDescent="0.35">
      <c r="A3077" t="s">
        <v>3227</v>
      </c>
      <c r="B3077" s="7">
        <v>45510</v>
      </c>
      <c r="C3077" s="13">
        <f t="shared" si="385"/>
        <v>2024</v>
      </c>
      <c r="D3077" s="7" t="str">
        <f t="shared" si="386"/>
        <v>Aug</v>
      </c>
      <c r="E3077" s="7" t="str">
        <f t="shared" si="387"/>
        <v>Tue</v>
      </c>
      <c r="F3077" t="s">
        <v>361</v>
      </c>
      <c r="G3077" t="s">
        <v>84</v>
      </c>
      <c r="H3077" t="s">
        <v>17</v>
      </c>
      <c r="I3077" s="2" t="str">
        <f t="shared" si="384"/>
        <v>South</v>
      </c>
      <c r="J3077" t="s">
        <v>42</v>
      </c>
      <c r="K3077" t="s">
        <v>36</v>
      </c>
      <c r="L3077">
        <v>13</v>
      </c>
      <c r="M3077">
        <v>120</v>
      </c>
      <c r="N3077">
        <f t="shared" si="388"/>
        <v>1560</v>
      </c>
      <c r="O3077">
        <f t="shared" si="389"/>
        <v>156</v>
      </c>
      <c r="P3077" t="str">
        <f t="shared" si="390"/>
        <v>Large Order</v>
      </c>
      <c r="Q3077" t="str">
        <f t="shared" si="391"/>
        <v>Weekday</v>
      </c>
    </row>
    <row r="3078" spans="1:17" x14ac:dyDescent="0.35">
      <c r="A3078" t="s">
        <v>3228</v>
      </c>
      <c r="B3078" s="7">
        <v>45579</v>
      </c>
      <c r="C3078" s="13">
        <f t="shared" si="385"/>
        <v>2024</v>
      </c>
      <c r="D3078" s="7" t="str">
        <f t="shared" si="386"/>
        <v>Oct</v>
      </c>
      <c r="E3078" s="7" t="str">
        <f t="shared" si="387"/>
        <v>Mon</v>
      </c>
      <c r="F3078" t="s">
        <v>591</v>
      </c>
      <c r="G3078" t="s">
        <v>21</v>
      </c>
      <c r="H3078" t="s">
        <v>22</v>
      </c>
      <c r="I3078" s="2" t="str">
        <f t="shared" si="384"/>
        <v>Central</v>
      </c>
      <c r="J3078" t="s">
        <v>56</v>
      </c>
      <c r="K3078" t="s">
        <v>13</v>
      </c>
      <c r="L3078">
        <v>19</v>
      </c>
      <c r="M3078">
        <v>120</v>
      </c>
      <c r="N3078">
        <f t="shared" si="388"/>
        <v>2280</v>
      </c>
      <c r="O3078">
        <f t="shared" si="389"/>
        <v>228</v>
      </c>
      <c r="P3078" t="str">
        <f t="shared" si="390"/>
        <v>Large Order</v>
      </c>
      <c r="Q3078" t="str">
        <f t="shared" si="391"/>
        <v>Weekday</v>
      </c>
    </row>
    <row r="3079" spans="1:17" x14ac:dyDescent="0.35">
      <c r="A3079" t="s">
        <v>3229</v>
      </c>
      <c r="B3079" s="7">
        <v>45402</v>
      </c>
      <c r="C3079" s="13">
        <f t="shared" si="385"/>
        <v>2024</v>
      </c>
      <c r="D3079" s="7" t="str">
        <f t="shared" si="386"/>
        <v>Apr</v>
      </c>
      <c r="E3079" s="7" t="str">
        <f t="shared" si="387"/>
        <v>Sat</v>
      </c>
      <c r="F3079" t="s">
        <v>89</v>
      </c>
      <c r="G3079" t="s">
        <v>45</v>
      </c>
      <c r="H3079" t="s">
        <v>17</v>
      </c>
      <c r="I3079" s="2" t="str">
        <f t="shared" si="384"/>
        <v>East</v>
      </c>
      <c r="J3079" t="s">
        <v>306</v>
      </c>
      <c r="K3079" t="s">
        <v>13</v>
      </c>
      <c r="L3079">
        <v>5</v>
      </c>
      <c r="M3079">
        <v>120</v>
      </c>
      <c r="N3079">
        <f t="shared" si="388"/>
        <v>600</v>
      </c>
      <c r="O3079">
        <f t="shared" si="389"/>
        <v>60</v>
      </c>
      <c r="P3079" t="str">
        <f t="shared" si="390"/>
        <v>Large Order</v>
      </c>
      <c r="Q3079" t="str">
        <f t="shared" si="391"/>
        <v>Weekend</v>
      </c>
    </row>
    <row r="3080" spans="1:17" x14ac:dyDescent="0.35">
      <c r="A3080" t="s">
        <v>3230</v>
      </c>
      <c r="B3080" s="7">
        <v>45592</v>
      </c>
      <c r="C3080" s="13">
        <f t="shared" si="385"/>
        <v>2024</v>
      </c>
      <c r="D3080" s="7" t="str">
        <f t="shared" si="386"/>
        <v>Oct</v>
      </c>
      <c r="E3080" s="7" t="str">
        <f t="shared" si="387"/>
        <v>Sun</v>
      </c>
      <c r="F3080" t="s">
        <v>736</v>
      </c>
      <c r="G3080" t="s">
        <v>119</v>
      </c>
      <c r="H3080" t="s">
        <v>17</v>
      </c>
      <c r="I3080" s="2" t="str">
        <f t="shared" si="384"/>
        <v>South</v>
      </c>
      <c r="J3080" t="s">
        <v>42</v>
      </c>
      <c r="K3080" t="s">
        <v>36</v>
      </c>
      <c r="L3080">
        <v>19</v>
      </c>
      <c r="M3080">
        <v>120</v>
      </c>
      <c r="N3080">
        <f t="shared" si="388"/>
        <v>2280</v>
      </c>
      <c r="O3080">
        <f t="shared" si="389"/>
        <v>228</v>
      </c>
      <c r="P3080" t="str">
        <f t="shared" si="390"/>
        <v>Large Order</v>
      </c>
      <c r="Q3080" t="str">
        <f t="shared" si="391"/>
        <v>Weekend</v>
      </c>
    </row>
    <row r="3081" spans="1:17" x14ac:dyDescent="0.35">
      <c r="A3081" t="s">
        <v>3231</v>
      </c>
      <c r="B3081" s="7">
        <v>45607</v>
      </c>
      <c r="C3081" s="13">
        <f t="shared" si="385"/>
        <v>2024</v>
      </c>
      <c r="D3081" s="7" t="str">
        <f t="shared" si="386"/>
        <v>Nov</v>
      </c>
      <c r="E3081" s="7" t="str">
        <f t="shared" si="387"/>
        <v>Mon</v>
      </c>
      <c r="F3081" t="s">
        <v>317</v>
      </c>
      <c r="G3081" t="s">
        <v>35</v>
      </c>
      <c r="H3081" t="s">
        <v>11</v>
      </c>
      <c r="I3081" s="2" t="str">
        <f t="shared" si="384"/>
        <v>South</v>
      </c>
      <c r="J3081" t="s">
        <v>56</v>
      </c>
      <c r="K3081" t="s">
        <v>13</v>
      </c>
      <c r="L3081">
        <v>8</v>
      </c>
      <c r="M3081">
        <v>120</v>
      </c>
      <c r="N3081">
        <f t="shared" si="388"/>
        <v>960</v>
      </c>
      <c r="O3081">
        <f t="shared" si="389"/>
        <v>96</v>
      </c>
      <c r="P3081" t="str">
        <f t="shared" si="390"/>
        <v>Large Order</v>
      </c>
      <c r="Q3081" t="str">
        <f t="shared" si="391"/>
        <v>Weekday</v>
      </c>
    </row>
    <row r="3082" spans="1:17" x14ac:dyDescent="0.35">
      <c r="A3082" t="s">
        <v>3232</v>
      </c>
      <c r="B3082" s="7">
        <v>45338</v>
      </c>
      <c r="C3082" s="13">
        <f t="shared" si="385"/>
        <v>2024</v>
      </c>
      <c r="D3082" s="7" t="str">
        <f t="shared" si="386"/>
        <v>Feb</v>
      </c>
      <c r="E3082" s="7" t="str">
        <f t="shared" si="387"/>
        <v>Fri</v>
      </c>
      <c r="F3082" t="s">
        <v>594</v>
      </c>
      <c r="G3082" t="s">
        <v>16</v>
      </c>
      <c r="H3082" t="s">
        <v>11</v>
      </c>
      <c r="I3082" s="2" t="str">
        <f t="shared" si="384"/>
        <v>West</v>
      </c>
      <c r="J3082" t="s">
        <v>56</v>
      </c>
      <c r="K3082" t="s">
        <v>23</v>
      </c>
      <c r="L3082">
        <v>1</v>
      </c>
      <c r="M3082">
        <v>120</v>
      </c>
      <c r="N3082">
        <f t="shared" si="388"/>
        <v>120</v>
      </c>
      <c r="O3082">
        <f t="shared" si="389"/>
        <v>12</v>
      </c>
      <c r="P3082" t="str">
        <f t="shared" si="390"/>
        <v>Standard Order</v>
      </c>
      <c r="Q3082" t="str">
        <f t="shared" si="391"/>
        <v>Weekday</v>
      </c>
    </row>
    <row r="3083" spans="1:17" x14ac:dyDescent="0.35">
      <c r="A3083" t="s">
        <v>3233</v>
      </c>
      <c r="B3083" s="7">
        <v>45318</v>
      </c>
      <c r="C3083" s="13">
        <f t="shared" si="385"/>
        <v>2024</v>
      </c>
      <c r="D3083" s="7" t="str">
        <f t="shared" si="386"/>
        <v>Jan</v>
      </c>
      <c r="E3083" s="7" t="str">
        <f t="shared" si="387"/>
        <v>Sat</v>
      </c>
      <c r="F3083" t="s">
        <v>99</v>
      </c>
      <c r="G3083" t="s">
        <v>160</v>
      </c>
      <c r="H3083" t="s">
        <v>17</v>
      </c>
      <c r="I3083" s="2" t="str">
        <f t="shared" si="384"/>
        <v>West</v>
      </c>
      <c r="J3083" t="s">
        <v>27</v>
      </c>
      <c r="K3083" t="s">
        <v>23</v>
      </c>
      <c r="L3083">
        <v>11</v>
      </c>
      <c r="M3083">
        <v>120</v>
      </c>
      <c r="N3083">
        <f t="shared" si="388"/>
        <v>1320</v>
      </c>
      <c r="O3083">
        <f t="shared" si="389"/>
        <v>132</v>
      </c>
      <c r="P3083" t="str">
        <f t="shared" si="390"/>
        <v>Large Order</v>
      </c>
      <c r="Q3083" t="str">
        <f t="shared" si="391"/>
        <v>Weekend</v>
      </c>
    </row>
    <row r="3084" spans="1:17" x14ac:dyDescent="0.35">
      <c r="A3084" t="s">
        <v>3234</v>
      </c>
      <c r="B3084" s="7">
        <v>45352</v>
      </c>
      <c r="C3084" s="13">
        <f t="shared" si="385"/>
        <v>2024</v>
      </c>
      <c r="D3084" s="7" t="str">
        <f t="shared" si="386"/>
        <v>Mar</v>
      </c>
      <c r="E3084" s="7" t="str">
        <f t="shared" si="387"/>
        <v>Fri</v>
      </c>
      <c r="F3084" t="s">
        <v>93</v>
      </c>
      <c r="G3084" t="s">
        <v>174</v>
      </c>
      <c r="H3084" t="s">
        <v>17</v>
      </c>
      <c r="I3084" s="2" t="str">
        <f t="shared" si="384"/>
        <v>Central</v>
      </c>
      <c r="J3084" t="s">
        <v>27</v>
      </c>
      <c r="K3084" t="s">
        <v>23</v>
      </c>
      <c r="L3084">
        <v>16</v>
      </c>
      <c r="M3084">
        <v>120</v>
      </c>
      <c r="N3084">
        <f t="shared" si="388"/>
        <v>1920</v>
      </c>
      <c r="O3084">
        <f t="shared" si="389"/>
        <v>192</v>
      </c>
      <c r="P3084" t="str">
        <f t="shared" si="390"/>
        <v>Large Order</v>
      </c>
      <c r="Q3084" t="str">
        <f t="shared" si="391"/>
        <v>Weekday</v>
      </c>
    </row>
    <row r="3085" spans="1:17" x14ac:dyDescent="0.35">
      <c r="A3085" t="s">
        <v>3235</v>
      </c>
      <c r="B3085" s="7">
        <v>45559</v>
      </c>
      <c r="C3085" s="13">
        <f t="shared" si="385"/>
        <v>2024</v>
      </c>
      <c r="D3085" s="7" t="str">
        <f t="shared" si="386"/>
        <v>Sep</v>
      </c>
      <c r="E3085" s="7" t="str">
        <f t="shared" si="387"/>
        <v>Tue</v>
      </c>
      <c r="F3085" t="s">
        <v>38</v>
      </c>
      <c r="G3085" t="s">
        <v>160</v>
      </c>
      <c r="H3085" t="s">
        <v>11</v>
      </c>
      <c r="I3085" s="2" t="str">
        <f t="shared" si="384"/>
        <v>Central</v>
      </c>
      <c r="J3085" t="s">
        <v>306</v>
      </c>
      <c r="K3085" t="s">
        <v>28</v>
      </c>
      <c r="L3085">
        <v>6</v>
      </c>
      <c r="M3085">
        <v>120</v>
      </c>
      <c r="N3085">
        <f t="shared" si="388"/>
        <v>720</v>
      </c>
      <c r="O3085">
        <f t="shared" si="389"/>
        <v>72</v>
      </c>
      <c r="P3085" t="str">
        <f t="shared" si="390"/>
        <v>Large Order</v>
      </c>
      <c r="Q3085" t="str">
        <f t="shared" si="391"/>
        <v>Weekday</v>
      </c>
    </row>
    <row r="3086" spans="1:17" x14ac:dyDescent="0.35">
      <c r="A3086" t="s">
        <v>3236</v>
      </c>
      <c r="B3086" s="7">
        <v>45434</v>
      </c>
      <c r="C3086" s="13">
        <f t="shared" si="385"/>
        <v>2024</v>
      </c>
      <c r="D3086" s="7" t="str">
        <f t="shared" si="386"/>
        <v>May</v>
      </c>
      <c r="E3086" s="7" t="str">
        <f t="shared" si="387"/>
        <v>Wed</v>
      </c>
      <c r="F3086" t="s">
        <v>436</v>
      </c>
      <c r="G3086" t="s">
        <v>16</v>
      </c>
      <c r="H3086" t="s">
        <v>17</v>
      </c>
      <c r="I3086" s="2" t="str">
        <f t="shared" si="384"/>
        <v>West</v>
      </c>
      <c r="J3086" t="s">
        <v>306</v>
      </c>
      <c r="K3086" t="s">
        <v>23</v>
      </c>
      <c r="L3086">
        <v>16</v>
      </c>
      <c r="M3086">
        <v>120</v>
      </c>
      <c r="N3086">
        <f t="shared" si="388"/>
        <v>1920</v>
      </c>
      <c r="O3086">
        <f t="shared" si="389"/>
        <v>192</v>
      </c>
      <c r="P3086" t="str">
        <f t="shared" si="390"/>
        <v>Large Order</v>
      </c>
      <c r="Q3086" t="str">
        <f t="shared" si="391"/>
        <v>Weekday</v>
      </c>
    </row>
    <row r="3087" spans="1:17" x14ac:dyDescent="0.35">
      <c r="A3087" t="s">
        <v>3237</v>
      </c>
      <c r="B3087" s="7">
        <v>45420</v>
      </c>
      <c r="C3087" s="13">
        <f t="shared" si="385"/>
        <v>2024</v>
      </c>
      <c r="D3087" s="7" t="str">
        <f t="shared" si="386"/>
        <v>May</v>
      </c>
      <c r="E3087" s="7" t="str">
        <f t="shared" si="387"/>
        <v>Wed</v>
      </c>
      <c r="F3087" t="s">
        <v>455</v>
      </c>
      <c r="G3087" t="s">
        <v>102</v>
      </c>
      <c r="H3087" t="s">
        <v>22</v>
      </c>
      <c r="I3087" s="2" t="str">
        <f t="shared" si="384"/>
        <v>East</v>
      </c>
      <c r="J3087" t="s">
        <v>27</v>
      </c>
      <c r="K3087" t="s">
        <v>32</v>
      </c>
      <c r="L3087">
        <v>6</v>
      </c>
      <c r="M3087">
        <v>120</v>
      </c>
      <c r="N3087">
        <f t="shared" si="388"/>
        <v>720</v>
      </c>
      <c r="O3087">
        <f t="shared" si="389"/>
        <v>72</v>
      </c>
      <c r="P3087" t="str">
        <f t="shared" si="390"/>
        <v>Large Order</v>
      </c>
      <c r="Q3087" t="str">
        <f t="shared" si="391"/>
        <v>Weekday</v>
      </c>
    </row>
    <row r="3088" spans="1:17" x14ac:dyDescent="0.35">
      <c r="A3088" t="s">
        <v>3238</v>
      </c>
      <c r="B3088" s="7">
        <v>45479</v>
      </c>
      <c r="C3088" s="13">
        <f t="shared" si="385"/>
        <v>2024</v>
      </c>
      <c r="D3088" s="7" t="str">
        <f t="shared" si="386"/>
        <v>Jul</v>
      </c>
      <c r="E3088" s="7" t="str">
        <f t="shared" si="387"/>
        <v>Sat</v>
      </c>
      <c r="F3088" t="s">
        <v>319</v>
      </c>
      <c r="G3088" t="s">
        <v>119</v>
      </c>
      <c r="H3088" t="s">
        <v>22</v>
      </c>
      <c r="I3088" s="2" t="str">
        <f t="shared" si="384"/>
        <v>North</v>
      </c>
      <c r="J3088" t="s">
        <v>42</v>
      </c>
      <c r="K3088" t="s">
        <v>23</v>
      </c>
      <c r="L3088">
        <v>7</v>
      </c>
      <c r="M3088">
        <v>120</v>
      </c>
      <c r="N3088">
        <f t="shared" si="388"/>
        <v>840</v>
      </c>
      <c r="O3088">
        <f t="shared" si="389"/>
        <v>84</v>
      </c>
      <c r="P3088" t="str">
        <f t="shared" si="390"/>
        <v>Large Order</v>
      </c>
      <c r="Q3088" t="str">
        <f t="shared" si="391"/>
        <v>Weekend</v>
      </c>
    </row>
    <row r="3089" spans="1:17" x14ac:dyDescent="0.35">
      <c r="A3089" t="s">
        <v>3239</v>
      </c>
      <c r="B3089" s="7">
        <v>45389</v>
      </c>
      <c r="C3089" s="13">
        <f t="shared" si="385"/>
        <v>2024</v>
      </c>
      <c r="D3089" s="7" t="str">
        <f t="shared" si="386"/>
        <v>Apr</v>
      </c>
      <c r="E3089" s="7" t="str">
        <f t="shared" si="387"/>
        <v>Sun</v>
      </c>
      <c r="F3089" t="s">
        <v>159</v>
      </c>
      <c r="G3089" t="s">
        <v>48</v>
      </c>
      <c r="H3089" t="s">
        <v>11</v>
      </c>
      <c r="I3089" s="2" t="str">
        <f t="shared" si="384"/>
        <v>East</v>
      </c>
      <c r="J3089" t="s">
        <v>12</v>
      </c>
      <c r="K3089" t="s">
        <v>28</v>
      </c>
      <c r="L3089">
        <v>15</v>
      </c>
      <c r="M3089">
        <v>120</v>
      </c>
      <c r="N3089">
        <f t="shared" si="388"/>
        <v>1800</v>
      </c>
      <c r="O3089">
        <f t="shared" si="389"/>
        <v>180</v>
      </c>
      <c r="P3089" t="str">
        <f t="shared" si="390"/>
        <v>Large Order</v>
      </c>
      <c r="Q3089" t="str">
        <f t="shared" si="391"/>
        <v>Weekend</v>
      </c>
    </row>
    <row r="3090" spans="1:17" x14ac:dyDescent="0.35">
      <c r="A3090" t="s">
        <v>3240</v>
      </c>
      <c r="B3090" s="7">
        <v>45391</v>
      </c>
      <c r="C3090" s="13">
        <f t="shared" si="385"/>
        <v>2024</v>
      </c>
      <c r="D3090" s="7" t="str">
        <f t="shared" si="386"/>
        <v>Apr</v>
      </c>
      <c r="E3090" s="7" t="str">
        <f t="shared" si="387"/>
        <v>Tue</v>
      </c>
      <c r="F3090" t="s">
        <v>25</v>
      </c>
      <c r="G3090" t="s">
        <v>59</v>
      </c>
      <c r="H3090" t="s">
        <v>17</v>
      </c>
      <c r="I3090" s="2" t="str">
        <f t="shared" si="384"/>
        <v>North</v>
      </c>
      <c r="J3090" t="s">
        <v>42</v>
      </c>
      <c r="K3090" t="s">
        <v>13</v>
      </c>
      <c r="L3090">
        <v>12</v>
      </c>
      <c r="M3090">
        <v>120</v>
      </c>
      <c r="N3090">
        <f t="shared" si="388"/>
        <v>1440</v>
      </c>
      <c r="O3090">
        <f t="shared" si="389"/>
        <v>144</v>
      </c>
      <c r="P3090" t="str">
        <f t="shared" si="390"/>
        <v>Large Order</v>
      </c>
      <c r="Q3090" t="str">
        <f t="shared" si="391"/>
        <v>Weekday</v>
      </c>
    </row>
    <row r="3091" spans="1:17" x14ac:dyDescent="0.35">
      <c r="A3091" t="s">
        <v>3241</v>
      </c>
      <c r="B3091" s="7">
        <v>45549</v>
      </c>
      <c r="C3091" s="13">
        <f t="shared" si="385"/>
        <v>2024</v>
      </c>
      <c r="D3091" s="7" t="str">
        <f t="shared" si="386"/>
        <v>Sep</v>
      </c>
      <c r="E3091" s="7" t="str">
        <f t="shared" si="387"/>
        <v>Sat</v>
      </c>
      <c r="F3091" t="s">
        <v>142</v>
      </c>
      <c r="G3091" t="s">
        <v>109</v>
      </c>
      <c r="H3091" t="s">
        <v>17</v>
      </c>
      <c r="I3091" s="2" t="str">
        <f t="shared" si="384"/>
        <v>North</v>
      </c>
      <c r="J3091" t="s">
        <v>12</v>
      </c>
      <c r="K3091" t="s">
        <v>32</v>
      </c>
      <c r="L3091">
        <v>16</v>
      </c>
      <c r="M3091">
        <v>120</v>
      </c>
      <c r="N3091">
        <f t="shared" si="388"/>
        <v>1920</v>
      </c>
      <c r="O3091">
        <f t="shared" si="389"/>
        <v>192</v>
      </c>
      <c r="P3091" t="str">
        <f t="shared" si="390"/>
        <v>Large Order</v>
      </c>
      <c r="Q3091" t="str">
        <f t="shared" si="391"/>
        <v>Weekend</v>
      </c>
    </row>
    <row r="3092" spans="1:17" x14ac:dyDescent="0.35">
      <c r="A3092" t="s">
        <v>3242</v>
      </c>
      <c r="B3092" s="7">
        <v>45648</v>
      </c>
      <c r="C3092" s="13">
        <f t="shared" si="385"/>
        <v>2024</v>
      </c>
      <c r="D3092" s="7" t="str">
        <f t="shared" si="386"/>
        <v>Dec</v>
      </c>
      <c r="E3092" s="7" t="str">
        <f t="shared" si="387"/>
        <v>Sun</v>
      </c>
      <c r="F3092" t="s">
        <v>369</v>
      </c>
      <c r="G3092" t="s">
        <v>26</v>
      </c>
      <c r="H3092" t="s">
        <v>17</v>
      </c>
      <c r="I3092" s="2" t="str">
        <f t="shared" si="384"/>
        <v>West</v>
      </c>
      <c r="J3092" t="s">
        <v>12</v>
      </c>
      <c r="K3092" t="s">
        <v>36</v>
      </c>
      <c r="L3092">
        <v>1</v>
      </c>
      <c r="M3092">
        <v>120</v>
      </c>
      <c r="N3092">
        <f t="shared" si="388"/>
        <v>120</v>
      </c>
      <c r="O3092">
        <f t="shared" si="389"/>
        <v>12</v>
      </c>
      <c r="P3092" t="str">
        <f t="shared" si="390"/>
        <v>Standard Order</v>
      </c>
      <c r="Q3092" t="str">
        <f t="shared" si="391"/>
        <v>Weekend</v>
      </c>
    </row>
    <row r="3093" spans="1:17" x14ac:dyDescent="0.35">
      <c r="A3093" t="s">
        <v>3243</v>
      </c>
      <c r="B3093" s="7">
        <v>45533</v>
      </c>
      <c r="C3093" s="13">
        <f t="shared" si="385"/>
        <v>2024</v>
      </c>
      <c r="D3093" s="7" t="str">
        <f t="shared" si="386"/>
        <v>Aug</v>
      </c>
      <c r="E3093" s="7" t="str">
        <f t="shared" si="387"/>
        <v>Thu</v>
      </c>
      <c r="F3093" t="s">
        <v>493</v>
      </c>
      <c r="G3093" t="s">
        <v>21</v>
      </c>
      <c r="H3093" t="s">
        <v>17</v>
      </c>
      <c r="I3093" s="2" t="str">
        <f t="shared" si="384"/>
        <v>North</v>
      </c>
      <c r="J3093" t="s">
        <v>27</v>
      </c>
      <c r="K3093" t="s">
        <v>28</v>
      </c>
      <c r="L3093">
        <v>16</v>
      </c>
      <c r="M3093">
        <v>120</v>
      </c>
      <c r="N3093">
        <f t="shared" si="388"/>
        <v>1920</v>
      </c>
      <c r="O3093">
        <f t="shared" si="389"/>
        <v>192</v>
      </c>
      <c r="P3093" t="str">
        <f t="shared" si="390"/>
        <v>Large Order</v>
      </c>
      <c r="Q3093" t="str">
        <f t="shared" si="391"/>
        <v>Weekday</v>
      </c>
    </row>
    <row r="3094" spans="1:17" x14ac:dyDescent="0.35">
      <c r="A3094" t="s">
        <v>3244</v>
      </c>
      <c r="B3094" s="7">
        <v>45623</v>
      </c>
      <c r="C3094" s="13">
        <f t="shared" si="385"/>
        <v>2024</v>
      </c>
      <c r="D3094" s="7" t="str">
        <f t="shared" si="386"/>
        <v>Nov</v>
      </c>
      <c r="E3094" s="7" t="str">
        <f t="shared" si="387"/>
        <v>Wed</v>
      </c>
      <c r="F3094" t="s">
        <v>664</v>
      </c>
      <c r="G3094" t="s">
        <v>174</v>
      </c>
      <c r="H3094" t="s">
        <v>11</v>
      </c>
      <c r="I3094" s="2" t="str">
        <f t="shared" si="384"/>
        <v>South</v>
      </c>
      <c r="J3094" t="s">
        <v>12</v>
      </c>
      <c r="K3094" t="s">
        <v>32</v>
      </c>
      <c r="L3094">
        <v>1</v>
      </c>
      <c r="M3094">
        <v>120</v>
      </c>
      <c r="N3094">
        <f t="shared" si="388"/>
        <v>120</v>
      </c>
      <c r="O3094">
        <f t="shared" si="389"/>
        <v>12</v>
      </c>
      <c r="P3094" t="str">
        <f t="shared" si="390"/>
        <v>Standard Order</v>
      </c>
      <c r="Q3094" t="str">
        <f t="shared" si="391"/>
        <v>Weekday</v>
      </c>
    </row>
    <row r="3095" spans="1:17" x14ac:dyDescent="0.35">
      <c r="A3095" t="s">
        <v>3245</v>
      </c>
      <c r="B3095" s="7">
        <v>45370</v>
      </c>
      <c r="C3095" s="13">
        <f t="shared" si="385"/>
        <v>2024</v>
      </c>
      <c r="D3095" s="7" t="str">
        <f t="shared" si="386"/>
        <v>Mar</v>
      </c>
      <c r="E3095" s="7" t="str">
        <f t="shared" si="387"/>
        <v>Tue</v>
      </c>
      <c r="F3095" t="s">
        <v>369</v>
      </c>
      <c r="G3095" t="s">
        <v>84</v>
      </c>
      <c r="H3095" t="s">
        <v>11</v>
      </c>
      <c r="I3095" s="2" t="str">
        <f t="shared" si="384"/>
        <v>North</v>
      </c>
      <c r="J3095" t="s">
        <v>56</v>
      </c>
      <c r="K3095" t="s">
        <v>13</v>
      </c>
      <c r="L3095">
        <v>14</v>
      </c>
      <c r="M3095">
        <v>120</v>
      </c>
      <c r="N3095">
        <f t="shared" si="388"/>
        <v>1680</v>
      </c>
      <c r="O3095">
        <f t="shared" si="389"/>
        <v>168</v>
      </c>
      <c r="P3095" t="str">
        <f t="shared" si="390"/>
        <v>Large Order</v>
      </c>
      <c r="Q3095" t="str">
        <f t="shared" si="391"/>
        <v>Weekday</v>
      </c>
    </row>
    <row r="3096" spans="1:17" x14ac:dyDescent="0.35">
      <c r="A3096" t="s">
        <v>3246</v>
      </c>
      <c r="B3096" s="7">
        <v>45353</v>
      </c>
      <c r="C3096" s="13">
        <f t="shared" si="385"/>
        <v>2024</v>
      </c>
      <c r="D3096" s="7" t="str">
        <f t="shared" si="386"/>
        <v>Mar</v>
      </c>
      <c r="E3096" s="7" t="str">
        <f t="shared" si="387"/>
        <v>Sat</v>
      </c>
      <c r="F3096" t="s">
        <v>131</v>
      </c>
      <c r="G3096" t="s">
        <v>70</v>
      </c>
      <c r="H3096" t="s">
        <v>22</v>
      </c>
      <c r="I3096" s="2" t="str">
        <f t="shared" si="384"/>
        <v>North</v>
      </c>
      <c r="J3096" t="s">
        <v>12</v>
      </c>
      <c r="K3096" t="s">
        <v>32</v>
      </c>
      <c r="L3096">
        <v>4</v>
      </c>
      <c r="M3096">
        <v>120</v>
      </c>
      <c r="N3096">
        <f t="shared" si="388"/>
        <v>480</v>
      </c>
      <c r="O3096">
        <f t="shared" si="389"/>
        <v>48</v>
      </c>
      <c r="P3096" t="str">
        <f t="shared" si="390"/>
        <v>Standard Order</v>
      </c>
      <c r="Q3096" t="str">
        <f t="shared" si="391"/>
        <v>Weekend</v>
      </c>
    </row>
    <row r="3097" spans="1:17" x14ac:dyDescent="0.35">
      <c r="A3097" t="s">
        <v>3247</v>
      </c>
      <c r="B3097" s="7">
        <v>45434</v>
      </c>
      <c r="C3097" s="13">
        <f t="shared" si="385"/>
        <v>2024</v>
      </c>
      <c r="D3097" s="7" t="str">
        <f t="shared" si="386"/>
        <v>May</v>
      </c>
      <c r="E3097" s="7" t="str">
        <f t="shared" si="387"/>
        <v>Wed</v>
      </c>
      <c r="F3097" t="s">
        <v>150</v>
      </c>
      <c r="G3097" t="s">
        <v>21</v>
      </c>
      <c r="H3097" t="s">
        <v>22</v>
      </c>
      <c r="I3097" s="2" t="str">
        <f t="shared" si="384"/>
        <v>Central</v>
      </c>
      <c r="J3097" t="s">
        <v>12</v>
      </c>
      <c r="K3097" t="s">
        <v>32</v>
      </c>
      <c r="L3097">
        <v>11</v>
      </c>
      <c r="M3097">
        <v>120</v>
      </c>
      <c r="N3097">
        <f t="shared" si="388"/>
        <v>1320</v>
      </c>
      <c r="O3097">
        <f t="shared" si="389"/>
        <v>132</v>
      </c>
      <c r="P3097" t="str">
        <f t="shared" si="390"/>
        <v>Large Order</v>
      </c>
      <c r="Q3097" t="str">
        <f t="shared" si="391"/>
        <v>Weekday</v>
      </c>
    </row>
    <row r="3098" spans="1:17" x14ac:dyDescent="0.35">
      <c r="A3098" t="s">
        <v>3248</v>
      </c>
      <c r="B3098" s="7">
        <v>45378</v>
      </c>
      <c r="C3098" s="13">
        <f t="shared" si="385"/>
        <v>2024</v>
      </c>
      <c r="D3098" s="7" t="str">
        <f t="shared" si="386"/>
        <v>Mar</v>
      </c>
      <c r="E3098" s="7" t="str">
        <f t="shared" si="387"/>
        <v>Wed</v>
      </c>
      <c r="F3098" t="s">
        <v>449</v>
      </c>
      <c r="G3098" t="s">
        <v>84</v>
      </c>
      <c r="H3098" t="s">
        <v>17</v>
      </c>
      <c r="I3098" s="2" t="str">
        <f t="shared" si="384"/>
        <v>South</v>
      </c>
      <c r="J3098" t="s">
        <v>306</v>
      </c>
      <c r="K3098" t="s">
        <v>13</v>
      </c>
      <c r="L3098">
        <v>13</v>
      </c>
      <c r="M3098">
        <v>120</v>
      </c>
      <c r="N3098">
        <f t="shared" si="388"/>
        <v>1560</v>
      </c>
      <c r="O3098">
        <f t="shared" si="389"/>
        <v>156</v>
      </c>
      <c r="P3098" t="str">
        <f t="shared" si="390"/>
        <v>Large Order</v>
      </c>
      <c r="Q3098" t="str">
        <f t="shared" si="391"/>
        <v>Weekday</v>
      </c>
    </row>
    <row r="3099" spans="1:17" x14ac:dyDescent="0.35">
      <c r="A3099" t="s">
        <v>3249</v>
      </c>
      <c r="B3099" s="7">
        <v>45633</v>
      </c>
      <c r="C3099" s="13">
        <f t="shared" si="385"/>
        <v>2024</v>
      </c>
      <c r="D3099" s="7" t="str">
        <f t="shared" si="386"/>
        <v>Dec</v>
      </c>
      <c r="E3099" s="7" t="str">
        <f t="shared" si="387"/>
        <v>Sat</v>
      </c>
      <c r="F3099" t="s">
        <v>317</v>
      </c>
      <c r="G3099" t="s">
        <v>79</v>
      </c>
      <c r="H3099" t="s">
        <v>11</v>
      </c>
      <c r="I3099" s="2" t="str">
        <f t="shared" si="384"/>
        <v>East</v>
      </c>
      <c r="J3099" t="s">
        <v>56</v>
      </c>
      <c r="K3099" t="s">
        <v>36</v>
      </c>
      <c r="L3099">
        <v>5</v>
      </c>
      <c r="M3099">
        <v>120</v>
      </c>
      <c r="N3099">
        <f t="shared" si="388"/>
        <v>600</v>
      </c>
      <c r="O3099">
        <f t="shared" si="389"/>
        <v>60</v>
      </c>
      <c r="P3099" t="str">
        <f t="shared" si="390"/>
        <v>Large Order</v>
      </c>
      <c r="Q3099" t="str">
        <f t="shared" si="391"/>
        <v>Weekend</v>
      </c>
    </row>
    <row r="3100" spans="1:17" x14ac:dyDescent="0.35">
      <c r="A3100" t="s">
        <v>3250</v>
      </c>
      <c r="B3100" s="7">
        <v>45334</v>
      </c>
      <c r="C3100" s="13">
        <f t="shared" si="385"/>
        <v>2024</v>
      </c>
      <c r="D3100" s="7" t="str">
        <f t="shared" si="386"/>
        <v>Feb</v>
      </c>
      <c r="E3100" s="7" t="str">
        <f t="shared" si="387"/>
        <v>Mon</v>
      </c>
      <c r="F3100" t="s">
        <v>235</v>
      </c>
      <c r="G3100" t="s">
        <v>70</v>
      </c>
      <c r="H3100" t="s">
        <v>11</v>
      </c>
      <c r="I3100" s="2" t="str">
        <f t="shared" si="384"/>
        <v>North</v>
      </c>
      <c r="J3100" t="s">
        <v>42</v>
      </c>
      <c r="K3100" t="s">
        <v>36</v>
      </c>
      <c r="L3100">
        <v>7</v>
      </c>
      <c r="M3100">
        <v>120</v>
      </c>
      <c r="N3100">
        <f t="shared" si="388"/>
        <v>840</v>
      </c>
      <c r="O3100">
        <f t="shared" si="389"/>
        <v>84</v>
      </c>
      <c r="P3100" t="str">
        <f t="shared" si="390"/>
        <v>Large Order</v>
      </c>
      <c r="Q3100" t="str">
        <f t="shared" si="391"/>
        <v>Weekday</v>
      </c>
    </row>
    <row r="3101" spans="1:17" x14ac:dyDescent="0.35">
      <c r="A3101" t="s">
        <v>3251</v>
      </c>
      <c r="B3101" s="7">
        <v>45501</v>
      </c>
      <c r="C3101" s="13">
        <f t="shared" si="385"/>
        <v>2024</v>
      </c>
      <c r="D3101" s="7" t="str">
        <f t="shared" si="386"/>
        <v>Jul</v>
      </c>
      <c r="E3101" s="7" t="str">
        <f t="shared" si="387"/>
        <v>Sun</v>
      </c>
      <c r="F3101" t="s">
        <v>235</v>
      </c>
      <c r="G3101" t="s">
        <v>21</v>
      </c>
      <c r="H3101" t="s">
        <v>22</v>
      </c>
      <c r="I3101" s="2" t="str">
        <f t="shared" si="384"/>
        <v>North</v>
      </c>
      <c r="J3101" t="s">
        <v>12</v>
      </c>
      <c r="K3101" t="s">
        <v>32</v>
      </c>
      <c r="L3101">
        <v>9</v>
      </c>
      <c r="M3101">
        <v>120</v>
      </c>
      <c r="N3101">
        <f t="shared" si="388"/>
        <v>1080</v>
      </c>
      <c r="O3101">
        <f t="shared" si="389"/>
        <v>108</v>
      </c>
      <c r="P3101" t="str">
        <f t="shared" si="390"/>
        <v>Large Order</v>
      </c>
      <c r="Q3101" t="str">
        <f t="shared" si="391"/>
        <v>Weekend</v>
      </c>
    </row>
    <row r="3102" spans="1:17" x14ac:dyDescent="0.35">
      <c r="A3102" t="s">
        <v>3252</v>
      </c>
      <c r="B3102" s="7">
        <v>45352</v>
      </c>
      <c r="C3102" s="13">
        <f t="shared" si="385"/>
        <v>2024</v>
      </c>
      <c r="D3102" s="7" t="str">
        <f t="shared" si="386"/>
        <v>Mar</v>
      </c>
      <c r="E3102" s="7" t="str">
        <f t="shared" si="387"/>
        <v>Fri</v>
      </c>
      <c r="F3102" t="s">
        <v>47</v>
      </c>
      <c r="G3102" t="s">
        <v>70</v>
      </c>
      <c r="H3102" t="s">
        <v>22</v>
      </c>
      <c r="I3102" s="2" t="str">
        <f t="shared" si="384"/>
        <v>South</v>
      </c>
      <c r="J3102" t="s">
        <v>12</v>
      </c>
      <c r="K3102" t="s">
        <v>36</v>
      </c>
      <c r="L3102">
        <v>15</v>
      </c>
      <c r="M3102">
        <v>120</v>
      </c>
      <c r="N3102">
        <f t="shared" si="388"/>
        <v>1800</v>
      </c>
      <c r="O3102">
        <f t="shared" si="389"/>
        <v>180</v>
      </c>
      <c r="P3102" t="str">
        <f t="shared" si="390"/>
        <v>Large Order</v>
      </c>
      <c r="Q3102" t="str">
        <f t="shared" si="391"/>
        <v>Weekday</v>
      </c>
    </row>
    <row r="3103" spans="1:17" x14ac:dyDescent="0.35">
      <c r="A3103" t="s">
        <v>3253</v>
      </c>
      <c r="B3103" s="7">
        <v>45338</v>
      </c>
      <c r="C3103" s="13">
        <f t="shared" si="385"/>
        <v>2024</v>
      </c>
      <c r="D3103" s="7" t="str">
        <f t="shared" si="386"/>
        <v>Feb</v>
      </c>
      <c r="E3103" s="7" t="str">
        <f t="shared" si="387"/>
        <v>Fri</v>
      </c>
      <c r="F3103" t="s">
        <v>44</v>
      </c>
      <c r="G3103" t="s">
        <v>84</v>
      </c>
      <c r="H3103" t="s">
        <v>11</v>
      </c>
      <c r="I3103" s="2" t="str">
        <f t="shared" si="384"/>
        <v>South</v>
      </c>
      <c r="J3103" t="s">
        <v>56</v>
      </c>
      <c r="K3103" t="s">
        <v>32</v>
      </c>
      <c r="L3103">
        <v>19</v>
      </c>
      <c r="M3103">
        <v>120</v>
      </c>
      <c r="N3103">
        <f t="shared" si="388"/>
        <v>2280</v>
      </c>
      <c r="O3103">
        <f t="shared" si="389"/>
        <v>228</v>
      </c>
      <c r="P3103" t="str">
        <f t="shared" si="390"/>
        <v>Large Order</v>
      </c>
      <c r="Q3103" t="str">
        <f t="shared" si="391"/>
        <v>Weekday</v>
      </c>
    </row>
    <row r="3104" spans="1:17" x14ac:dyDescent="0.35">
      <c r="A3104" t="s">
        <v>3254</v>
      </c>
      <c r="B3104" s="7">
        <v>45302</v>
      </c>
      <c r="C3104" s="13">
        <f t="shared" si="385"/>
        <v>2024</v>
      </c>
      <c r="D3104" s="7" t="str">
        <f t="shared" si="386"/>
        <v>Jan</v>
      </c>
      <c r="E3104" s="7" t="str">
        <f t="shared" si="387"/>
        <v>Thu</v>
      </c>
      <c r="F3104" t="s">
        <v>337</v>
      </c>
      <c r="G3104" t="s">
        <v>45</v>
      </c>
      <c r="H3104" t="s">
        <v>11</v>
      </c>
      <c r="I3104" s="2" t="str">
        <f t="shared" si="384"/>
        <v>South</v>
      </c>
      <c r="J3104" t="s">
        <v>56</v>
      </c>
      <c r="K3104" t="s">
        <v>32</v>
      </c>
      <c r="L3104">
        <v>15</v>
      </c>
      <c r="M3104">
        <v>120</v>
      </c>
      <c r="N3104">
        <f t="shared" si="388"/>
        <v>1800</v>
      </c>
      <c r="O3104">
        <f t="shared" si="389"/>
        <v>180</v>
      </c>
      <c r="P3104" t="str">
        <f t="shared" si="390"/>
        <v>Large Order</v>
      </c>
      <c r="Q3104" t="str">
        <f t="shared" si="391"/>
        <v>Weekday</v>
      </c>
    </row>
    <row r="3105" spans="1:17" x14ac:dyDescent="0.35">
      <c r="A3105" t="s">
        <v>3255</v>
      </c>
      <c r="B3105" s="7">
        <v>45418</v>
      </c>
      <c r="C3105" s="13">
        <f t="shared" si="385"/>
        <v>2024</v>
      </c>
      <c r="D3105" s="7" t="str">
        <f t="shared" si="386"/>
        <v>May</v>
      </c>
      <c r="E3105" s="7" t="str">
        <f t="shared" si="387"/>
        <v>Mon</v>
      </c>
      <c r="F3105" t="s">
        <v>147</v>
      </c>
      <c r="G3105" t="s">
        <v>41</v>
      </c>
      <c r="H3105" t="s">
        <v>22</v>
      </c>
      <c r="I3105" s="2" t="str">
        <f t="shared" si="384"/>
        <v>South</v>
      </c>
      <c r="J3105" t="s">
        <v>56</v>
      </c>
      <c r="K3105" t="s">
        <v>28</v>
      </c>
      <c r="L3105">
        <v>10</v>
      </c>
      <c r="M3105">
        <v>120</v>
      </c>
      <c r="N3105">
        <f t="shared" si="388"/>
        <v>1200</v>
      </c>
      <c r="O3105">
        <f t="shared" si="389"/>
        <v>120</v>
      </c>
      <c r="P3105" t="str">
        <f t="shared" si="390"/>
        <v>Large Order</v>
      </c>
      <c r="Q3105" t="str">
        <f t="shared" si="391"/>
        <v>Weekday</v>
      </c>
    </row>
    <row r="3106" spans="1:17" x14ac:dyDescent="0.35">
      <c r="A3106" t="s">
        <v>3256</v>
      </c>
      <c r="B3106" s="7">
        <v>45653</v>
      </c>
      <c r="C3106" s="13">
        <f t="shared" si="385"/>
        <v>2024</v>
      </c>
      <c r="D3106" s="7" t="str">
        <f t="shared" si="386"/>
        <v>Dec</v>
      </c>
      <c r="E3106" s="7" t="str">
        <f t="shared" si="387"/>
        <v>Fri</v>
      </c>
      <c r="F3106" t="s">
        <v>55</v>
      </c>
      <c r="G3106" t="s">
        <v>45</v>
      </c>
      <c r="H3106" t="s">
        <v>17</v>
      </c>
      <c r="I3106" s="2" t="str">
        <f t="shared" si="384"/>
        <v>East</v>
      </c>
      <c r="J3106" t="s">
        <v>56</v>
      </c>
      <c r="K3106" t="s">
        <v>36</v>
      </c>
      <c r="L3106">
        <v>11</v>
      </c>
      <c r="M3106">
        <v>120</v>
      </c>
      <c r="N3106">
        <f t="shared" si="388"/>
        <v>1320</v>
      </c>
      <c r="O3106">
        <f t="shared" si="389"/>
        <v>132</v>
      </c>
      <c r="P3106" t="str">
        <f t="shared" si="390"/>
        <v>Large Order</v>
      </c>
      <c r="Q3106" t="str">
        <f t="shared" si="391"/>
        <v>Weekday</v>
      </c>
    </row>
    <row r="3107" spans="1:17" x14ac:dyDescent="0.35">
      <c r="A3107" t="s">
        <v>3257</v>
      </c>
      <c r="B3107" s="7">
        <v>45388</v>
      </c>
      <c r="C3107" s="13">
        <f t="shared" si="385"/>
        <v>2024</v>
      </c>
      <c r="D3107" s="7" t="str">
        <f t="shared" si="386"/>
        <v>Apr</v>
      </c>
      <c r="E3107" s="7" t="str">
        <f t="shared" si="387"/>
        <v>Sat</v>
      </c>
      <c r="F3107" t="s">
        <v>101</v>
      </c>
      <c r="G3107" t="s">
        <v>65</v>
      </c>
      <c r="H3107" t="s">
        <v>11</v>
      </c>
      <c r="I3107" s="2" t="str">
        <f t="shared" si="384"/>
        <v>East</v>
      </c>
      <c r="J3107" t="s">
        <v>42</v>
      </c>
      <c r="K3107" t="s">
        <v>32</v>
      </c>
      <c r="L3107">
        <v>15</v>
      </c>
      <c r="M3107">
        <v>120</v>
      </c>
      <c r="N3107">
        <f t="shared" si="388"/>
        <v>1800</v>
      </c>
      <c r="O3107">
        <f t="shared" si="389"/>
        <v>180</v>
      </c>
      <c r="P3107" t="str">
        <f t="shared" si="390"/>
        <v>Large Order</v>
      </c>
      <c r="Q3107" t="str">
        <f t="shared" si="391"/>
        <v>Weekend</v>
      </c>
    </row>
    <row r="3108" spans="1:17" x14ac:dyDescent="0.35">
      <c r="A3108" t="s">
        <v>3258</v>
      </c>
      <c r="B3108" s="7">
        <v>45542</v>
      </c>
      <c r="C3108" s="13">
        <f t="shared" si="385"/>
        <v>2024</v>
      </c>
      <c r="D3108" s="7" t="str">
        <f t="shared" si="386"/>
        <v>Sep</v>
      </c>
      <c r="E3108" s="7" t="str">
        <f t="shared" si="387"/>
        <v>Sat</v>
      </c>
      <c r="F3108" t="s">
        <v>182</v>
      </c>
      <c r="G3108" t="s">
        <v>59</v>
      </c>
      <c r="H3108" t="s">
        <v>17</v>
      </c>
      <c r="I3108" s="2" t="str">
        <f t="shared" si="384"/>
        <v>West</v>
      </c>
      <c r="J3108" t="s">
        <v>42</v>
      </c>
      <c r="K3108" t="s">
        <v>36</v>
      </c>
      <c r="L3108">
        <v>15</v>
      </c>
      <c r="M3108">
        <v>120</v>
      </c>
      <c r="N3108">
        <f t="shared" si="388"/>
        <v>1800</v>
      </c>
      <c r="O3108">
        <f t="shared" si="389"/>
        <v>180</v>
      </c>
      <c r="P3108" t="str">
        <f t="shared" si="390"/>
        <v>Large Order</v>
      </c>
      <c r="Q3108" t="str">
        <f t="shared" si="391"/>
        <v>Weekend</v>
      </c>
    </row>
    <row r="3109" spans="1:17" x14ac:dyDescent="0.35">
      <c r="A3109" t="s">
        <v>3259</v>
      </c>
      <c r="B3109" s="7">
        <v>45643</v>
      </c>
      <c r="C3109" s="13">
        <f t="shared" si="385"/>
        <v>2024</v>
      </c>
      <c r="D3109" s="7" t="str">
        <f t="shared" si="386"/>
        <v>Dec</v>
      </c>
      <c r="E3109" s="7" t="str">
        <f t="shared" si="387"/>
        <v>Tue</v>
      </c>
      <c r="F3109" t="s">
        <v>30</v>
      </c>
      <c r="G3109" t="s">
        <v>79</v>
      </c>
      <c r="H3109" t="s">
        <v>22</v>
      </c>
      <c r="I3109" s="2" t="str">
        <f t="shared" si="384"/>
        <v>East</v>
      </c>
      <c r="J3109" t="s">
        <v>27</v>
      </c>
      <c r="K3109" t="s">
        <v>28</v>
      </c>
      <c r="L3109">
        <v>18</v>
      </c>
      <c r="M3109">
        <v>120</v>
      </c>
      <c r="N3109">
        <f t="shared" si="388"/>
        <v>2160</v>
      </c>
      <c r="O3109">
        <f t="shared" si="389"/>
        <v>216</v>
      </c>
      <c r="P3109" t="str">
        <f t="shared" si="390"/>
        <v>Large Order</v>
      </c>
      <c r="Q3109" t="str">
        <f t="shared" si="391"/>
        <v>Weekday</v>
      </c>
    </row>
    <row r="3110" spans="1:17" x14ac:dyDescent="0.35">
      <c r="A3110" t="s">
        <v>3260</v>
      </c>
      <c r="B3110" s="7">
        <v>45651</v>
      </c>
      <c r="C3110" s="13">
        <f t="shared" si="385"/>
        <v>2024</v>
      </c>
      <c r="D3110" s="7" t="str">
        <f t="shared" si="386"/>
        <v>Dec</v>
      </c>
      <c r="E3110" s="7" t="str">
        <f t="shared" si="387"/>
        <v>Wed</v>
      </c>
      <c r="F3110" t="s">
        <v>348</v>
      </c>
      <c r="G3110" t="s">
        <v>48</v>
      </c>
      <c r="H3110" t="s">
        <v>22</v>
      </c>
      <c r="I3110" s="2" t="str">
        <f t="shared" si="384"/>
        <v>North</v>
      </c>
      <c r="J3110" t="s">
        <v>42</v>
      </c>
      <c r="K3110" t="s">
        <v>28</v>
      </c>
      <c r="L3110">
        <v>11</v>
      </c>
      <c r="M3110">
        <v>120</v>
      </c>
      <c r="N3110">
        <f t="shared" si="388"/>
        <v>1320</v>
      </c>
      <c r="O3110">
        <f t="shared" si="389"/>
        <v>132</v>
      </c>
      <c r="P3110" t="str">
        <f t="shared" si="390"/>
        <v>Large Order</v>
      </c>
      <c r="Q3110" t="str">
        <f t="shared" si="391"/>
        <v>Weekday</v>
      </c>
    </row>
    <row r="3111" spans="1:17" x14ac:dyDescent="0.35">
      <c r="A3111" t="s">
        <v>3261</v>
      </c>
      <c r="B3111" s="7">
        <v>45549</v>
      </c>
      <c r="C3111" s="13">
        <f t="shared" si="385"/>
        <v>2024</v>
      </c>
      <c r="D3111" s="7" t="str">
        <f t="shared" si="386"/>
        <v>Sep</v>
      </c>
      <c r="E3111" s="7" t="str">
        <f t="shared" si="387"/>
        <v>Sat</v>
      </c>
      <c r="F3111" t="s">
        <v>378</v>
      </c>
      <c r="G3111" t="s">
        <v>84</v>
      </c>
      <c r="H3111" t="s">
        <v>17</v>
      </c>
      <c r="I3111" s="2" t="str">
        <f t="shared" si="384"/>
        <v>Central</v>
      </c>
      <c r="J3111" t="s">
        <v>12</v>
      </c>
      <c r="K3111" t="s">
        <v>36</v>
      </c>
      <c r="L3111">
        <v>7</v>
      </c>
      <c r="M3111">
        <v>120</v>
      </c>
      <c r="N3111">
        <f t="shared" si="388"/>
        <v>840</v>
      </c>
      <c r="O3111">
        <f t="shared" si="389"/>
        <v>84</v>
      </c>
      <c r="P3111" t="str">
        <f t="shared" si="390"/>
        <v>Large Order</v>
      </c>
      <c r="Q3111" t="str">
        <f t="shared" si="391"/>
        <v>Weekend</v>
      </c>
    </row>
    <row r="3112" spans="1:17" x14ac:dyDescent="0.35">
      <c r="A3112" t="s">
        <v>3262</v>
      </c>
      <c r="B3112" s="7">
        <v>45531</v>
      </c>
      <c r="C3112" s="13">
        <f t="shared" si="385"/>
        <v>2024</v>
      </c>
      <c r="D3112" s="7" t="str">
        <f t="shared" si="386"/>
        <v>Aug</v>
      </c>
      <c r="E3112" s="7" t="str">
        <f t="shared" si="387"/>
        <v>Tue</v>
      </c>
      <c r="F3112" t="s">
        <v>86</v>
      </c>
      <c r="G3112" t="s">
        <v>79</v>
      </c>
      <c r="H3112" t="s">
        <v>11</v>
      </c>
      <c r="I3112" s="2" t="str">
        <f t="shared" si="384"/>
        <v>West</v>
      </c>
      <c r="J3112" t="s">
        <v>306</v>
      </c>
      <c r="K3112" t="s">
        <v>28</v>
      </c>
      <c r="L3112">
        <v>16</v>
      </c>
      <c r="M3112">
        <v>120</v>
      </c>
      <c r="N3112">
        <f t="shared" si="388"/>
        <v>1920</v>
      </c>
      <c r="O3112">
        <f t="shared" si="389"/>
        <v>192</v>
      </c>
      <c r="P3112" t="str">
        <f t="shared" si="390"/>
        <v>Large Order</v>
      </c>
      <c r="Q3112" t="str">
        <f t="shared" si="391"/>
        <v>Weekday</v>
      </c>
    </row>
    <row r="3113" spans="1:17" x14ac:dyDescent="0.35">
      <c r="A3113" t="s">
        <v>3263</v>
      </c>
      <c r="B3113" s="7">
        <v>45592</v>
      </c>
      <c r="C3113" s="13">
        <f t="shared" si="385"/>
        <v>2024</v>
      </c>
      <c r="D3113" s="7" t="str">
        <f t="shared" si="386"/>
        <v>Oct</v>
      </c>
      <c r="E3113" s="7" t="str">
        <f t="shared" si="387"/>
        <v>Sun</v>
      </c>
      <c r="F3113" t="s">
        <v>187</v>
      </c>
      <c r="G3113" t="s">
        <v>48</v>
      </c>
      <c r="H3113" t="s">
        <v>22</v>
      </c>
      <c r="I3113" s="2" t="str">
        <f t="shared" si="384"/>
        <v>South</v>
      </c>
      <c r="J3113" t="s">
        <v>27</v>
      </c>
      <c r="K3113" t="s">
        <v>36</v>
      </c>
      <c r="L3113">
        <v>2</v>
      </c>
      <c r="M3113">
        <v>120</v>
      </c>
      <c r="N3113">
        <f t="shared" si="388"/>
        <v>240</v>
      </c>
      <c r="O3113">
        <f t="shared" si="389"/>
        <v>24</v>
      </c>
      <c r="P3113" t="str">
        <f t="shared" si="390"/>
        <v>Standard Order</v>
      </c>
      <c r="Q3113" t="str">
        <f t="shared" si="391"/>
        <v>Weekend</v>
      </c>
    </row>
    <row r="3114" spans="1:17" x14ac:dyDescent="0.35">
      <c r="A3114" t="s">
        <v>3264</v>
      </c>
      <c r="B3114" s="7">
        <v>45345</v>
      </c>
      <c r="C3114" s="13">
        <f t="shared" si="385"/>
        <v>2024</v>
      </c>
      <c r="D3114" s="7" t="str">
        <f t="shared" si="386"/>
        <v>Feb</v>
      </c>
      <c r="E3114" s="7" t="str">
        <f t="shared" si="387"/>
        <v>Fri</v>
      </c>
      <c r="F3114" t="s">
        <v>451</v>
      </c>
      <c r="G3114" t="s">
        <v>48</v>
      </c>
      <c r="H3114" t="s">
        <v>11</v>
      </c>
      <c r="I3114" s="2" t="str">
        <f t="shared" si="384"/>
        <v>East</v>
      </c>
      <c r="J3114" t="s">
        <v>56</v>
      </c>
      <c r="K3114" t="s">
        <v>23</v>
      </c>
      <c r="L3114">
        <v>16</v>
      </c>
      <c r="M3114">
        <v>120</v>
      </c>
      <c r="N3114">
        <f t="shared" si="388"/>
        <v>1920</v>
      </c>
      <c r="O3114">
        <f t="shared" si="389"/>
        <v>192</v>
      </c>
      <c r="P3114" t="str">
        <f t="shared" si="390"/>
        <v>Large Order</v>
      </c>
      <c r="Q3114" t="str">
        <f t="shared" si="391"/>
        <v>Weekday</v>
      </c>
    </row>
    <row r="3115" spans="1:17" x14ac:dyDescent="0.35">
      <c r="A3115" t="s">
        <v>3265</v>
      </c>
      <c r="B3115" s="7">
        <v>45623</v>
      </c>
      <c r="C3115" s="13">
        <f t="shared" si="385"/>
        <v>2024</v>
      </c>
      <c r="D3115" s="7" t="str">
        <f t="shared" si="386"/>
        <v>Nov</v>
      </c>
      <c r="E3115" s="7" t="str">
        <f t="shared" si="387"/>
        <v>Wed</v>
      </c>
      <c r="F3115" t="s">
        <v>108</v>
      </c>
      <c r="G3115" t="s">
        <v>45</v>
      </c>
      <c r="H3115" t="s">
        <v>17</v>
      </c>
      <c r="I3115" s="2" t="str">
        <f t="shared" si="384"/>
        <v>Central</v>
      </c>
      <c r="J3115" t="s">
        <v>42</v>
      </c>
      <c r="K3115" t="s">
        <v>28</v>
      </c>
      <c r="L3115">
        <v>15</v>
      </c>
      <c r="M3115">
        <v>120</v>
      </c>
      <c r="N3115">
        <f t="shared" si="388"/>
        <v>1800</v>
      </c>
      <c r="O3115">
        <f t="shared" si="389"/>
        <v>180</v>
      </c>
      <c r="P3115" t="str">
        <f t="shared" si="390"/>
        <v>Large Order</v>
      </c>
      <c r="Q3115" t="str">
        <f t="shared" si="391"/>
        <v>Weekday</v>
      </c>
    </row>
    <row r="3116" spans="1:17" x14ac:dyDescent="0.35">
      <c r="A3116" t="s">
        <v>3266</v>
      </c>
      <c r="B3116" s="7">
        <v>45303</v>
      </c>
      <c r="C3116" s="13">
        <f t="shared" si="385"/>
        <v>2024</v>
      </c>
      <c r="D3116" s="7" t="str">
        <f t="shared" si="386"/>
        <v>Jan</v>
      </c>
      <c r="E3116" s="7" t="str">
        <f t="shared" si="387"/>
        <v>Fri</v>
      </c>
      <c r="F3116" t="s">
        <v>396</v>
      </c>
      <c r="G3116" t="s">
        <v>109</v>
      </c>
      <c r="H3116" t="s">
        <v>17</v>
      </c>
      <c r="I3116" s="2" t="str">
        <f t="shared" si="384"/>
        <v>East</v>
      </c>
      <c r="J3116" t="s">
        <v>306</v>
      </c>
      <c r="K3116" t="s">
        <v>36</v>
      </c>
      <c r="L3116">
        <v>14</v>
      </c>
      <c r="M3116">
        <v>120</v>
      </c>
      <c r="N3116">
        <f t="shared" si="388"/>
        <v>1680</v>
      </c>
      <c r="O3116">
        <f t="shared" si="389"/>
        <v>168</v>
      </c>
      <c r="P3116" t="str">
        <f t="shared" si="390"/>
        <v>Large Order</v>
      </c>
      <c r="Q3116" t="str">
        <f t="shared" si="391"/>
        <v>Weekday</v>
      </c>
    </row>
    <row r="3117" spans="1:17" x14ac:dyDescent="0.35">
      <c r="A3117" t="s">
        <v>3267</v>
      </c>
      <c r="B3117" s="7">
        <v>45534</v>
      </c>
      <c r="C3117" s="13">
        <f t="shared" si="385"/>
        <v>2024</v>
      </c>
      <c r="D3117" s="7" t="str">
        <f t="shared" si="386"/>
        <v>Aug</v>
      </c>
      <c r="E3117" s="7" t="str">
        <f t="shared" si="387"/>
        <v>Fri</v>
      </c>
      <c r="F3117" t="s">
        <v>78</v>
      </c>
      <c r="G3117" t="s">
        <v>26</v>
      </c>
      <c r="H3117" t="s">
        <v>22</v>
      </c>
      <c r="I3117" s="2" t="str">
        <f t="shared" si="384"/>
        <v>Central</v>
      </c>
      <c r="J3117" t="s">
        <v>42</v>
      </c>
      <c r="K3117" t="s">
        <v>36</v>
      </c>
      <c r="L3117">
        <v>11</v>
      </c>
      <c r="M3117">
        <v>120</v>
      </c>
      <c r="N3117">
        <f t="shared" si="388"/>
        <v>1320</v>
      </c>
      <c r="O3117">
        <f t="shared" si="389"/>
        <v>132</v>
      </c>
      <c r="P3117" t="str">
        <f t="shared" si="390"/>
        <v>Large Order</v>
      </c>
      <c r="Q3117" t="str">
        <f t="shared" si="391"/>
        <v>Weekday</v>
      </c>
    </row>
    <row r="3118" spans="1:17" x14ac:dyDescent="0.35">
      <c r="A3118" t="s">
        <v>3268</v>
      </c>
      <c r="B3118" s="7">
        <v>45497</v>
      </c>
      <c r="C3118" s="13">
        <f t="shared" si="385"/>
        <v>2024</v>
      </c>
      <c r="D3118" s="7" t="str">
        <f t="shared" si="386"/>
        <v>Jul</v>
      </c>
      <c r="E3118" s="7" t="str">
        <f t="shared" si="387"/>
        <v>Wed</v>
      </c>
      <c r="F3118" t="s">
        <v>68</v>
      </c>
      <c r="G3118" t="s">
        <v>79</v>
      </c>
      <c r="H3118" t="s">
        <v>11</v>
      </c>
      <c r="I3118" s="2" t="str">
        <f t="shared" si="384"/>
        <v>North</v>
      </c>
      <c r="J3118" t="s">
        <v>306</v>
      </c>
      <c r="K3118" t="s">
        <v>13</v>
      </c>
      <c r="L3118">
        <v>14</v>
      </c>
      <c r="M3118">
        <v>120</v>
      </c>
      <c r="N3118">
        <f t="shared" si="388"/>
        <v>1680</v>
      </c>
      <c r="O3118">
        <f t="shared" si="389"/>
        <v>168</v>
      </c>
      <c r="P3118" t="str">
        <f t="shared" si="390"/>
        <v>Large Order</v>
      </c>
      <c r="Q3118" t="str">
        <f t="shared" si="391"/>
        <v>Weekday</v>
      </c>
    </row>
    <row r="3119" spans="1:17" x14ac:dyDescent="0.35">
      <c r="A3119" t="s">
        <v>3269</v>
      </c>
      <c r="B3119" s="7">
        <v>45429</v>
      </c>
      <c r="C3119" s="13">
        <f t="shared" si="385"/>
        <v>2024</v>
      </c>
      <c r="D3119" s="7" t="str">
        <f t="shared" si="386"/>
        <v>May</v>
      </c>
      <c r="E3119" s="7" t="str">
        <f t="shared" si="387"/>
        <v>Fri</v>
      </c>
      <c r="F3119" t="s">
        <v>314</v>
      </c>
      <c r="G3119" t="s">
        <v>31</v>
      </c>
      <c r="H3119" t="s">
        <v>22</v>
      </c>
      <c r="I3119" s="2" t="str">
        <f t="shared" si="384"/>
        <v>South</v>
      </c>
      <c r="J3119" t="s">
        <v>12</v>
      </c>
      <c r="K3119" t="s">
        <v>28</v>
      </c>
      <c r="L3119">
        <v>17</v>
      </c>
      <c r="M3119">
        <v>120</v>
      </c>
      <c r="N3119">
        <f t="shared" si="388"/>
        <v>2040</v>
      </c>
      <c r="O3119">
        <f t="shared" si="389"/>
        <v>204</v>
      </c>
      <c r="P3119" t="str">
        <f t="shared" si="390"/>
        <v>Large Order</v>
      </c>
      <c r="Q3119" t="str">
        <f t="shared" si="391"/>
        <v>Weekday</v>
      </c>
    </row>
    <row r="3120" spans="1:17" x14ac:dyDescent="0.35">
      <c r="A3120" t="s">
        <v>3270</v>
      </c>
      <c r="B3120" s="7">
        <v>45445</v>
      </c>
      <c r="C3120" s="13">
        <f t="shared" si="385"/>
        <v>2024</v>
      </c>
      <c r="D3120" s="7" t="str">
        <f t="shared" si="386"/>
        <v>Jun</v>
      </c>
      <c r="E3120" s="7" t="str">
        <f t="shared" si="387"/>
        <v>Sun</v>
      </c>
      <c r="F3120" t="s">
        <v>327</v>
      </c>
      <c r="G3120" t="s">
        <v>62</v>
      </c>
      <c r="H3120" t="s">
        <v>22</v>
      </c>
      <c r="I3120" s="2" t="str">
        <f t="shared" si="384"/>
        <v>East</v>
      </c>
      <c r="J3120" t="s">
        <v>56</v>
      </c>
      <c r="K3120" t="s">
        <v>36</v>
      </c>
      <c r="L3120">
        <v>5</v>
      </c>
      <c r="M3120">
        <v>120</v>
      </c>
      <c r="N3120">
        <f t="shared" si="388"/>
        <v>600</v>
      </c>
      <c r="O3120">
        <f t="shared" si="389"/>
        <v>60</v>
      </c>
      <c r="P3120" t="str">
        <f t="shared" si="390"/>
        <v>Large Order</v>
      </c>
      <c r="Q3120" t="str">
        <f t="shared" si="391"/>
        <v>Weekend</v>
      </c>
    </row>
    <row r="3121" spans="1:17" x14ac:dyDescent="0.35">
      <c r="A3121" t="s">
        <v>3271</v>
      </c>
      <c r="B3121" s="7">
        <v>45462</v>
      </c>
      <c r="C3121" s="13">
        <f t="shared" si="385"/>
        <v>2024</v>
      </c>
      <c r="D3121" s="7" t="str">
        <f t="shared" si="386"/>
        <v>Jun</v>
      </c>
      <c r="E3121" s="7" t="str">
        <f t="shared" si="387"/>
        <v>Wed</v>
      </c>
      <c r="F3121" t="s">
        <v>728</v>
      </c>
      <c r="G3121" t="s">
        <v>79</v>
      </c>
      <c r="H3121" t="s">
        <v>11</v>
      </c>
      <c r="I3121" s="2" t="str">
        <f t="shared" si="384"/>
        <v>South</v>
      </c>
      <c r="J3121" t="s">
        <v>42</v>
      </c>
      <c r="K3121" t="s">
        <v>28</v>
      </c>
      <c r="L3121">
        <v>12</v>
      </c>
      <c r="M3121">
        <v>120</v>
      </c>
      <c r="N3121">
        <f t="shared" si="388"/>
        <v>1440</v>
      </c>
      <c r="O3121">
        <f t="shared" si="389"/>
        <v>144</v>
      </c>
      <c r="P3121" t="str">
        <f t="shared" si="390"/>
        <v>Large Order</v>
      </c>
      <c r="Q3121" t="str">
        <f t="shared" si="391"/>
        <v>Weekday</v>
      </c>
    </row>
    <row r="3122" spans="1:17" x14ac:dyDescent="0.35">
      <c r="A3122" t="s">
        <v>3272</v>
      </c>
      <c r="B3122" s="7">
        <v>45376</v>
      </c>
      <c r="C3122" s="13">
        <f t="shared" si="385"/>
        <v>2024</v>
      </c>
      <c r="D3122" s="7" t="str">
        <f t="shared" si="386"/>
        <v>Mar</v>
      </c>
      <c r="E3122" s="7" t="str">
        <f t="shared" si="387"/>
        <v>Mon</v>
      </c>
      <c r="F3122" t="s">
        <v>366</v>
      </c>
      <c r="G3122" t="s">
        <v>96</v>
      </c>
      <c r="H3122" t="s">
        <v>22</v>
      </c>
      <c r="I3122" s="2" t="str">
        <f t="shared" si="384"/>
        <v>West</v>
      </c>
      <c r="J3122" t="s">
        <v>56</v>
      </c>
      <c r="K3122" t="s">
        <v>28</v>
      </c>
      <c r="L3122">
        <v>6</v>
      </c>
      <c r="M3122">
        <v>120</v>
      </c>
      <c r="N3122">
        <f t="shared" si="388"/>
        <v>720</v>
      </c>
      <c r="O3122">
        <f t="shared" si="389"/>
        <v>72</v>
      </c>
      <c r="P3122" t="str">
        <f t="shared" si="390"/>
        <v>Large Order</v>
      </c>
      <c r="Q3122" t="str">
        <f t="shared" si="391"/>
        <v>Weekday</v>
      </c>
    </row>
    <row r="3123" spans="1:17" x14ac:dyDescent="0.35">
      <c r="A3123" t="s">
        <v>3273</v>
      </c>
      <c r="B3123" s="7">
        <v>45333</v>
      </c>
      <c r="C3123" s="13">
        <f t="shared" si="385"/>
        <v>2024</v>
      </c>
      <c r="D3123" s="7" t="str">
        <f t="shared" si="386"/>
        <v>Feb</v>
      </c>
      <c r="E3123" s="7" t="str">
        <f t="shared" si="387"/>
        <v>Sun</v>
      </c>
      <c r="F3123" t="s">
        <v>44</v>
      </c>
      <c r="G3123" t="s">
        <v>197</v>
      </c>
      <c r="H3123" t="s">
        <v>11</v>
      </c>
      <c r="I3123" s="2" t="str">
        <f t="shared" si="384"/>
        <v>West</v>
      </c>
      <c r="J3123" t="s">
        <v>27</v>
      </c>
      <c r="K3123" t="s">
        <v>13</v>
      </c>
      <c r="L3123">
        <v>8</v>
      </c>
      <c r="M3123">
        <v>120</v>
      </c>
      <c r="N3123">
        <f t="shared" si="388"/>
        <v>960</v>
      </c>
      <c r="O3123">
        <f t="shared" si="389"/>
        <v>96</v>
      </c>
      <c r="P3123" t="str">
        <f t="shared" si="390"/>
        <v>Large Order</v>
      </c>
      <c r="Q3123" t="str">
        <f t="shared" si="391"/>
        <v>Weekend</v>
      </c>
    </row>
    <row r="3124" spans="1:17" x14ac:dyDescent="0.35">
      <c r="A3124" t="s">
        <v>3274</v>
      </c>
      <c r="B3124" s="7">
        <v>45576</v>
      </c>
      <c r="C3124" s="13">
        <f t="shared" si="385"/>
        <v>2024</v>
      </c>
      <c r="D3124" s="7" t="str">
        <f t="shared" si="386"/>
        <v>Oct</v>
      </c>
      <c r="E3124" s="7" t="str">
        <f t="shared" si="387"/>
        <v>Fri</v>
      </c>
      <c r="F3124" t="s">
        <v>420</v>
      </c>
      <c r="G3124" t="s">
        <v>48</v>
      </c>
      <c r="H3124" t="s">
        <v>11</v>
      </c>
      <c r="I3124" s="2" t="str">
        <f t="shared" si="384"/>
        <v>South</v>
      </c>
      <c r="J3124" t="s">
        <v>27</v>
      </c>
      <c r="K3124" t="s">
        <v>28</v>
      </c>
      <c r="L3124">
        <v>12</v>
      </c>
      <c r="M3124">
        <v>120</v>
      </c>
      <c r="N3124">
        <f t="shared" si="388"/>
        <v>1440</v>
      </c>
      <c r="O3124">
        <f t="shared" si="389"/>
        <v>144</v>
      </c>
      <c r="P3124" t="str">
        <f t="shared" si="390"/>
        <v>Large Order</v>
      </c>
      <c r="Q3124" t="str">
        <f t="shared" si="391"/>
        <v>Weekday</v>
      </c>
    </row>
    <row r="3125" spans="1:17" x14ac:dyDescent="0.35">
      <c r="A3125" t="s">
        <v>3275</v>
      </c>
      <c r="B3125" s="7">
        <v>45573</v>
      </c>
      <c r="C3125" s="13">
        <f t="shared" si="385"/>
        <v>2024</v>
      </c>
      <c r="D3125" s="7" t="str">
        <f t="shared" si="386"/>
        <v>Oct</v>
      </c>
      <c r="E3125" s="7" t="str">
        <f t="shared" si="387"/>
        <v>Tue</v>
      </c>
      <c r="F3125" t="s">
        <v>455</v>
      </c>
      <c r="G3125" t="s">
        <v>31</v>
      </c>
      <c r="H3125" t="s">
        <v>22</v>
      </c>
      <c r="I3125" s="2" t="str">
        <f t="shared" si="384"/>
        <v>West</v>
      </c>
      <c r="J3125" t="s">
        <v>56</v>
      </c>
      <c r="K3125" t="s">
        <v>23</v>
      </c>
      <c r="L3125">
        <v>13</v>
      </c>
      <c r="M3125">
        <v>120</v>
      </c>
      <c r="N3125">
        <f t="shared" si="388"/>
        <v>1560</v>
      </c>
      <c r="O3125">
        <f t="shared" si="389"/>
        <v>156</v>
      </c>
      <c r="P3125" t="str">
        <f t="shared" si="390"/>
        <v>Large Order</v>
      </c>
      <c r="Q3125" t="str">
        <f t="shared" si="391"/>
        <v>Weekday</v>
      </c>
    </row>
    <row r="3126" spans="1:17" x14ac:dyDescent="0.35">
      <c r="A3126" t="s">
        <v>3276</v>
      </c>
      <c r="B3126" s="7">
        <v>45653</v>
      </c>
      <c r="C3126" s="13">
        <f t="shared" si="385"/>
        <v>2024</v>
      </c>
      <c r="D3126" s="7" t="str">
        <f t="shared" si="386"/>
        <v>Dec</v>
      </c>
      <c r="E3126" s="7" t="str">
        <f t="shared" si="387"/>
        <v>Fri</v>
      </c>
      <c r="F3126" t="s">
        <v>78</v>
      </c>
      <c r="G3126" t="s">
        <v>119</v>
      </c>
      <c r="H3126" t="s">
        <v>11</v>
      </c>
      <c r="I3126" s="2" t="str">
        <f t="shared" si="384"/>
        <v>East</v>
      </c>
      <c r="J3126" t="s">
        <v>27</v>
      </c>
      <c r="K3126" t="s">
        <v>28</v>
      </c>
      <c r="L3126">
        <v>11</v>
      </c>
      <c r="M3126">
        <v>120</v>
      </c>
      <c r="N3126">
        <f t="shared" si="388"/>
        <v>1320</v>
      </c>
      <c r="O3126">
        <f t="shared" si="389"/>
        <v>132</v>
      </c>
      <c r="P3126" t="str">
        <f t="shared" si="390"/>
        <v>Large Order</v>
      </c>
      <c r="Q3126" t="str">
        <f t="shared" si="391"/>
        <v>Weekday</v>
      </c>
    </row>
    <row r="3127" spans="1:17" x14ac:dyDescent="0.35">
      <c r="A3127" t="s">
        <v>3277</v>
      </c>
      <c r="B3127" s="7">
        <v>45360</v>
      </c>
      <c r="C3127" s="13">
        <f t="shared" si="385"/>
        <v>2024</v>
      </c>
      <c r="D3127" s="7" t="str">
        <f t="shared" si="386"/>
        <v>Mar</v>
      </c>
      <c r="E3127" s="7" t="str">
        <f t="shared" si="387"/>
        <v>Sat</v>
      </c>
      <c r="F3127" t="s">
        <v>341</v>
      </c>
      <c r="G3127" t="s">
        <v>119</v>
      </c>
      <c r="H3127" t="s">
        <v>17</v>
      </c>
      <c r="I3127" s="2" t="str">
        <f t="shared" si="384"/>
        <v>Central</v>
      </c>
      <c r="J3127" t="s">
        <v>42</v>
      </c>
      <c r="K3127" t="s">
        <v>23</v>
      </c>
      <c r="L3127">
        <v>20</v>
      </c>
      <c r="M3127">
        <v>120</v>
      </c>
      <c r="N3127">
        <f t="shared" si="388"/>
        <v>2400</v>
      </c>
      <c r="O3127">
        <f t="shared" si="389"/>
        <v>240</v>
      </c>
      <c r="P3127" t="str">
        <f t="shared" si="390"/>
        <v>Large Order</v>
      </c>
      <c r="Q3127" t="str">
        <f t="shared" si="391"/>
        <v>Weekend</v>
      </c>
    </row>
    <row r="3128" spans="1:17" x14ac:dyDescent="0.35">
      <c r="A3128" t="s">
        <v>3278</v>
      </c>
      <c r="B3128" s="7">
        <v>45328</v>
      </c>
      <c r="C3128" s="13">
        <f t="shared" si="385"/>
        <v>2024</v>
      </c>
      <c r="D3128" s="7" t="str">
        <f t="shared" si="386"/>
        <v>Feb</v>
      </c>
      <c r="E3128" s="7" t="str">
        <f t="shared" si="387"/>
        <v>Tue</v>
      </c>
      <c r="F3128" t="s">
        <v>20</v>
      </c>
      <c r="G3128" t="s">
        <v>35</v>
      </c>
      <c r="H3128" t="s">
        <v>22</v>
      </c>
      <c r="I3128" s="2" t="str">
        <f t="shared" si="384"/>
        <v>East</v>
      </c>
      <c r="J3128" t="s">
        <v>306</v>
      </c>
      <c r="K3128" t="s">
        <v>13</v>
      </c>
      <c r="L3128">
        <v>8</v>
      </c>
      <c r="M3128">
        <v>120</v>
      </c>
      <c r="N3128">
        <f t="shared" si="388"/>
        <v>960</v>
      </c>
      <c r="O3128">
        <f t="shared" si="389"/>
        <v>96</v>
      </c>
      <c r="P3128" t="str">
        <f t="shared" si="390"/>
        <v>Large Order</v>
      </c>
      <c r="Q3128" t="str">
        <f t="shared" si="391"/>
        <v>Weekday</v>
      </c>
    </row>
    <row r="3129" spans="1:17" x14ac:dyDescent="0.35">
      <c r="A3129" t="s">
        <v>3279</v>
      </c>
      <c r="B3129" s="7">
        <v>45383</v>
      </c>
      <c r="C3129" s="13">
        <f t="shared" si="385"/>
        <v>2024</v>
      </c>
      <c r="D3129" s="7" t="str">
        <f t="shared" si="386"/>
        <v>Apr</v>
      </c>
      <c r="E3129" s="7" t="str">
        <f t="shared" si="387"/>
        <v>Mon</v>
      </c>
      <c r="F3129" t="s">
        <v>337</v>
      </c>
      <c r="G3129" t="s">
        <v>197</v>
      </c>
      <c r="H3129" t="s">
        <v>17</v>
      </c>
      <c r="I3129" s="2" t="str">
        <f t="shared" si="384"/>
        <v>North</v>
      </c>
      <c r="J3129" t="s">
        <v>42</v>
      </c>
      <c r="K3129" t="s">
        <v>32</v>
      </c>
      <c r="L3129">
        <v>17</v>
      </c>
      <c r="M3129">
        <v>120</v>
      </c>
      <c r="N3129">
        <f t="shared" si="388"/>
        <v>2040</v>
      </c>
      <c r="O3129">
        <f t="shared" si="389"/>
        <v>204</v>
      </c>
      <c r="P3129" t="str">
        <f t="shared" si="390"/>
        <v>Large Order</v>
      </c>
      <c r="Q3129" t="str">
        <f t="shared" si="391"/>
        <v>Weekday</v>
      </c>
    </row>
    <row r="3130" spans="1:17" x14ac:dyDescent="0.35">
      <c r="A3130" t="s">
        <v>3280</v>
      </c>
      <c r="B3130" s="7">
        <v>45604</v>
      </c>
      <c r="C3130" s="13">
        <f t="shared" si="385"/>
        <v>2024</v>
      </c>
      <c r="D3130" s="7" t="str">
        <f t="shared" si="386"/>
        <v>Nov</v>
      </c>
      <c r="E3130" s="7" t="str">
        <f t="shared" si="387"/>
        <v>Fri</v>
      </c>
      <c r="F3130" t="s">
        <v>327</v>
      </c>
      <c r="G3130" t="s">
        <v>119</v>
      </c>
      <c r="H3130" t="s">
        <v>17</v>
      </c>
      <c r="I3130" s="2" t="str">
        <f t="shared" si="384"/>
        <v>North</v>
      </c>
      <c r="J3130" t="s">
        <v>12</v>
      </c>
      <c r="K3130" t="s">
        <v>28</v>
      </c>
      <c r="L3130">
        <v>5</v>
      </c>
      <c r="M3130">
        <v>120</v>
      </c>
      <c r="N3130">
        <f t="shared" si="388"/>
        <v>600</v>
      </c>
      <c r="O3130">
        <f t="shared" si="389"/>
        <v>60</v>
      </c>
      <c r="P3130" t="str">
        <f t="shared" si="390"/>
        <v>Large Order</v>
      </c>
      <c r="Q3130" t="str">
        <f t="shared" si="391"/>
        <v>Weekday</v>
      </c>
    </row>
    <row r="3131" spans="1:17" x14ac:dyDescent="0.35">
      <c r="A3131" t="s">
        <v>3281</v>
      </c>
      <c r="B3131" s="7">
        <v>45314</v>
      </c>
      <c r="C3131" s="13">
        <f t="shared" si="385"/>
        <v>2024</v>
      </c>
      <c r="D3131" s="7" t="str">
        <f t="shared" si="386"/>
        <v>Jan</v>
      </c>
      <c r="E3131" s="7" t="str">
        <f t="shared" si="387"/>
        <v>Tue</v>
      </c>
      <c r="F3131" t="s">
        <v>133</v>
      </c>
      <c r="G3131" t="s">
        <v>74</v>
      </c>
      <c r="H3131" t="s">
        <v>17</v>
      </c>
      <c r="I3131" s="2" t="str">
        <f t="shared" si="384"/>
        <v>West</v>
      </c>
      <c r="J3131" t="s">
        <v>12</v>
      </c>
      <c r="K3131" t="s">
        <v>32</v>
      </c>
      <c r="L3131">
        <v>13</v>
      </c>
      <c r="M3131">
        <v>120</v>
      </c>
      <c r="N3131">
        <f t="shared" si="388"/>
        <v>1560</v>
      </c>
      <c r="O3131">
        <f t="shared" si="389"/>
        <v>156</v>
      </c>
      <c r="P3131" t="str">
        <f t="shared" si="390"/>
        <v>Large Order</v>
      </c>
      <c r="Q3131" t="str">
        <f t="shared" si="391"/>
        <v>Weekday</v>
      </c>
    </row>
    <row r="3132" spans="1:17" x14ac:dyDescent="0.35">
      <c r="A3132" t="s">
        <v>3282</v>
      </c>
      <c r="B3132" s="7">
        <v>45509</v>
      </c>
      <c r="C3132" s="13">
        <f t="shared" si="385"/>
        <v>2024</v>
      </c>
      <c r="D3132" s="7" t="str">
        <f t="shared" si="386"/>
        <v>Aug</v>
      </c>
      <c r="E3132" s="7" t="str">
        <f t="shared" si="387"/>
        <v>Mon</v>
      </c>
      <c r="F3132" t="s">
        <v>125</v>
      </c>
      <c r="G3132" t="s">
        <v>74</v>
      </c>
      <c r="H3132" t="s">
        <v>17</v>
      </c>
      <c r="I3132" s="2" t="str">
        <f t="shared" si="384"/>
        <v>Central</v>
      </c>
      <c r="J3132" t="s">
        <v>27</v>
      </c>
      <c r="K3132" t="s">
        <v>23</v>
      </c>
      <c r="L3132">
        <v>2</v>
      </c>
      <c r="M3132">
        <v>120</v>
      </c>
      <c r="N3132">
        <f t="shared" si="388"/>
        <v>240</v>
      </c>
      <c r="O3132">
        <f t="shared" si="389"/>
        <v>24</v>
      </c>
      <c r="P3132" t="str">
        <f t="shared" si="390"/>
        <v>Standard Order</v>
      </c>
      <c r="Q3132" t="str">
        <f t="shared" si="391"/>
        <v>Weekday</v>
      </c>
    </row>
    <row r="3133" spans="1:17" x14ac:dyDescent="0.35">
      <c r="A3133" t="s">
        <v>3283</v>
      </c>
      <c r="B3133" s="7">
        <v>45507</v>
      </c>
      <c r="C3133" s="13">
        <f t="shared" si="385"/>
        <v>2024</v>
      </c>
      <c r="D3133" s="7" t="str">
        <f t="shared" si="386"/>
        <v>Aug</v>
      </c>
      <c r="E3133" s="7" t="str">
        <f t="shared" si="387"/>
        <v>Sat</v>
      </c>
      <c r="F3133" t="s">
        <v>235</v>
      </c>
      <c r="G3133" t="s">
        <v>45</v>
      </c>
      <c r="H3133" t="s">
        <v>17</v>
      </c>
      <c r="I3133" s="2" t="str">
        <f t="shared" si="384"/>
        <v>West</v>
      </c>
      <c r="J3133" t="s">
        <v>306</v>
      </c>
      <c r="K3133" t="s">
        <v>13</v>
      </c>
      <c r="L3133">
        <v>15</v>
      </c>
      <c r="M3133">
        <v>120</v>
      </c>
      <c r="N3133">
        <f t="shared" si="388"/>
        <v>1800</v>
      </c>
      <c r="O3133">
        <f t="shared" si="389"/>
        <v>180</v>
      </c>
      <c r="P3133" t="str">
        <f t="shared" si="390"/>
        <v>Large Order</v>
      </c>
      <c r="Q3133" t="str">
        <f t="shared" si="391"/>
        <v>Weekend</v>
      </c>
    </row>
    <row r="3134" spans="1:17" x14ac:dyDescent="0.35">
      <c r="A3134" t="s">
        <v>3284</v>
      </c>
      <c r="B3134" s="7">
        <v>45469</v>
      </c>
      <c r="C3134" s="13">
        <f t="shared" si="385"/>
        <v>2024</v>
      </c>
      <c r="D3134" s="7" t="str">
        <f t="shared" si="386"/>
        <v>Jun</v>
      </c>
      <c r="E3134" s="7" t="str">
        <f t="shared" si="387"/>
        <v>Wed</v>
      </c>
      <c r="F3134" t="s">
        <v>455</v>
      </c>
      <c r="G3134" t="s">
        <v>84</v>
      </c>
      <c r="H3134" t="s">
        <v>11</v>
      </c>
      <c r="I3134" s="2" t="str">
        <f t="shared" si="384"/>
        <v>West</v>
      </c>
      <c r="J3134" t="s">
        <v>27</v>
      </c>
      <c r="K3134" t="s">
        <v>13</v>
      </c>
      <c r="L3134">
        <v>6</v>
      </c>
      <c r="M3134">
        <v>120</v>
      </c>
      <c r="N3134">
        <f t="shared" si="388"/>
        <v>720</v>
      </c>
      <c r="O3134">
        <f t="shared" si="389"/>
        <v>72</v>
      </c>
      <c r="P3134" t="str">
        <f t="shared" si="390"/>
        <v>Large Order</v>
      </c>
      <c r="Q3134" t="str">
        <f t="shared" si="391"/>
        <v>Weekday</v>
      </c>
    </row>
    <row r="3135" spans="1:17" x14ac:dyDescent="0.35">
      <c r="A3135" t="s">
        <v>3285</v>
      </c>
      <c r="B3135" s="7">
        <v>45586</v>
      </c>
      <c r="C3135" s="13">
        <f t="shared" si="385"/>
        <v>2024</v>
      </c>
      <c r="D3135" s="7" t="str">
        <f t="shared" si="386"/>
        <v>Oct</v>
      </c>
      <c r="E3135" s="7" t="str">
        <f t="shared" si="387"/>
        <v>Mon</v>
      </c>
      <c r="F3135" t="s">
        <v>358</v>
      </c>
      <c r="G3135" t="s">
        <v>31</v>
      </c>
      <c r="H3135" t="s">
        <v>22</v>
      </c>
      <c r="I3135" s="2" t="str">
        <f t="shared" si="384"/>
        <v>East</v>
      </c>
      <c r="J3135" t="s">
        <v>27</v>
      </c>
      <c r="K3135" t="s">
        <v>13</v>
      </c>
      <c r="L3135">
        <v>16</v>
      </c>
      <c r="M3135">
        <v>120</v>
      </c>
      <c r="N3135">
        <f t="shared" si="388"/>
        <v>1920</v>
      </c>
      <c r="O3135">
        <f t="shared" si="389"/>
        <v>192</v>
      </c>
      <c r="P3135" t="str">
        <f t="shared" si="390"/>
        <v>Large Order</v>
      </c>
      <c r="Q3135" t="str">
        <f t="shared" si="391"/>
        <v>Weekday</v>
      </c>
    </row>
    <row r="3136" spans="1:17" x14ac:dyDescent="0.35">
      <c r="A3136" t="s">
        <v>3286</v>
      </c>
      <c r="B3136" s="7">
        <v>45635</v>
      </c>
      <c r="C3136" s="13">
        <f t="shared" si="385"/>
        <v>2024</v>
      </c>
      <c r="D3136" s="7" t="str">
        <f t="shared" si="386"/>
        <v>Dec</v>
      </c>
      <c r="E3136" s="7" t="str">
        <f t="shared" si="387"/>
        <v>Mon</v>
      </c>
      <c r="F3136" t="s">
        <v>341</v>
      </c>
      <c r="G3136" t="s">
        <v>87</v>
      </c>
      <c r="H3136" t="s">
        <v>11</v>
      </c>
      <c r="I3136" s="2" t="str">
        <f t="shared" si="384"/>
        <v>East</v>
      </c>
      <c r="J3136" t="s">
        <v>42</v>
      </c>
      <c r="K3136" t="s">
        <v>23</v>
      </c>
      <c r="L3136">
        <v>9</v>
      </c>
      <c r="M3136">
        <v>120</v>
      </c>
      <c r="N3136">
        <f t="shared" si="388"/>
        <v>1080</v>
      </c>
      <c r="O3136">
        <f t="shared" si="389"/>
        <v>108</v>
      </c>
      <c r="P3136" t="str">
        <f t="shared" si="390"/>
        <v>Large Order</v>
      </c>
      <c r="Q3136" t="str">
        <f t="shared" si="391"/>
        <v>Weekday</v>
      </c>
    </row>
    <row r="3137" spans="1:17" x14ac:dyDescent="0.35">
      <c r="A3137" t="s">
        <v>3287</v>
      </c>
      <c r="B3137" s="7">
        <v>45351</v>
      </c>
      <c r="C3137" s="13">
        <f t="shared" si="385"/>
        <v>2024</v>
      </c>
      <c r="D3137" s="7" t="str">
        <f t="shared" si="386"/>
        <v>Feb</v>
      </c>
      <c r="E3137" s="7" t="str">
        <f t="shared" si="387"/>
        <v>Thu</v>
      </c>
      <c r="F3137" t="s">
        <v>493</v>
      </c>
      <c r="G3137" t="s">
        <v>70</v>
      </c>
      <c r="H3137" t="s">
        <v>22</v>
      </c>
      <c r="I3137" s="2" t="str">
        <f t="shared" si="384"/>
        <v>Central</v>
      </c>
      <c r="J3137" t="s">
        <v>42</v>
      </c>
      <c r="K3137" t="s">
        <v>23</v>
      </c>
      <c r="L3137">
        <v>11</v>
      </c>
      <c r="M3137">
        <v>120</v>
      </c>
      <c r="N3137">
        <f t="shared" si="388"/>
        <v>1320</v>
      </c>
      <c r="O3137">
        <f t="shared" si="389"/>
        <v>132</v>
      </c>
      <c r="P3137" t="str">
        <f t="shared" si="390"/>
        <v>Large Order</v>
      </c>
      <c r="Q3137" t="str">
        <f t="shared" si="391"/>
        <v>Weekday</v>
      </c>
    </row>
    <row r="3138" spans="1:17" x14ac:dyDescent="0.35">
      <c r="A3138" t="s">
        <v>3288</v>
      </c>
      <c r="B3138" s="7">
        <v>45478</v>
      </c>
      <c r="C3138" s="13">
        <f t="shared" si="385"/>
        <v>2024</v>
      </c>
      <c r="D3138" s="7" t="str">
        <f t="shared" si="386"/>
        <v>Jul</v>
      </c>
      <c r="E3138" s="7" t="str">
        <f t="shared" si="387"/>
        <v>Fri</v>
      </c>
      <c r="F3138" t="s">
        <v>40</v>
      </c>
      <c r="G3138" t="s">
        <v>45</v>
      </c>
      <c r="H3138" t="s">
        <v>17</v>
      </c>
      <c r="I3138" s="2" t="str">
        <f t="shared" si="384"/>
        <v>South</v>
      </c>
      <c r="J3138" t="s">
        <v>306</v>
      </c>
      <c r="K3138" t="s">
        <v>23</v>
      </c>
      <c r="L3138">
        <v>3</v>
      </c>
      <c r="M3138">
        <v>120</v>
      </c>
      <c r="N3138">
        <f t="shared" si="388"/>
        <v>360</v>
      </c>
      <c r="O3138">
        <f t="shared" si="389"/>
        <v>36</v>
      </c>
      <c r="P3138" t="str">
        <f t="shared" si="390"/>
        <v>Standard Order</v>
      </c>
      <c r="Q3138" t="str">
        <f t="shared" si="391"/>
        <v>Weekday</v>
      </c>
    </row>
    <row r="3139" spans="1:17" x14ac:dyDescent="0.35">
      <c r="A3139" t="s">
        <v>3289</v>
      </c>
      <c r="B3139" s="7">
        <v>45464</v>
      </c>
      <c r="C3139" s="13">
        <f t="shared" si="385"/>
        <v>2024</v>
      </c>
      <c r="D3139" s="7" t="str">
        <f t="shared" si="386"/>
        <v>Jun</v>
      </c>
      <c r="E3139" s="7" t="str">
        <f t="shared" si="387"/>
        <v>Fri</v>
      </c>
      <c r="F3139" t="s">
        <v>369</v>
      </c>
      <c r="G3139" t="s">
        <v>59</v>
      </c>
      <c r="H3139" t="s">
        <v>17</v>
      </c>
      <c r="I3139" s="2" t="str">
        <f t="shared" ref="I3139:I3202" si="392">TRIM(J3140)</f>
        <v>East</v>
      </c>
      <c r="J3139" t="s">
        <v>56</v>
      </c>
      <c r="K3139" t="s">
        <v>36</v>
      </c>
      <c r="L3139">
        <v>20</v>
      </c>
      <c r="M3139">
        <v>120</v>
      </c>
      <c r="N3139">
        <f t="shared" si="388"/>
        <v>2400</v>
      </c>
      <c r="O3139">
        <f t="shared" si="389"/>
        <v>240</v>
      </c>
      <c r="P3139" t="str">
        <f t="shared" si="390"/>
        <v>Large Order</v>
      </c>
      <c r="Q3139" t="str">
        <f t="shared" si="391"/>
        <v>Weekday</v>
      </c>
    </row>
    <row r="3140" spans="1:17" x14ac:dyDescent="0.35">
      <c r="A3140" t="s">
        <v>3290</v>
      </c>
      <c r="B3140" s="7">
        <v>45524</v>
      </c>
      <c r="C3140" s="13">
        <f t="shared" ref="C3140:C3203" si="393">YEAR(B3140)</f>
        <v>2024</v>
      </c>
      <c r="D3140" s="7" t="str">
        <f t="shared" ref="D3140:D3203" si="394">TEXT(B3140,"mmm")</f>
        <v>Aug</v>
      </c>
      <c r="E3140" s="7" t="str">
        <f t="shared" ref="E3140:E3203" si="395">TEXT(B3140,"ddd")</f>
        <v>Tue</v>
      </c>
      <c r="F3140" t="s">
        <v>348</v>
      </c>
      <c r="G3140" t="s">
        <v>79</v>
      </c>
      <c r="H3140" t="s">
        <v>17</v>
      </c>
      <c r="I3140" s="2" t="str">
        <f t="shared" si="392"/>
        <v>East</v>
      </c>
      <c r="J3140" t="s">
        <v>42</v>
      </c>
      <c r="K3140" t="s">
        <v>13</v>
      </c>
      <c r="L3140">
        <v>4</v>
      </c>
      <c r="M3140">
        <v>120</v>
      </c>
      <c r="N3140">
        <f t="shared" ref="N3140:N3203" si="396">M3140*L3140</f>
        <v>480</v>
      </c>
      <c r="O3140">
        <f t="shared" ref="O3140:O3203" si="397">N3140*0.1</f>
        <v>48</v>
      </c>
      <c r="P3140" t="str">
        <f t="shared" ref="P3140:P3203" si="398">IF(N3140&gt;500,"Large Order","Standard Order")</f>
        <v>Standard Order</v>
      </c>
      <c r="Q3140" t="str">
        <f t="shared" ref="Q3140:Q3203" si="399">IF(OR(TRIM(E3140)="Sat",TRIM(E3140)="Sun"),"Weekend","Weekday")</f>
        <v>Weekday</v>
      </c>
    </row>
    <row r="3141" spans="1:17" x14ac:dyDescent="0.35">
      <c r="A3141" t="s">
        <v>3291</v>
      </c>
      <c r="B3141" s="7">
        <v>45527</v>
      </c>
      <c r="C3141" s="13">
        <f t="shared" si="393"/>
        <v>2024</v>
      </c>
      <c r="D3141" s="7" t="str">
        <f t="shared" si="394"/>
        <v>Aug</v>
      </c>
      <c r="E3141" s="7" t="str">
        <f t="shared" si="395"/>
        <v>Fri</v>
      </c>
      <c r="F3141" t="s">
        <v>83</v>
      </c>
      <c r="G3141" t="s">
        <v>79</v>
      </c>
      <c r="H3141" t="s">
        <v>22</v>
      </c>
      <c r="I3141" s="2" t="str">
        <f t="shared" si="392"/>
        <v>East</v>
      </c>
      <c r="J3141" t="s">
        <v>42</v>
      </c>
      <c r="K3141" t="s">
        <v>32</v>
      </c>
      <c r="L3141">
        <v>14</v>
      </c>
      <c r="M3141">
        <v>120</v>
      </c>
      <c r="N3141">
        <f t="shared" si="396"/>
        <v>1680</v>
      </c>
      <c r="O3141">
        <f t="shared" si="397"/>
        <v>168</v>
      </c>
      <c r="P3141" t="str">
        <f t="shared" si="398"/>
        <v>Large Order</v>
      </c>
      <c r="Q3141" t="str">
        <f t="shared" si="399"/>
        <v>Weekday</v>
      </c>
    </row>
    <row r="3142" spans="1:17" x14ac:dyDescent="0.35">
      <c r="A3142" t="s">
        <v>3292</v>
      </c>
      <c r="B3142" s="7">
        <v>45443</v>
      </c>
      <c r="C3142" s="13">
        <f t="shared" si="393"/>
        <v>2024</v>
      </c>
      <c r="D3142" s="7" t="str">
        <f t="shared" si="394"/>
        <v>May</v>
      </c>
      <c r="E3142" s="7" t="str">
        <f t="shared" si="395"/>
        <v>Fri</v>
      </c>
      <c r="F3142" t="s">
        <v>337</v>
      </c>
      <c r="G3142" t="s">
        <v>96</v>
      </c>
      <c r="H3142" t="s">
        <v>22</v>
      </c>
      <c r="I3142" s="2" t="str">
        <f t="shared" si="392"/>
        <v>North</v>
      </c>
      <c r="J3142" t="s">
        <v>42</v>
      </c>
      <c r="K3142" t="s">
        <v>28</v>
      </c>
      <c r="L3142">
        <v>10</v>
      </c>
      <c r="M3142">
        <v>120</v>
      </c>
      <c r="N3142">
        <f t="shared" si="396"/>
        <v>1200</v>
      </c>
      <c r="O3142">
        <f t="shared" si="397"/>
        <v>120</v>
      </c>
      <c r="P3142" t="str">
        <f t="shared" si="398"/>
        <v>Large Order</v>
      </c>
      <c r="Q3142" t="str">
        <f t="shared" si="399"/>
        <v>Weekday</v>
      </c>
    </row>
    <row r="3143" spans="1:17" x14ac:dyDescent="0.35">
      <c r="A3143" t="s">
        <v>3293</v>
      </c>
      <c r="B3143" s="7">
        <v>45300</v>
      </c>
      <c r="C3143" s="13">
        <f t="shared" si="393"/>
        <v>2024</v>
      </c>
      <c r="D3143" s="7" t="str">
        <f t="shared" si="394"/>
        <v>Jan</v>
      </c>
      <c r="E3143" s="7" t="str">
        <f t="shared" si="395"/>
        <v>Tue</v>
      </c>
      <c r="F3143" t="s">
        <v>430</v>
      </c>
      <c r="G3143" t="s">
        <v>72</v>
      </c>
      <c r="H3143" t="s">
        <v>17</v>
      </c>
      <c r="I3143" s="2" t="str">
        <f t="shared" si="392"/>
        <v>South</v>
      </c>
      <c r="J3143" t="s">
        <v>12</v>
      </c>
      <c r="K3143" t="s">
        <v>36</v>
      </c>
      <c r="L3143">
        <v>4</v>
      </c>
      <c r="M3143">
        <v>120</v>
      </c>
      <c r="N3143">
        <f t="shared" si="396"/>
        <v>480</v>
      </c>
      <c r="O3143">
        <f t="shared" si="397"/>
        <v>48</v>
      </c>
      <c r="P3143" t="str">
        <f t="shared" si="398"/>
        <v>Standard Order</v>
      </c>
      <c r="Q3143" t="str">
        <f t="shared" si="399"/>
        <v>Weekday</v>
      </c>
    </row>
    <row r="3144" spans="1:17" x14ac:dyDescent="0.35">
      <c r="A3144" t="s">
        <v>3294</v>
      </c>
      <c r="B3144" s="7">
        <v>45310</v>
      </c>
      <c r="C3144" s="13">
        <f t="shared" si="393"/>
        <v>2024</v>
      </c>
      <c r="D3144" s="7" t="str">
        <f t="shared" si="394"/>
        <v>Jan</v>
      </c>
      <c r="E3144" s="7" t="str">
        <f t="shared" si="395"/>
        <v>Fri</v>
      </c>
      <c r="F3144" t="s">
        <v>312</v>
      </c>
      <c r="G3144" t="s">
        <v>84</v>
      </c>
      <c r="H3144" t="s">
        <v>17</v>
      </c>
      <c r="I3144" s="2" t="str">
        <f t="shared" si="392"/>
        <v>West</v>
      </c>
      <c r="J3144" t="s">
        <v>56</v>
      </c>
      <c r="K3144" t="s">
        <v>28</v>
      </c>
      <c r="L3144">
        <v>3</v>
      </c>
      <c r="M3144">
        <v>120</v>
      </c>
      <c r="N3144">
        <f t="shared" si="396"/>
        <v>360</v>
      </c>
      <c r="O3144">
        <f t="shared" si="397"/>
        <v>36</v>
      </c>
      <c r="P3144" t="str">
        <f t="shared" si="398"/>
        <v>Standard Order</v>
      </c>
      <c r="Q3144" t="str">
        <f t="shared" si="399"/>
        <v>Weekday</v>
      </c>
    </row>
    <row r="3145" spans="1:17" x14ac:dyDescent="0.35">
      <c r="A3145" t="s">
        <v>3295</v>
      </c>
      <c r="B3145" s="7">
        <v>45356</v>
      </c>
      <c r="C3145" s="13">
        <f t="shared" si="393"/>
        <v>2024</v>
      </c>
      <c r="D3145" s="7" t="str">
        <f t="shared" si="394"/>
        <v>Mar</v>
      </c>
      <c r="E3145" s="7" t="str">
        <f t="shared" si="395"/>
        <v>Tue</v>
      </c>
      <c r="F3145" t="s">
        <v>388</v>
      </c>
      <c r="G3145" t="s">
        <v>16</v>
      </c>
      <c r="H3145" t="s">
        <v>22</v>
      </c>
      <c r="I3145" s="2" t="str">
        <f t="shared" si="392"/>
        <v>Central</v>
      </c>
      <c r="J3145" t="s">
        <v>27</v>
      </c>
      <c r="K3145" t="s">
        <v>23</v>
      </c>
      <c r="L3145">
        <v>9</v>
      </c>
      <c r="M3145">
        <v>120</v>
      </c>
      <c r="N3145">
        <f t="shared" si="396"/>
        <v>1080</v>
      </c>
      <c r="O3145">
        <f t="shared" si="397"/>
        <v>108</v>
      </c>
      <c r="P3145" t="str">
        <f t="shared" si="398"/>
        <v>Large Order</v>
      </c>
      <c r="Q3145" t="str">
        <f t="shared" si="399"/>
        <v>Weekday</v>
      </c>
    </row>
    <row r="3146" spans="1:17" x14ac:dyDescent="0.35">
      <c r="A3146" t="s">
        <v>3296</v>
      </c>
      <c r="B3146" s="7">
        <v>45526</v>
      </c>
      <c r="C3146" s="13">
        <f t="shared" si="393"/>
        <v>2024</v>
      </c>
      <c r="D3146" s="7" t="str">
        <f t="shared" si="394"/>
        <v>Aug</v>
      </c>
      <c r="E3146" s="7" t="str">
        <f t="shared" si="395"/>
        <v>Thu</v>
      </c>
      <c r="F3146" t="s">
        <v>465</v>
      </c>
      <c r="G3146" t="s">
        <v>109</v>
      </c>
      <c r="H3146" t="s">
        <v>11</v>
      </c>
      <c r="I3146" s="2" t="str">
        <f t="shared" si="392"/>
        <v>Central</v>
      </c>
      <c r="J3146" t="s">
        <v>306</v>
      </c>
      <c r="K3146" t="s">
        <v>36</v>
      </c>
      <c r="L3146">
        <v>15</v>
      </c>
      <c r="M3146">
        <v>120</v>
      </c>
      <c r="N3146">
        <f t="shared" si="396"/>
        <v>1800</v>
      </c>
      <c r="O3146">
        <f t="shared" si="397"/>
        <v>180</v>
      </c>
      <c r="P3146" t="str">
        <f t="shared" si="398"/>
        <v>Large Order</v>
      </c>
      <c r="Q3146" t="str">
        <f t="shared" si="399"/>
        <v>Weekday</v>
      </c>
    </row>
    <row r="3147" spans="1:17" x14ac:dyDescent="0.35">
      <c r="A3147" t="s">
        <v>3297</v>
      </c>
      <c r="B3147" s="7">
        <v>45459</v>
      </c>
      <c r="C3147" s="13">
        <f t="shared" si="393"/>
        <v>2024</v>
      </c>
      <c r="D3147" s="7" t="str">
        <f t="shared" si="394"/>
        <v>Jun</v>
      </c>
      <c r="E3147" s="7" t="str">
        <f t="shared" si="395"/>
        <v>Sun</v>
      </c>
      <c r="F3147" t="s">
        <v>200</v>
      </c>
      <c r="G3147" t="s">
        <v>79</v>
      </c>
      <c r="H3147" t="s">
        <v>11</v>
      </c>
      <c r="I3147" s="2" t="str">
        <f t="shared" si="392"/>
        <v>East</v>
      </c>
      <c r="J3147" t="s">
        <v>306</v>
      </c>
      <c r="K3147" t="s">
        <v>13</v>
      </c>
      <c r="L3147">
        <v>13</v>
      </c>
      <c r="M3147">
        <v>120</v>
      </c>
      <c r="N3147">
        <f t="shared" si="396"/>
        <v>1560</v>
      </c>
      <c r="O3147">
        <f t="shared" si="397"/>
        <v>156</v>
      </c>
      <c r="P3147" t="str">
        <f t="shared" si="398"/>
        <v>Large Order</v>
      </c>
      <c r="Q3147" t="str">
        <f t="shared" si="399"/>
        <v>Weekend</v>
      </c>
    </row>
    <row r="3148" spans="1:17" x14ac:dyDescent="0.35">
      <c r="A3148" t="s">
        <v>3298</v>
      </c>
      <c r="B3148" s="7">
        <v>45332</v>
      </c>
      <c r="C3148" s="13">
        <f t="shared" si="393"/>
        <v>2024</v>
      </c>
      <c r="D3148" s="7" t="str">
        <f t="shared" si="394"/>
        <v>Feb</v>
      </c>
      <c r="E3148" s="7" t="str">
        <f t="shared" si="395"/>
        <v>Sat</v>
      </c>
      <c r="F3148" t="s">
        <v>47</v>
      </c>
      <c r="G3148" t="s">
        <v>21</v>
      </c>
      <c r="H3148" t="s">
        <v>22</v>
      </c>
      <c r="I3148" s="2" t="str">
        <f t="shared" si="392"/>
        <v>North</v>
      </c>
      <c r="J3148" t="s">
        <v>42</v>
      </c>
      <c r="K3148" t="s">
        <v>23</v>
      </c>
      <c r="L3148">
        <v>13</v>
      </c>
      <c r="M3148">
        <v>120</v>
      </c>
      <c r="N3148">
        <f t="shared" si="396"/>
        <v>1560</v>
      </c>
      <c r="O3148">
        <f t="shared" si="397"/>
        <v>156</v>
      </c>
      <c r="P3148" t="str">
        <f t="shared" si="398"/>
        <v>Large Order</v>
      </c>
      <c r="Q3148" t="str">
        <f t="shared" si="399"/>
        <v>Weekend</v>
      </c>
    </row>
    <row r="3149" spans="1:17" x14ac:dyDescent="0.35">
      <c r="A3149" t="s">
        <v>3299</v>
      </c>
      <c r="B3149" s="7">
        <v>45423</v>
      </c>
      <c r="C3149" s="13">
        <f t="shared" si="393"/>
        <v>2024</v>
      </c>
      <c r="D3149" s="7" t="str">
        <f t="shared" si="394"/>
        <v>May</v>
      </c>
      <c r="E3149" s="7" t="str">
        <f t="shared" si="395"/>
        <v>Sat</v>
      </c>
      <c r="F3149" t="s">
        <v>329</v>
      </c>
      <c r="G3149" t="s">
        <v>21</v>
      </c>
      <c r="H3149" t="s">
        <v>22</v>
      </c>
      <c r="I3149" s="2" t="str">
        <f t="shared" si="392"/>
        <v>Central</v>
      </c>
      <c r="J3149" t="s">
        <v>12</v>
      </c>
      <c r="K3149" t="s">
        <v>23</v>
      </c>
      <c r="L3149">
        <v>4</v>
      </c>
      <c r="M3149">
        <v>120</v>
      </c>
      <c r="N3149">
        <f t="shared" si="396"/>
        <v>480</v>
      </c>
      <c r="O3149">
        <f t="shared" si="397"/>
        <v>48</v>
      </c>
      <c r="P3149" t="str">
        <f t="shared" si="398"/>
        <v>Standard Order</v>
      </c>
      <c r="Q3149" t="str">
        <f t="shared" si="399"/>
        <v>Weekend</v>
      </c>
    </row>
    <row r="3150" spans="1:17" x14ac:dyDescent="0.35">
      <c r="A3150" t="s">
        <v>3300</v>
      </c>
      <c r="B3150" s="7">
        <v>45584</v>
      </c>
      <c r="C3150" s="13">
        <f t="shared" si="393"/>
        <v>2024</v>
      </c>
      <c r="D3150" s="7" t="str">
        <f t="shared" si="394"/>
        <v>Oct</v>
      </c>
      <c r="E3150" s="7" t="str">
        <f t="shared" si="395"/>
        <v>Sat</v>
      </c>
      <c r="F3150" t="s">
        <v>86</v>
      </c>
      <c r="G3150" t="s">
        <v>74</v>
      </c>
      <c r="H3150" t="s">
        <v>22</v>
      </c>
      <c r="I3150" s="2" t="str">
        <f t="shared" si="392"/>
        <v>South</v>
      </c>
      <c r="J3150" t="s">
        <v>306</v>
      </c>
      <c r="K3150" t="s">
        <v>36</v>
      </c>
      <c r="L3150">
        <v>8</v>
      </c>
      <c r="M3150">
        <v>120</v>
      </c>
      <c r="N3150">
        <f t="shared" si="396"/>
        <v>960</v>
      </c>
      <c r="O3150">
        <f t="shared" si="397"/>
        <v>96</v>
      </c>
      <c r="P3150" t="str">
        <f t="shared" si="398"/>
        <v>Large Order</v>
      </c>
      <c r="Q3150" t="str">
        <f t="shared" si="399"/>
        <v>Weekend</v>
      </c>
    </row>
    <row r="3151" spans="1:17" x14ac:dyDescent="0.35">
      <c r="A3151" t="s">
        <v>3301</v>
      </c>
      <c r="B3151" s="7">
        <v>45317</v>
      </c>
      <c r="C3151" s="13">
        <f t="shared" si="393"/>
        <v>2024</v>
      </c>
      <c r="D3151" s="7" t="str">
        <f t="shared" si="394"/>
        <v>Jan</v>
      </c>
      <c r="E3151" s="7" t="str">
        <f t="shared" si="395"/>
        <v>Fri</v>
      </c>
      <c r="F3151" t="s">
        <v>200</v>
      </c>
      <c r="G3151" t="s">
        <v>59</v>
      </c>
      <c r="H3151" t="s">
        <v>17</v>
      </c>
      <c r="I3151" s="2" t="str">
        <f t="shared" si="392"/>
        <v>North</v>
      </c>
      <c r="J3151" t="s">
        <v>56</v>
      </c>
      <c r="K3151" t="s">
        <v>23</v>
      </c>
      <c r="L3151">
        <v>9</v>
      </c>
      <c r="M3151">
        <v>120</v>
      </c>
      <c r="N3151">
        <f t="shared" si="396"/>
        <v>1080</v>
      </c>
      <c r="O3151">
        <f t="shared" si="397"/>
        <v>108</v>
      </c>
      <c r="P3151" t="str">
        <f t="shared" si="398"/>
        <v>Large Order</v>
      </c>
      <c r="Q3151" t="str">
        <f t="shared" si="399"/>
        <v>Weekday</v>
      </c>
    </row>
    <row r="3152" spans="1:17" x14ac:dyDescent="0.35">
      <c r="A3152" t="s">
        <v>3302</v>
      </c>
      <c r="B3152" s="7">
        <v>45387</v>
      </c>
      <c r="C3152" s="13">
        <f t="shared" si="393"/>
        <v>2024</v>
      </c>
      <c r="D3152" s="7" t="str">
        <f t="shared" si="394"/>
        <v>Apr</v>
      </c>
      <c r="E3152" s="7" t="str">
        <f t="shared" si="395"/>
        <v>Fri</v>
      </c>
      <c r="F3152" t="s">
        <v>89</v>
      </c>
      <c r="G3152" t="s">
        <v>160</v>
      </c>
      <c r="H3152" t="s">
        <v>22</v>
      </c>
      <c r="I3152" s="2" t="str">
        <f t="shared" si="392"/>
        <v>West</v>
      </c>
      <c r="J3152" t="s">
        <v>12</v>
      </c>
      <c r="K3152" t="s">
        <v>36</v>
      </c>
      <c r="L3152">
        <v>13</v>
      </c>
      <c r="M3152">
        <v>120</v>
      </c>
      <c r="N3152">
        <f t="shared" si="396"/>
        <v>1560</v>
      </c>
      <c r="O3152">
        <f t="shared" si="397"/>
        <v>156</v>
      </c>
      <c r="P3152" t="str">
        <f t="shared" si="398"/>
        <v>Large Order</v>
      </c>
      <c r="Q3152" t="str">
        <f t="shared" si="399"/>
        <v>Weekday</v>
      </c>
    </row>
    <row r="3153" spans="1:17" x14ac:dyDescent="0.35">
      <c r="A3153" t="s">
        <v>3303</v>
      </c>
      <c r="B3153" s="7">
        <v>45639</v>
      </c>
      <c r="C3153" s="13">
        <f t="shared" si="393"/>
        <v>2024</v>
      </c>
      <c r="D3153" s="7" t="str">
        <f t="shared" si="394"/>
        <v>Dec</v>
      </c>
      <c r="E3153" s="7" t="str">
        <f t="shared" si="395"/>
        <v>Fri</v>
      </c>
      <c r="F3153" t="s">
        <v>55</v>
      </c>
      <c r="G3153" t="s">
        <v>26</v>
      </c>
      <c r="H3153" t="s">
        <v>11</v>
      </c>
      <c r="I3153" s="2" t="str">
        <f t="shared" si="392"/>
        <v>West</v>
      </c>
      <c r="J3153" t="s">
        <v>27</v>
      </c>
      <c r="K3153" t="s">
        <v>28</v>
      </c>
      <c r="L3153">
        <v>1</v>
      </c>
      <c r="M3153">
        <v>120</v>
      </c>
      <c r="N3153">
        <f t="shared" si="396"/>
        <v>120</v>
      </c>
      <c r="O3153">
        <f t="shared" si="397"/>
        <v>12</v>
      </c>
      <c r="P3153" t="str">
        <f t="shared" si="398"/>
        <v>Standard Order</v>
      </c>
      <c r="Q3153" t="str">
        <f t="shared" si="399"/>
        <v>Weekday</v>
      </c>
    </row>
    <row r="3154" spans="1:17" x14ac:dyDescent="0.35">
      <c r="A3154" t="s">
        <v>3304</v>
      </c>
      <c r="B3154" s="7">
        <v>45628</v>
      </c>
      <c r="C3154" s="13">
        <f t="shared" si="393"/>
        <v>2024</v>
      </c>
      <c r="D3154" s="7" t="str">
        <f t="shared" si="394"/>
        <v>Dec</v>
      </c>
      <c r="E3154" s="7" t="str">
        <f t="shared" si="395"/>
        <v>Mon</v>
      </c>
      <c r="F3154" t="s">
        <v>34</v>
      </c>
      <c r="G3154" t="s">
        <v>26</v>
      </c>
      <c r="H3154" t="s">
        <v>17</v>
      </c>
      <c r="I3154" s="2" t="str">
        <f t="shared" si="392"/>
        <v>South</v>
      </c>
      <c r="J3154" t="s">
        <v>27</v>
      </c>
      <c r="K3154" t="s">
        <v>36</v>
      </c>
      <c r="L3154">
        <v>11</v>
      </c>
      <c r="M3154">
        <v>120</v>
      </c>
      <c r="N3154">
        <f t="shared" si="396"/>
        <v>1320</v>
      </c>
      <c r="O3154">
        <f t="shared" si="397"/>
        <v>132</v>
      </c>
      <c r="P3154" t="str">
        <f t="shared" si="398"/>
        <v>Large Order</v>
      </c>
      <c r="Q3154" t="str">
        <f t="shared" si="399"/>
        <v>Weekday</v>
      </c>
    </row>
    <row r="3155" spans="1:17" x14ac:dyDescent="0.35">
      <c r="A3155" t="s">
        <v>3305</v>
      </c>
      <c r="B3155" s="7">
        <v>45407</v>
      </c>
      <c r="C3155" s="13">
        <f t="shared" si="393"/>
        <v>2024</v>
      </c>
      <c r="D3155" s="7" t="str">
        <f t="shared" si="394"/>
        <v>Apr</v>
      </c>
      <c r="E3155" s="7" t="str">
        <f t="shared" si="395"/>
        <v>Thu</v>
      </c>
      <c r="F3155" t="s">
        <v>138</v>
      </c>
      <c r="G3155" t="s">
        <v>62</v>
      </c>
      <c r="H3155" t="s">
        <v>17</v>
      </c>
      <c r="I3155" s="2" t="str">
        <f t="shared" si="392"/>
        <v>West</v>
      </c>
      <c r="J3155" t="s">
        <v>56</v>
      </c>
      <c r="K3155" t="s">
        <v>13</v>
      </c>
      <c r="L3155">
        <v>20</v>
      </c>
      <c r="M3155">
        <v>120</v>
      </c>
      <c r="N3155">
        <f t="shared" si="396"/>
        <v>2400</v>
      </c>
      <c r="O3155">
        <f t="shared" si="397"/>
        <v>240</v>
      </c>
      <c r="P3155" t="str">
        <f t="shared" si="398"/>
        <v>Large Order</v>
      </c>
      <c r="Q3155" t="str">
        <f t="shared" si="399"/>
        <v>Weekday</v>
      </c>
    </row>
    <row r="3156" spans="1:17" x14ac:dyDescent="0.35">
      <c r="A3156" t="s">
        <v>3306</v>
      </c>
      <c r="B3156" s="7">
        <v>45656</v>
      </c>
      <c r="C3156" s="13">
        <f t="shared" si="393"/>
        <v>2024</v>
      </c>
      <c r="D3156" s="7" t="str">
        <f t="shared" si="394"/>
        <v>Dec</v>
      </c>
      <c r="E3156" s="7" t="str">
        <f t="shared" si="395"/>
        <v>Mon</v>
      </c>
      <c r="F3156" t="s">
        <v>493</v>
      </c>
      <c r="G3156" t="s">
        <v>70</v>
      </c>
      <c r="H3156" t="s">
        <v>22</v>
      </c>
      <c r="I3156" s="2" t="str">
        <f t="shared" si="392"/>
        <v>East</v>
      </c>
      <c r="J3156" t="s">
        <v>27</v>
      </c>
      <c r="K3156" t="s">
        <v>36</v>
      </c>
      <c r="L3156">
        <v>11</v>
      </c>
      <c r="M3156">
        <v>120</v>
      </c>
      <c r="N3156">
        <f t="shared" si="396"/>
        <v>1320</v>
      </c>
      <c r="O3156">
        <f t="shared" si="397"/>
        <v>132</v>
      </c>
      <c r="P3156" t="str">
        <f t="shared" si="398"/>
        <v>Large Order</v>
      </c>
      <c r="Q3156" t="str">
        <f t="shared" si="399"/>
        <v>Weekday</v>
      </c>
    </row>
    <row r="3157" spans="1:17" x14ac:dyDescent="0.35">
      <c r="A3157" t="s">
        <v>3307</v>
      </c>
      <c r="B3157" s="7">
        <v>45535</v>
      </c>
      <c r="C3157" s="13">
        <f t="shared" si="393"/>
        <v>2024</v>
      </c>
      <c r="D3157" s="7" t="str">
        <f t="shared" si="394"/>
        <v>Aug</v>
      </c>
      <c r="E3157" s="7" t="str">
        <f t="shared" si="395"/>
        <v>Sat</v>
      </c>
      <c r="F3157" t="s">
        <v>642</v>
      </c>
      <c r="G3157" t="s">
        <v>96</v>
      </c>
      <c r="H3157" t="s">
        <v>17</v>
      </c>
      <c r="I3157" s="2" t="str">
        <f t="shared" si="392"/>
        <v>South</v>
      </c>
      <c r="J3157" t="s">
        <v>42</v>
      </c>
      <c r="K3157" t="s">
        <v>32</v>
      </c>
      <c r="L3157">
        <v>12</v>
      </c>
      <c r="M3157">
        <v>120</v>
      </c>
      <c r="N3157">
        <f t="shared" si="396"/>
        <v>1440</v>
      </c>
      <c r="O3157">
        <f t="shared" si="397"/>
        <v>144</v>
      </c>
      <c r="P3157" t="str">
        <f t="shared" si="398"/>
        <v>Large Order</v>
      </c>
      <c r="Q3157" t="str">
        <f t="shared" si="399"/>
        <v>Weekend</v>
      </c>
    </row>
    <row r="3158" spans="1:17" x14ac:dyDescent="0.35">
      <c r="A3158" t="s">
        <v>3308</v>
      </c>
      <c r="B3158" s="7">
        <v>45369</v>
      </c>
      <c r="C3158" s="13">
        <f t="shared" si="393"/>
        <v>2024</v>
      </c>
      <c r="D3158" s="7" t="str">
        <f t="shared" si="394"/>
        <v>Mar</v>
      </c>
      <c r="E3158" s="7" t="str">
        <f t="shared" si="395"/>
        <v>Mon</v>
      </c>
      <c r="F3158" t="s">
        <v>319</v>
      </c>
      <c r="G3158" t="s">
        <v>84</v>
      </c>
      <c r="H3158" t="s">
        <v>17</v>
      </c>
      <c r="I3158" s="2" t="str">
        <f t="shared" si="392"/>
        <v>Central</v>
      </c>
      <c r="J3158" t="s">
        <v>56</v>
      </c>
      <c r="K3158" t="s">
        <v>36</v>
      </c>
      <c r="L3158">
        <v>6</v>
      </c>
      <c r="M3158">
        <v>120</v>
      </c>
      <c r="N3158">
        <f t="shared" si="396"/>
        <v>720</v>
      </c>
      <c r="O3158">
        <f t="shared" si="397"/>
        <v>72</v>
      </c>
      <c r="P3158" t="str">
        <f t="shared" si="398"/>
        <v>Large Order</v>
      </c>
      <c r="Q3158" t="str">
        <f t="shared" si="399"/>
        <v>Weekday</v>
      </c>
    </row>
    <row r="3159" spans="1:17" x14ac:dyDescent="0.35">
      <c r="A3159" t="s">
        <v>3309</v>
      </c>
      <c r="B3159" s="7">
        <v>45422</v>
      </c>
      <c r="C3159" s="13">
        <f t="shared" si="393"/>
        <v>2024</v>
      </c>
      <c r="D3159" s="7" t="str">
        <f t="shared" si="394"/>
        <v>May</v>
      </c>
      <c r="E3159" s="7" t="str">
        <f t="shared" si="395"/>
        <v>Fri</v>
      </c>
      <c r="F3159" t="s">
        <v>341</v>
      </c>
      <c r="G3159" t="s">
        <v>79</v>
      </c>
      <c r="H3159" t="s">
        <v>22</v>
      </c>
      <c r="I3159" s="2" t="str">
        <f t="shared" si="392"/>
        <v>Central</v>
      </c>
      <c r="J3159" t="s">
        <v>306</v>
      </c>
      <c r="K3159" t="s">
        <v>13</v>
      </c>
      <c r="L3159">
        <v>16</v>
      </c>
      <c r="M3159">
        <v>120</v>
      </c>
      <c r="N3159">
        <f t="shared" si="396"/>
        <v>1920</v>
      </c>
      <c r="O3159">
        <f t="shared" si="397"/>
        <v>192</v>
      </c>
      <c r="P3159" t="str">
        <f t="shared" si="398"/>
        <v>Large Order</v>
      </c>
      <c r="Q3159" t="str">
        <f t="shared" si="399"/>
        <v>Weekday</v>
      </c>
    </row>
    <row r="3160" spans="1:17" x14ac:dyDescent="0.35">
      <c r="A3160" t="s">
        <v>3310</v>
      </c>
      <c r="B3160" s="7">
        <v>45468</v>
      </c>
      <c r="C3160" s="13">
        <f t="shared" si="393"/>
        <v>2024</v>
      </c>
      <c r="D3160" s="7" t="str">
        <f t="shared" si="394"/>
        <v>Jun</v>
      </c>
      <c r="E3160" s="7" t="str">
        <f t="shared" si="395"/>
        <v>Tue</v>
      </c>
      <c r="F3160" t="s">
        <v>81</v>
      </c>
      <c r="G3160" t="s">
        <v>65</v>
      </c>
      <c r="H3160" t="s">
        <v>22</v>
      </c>
      <c r="I3160" s="2" t="str">
        <f t="shared" si="392"/>
        <v>North</v>
      </c>
      <c r="J3160" t="s">
        <v>306</v>
      </c>
      <c r="K3160" t="s">
        <v>32</v>
      </c>
      <c r="L3160">
        <v>10</v>
      </c>
      <c r="M3160">
        <v>120</v>
      </c>
      <c r="N3160">
        <f t="shared" si="396"/>
        <v>1200</v>
      </c>
      <c r="O3160">
        <f t="shared" si="397"/>
        <v>120</v>
      </c>
      <c r="P3160" t="str">
        <f t="shared" si="398"/>
        <v>Large Order</v>
      </c>
      <c r="Q3160" t="str">
        <f t="shared" si="399"/>
        <v>Weekday</v>
      </c>
    </row>
    <row r="3161" spans="1:17" x14ac:dyDescent="0.35">
      <c r="A3161" t="s">
        <v>3311</v>
      </c>
      <c r="B3161" s="7">
        <v>45453</v>
      </c>
      <c r="C3161" s="13">
        <f t="shared" si="393"/>
        <v>2024</v>
      </c>
      <c r="D3161" s="7" t="str">
        <f t="shared" si="394"/>
        <v>Jun</v>
      </c>
      <c r="E3161" s="7" t="str">
        <f t="shared" si="395"/>
        <v>Mon</v>
      </c>
      <c r="F3161" t="s">
        <v>430</v>
      </c>
      <c r="G3161" t="s">
        <v>41</v>
      </c>
      <c r="H3161" t="s">
        <v>17</v>
      </c>
      <c r="I3161" s="2" t="str">
        <f t="shared" si="392"/>
        <v>West</v>
      </c>
      <c r="J3161" t="s">
        <v>12</v>
      </c>
      <c r="K3161" t="s">
        <v>28</v>
      </c>
      <c r="L3161">
        <v>20</v>
      </c>
      <c r="M3161">
        <v>120</v>
      </c>
      <c r="N3161">
        <f t="shared" si="396"/>
        <v>2400</v>
      </c>
      <c r="O3161">
        <f t="shared" si="397"/>
        <v>240</v>
      </c>
      <c r="P3161" t="str">
        <f t="shared" si="398"/>
        <v>Large Order</v>
      </c>
      <c r="Q3161" t="str">
        <f t="shared" si="399"/>
        <v>Weekday</v>
      </c>
    </row>
    <row r="3162" spans="1:17" x14ac:dyDescent="0.35">
      <c r="A3162" t="s">
        <v>3312</v>
      </c>
      <c r="B3162" s="7">
        <v>45611</v>
      </c>
      <c r="C3162" s="13">
        <f t="shared" si="393"/>
        <v>2024</v>
      </c>
      <c r="D3162" s="7" t="str">
        <f t="shared" si="394"/>
        <v>Nov</v>
      </c>
      <c r="E3162" s="7" t="str">
        <f t="shared" si="395"/>
        <v>Fri</v>
      </c>
      <c r="F3162" t="s">
        <v>182</v>
      </c>
      <c r="G3162" t="s">
        <v>59</v>
      </c>
      <c r="H3162" t="s">
        <v>17</v>
      </c>
      <c r="I3162" s="2" t="str">
        <f t="shared" si="392"/>
        <v>South</v>
      </c>
      <c r="J3162" t="s">
        <v>27</v>
      </c>
      <c r="K3162" t="s">
        <v>13</v>
      </c>
      <c r="L3162">
        <v>10</v>
      </c>
      <c r="M3162">
        <v>120</v>
      </c>
      <c r="N3162">
        <f t="shared" si="396"/>
        <v>1200</v>
      </c>
      <c r="O3162">
        <f t="shared" si="397"/>
        <v>120</v>
      </c>
      <c r="P3162" t="str">
        <f t="shared" si="398"/>
        <v>Large Order</v>
      </c>
      <c r="Q3162" t="str">
        <f t="shared" si="399"/>
        <v>Weekday</v>
      </c>
    </row>
    <row r="3163" spans="1:17" x14ac:dyDescent="0.35">
      <c r="A3163" t="s">
        <v>3313</v>
      </c>
      <c r="B3163" s="7">
        <v>45543</v>
      </c>
      <c r="C3163" s="13">
        <f t="shared" si="393"/>
        <v>2024</v>
      </c>
      <c r="D3163" s="7" t="str">
        <f t="shared" si="394"/>
        <v>Sep</v>
      </c>
      <c r="E3163" s="7" t="str">
        <f t="shared" si="395"/>
        <v>Sun</v>
      </c>
      <c r="F3163" t="s">
        <v>93</v>
      </c>
      <c r="G3163" t="s">
        <v>31</v>
      </c>
      <c r="H3163" t="s">
        <v>22</v>
      </c>
      <c r="I3163" s="2" t="str">
        <f t="shared" si="392"/>
        <v>South</v>
      </c>
      <c r="J3163" t="s">
        <v>56</v>
      </c>
      <c r="K3163" t="s">
        <v>23</v>
      </c>
      <c r="L3163">
        <v>20</v>
      </c>
      <c r="M3163">
        <v>120</v>
      </c>
      <c r="N3163">
        <f t="shared" si="396"/>
        <v>2400</v>
      </c>
      <c r="O3163">
        <f t="shared" si="397"/>
        <v>240</v>
      </c>
      <c r="P3163" t="str">
        <f t="shared" si="398"/>
        <v>Large Order</v>
      </c>
      <c r="Q3163" t="str">
        <f t="shared" si="399"/>
        <v>Weekend</v>
      </c>
    </row>
    <row r="3164" spans="1:17" x14ac:dyDescent="0.35">
      <c r="A3164" t="s">
        <v>3314</v>
      </c>
      <c r="B3164" s="7">
        <v>45355</v>
      </c>
      <c r="C3164" s="13">
        <f t="shared" si="393"/>
        <v>2024</v>
      </c>
      <c r="D3164" s="7" t="str">
        <f t="shared" si="394"/>
        <v>Mar</v>
      </c>
      <c r="E3164" s="7" t="str">
        <f t="shared" si="395"/>
        <v>Mon</v>
      </c>
      <c r="F3164" t="s">
        <v>108</v>
      </c>
      <c r="G3164" t="s">
        <v>31</v>
      </c>
      <c r="H3164" t="s">
        <v>11</v>
      </c>
      <c r="I3164" s="2" t="str">
        <f t="shared" si="392"/>
        <v>West</v>
      </c>
      <c r="J3164" t="s">
        <v>56</v>
      </c>
      <c r="K3164" t="s">
        <v>13</v>
      </c>
      <c r="L3164">
        <v>19</v>
      </c>
      <c r="M3164">
        <v>120</v>
      </c>
      <c r="N3164">
        <f t="shared" si="396"/>
        <v>2280</v>
      </c>
      <c r="O3164">
        <f t="shared" si="397"/>
        <v>228</v>
      </c>
      <c r="P3164" t="str">
        <f t="shared" si="398"/>
        <v>Large Order</v>
      </c>
      <c r="Q3164" t="str">
        <f t="shared" si="399"/>
        <v>Weekday</v>
      </c>
    </row>
    <row r="3165" spans="1:17" x14ac:dyDescent="0.35">
      <c r="A3165" t="s">
        <v>3315</v>
      </c>
      <c r="B3165" s="7">
        <v>45373</v>
      </c>
      <c r="C3165" s="13">
        <f t="shared" si="393"/>
        <v>2024</v>
      </c>
      <c r="D3165" s="7" t="str">
        <f t="shared" si="394"/>
        <v>Mar</v>
      </c>
      <c r="E3165" s="7" t="str">
        <f t="shared" si="395"/>
        <v>Fri</v>
      </c>
      <c r="F3165" t="s">
        <v>337</v>
      </c>
      <c r="G3165" t="s">
        <v>119</v>
      </c>
      <c r="H3165" t="s">
        <v>22</v>
      </c>
      <c r="I3165" s="2" t="str">
        <f t="shared" si="392"/>
        <v>East</v>
      </c>
      <c r="J3165" t="s">
        <v>27</v>
      </c>
      <c r="K3165" t="s">
        <v>36</v>
      </c>
      <c r="L3165">
        <v>14</v>
      </c>
      <c r="M3165">
        <v>120</v>
      </c>
      <c r="N3165">
        <f t="shared" si="396"/>
        <v>1680</v>
      </c>
      <c r="O3165">
        <f t="shared" si="397"/>
        <v>168</v>
      </c>
      <c r="P3165" t="str">
        <f t="shared" si="398"/>
        <v>Large Order</v>
      </c>
      <c r="Q3165" t="str">
        <f t="shared" si="399"/>
        <v>Weekday</v>
      </c>
    </row>
    <row r="3166" spans="1:17" x14ac:dyDescent="0.35">
      <c r="A3166" t="s">
        <v>3316</v>
      </c>
      <c r="B3166" s="7">
        <v>45403</v>
      </c>
      <c r="C3166" s="13">
        <f t="shared" si="393"/>
        <v>2024</v>
      </c>
      <c r="D3166" s="7" t="str">
        <f t="shared" si="394"/>
        <v>Apr</v>
      </c>
      <c r="E3166" s="7" t="str">
        <f t="shared" si="395"/>
        <v>Sun</v>
      </c>
      <c r="F3166" t="s">
        <v>572</v>
      </c>
      <c r="G3166" t="s">
        <v>109</v>
      </c>
      <c r="H3166" t="s">
        <v>17</v>
      </c>
      <c r="I3166" s="2" t="str">
        <f t="shared" si="392"/>
        <v>East</v>
      </c>
      <c r="J3166" t="s">
        <v>42</v>
      </c>
      <c r="K3166" t="s">
        <v>32</v>
      </c>
      <c r="L3166">
        <v>4</v>
      </c>
      <c r="M3166">
        <v>120</v>
      </c>
      <c r="N3166">
        <f t="shared" si="396"/>
        <v>480</v>
      </c>
      <c r="O3166">
        <f t="shared" si="397"/>
        <v>48</v>
      </c>
      <c r="P3166" t="str">
        <f t="shared" si="398"/>
        <v>Standard Order</v>
      </c>
      <c r="Q3166" t="str">
        <f t="shared" si="399"/>
        <v>Weekend</v>
      </c>
    </row>
    <row r="3167" spans="1:17" x14ac:dyDescent="0.35">
      <c r="A3167" t="s">
        <v>3317</v>
      </c>
      <c r="B3167" s="7">
        <v>45643</v>
      </c>
      <c r="C3167" s="13">
        <f t="shared" si="393"/>
        <v>2024</v>
      </c>
      <c r="D3167" s="7" t="str">
        <f t="shared" si="394"/>
        <v>Dec</v>
      </c>
      <c r="E3167" s="7" t="str">
        <f t="shared" si="395"/>
        <v>Tue</v>
      </c>
      <c r="F3167" t="s">
        <v>541</v>
      </c>
      <c r="G3167" t="s">
        <v>119</v>
      </c>
      <c r="H3167" t="s">
        <v>22</v>
      </c>
      <c r="I3167" s="2" t="str">
        <f t="shared" si="392"/>
        <v>East</v>
      </c>
      <c r="J3167" t="s">
        <v>42</v>
      </c>
      <c r="K3167" t="s">
        <v>36</v>
      </c>
      <c r="L3167">
        <v>18</v>
      </c>
      <c r="M3167">
        <v>120</v>
      </c>
      <c r="N3167">
        <f t="shared" si="396"/>
        <v>2160</v>
      </c>
      <c r="O3167">
        <f t="shared" si="397"/>
        <v>216</v>
      </c>
      <c r="P3167" t="str">
        <f t="shared" si="398"/>
        <v>Large Order</v>
      </c>
      <c r="Q3167" t="str">
        <f t="shared" si="399"/>
        <v>Weekday</v>
      </c>
    </row>
    <row r="3168" spans="1:17" x14ac:dyDescent="0.35">
      <c r="A3168" t="s">
        <v>3318</v>
      </c>
      <c r="B3168" s="7">
        <v>45407</v>
      </c>
      <c r="C3168" s="13">
        <f t="shared" si="393"/>
        <v>2024</v>
      </c>
      <c r="D3168" s="7" t="str">
        <f t="shared" si="394"/>
        <v>Apr</v>
      </c>
      <c r="E3168" s="7" t="str">
        <f t="shared" si="395"/>
        <v>Thu</v>
      </c>
      <c r="F3168" t="s">
        <v>341</v>
      </c>
      <c r="G3168" t="s">
        <v>35</v>
      </c>
      <c r="H3168" t="s">
        <v>17</v>
      </c>
      <c r="I3168" s="2" t="str">
        <f t="shared" si="392"/>
        <v>Central</v>
      </c>
      <c r="J3168" t="s">
        <v>42</v>
      </c>
      <c r="K3168" t="s">
        <v>23</v>
      </c>
      <c r="L3168">
        <v>6</v>
      </c>
      <c r="M3168">
        <v>120</v>
      </c>
      <c r="N3168">
        <f t="shared" si="396"/>
        <v>720</v>
      </c>
      <c r="O3168">
        <f t="shared" si="397"/>
        <v>72</v>
      </c>
      <c r="P3168" t="str">
        <f t="shared" si="398"/>
        <v>Large Order</v>
      </c>
      <c r="Q3168" t="str">
        <f t="shared" si="399"/>
        <v>Weekday</v>
      </c>
    </row>
    <row r="3169" spans="1:17" x14ac:dyDescent="0.35">
      <c r="A3169" t="s">
        <v>3319</v>
      </c>
      <c r="B3169" s="7">
        <v>45382</v>
      </c>
      <c r="C3169" s="13">
        <f t="shared" si="393"/>
        <v>2024</v>
      </c>
      <c r="D3169" s="7" t="str">
        <f t="shared" si="394"/>
        <v>Mar</v>
      </c>
      <c r="E3169" s="7" t="str">
        <f t="shared" si="395"/>
        <v>Sun</v>
      </c>
      <c r="F3169" t="s">
        <v>341</v>
      </c>
      <c r="G3169" t="s">
        <v>74</v>
      </c>
      <c r="H3169" t="s">
        <v>11</v>
      </c>
      <c r="I3169" s="2" t="str">
        <f t="shared" si="392"/>
        <v>West</v>
      </c>
      <c r="J3169" t="s">
        <v>306</v>
      </c>
      <c r="K3169" t="s">
        <v>32</v>
      </c>
      <c r="L3169">
        <v>15</v>
      </c>
      <c r="M3169">
        <v>120</v>
      </c>
      <c r="N3169">
        <f t="shared" si="396"/>
        <v>1800</v>
      </c>
      <c r="O3169">
        <f t="shared" si="397"/>
        <v>180</v>
      </c>
      <c r="P3169" t="str">
        <f t="shared" si="398"/>
        <v>Large Order</v>
      </c>
      <c r="Q3169" t="str">
        <f t="shared" si="399"/>
        <v>Weekend</v>
      </c>
    </row>
    <row r="3170" spans="1:17" x14ac:dyDescent="0.35">
      <c r="A3170" t="s">
        <v>3320</v>
      </c>
      <c r="B3170" s="7">
        <v>45641</v>
      </c>
      <c r="C3170" s="13">
        <f t="shared" si="393"/>
        <v>2024</v>
      </c>
      <c r="D3170" s="7" t="str">
        <f t="shared" si="394"/>
        <v>Dec</v>
      </c>
      <c r="E3170" s="7" t="str">
        <f t="shared" si="395"/>
        <v>Sun</v>
      </c>
      <c r="F3170" t="s">
        <v>108</v>
      </c>
      <c r="G3170" t="s">
        <v>31</v>
      </c>
      <c r="H3170" t="s">
        <v>22</v>
      </c>
      <c r="I3170" s="2" t="str">
        <f t="shared" si="392"/>
        <v>Central</v>
      </c>
      <c r="J3170" t="s">
        <v>27</v>
      </c>
      <c r="K3170" t="s">
        <v>23</v>
      </c>
      <c r="L3170">
        <v>14</v>
      </c>
      <c r="M3170">
        <v>120</v>
      </c>
      <c r="N3170">
        <f t="shared" si="396"/>
        <v>1680</v>
      </c>
      <c r="O3170">
        <f t="shared" si="397"/>
        <v>168</v>
      </c>
      <c r="P3170" t="str">
        <f t="shared" si="398"/>
        <v>Large Order</v>
      </c>
      <c r="Q3170" t="str">
        <f t="shared" si="399"/>
        <v>Weekend</v>
      </c>
    </row>
    <row r="3171" spans="1:17" x14ac:dyDescent="0.35">
      <c r="A3171" t="s">
        <v>3321</v>
      </c>
      <c r="B3171" s="7">
        <v>45306</v>
      </c>
      <c r="C3171" s="13">
        <f t="shared" si="393"/>
        <v>2024</v>
      </c>
      <c r="D3171" s="7" t="str">
        <f t="shared" si="394"/>
        <v>Jan</v>
      </c>
      <c r="E3171" s="7" t="str">
        <f t="shared" si="395"/>
        <v>Mon</v>
      </c>
      <c r="F3171" t="s">
        <v>381</v>
      </c>
      <c r="G3171" t="s">
        <v>197</v>
      </c>
      <c r="H3171" t="s">
        <v>11</v>
      </c>
      <c r="I3171" s="2" t="str">
        <f t="shared" si="392"/>
        <v>North</v>
      </c>
      <c r="J3171" t="s">
        <v>306</v>
      </c>
      <c r="K3171" t="s">
        <v>36</v>
      </c>
      <c r="L3171">
        <v>17</v>
      </c>
      <c r="M3171">
        <v>120</v>
      </c>
      <c r="N3171">
        <f t="shared" si="396"/>
        <v>2040</v>
      </c>
      <c r="O3171">
        <f t="shared" si="397"/>
        <v>204</v>
      </c>
      <c r="P3171" t="str">
        <f t="shared" si="398"/>
        <v>Large Order</v>
      </c>
      <c r="Q3171" t="str">
        <f t="shared" si="399"/>
        <v>Weekday</v>
      </c>
    </row>
    <row r="3172" spans="1:17" x14ac:dyDescent="0.35">
      <c r="A3172" t="s">
        <v>3322</v>
      </c>
      <c r="B3172" s="7">
        <v>45598</v>
      </c>
      <c r="C3172" s="13">
        <f t="shared" si="393"/>
        <v>2024</v>
      </c>
      <c r="D3172" s="7" t="str">
        <f t="shared" si="394"/>
        <v>Nov</v>
      </c>
      <c r="E3172" s="7" t="str">
        <f t="shared" si="395"/>
        <v>Sat</v>
      </c>
      <c r="F3172" t="s">
        <v>314</v>
      </c>
      <c r="G3172" t="s">
        <v>84</v>
      </c>
      <c r="H3172" t="s">
        <v>17</v>
      </c>
      <c r="I3172" s="2" t="str">
        <f t="shared" si="392"/>
        <v>North</v>
      </c>
      <c r="J3172" t="s">
        <v>12</v>
      </c>
      <c r="K3172" t="s">
        <v>32</v>
      </c>
      <c r="L3172">
        <v>20</v>
      </c>
      <c r="M3172">
        <v>120</v>
      </c>
      <c r="N3172">
        <f t="shared" si="396"/>
        <v>2400</v>
      </c>
      <c r="O3172">
        <f t="shared" si="397"/>
        <v>240</v>
      </c>
      <c r="P3172" t="str">
        <f t="shared" si="398"/>
        <v>Large Order</v>
      </c>
      <c r="Q3172" t="str">
        <f t="shared" si="399"/>
        <v>Weekend</v>
      </c>
    </row>
    <row r="3173" spans="1:17" x14ac:dyDescent="0.35">
      <c r="A3173" t="s">
        <v>3323</v>
      </c>
      <c r="B3173" s="7">
        <v>45583</v>
      </c>
      <c r="C3173" s="13">
        <f t="shared" si="393"/>
        <v>2024</v>
      </c>
      <c r="D3173" s="7" t="str">
        <f t="shared" si="394"/>
        <v>Oct</v>
      </c>
      <c r="E3173" s="7" t="str">
        <f t="shared" si="395"/>
        <v>Fri</v>
      </c>
      <c r="F3173" t="s">
        <v>451</v>
      </c>
      <c r="G3173" t="s">
        <v>35</v>
      </c>
      <c r="H3173" t="s">
        <v>22</v>
      </c>
      <c r="I3173" s="2" t="str">
        <f t="shared" si="392"/>
        <v>South</v>
      </c>
      <c r="J3173" t="s">
        <v>12</v>
      </c>
      <c r="K3173" t="s">
        <v>32</v>
      </c>
      <c r="L3173">
        <v>1</v>
      </c>
      <c r="M3173">
        <v>120</v>
      </c>
      <c r="N3173">
        <f t="shared" si="396"/>
        <v>120</v>
      </c>
      <c r="O3173">
        <f t="shared" si="397"/>
        <v>12</v>
      </c>
      <c r="P3173" t="str">
        <f t="shared" si="398"/>
        <v>Standard Order</v>
      </c>
      <c r="Q3173" t="str">
        <f t="shared" si="399"/>
        <v>Weekday</v>
      </c>
    </row>
    <row r="3174" spans="1:17" x14ac:dyDescent="0.35">
      <c r="A3174" t="s">
        <v>3324</v>
      </c>
      <c r="B3174" s="7">
        <v>45626</v>
      </c>
      <c r="C3174" s="13">
        <f t="shared" si="393"/>
        <v>2024</v>
      </c>
      <c r="D3174" s="7" t="str">
        <f t="shared" si="394"/>
        <v>Nov</v>
      </c>
      <c r="E3174" s="7" t="str">
        <f t="shared" si="395"/>
        <v>Sat</v>
      </c>
      <c r="F3174" t="s">
        <v>53</v>
      </c>
      <c r="G3174" t="s">
        <v>174</v>
      </c>
      <c r="H3174" t="s">
        <v>22</v>
      </c>
      <c r="I3174" s="2" t="str">
        <f t="shared" si="392"/>
        <v>South</v>
      </c>
      <c r="J3174" t="s">
        <v>56</v>
      </c>
      <c r="K3174" t="s">
        <v>28</v>
      </c>
      <c r="L3174">
        <v>15</v>
      </c>
      <c r="M3174">
        <v>120</v>
      </c>
      <c r="N3174">
        <f t="shared" si="396"/>
        <v>1800</v>
      </c>
      <c r="O3174">
        <f t="shared" si="397"/>
        <v>180</v>
      </c>
      <c r="P3174" t="str">
        <f t="shared" si="398"/>
        <v>Large Order</v>
      </c>
      <c r="Q3174" t="str">
        <f t="shared" si="399"/>
        <v>Weekend</v>
      </c>
    </row>
    <row r="3175" spans="1:17" x14ac:dyDescent="0.35">
      <c r="A3175" t="s">
        <v>3325</v>
      </c>
      <c r="B3175" s="7">
        <v>45414</v>
      </c>
      <c r="C3175" s="13">
        <f t="shared" si="393"/>
        <v>2024</v>
      </c>
      <c r="D3175" s="7" t="str">
        <f t="shared" si="394"/>
        <v>May</v>
      </c>
      <c r="E3175" s="7" t="str">
        <f t="shared" si="395"/>
        <v>Thu</v>
      </c>
      <c r="F3175" t="s">
        <v>235</v>
      </c>
      <c r="G3175" t="s">
        <v>35</v>
      </c>
      <c r="H3175" t="s">
        <v>22</v>
      </c>
      <c r="I3175" s="2" t="str">
        <f t="shared" si="392"/>
        <v>West</v>
      </c>
      <c r="J3175" t="s">
        <v>56</v>
      </c>
      <c r="K3175" t="s">
        <v>32</v>
      </c>
      <c r="L3175">
        <v>5</v>
      </c>
      <c r="M3175">
        <v>120</v>
      </c>
      <c r="N3175">
        <f t="shared" si="396"/>
        <v>600</v>
      </c>
      <c r="O3175">
        <f t="shared" si="397"/>
        <v>60</v>
      </c>
      <c r="P3175" t="str">
        <f t="shared" si="398"/>
        <v>Large Order</v>
      </c>
      <c r="Q3175" t="str">
        <f t="shared" si="399"/>
        <v>Weekday</v>
      </c>
    </row>
    <row r="3176" spans="1:17" x14ac:dyDescent="0.35">
      <c r="A3176" t="s">
        <v>3326</v>
      </c>
      <c r="B3176" s="7">
        <v>45307</v>
      </c>
      <c r="C3176" s="13">
        <f t="shared" si="393"/>
        <v>2024</v>
      </c>
      <c r="D3176" s="7" t="str">
        <f t="shared" si="394"/>
        <v>Jan</v>
      </c>
      <c r="E3176" s="7" t="str">
        <f t="shared" si="395"/>
        <v>Tue</v>
      </c>
      <c r="F3176" t="s">
        <v>95</v>
      </c>
      <c r="G3176" t="s">
        <v>59</v>
      </c>
      <c r="H3176" t="s">
        <v>17</v>
      </c>
      <c r="I3176" s="2" t="str">
        <f t="shared" si="392"/>
        <v>North</v>
      </c>
      <c r="J3176" t="s">
        <v>27</v>
      </c>
      <c r="K3176" t="s">
        <v>28</v>
      </c>
      <c r="L3176">
        <v>20</v>
      </c>
      <c r="M3176">
        <v>120</v>
      </c>
      <c r="N3176">
        <f t="shared" si="396"/>
        <v>2400</v>
      </c>
      <c r="O3176">
        <f t="shared" si="397"/>
        <v>240</v>
      </c>
      <c r="P3176" t="str">
        <f t="shared" si="398"/>
        <v>Large Order</v>
      </c>
      <c r="Q3176" t="str">
        <f t="shared" si="399"/>
        <v>Weekday</v>
      </c>
    </row>
    <row r="3177" spans="1:17" x14ac:dyDescent="0.35">
      <c r="A3177" t="s">
        <v>3327</v>
      </c>
      <c r="B3177" s="7">
        <v>45415</v>
      </c>
      <c r="C3177" s="13">
        <f t="shared" si="393"/>
        <v>2024</v>
      </c>
      <c r="D3177" s="7" t="str">
        <f t="shared" si="394"/>
        <v>May</v>
      </c>
      <c r="E3177" s="7" t="str">
        <f t="shared" si="395"/>
        <v>Fri</v>
      </c>
      <c r="F3177" t="s">
        <v>235</v>
      </c>
      <c r="G3177" t="s">
        <v>70</v>
      </c>
      <c r="H3177" t="s">
        <v>22</v>
      </c>
      <c r="I3177" s="2" t="str">
        <f t="shared" si="392"/>
        <v>North</v>
      </c>
      <c r="J3177" t="s">
        <v>12</v>
      </c>
      <c r="K3177" t="s">
        <v>36</v>
      </c>
      <c r="L3177">
        <v>11</v>
      </c>
      <c r="M3177">
        <v>120</v>
      </c>
      <c r="N3177">
        <f t="shared" si="396"/>
        <v>1320</v>
      </c>
      <c r="O3177">
        <f t="shared" si="397"/>
        <v>132</v>
      </c>
      <c r="P3177" t="str">
        <f t="shared" si="398"/>
        <v>Large Order</v>
      </c>
      <c r="Q3177" t="str">
        <f t="shared" si="399"/>
        <v>Weekday</v>
      </c>
    </row>
    <row r="3178" spans="1:17" x14ac:dyDescent="0.35">
      <c r="A3178" t="s">
        <v>3328</v>
      </c>
      <c r="B3178" s="7">
        <v>45373</v>
      </c>
      <c r="C3178" s="13">
        <f t="shared" si="393"/>
        <v>2024</v>
      </c>
      <c r="D3178" s="7" t="str">
        <f t="shared" si="394"/>
        <v>Mar</v>
      </c>
      <c r="E3178" s="7" t="str">
        <f t="shared" si="395"/>
        <v>Fri</v>
      </c>
      <c r="F3178" t="s">
        <v>78</v>
      </c>
      <c r="G3178" t="s">
        <v>70</v>
      </c>
      <c r="H3178" t="s">
        <v>22</v>
      </c>
      <c r="I3178" s="2" t="str">
        <f t="shared" si="392"/>
        <v>North</v>
      </c>
      <c r="J3178" t="s">
        <v>12</v>
      </c>
      <c r="K3178" t="s">
        <v>13</v>
      </c>
      <c r="L3178">
        <v>2</v>
      </c>
      <c r="M3178">
        <v>120</v>
      </c>
      <c r="N3178">
        <f t="shared" si="396"/>
        <v>240</v>
      </c>
      <c r="O3178">
        <f t="shared" si="397"/>
        <v>24</v>
      </c>
      <c r="P3178" t="str">
        <f t="shared" si="398"/>
        <v>Standard Order</v>
      </c>
      <c r="Q3178" t="str">
        <f t="shared" si="399"/>
        <v>Weekday</v>
      </c>
    </row>
    <row r="3179" spans="1:17" x14ac:dyDescent="0.35">
      <c r="A3179" t="s">
        <v>3329</v>
      </c>
      <c r="B3179" s="7">
        <v>45500</v>
      </c>
      <c r="C3179" s="13">
        <f t="shared" si="393"/>
        <v>2024</v>
      </c>
      <c r="D3179" s="7" t="str">
        <f t="shared" si="394"/>
        <v>Jul</v>
      </c>
      <c r="E3179" s="7" t="str">
        <f t="shared" si="395"/>
        <v>Sat</v>
      </c>
      <c r="F3179" t="s">
        <v>363</v>
      </c>
      <c r="G3179" t="s">
        <v>35</v>
      </c>
      <c r="H3179" t="s">
        <v>17</v>
      </c>
      <c r="I3179" s="2" t="str">
        <f t="shared" si="392"/>
        <v>Central</v>
      </c>
      <c r="J3179" t="s">
        <v>12</v>
      </c>
      <c r="K3179" t="s">
        <v>23</v>
      </c>
      <c r="L3179">
        <v>9</v>
      </c>
      <c r="M3179">
        <v>120</v>
      </c>
      <c r="N3179">
        <f t="shared" si="396"/>
        <v>1080</v>
      </c>
      <c r="O3179">
        <f t="shared" si="397"/>
        <v>108</v>
      </c>
      <c r="P3179" t="str">
        <f t="shared" si="398"/>
        <v>Large Order</v>
      </c>
      <c r="Q3179" t="str">
        <f t="shared" si="399"/>
        <v>Weekend</v>
      </c>
    </row>
    <row r="3180" spans="1:17" x14ac:dyDescent="0.35">
      <c r="A3180" t="s">
        <v>3330</v>
      </c>
      <c r="B3180" s="7">
        <v>45567</v>
      </c>
      <c r="C3180" s="13">
        <f t="shared" si="393"/>
        <v>2024</v>
      </c>
      <c r="D3180" s="7" t="str">
        <f t="shared" si="394"/>
        <v>Oct</v>
      </c>
      <c r="E3180" s="7" t="str">
        <f t="shared" si="395"/>
        <v>Wed</v>
      </c>
      <c r="F3180" t="s">
        <v>114</v>
      </c>
      <c r="G3180" t="s">
        <v>62</v>
      </c>
      <c r="H3180" t="s">
        <v>22</v>
      </c>
      <c r="I3180" s="2" t="str">
        <f t="shared" si="392"/>
        <v>North</v>
      </c>
      <c r="J3180" t="s">
        <v>306</v>
      </c>
      <c r="K3180" t="s">
        <v>13</v>
      </c>
      <c r="L3180">
        <v>15</v>
      </c>
      <c r="M3180">
        <v>120</v>
      </c>
      <c r="N3180">
        <f t="shared" si="396"/>
        <v>1800</v>
      </c>
      <c r="O3180">
        <f t="shared" si="397"/>
        <v>180</v>
      </c>
      <c r="P3180" t="str">
        <f t="shared" si="398"/>
        <v>Large Order</v>
      </c>
      <c r="Q3180" t="str">
        <f t="shared" si="399"/>
        <v>Weekday</v>
      </c>
    </row>
    <row r="3181" spans="1:17" x14ac:dyDescent="0.35">
      <c r="A3181" t="s">
        <v>3331</v>
      </c>
      <c r="B3181" s="7">
        <v>45322</v>
      </c>
      <c r="C3181" s="13">
        <f t="shared" si="393"/>
        <v>2024</v>
      </c>
      <c r="D3181" s="7" t="str">
        <f t="shared" si="394"/>
        <v>Jan</v>
      </c>
      <c r="E3181" s="7" t="str">
        <f t="shared" si="395"/>
        <v>Wed</v>
      </c>
      <c r="F3181" t="s">
        <v>61</v>
      </c>
      <c r="G3181" t="s">
        <v>31</v>
      </c>
      <c r="H3181" t="s">
        <v>22</v>
      </c>
      <c r="I3181" s="2" t="str">
        <f t="shared" si="392"/>
        <v>West</v>
      </c>
      <c r="J3181" t="s">
        <v>12</v>
      </c>
      <c r="K3181" t="s">
        <v>32</v>
      </c>
      <c r="L3181">
        <v>13</v>
      </c>
      <c r="M3181">
        <v>120</v>
      </c>
      <c r="N3181">
        <f t="shared" si="396"/>
        <v>1560</v>
      </c>
      <c r="O3181">
        <f t="shared" si="397"/>
        <v>156</v>
      </c>
      <c r="P3181" t="str">
        <f t="shared" si="398"/>
        <v>Large Order</v>
      </c>
      <c r="Q3181" t="str">
        <f t="shared" si="399"/>
        <v>Weekday</v>
      </c>
    </row>
    <row r="3182" spans="1:17" x14ac:dyDescent="0.35">
      <c r="A3182" t="s">
        <v>3332</v>
      </c>
      <c r="B3182" s="7">
        <v>45553</v>
      </c>
      <c r="C3182" s="13">
        <f t="shared" si="393"/>
        <v>2024</v>
      </c>
      <c r="D3182" s="7" t="str">
        <f t="shared" si="394"/>
        <v>Sep</v>
      </c>
      <c r="E3182" s="7" t="str">
        <f t="shared" si="395"/>
        <v>Wed</v>
      </c>
      <c r="F3182" t="s">
        <v>451</v>
      </c>
      <c r="G3182" t="s">
        <v>21</v>
      </c>
      <c r="H3182" t="s">
        <v>17</v>
      </c>
      <c r="I3182" s="2" t="str">
        <f t="shared" si="392"/>
        <v>South</v>
      </c>
      <c r="J3182" t="s">
        <v>27</v>
      </c>
      <c r="K3182" t="s">
        <v>13</v>
      </c>
      <c r="L3182">
        <v>4</v>
      </c>
      <c r="M3182">
        <v>120</v>
      </c>
      <c r="N3182">
        <f t="shared" si="396"/>
        <v>480</v>
      </c>
      <c r="O3182">
        <f t="shared" si="397"/>
        <v>48</v>
      </c>
      <c r="P3182" t="str">
        <f t="shared" si="398"/>
        <v>Standard Order</v>
      </c>
      <c r="Q3182" t="str">
        <f t="shared" si="399"/>
        <v>Weekday</v>
      </c>
    </row>
    <row r="3183" spans="1:17" x14ac:dyDescent="0.35">
      <c r="A3183" t="s">
        <v>3333</v>
      </c>
      <c r="B3183" s="7">
        <v>45426</v>
      </c>
      <c r="C3183" s="13">
        <f t="shared" si="393"/>
        <v>2024</v>
      </c>
      <c r="D3183" s="7" t="str">
        <f t="shared" si="394"/>
        <v>May</v>
      </c>
      <c r="E3183" s="7" t="str">
        <f t="shared" si="395"/>
        <v>Tue</v>
      </c>
      <c r="F3183" t="s">
        <v>332</v>
      </c>
      <c r="G3183" t="s">
        <v>59</v>
      </c>
      <c r="H3183" t="s">
        <v>11</v>
      </c>
      <c r="I3183" s="2" t="str">
        <f t="shared" si="392"/>
        <v>East</v>
      </c>
      <c r="J3183" t="s">
        <v>56</v>
      </c>
      <c r="K3183" t="s">
        <v>32</v>
      </c>
      <c r="L3183">
        <v>14</v>
      </c>
      <c r="M3183">
        <v>120</v>
      </c>
      <c r="N3183">
        <f t="shared" si="396"/>
        <v>1680</v>
      </c>
      <c r="O3183">
        <f t="shared" si="397"/>
        <v>168</v>
      </c>
      <c r="P3183" t="str">
        <f t="shared" si="398"/>
        <v>Large Order</v>
      </c>
      <c r="Q3183" t="str">
        <f t="shared" si="399"/>
        <v>Weekday</v>
      </c>
    </row>
    <row r="3184" spans="1:17" x14ac:dyDescent="0.35">
      <c r="A3184" t="s">
        <v>3334</v>
      </c>
      <c r="B3184" s="7">
        <v>45364</v>
      </c>
      <c r="C3184" s="13">
        <f t="shared" si="393"/>
        <v>2024</v>
      </c>
      <c r="D3184" s="7" t="str">
        <f t="shared" si="394"/>
        <v>Mar</v>
      </c>
      <c r="E3184" s="7" t="str">
        <f t="shared" si="395"/>
        <v>Wed</v>
      </c>
      <c r="F3184" t="s">
        <v>78</v>
      </c>
      <c r="G3184" t="s">
        <v>35</v>
      </c>
      <c r="H3184" t="s">
        <v>11</v>
      </c>
      <c r="I3184" s="2" t="str">
        <f t="shared" si="392"/>
        <v>South</v>
      </c>
      <c r="J3184" t="s">
        <v>42</v>
      </c>
      <c r="K3184" t="s">
        <v>13</v>
      </c>
      <c r="L3184">
        <v>11</v>
      </c>
      <c r="M3184">
        <v>120</v>
      </c>
      <c r="N3184">
        <f t="shared" si="396"/>
        <v>1320</v>
      </c>
      <c r="O3184">
        <f t="shared" si="397"/>
        <v>132</v>
      </c>
      <c r="P3184" t="str">
        <f t="shared" si="398"/>
        <v>Large Order</v>
      </c>
      <c r="Q3184" t="str">
        <f t="shared" si="399"/>
        <v>Weekday</v>
      </c>
    </row>
    <row r="3185" spans="1:17" x14ac:dyDescent="0.35">
      <c r="A3185" t="s">
        <v>3335</v>
      </c>
      <c r="B3185" s="7">
        <v>45329</v>
      </c>
      <c r="C3185" s="13">
        <f t="shared" si="393"/>
        <v>2024</v>
      </c>
      <c r="D3185" s="7" t="str">
        <f t="shared" si="394"/>
        <v>Feb</v>
      </c>
      <c r="E3185" s="7" t="str">
        <f t="shared" si="395"/>
        <v>Wed</v>
      </c>
      <c r="F3185" t="s">
        <v>366</v>
      </c>
      <c r="G3185" t="s">
        <v>62</v>
      </c>
      <c r="H3185" t="s">
        <v>17</v>
      </c>
      <c r="I3185" s="2" t="str">
        <f t="shared" si="392"/>
        <v>East</v>
      </c>
      <c r="J3185" t="s">
        <v>56</v>
      </c>
      <c r="K3185" t="s">
        <v>32</v>
      </c>
      <c r="L3185">
        <v>11</v>
      </c>
      <c r="M3185">
        <v>120</v>
      </c>
      <c r="N3185">
        <f t="shared" si="396"/>
        <v>1320</v>
      </c>
      <c r="O3185">
        <f t="shared" si="397"/>
        <v>132</v>
      </c>
      <c r="P3185" t="str">
        <f t="shared" si="398"/>
        <v>Large Order</v>
      </c>
      <c r="Q3185" t="str">
        <f t="shared" si="399"/>
        <v>Weekday</v>
      </c>
    </row>
    <row r="3186" spans="1:17" x14ac:dyDescent="0.35">
      <c r="A3186" t="s">
        <v>3336</v>
      </c>
      <c r="B3186" s="7">
        <v>45519</v>
      </c>
      <c r="C3186" s="13">
        <f t="shared" si="393"/>
        <v>2024</v>
      </c>
      <c r="D3186" s="7" t="str">
        <f t="shared" si="394"/>
        <v>Aug</v>
      </c>
      <c r="E3186" s="7" t="str">
        <f t="shared" si="395"/>
        <v>Thu</v>
      </c>
      <c r="F3186" t="s">
        <v>118</v>
      </c>
      <c r="G3186" t="s">
        <v>70</v>
      </c>
      <c r="H3186" t="s">
        <v>22</v>
      </c>
      <c r="I3186" s="2" t="str">
        <f t="shared" si="392"/>
        <v>North</v>
      </c>
      <c r="J3186" t="s">
        <v>42</v>
      </c>
      <c r="K3186" t="s">
        <v>36</v>
      </c>
      <c r="L3186">
        <v>9</v>
      </c>
      <c r="M3186">
        <v>120</v>
      </c>
      <c r="N3186">
        <f t="shared" si="396"/>
        <v>1080</v>
      </c>
      <c r="O3186">
        <f t="shared" si="397"/>
        <v>108</v>
      </c>
      <c r="P3186" t="str">
        <f t="shared" si="398"/>
        <v>Large Order</v>
      </c>
      <c r="Q3186" t="str">
        <f t="shared" si="399"/>
        <v>Weekday</v>
      </c>
    </row>
    <row r="3187" spans="1:17" x14ac:dyDescent="0.35">
      <c r="A3187" t="s">
        <v>3337</v>
      </c>
      <c r="B3187" s="7">
        <v>45363</v>
      </c>
      <c r="C3187" s="13">
        <f t="shared" si="393"/>
        <v>2024</v>
      </c>
      <c r="D3187" s="7" t="str">
        <f t="shared" si="394"/>
        <v>Mar</v>
      </c>
      <c r="E3187" s="7" t="str">
        <f t="shared" si="395"/>
        <v>Tue</v>
      </c>
      <c r="F3187" t="s">
        <v>167</v>
      </c>
      <c r="G3187" t="s">
        <v>160</v>
      </c>
      <c r="H3187" t="s">
        <v>17</v>
      </c>
      <c r="I3187" s="2" t="str">
        <f t="shared" si="392"/>
        <v>Central</v>
      </c>
      <c r="J3187" t="s">
        <v>12</v>
      </c>
      <c r="K3187" t="s">
        <v>28</v>
      </c>
      <c r="L3187">
        <v>12</v>
      </c>
      <c r="M3187">
        <v>120</v>
      </c>
      <c r="N3187">
        <f t="shared" si="396"/>
        <v>1440</v>
      </c>
      <c r="O3187">
        <f t="shared" si="397"/>
        <v>144</v>
      </c>
      <c r="P3187" t="str">
        <f t="shared" si="398"/>
        <v>Large Order</v>
      </c>
      <c r="Q3187" t="str">
        <f t="shared" si="399"/>
        <v>Weekday</v>
      </c>
    </row>
    <row r="3188" spans="1:17" x14ac:dyDescent="0.35">
      <c r="A3188" t="s">
        <v>3338</v>
      </c>
      <c r="B3188" s="7">
        <v>45441</v>
      </c>
      <c r="C3188" s="13">
        <f t="shared" si="393"/>
        <v>2024</v>
      </c>
      <c r="D3188" s="7" t="str">
        <f t="shared" si="394"/>
        <v>May</v>
      </c>
      <c r="E3188" s="7" t="str">
        <f t="shared" si="395"/>
        <v>Wed</v>
      </c>
      <c r="F3188" t="s">
        <v>147</v>
      </c>
      <c r="G3188" t="s">
        <v>62</v>
      </c>
      <c r="H3188" t="s">
        <v>11</v>
      </c>
      <c r="I3188" s="2" t="str">
        <f t="shared" si="392"/>
        <v>South</v>
      </c>
      <c r="J3188" t="s">
        <v>306</v>
      </c>
      <c r="K3188" t="s">
        <v>32</v>
      </c>
      <c r="L3188">
        <v>16</v>
      </c>
      <c r="M3188">
        <v>120</v>
      </c>
      <c r="N3188">
        <f t="shared" si="396"/>
        <v>1920</v>
      </c>
      <c r="O3188">
        <f t="shared" si="397"/>
        <v>192</v>
      </c>
      <c r="P3188" t="str">
        <f t="shared" si="398"/>
        <v>Large Order</v>
      </c>
      <c r="Q3188" t="str">
        <f t="shared" si="399"/>
        <v>Weekday</v>
      </c>
    </row>
    <row r="3189" spans="1:17" x14ac:dyDescent="0.35">
      <c r="A3189" t="s">
        <v>3339</v>
      </c>
      <c r="B3189" s="7">
        <v>45636</v>
      </c>
      <c r="C3189" s="13">
        <f t="shared" si="393"/>
        <v>2024</v>
      </c>
      <c r="D3189" s="7" t="str">
        <f t="shared" si="394"/>
        <v>Dec</v>
      </c>
      <c r="E3189" s="7" t="str">
        <f t="shared" si="395"/>
        <v>Tue</v>
      </c>
      <c r="F3189" t="s">
        <v>61</v>
      </c>
      <c r="G3189" t="s">
        <v>16</v>
      </c>
      <c r="H3189" t="s">
        <v>22</v>
      </c>
      <c r="I3189" s="2" t="str">
        <f t="shared" si="392"/>
        <v>North</v>
      </c>
      <c r="J3189" t="s">
        <v>56</v>
      </c>
      <c r="K3189" t="s">
        <v>28</v>
      </c>
      <c r="L3189">
        <v>20</v>
      </c>
      <c r="M3189">
        <v>120</v>
      </c>
      <c r="N3189">
        <f t="shared" si="396"/>
        <v>2400</v>
      </c>
      <c r="O3189">
        <f t="shared" si="397"/>
        <v>240</v>
      </c>
      <c r="P3189" t="str">
        <f t="shared" si="398"/>
        <v>Large Order</v>
      </c>
      <c r="Q3189" t="str">
        <f t="shared" si="399"/>
        <v>Weekday</v>
      </c>
    </row>
    <row r="3190" spans="1:17" x14ac:dyDescent="0.35">
      <c r="A3190" t="s">
        <v>3340</v>
      </c>
      <c r="B3190" s="7">
        <v>45488</v>
      </c>
      <c r="C3190" s="13">
        <f t="shared" si="393"/>
        <v>2024</v>
      </c>
      <c r="D3190" s="7" t="str">
        <f t="shared" si="394"/>
        <v>Jul</v>
      </c>
      <c r="E3190" s="7" t="str">
        <f t="shared" si="395"/>
        <v>Mon</v>
      </c>
      <c r="F3190" t="s">
        <v>230</v>
      </c>
      <c r="G3190" t="s">
        <v>21</v>
      </c>
      <c r="H3190" t="s">
        <v>11</v>
      </c>
      <c r="I3190" s="2" t="str">
        <f t="shared" si="392"/>
        <v>Central</v>
      </c>
      <c r="J3190" t="s">
        <v>12</v>
      </c>
      <c r="K3190" t="s">
        <v>28</v>
      </c>
      <c r="L3190">
        <v>19</v>
      </c>
      <c r="M3190">
        <v>120</v>
      </c>
      <c r="N3190">
        <f t="shared" si="396"/>
        <v>2280</v>
      </c>
      <c r="O3190">
        <f t="shared" si="397"/>
        <v>228</v>
      </c>
      <c r="P3190" t="str">
        <f t="shared" si="398"/>
        <v>Large Order</v>
      </c>
      <c r="Q3190" t="str">
        <f t="shared" si="399"/>
        <v>Weekday</v>
      </c>
    </row>
    <row r="3191" spans="1:17" x14ac:dyDescent="0.35">
      <c r="A3191" t="s">
        <v>3341</v>
      </c>
      <c r="B3191" s="7">
        <v>45591</v>
      </c>
      <c r="C3191" s="13">
        <f t="shared" si="393"/>
        <v>2024</v>
      </c>
      <c r="D3191" s="7" t="str">
        <f t="shared" si="394"/>
        <v>Oct</v>
      </c>
      <c r="E3191" s="7" t="str">
        <f t="shared" si="395"/>
        <v>Sat</v>
      </c>
      <c r="F3191" t="s">
        <v>142</v>
      </c>
      <c r="G3191" t="s">
        <v>26</v>
      </c>
      <c r="H3191" t="s">
        <v>17</v>
      </c>
      <c r="I3191" s="2" t="str">
        <f t="shared" si="392"/>
        <v>Central</v>
      </c>
      <c r="J3191" t="s">
        <v>306</v>
      </c>
      <c r="K3191" t="s">
        <v>36</v>
      </c>
      <c r="L3191">
        <v>13</v>
      </c>
      <c r="M3191">
        <v>120</v>
      </c>
      <c r="N3191">
        <f t="shared" si="396"/>
        <v>1560</v>
      </c>
      <c r="O3191">
        <f t="shared" si="397"/>
        <v>156</v>
      </c>
      <c r="P3191" t="str">
        <f t="shared" si="398"/>
        <v>Large Order</v>
      </c>
      <c r="Q3191" t="str">
        <f t="shared" si="399"/>
        <v>Weekend</v>
      </c>
    </row>
    <row r="3192" spans="1:17" x14ac:dyDescent="0.35">
      <c r="A3192" t="s">
        <v>3342</v>
      </c>
      <c r="B3192" s="7">
        <v>45379</v>
      </c>
      <c r="C3192" s="13">
        <f t="shared" si="393"/>
        <v>2024</v>
      </c>
      <c r="D3192" s="7" t="str">
        <f t="shared" si="394"/>
        <v>Mar</v>
      </c>
      <c r="E3192" s="7" t="str">
        <f t="shared" si="395"/>
        <v>Thu</v>
      </c>
      <c r="F3192" t="s">
        <v>20</v>
      </c>
      <c r="G3192" t="s">
        <v>21</v>
      </c>
      <c r="H3192" t="s">
        <v>11</v>
      </c>
      <c r="I3192" s="2" t="str">
        <f t="shared" si="392"/>
        <v>Central</v>
      </c>
      <c r="J3192" t="s">
        <v>306</v>
      </c>
      <c r="K3192" t="s">
        <v>36</v>
      </c>
      <c r="L3192">
        <v>11</v>
      </c>
      <c r="M3192">
        <v>120</v>
      </c>
      <c r="N3192">
        <f t="shared" si="396"/>
        <v>1320</v>
      </c>
      <c r="O3192">
        <f t="shared" si="397"/>
        <v>132</v>
      </c>
      <c r="P3192" t="str">
        <f t="shared" si="398"/>
        <v>Large Order</v>
      </c>
      <c r="Q3192" t="str">
        <f t="shared" si="399"/>
        <v>Weekday</v>
      </c>
    </row>
    <row r="3193" spans="1:17" x14ac:dyDescent="0.35">
      <c r="A3193" t="s">
        <v>3343</v>
      </c>
      <c r="B3193" s="7">
        <v>45485</v>
      </c>
      <c r="C3193" s="13">
        <f t="shared" si="393"/>
        <v>2024</v>
      </c>
      <c r="D3193" s="7" t="str">
        <f t="shared" si="394"/>
        <v>Jul</v>
      </c>
      <c r="E3193" s="7" t="str">
        <f t="shared" si="395"/>
        <v>Fri</v>
      </c>
      <c r="F3193" t="s">
        <v>374</v>
      </c>
      <c r="G3193" t="s">
        <v>21</v>
      </c>
      <c r="H3193" t="s">
        <v>11</v>
      </c>
      <c r="I3193" s="2" t="str">
        <f t="shared" si="392"/>
        <v>East</v>
      </c>
      <c r="J3193" t="s">
        <v>306</v>
      </c>
      <c r="K3193" t="s">
        <v>23</v>
      </c>
      <c r="L3193">
        <v>6</v>
      </c>
      <c r="M3193">
        <v>120</v>
      </c>
      <c r="N3193">
        <f t="shared" si="396"/>
        <v>720</v>
      </c>
      <c r="O3193">
        <f t="shared" si="397"/>
        <v>72</v>
      </c>
      <c r="P3193" t="str">
        <f t="shared" si="398"/>
        <v>Large Order</v>
      </c>
      <c r="Q3193" t="str">
        <f t="shared" si="399"/>
        <v>Weekday</v>
      </c>
    </row>
    <row r="3194" spans="1:17" x14ac:dyDescent="0.35">
      <c r="A3194" t="s">
        <v>3344</v>
      </c>
      <c r="B3194" s="7">
        <v>45486</v>
      </c>
      <c r="C3194" s="13">
        <f t="shared" si="393"/>
        <v>2024</v>
      </c>
      <c r="D3194" s="7" t="str">
        <f t="shared" si="394"/>
        <v>Jul</v>
      </c>
      <c r="E3194" s="7" t="str">
        <f t="shared" si="395"/>
        <v>Sat</v>
      </c>
      <c r="F3194" t="s">
        <v>142</v>
      </c>
      <c r="G3194" t="s">
        <v>41</v>
      </c>
      <c r="H3194" t="s">
        <v>11</v>
      </c>
      <c r="I3194" s="2" t="str">
        <f t="shared" si="392"/>
        <v>North</v>
      </c>
      <c r="J3194" t="s">
        <v>42</v>
      </c>
      <c r="K3194" t="s">
        <v>28</v>
      </c>
      <c r="L3194">
        <v>10</v>
      </c>
      <c r="M3194">
        <v>120</v>
      </c>
      <c r="N3194">
        <f t="shared" si="396"/>
        <v>1200</v>
      </c>
      <c r="O3194">
        <f t="shared" si="397"/>
        <v>120</v>
      </c>
      <c r="P3194" t="str">
        <f t="shared" si="398"/>
        <v>Large Order</v>
      </c>
      <c r="Q3194" t="str">
        <f t="shared" si="399"/>
        <v>Weekend</v>
      </c>
    </row>
    <row r="3195" spans="1:17" x14ac:dyDescent="0.35">
      <c r="A3195" t="s">
        <v>3345</v>
      </c>
      <c r="B3195" s="7">
        <v>45368</v>
      </c>
      <c r="C3195" s="13">
        <f t="shared" si="393"/>
        <v>2024</v>
      </c>
      <c r="D3195" s="7" t="str">
        <f t="shared" si="394"/>
        <v>Mar</v>
      </c>
      <c r="E3195" s="7" t="str">
        <f t="shared" si="395"/>
        <v>Sun</v>
      </c>
      <c r="F3195" t="s">
        <v>89</v>
      </c>
      <c r="G3195" t="s">
        <v>109</v>
      </c>
      <c r="H3195" t="s">
        <v>22</v>
      </c>
      <c r="I3195" s="2" t="str">
        <f t="shared" si="392"/>
        <v>Central</v>
      </c>
      <c r="J3195" t="s">
        <v>12</v>
      </c>
      <c r="K3195" t="s">
        <v>28</v>
      </c>
      <c r="L3195">
        <v>12</v>
      </c>
      <c r="M3195">
        <v>120</v>
      </c>
      <c r="N3195">
        <f t="shared" si="396"/>
        <v>1440</v>
      </c>
      <c r="O3195">
        <f t="shared" si="397"/>
        <v>144</v>
      </c>
      <c r="P3195" t="str">
        <f t="shared" si="398"/>
        <v>Large Order</v>
      </c>
      <c r="Q3195" t="str">
        <f t="shared" si="399"/>
        <v>Weekend</v>
      </c>
    </row>
    <row r="3196" spans="1:17" x14ac:dyDescent="0.35">
      <c r="A3196" t="s">
        <v>3346</v>
      </c>
      <c r="B3196" s="7">
        <v>45583</v>
      </c>
      <c r="C3196" s="13">
        <f t="shared" si="393"/>
        <v>2024</v>
      </c>
      <c r="D3196" s="7" t="str">
        <f t="shared" si="394"/>
        <v>Oct</v>
      </c>
      <c r="E3196" s="7" t="str">
        <f t="shared" si="395"/>
        <v>Fri</v>
      </c>
      <c r="F3196" t="s">
        <v>541</v>
      </c>
      <c r="G3196" t="s">
        <v>96</v>
      </c>
      <c r="H3196" t="s">
        <v>22</v>
      </c>
      <c r="I3196" s="2" t="str">
        <f t="shared" si="392"/>
        <v>East</v>
      </c>
      <c r="J3196" t="s">
        <v>306</v>
      </c>
      <c r="K3196" t="s">
        <v>28</v>
      </c>
      <c r="L3196">
        <v>7</v>
      </c>
      <c r="M3196">
        <v>120</v>
      </c>
      <c r="N3196">
        <f t="shared" si="396"/>
        <v>840</v>
      </c>
      <c r="O3196">
        <f t="shared" si="397"/>
        <v>84</v>
      </c>
      <c r="P3196" t="str">
        <f t="shared" si="398"/>
        <v>Large Order</v>
      </c>
      <c r="Q3196" t="str">
        <f t="shared" si="399"/>
        <v>Weekday</v>
      </c>
    </row>
    <row r="3197" spans="1:17" x14ac:dyDescent="0.35">
      <c r="A3197" t="s">
        <v>3347</v>
      </c>
      <c r="B3197" s="7">
        <v>45308</v>
      </c>
      <c r="C3197" s="13">
        <f t="shared" si="393"/>
        <v>2024</v>
      </c>
      <c r="D3197" s="7" t="str">
        <f t="shared" si="394"/>
        <v>Jan</v>
      </c>
      <c r="E3197" s="7" t="str">
        <f t="shared" si="395"/>
        <v>Wed</v>
      </c>
      <c r="F3197" t="s">
        <v>341</v>
      </c>
      <c r="G3197" t="s">
        <v>21</v>
      </c>
      <c r="H3197" t="s">
        <v>11</v>
      </c>
      <c r="I3197" s="2" t="str">
        <f t="shared" si="392"/>
        <v>North</v>
      </c>
      <c r="J3197" t="s">
        <v>42</v>
      </c>
      <c r="K3197" t="s">
        <v>36</v>
      </c>
      <c r="L3197">
        <v>3</v>
      </c>
      <c r="M3197">
        <v>120</v>
      </c>
      <c r="N3197">
        <f t="shared" si="396"/>
        <v>360</v>
      </c>
      <c r="O3197">
        <f t="shared" si="397"/>
        <v>36</v>
      </c>
      <c r="P3197" t="str">
        <f t="shared" si="398"/>
        <v>Standard Order</v>
      </c>
      <c r="Q3197" t="str">
        <f t="shared" si="399"/>
        <v>Weekday</v>
      </c>
    </row>
    <row r="3198" spans="1:17" x14ac:dyDescent="0.35">
      <c r="A3198" t="s">
        <v>3348</v>
      </c>
      <c r="B3198" s="7">
        <v>45565</v>
      </c>
      <c r="C3198" s="13">
        <f t="shared" si="393"/>
        <v>2024</v>
      </c>
      <c r="D3198" s="7" t="str">
        <f t="shared" si="394"/>
        <v>Sep</v>
      </c>
      <c r="E3198" s="7" t="str">
        <f t="shared" si="395"/>
        <v>Mon</v>
      </c>
      <c r="F3198" t="s">
        <v>304</v>
      </c>
      <c r="G3198" t="s">
        <v>174</v>
      </c>
      <c r="H3198" t="s">
        <v>11</v>
      </c>
      <c r="I3198" s="2" t="str">
        <f t="shared" si="392"/>
        <v>South</v>
      </c>
      <c r="J3198" t="s">
        <v>12</v>
      </c>
      <c r="K3198" t="s">
        <v>23</v>
      </c>
      <c r="L3198">
        <v>19</v>
      </c>
      <c r="M3198">
        <v>120</v>
      </c>
      <c r="N3198">
        <f t="shared" si="396"/>
        <v>2280</v>
      </c>
      <c r="O3198">
        <f t="shared" si="397"/>
        <v>228</v>
      </c>
      <c r="P3198" t="str">
        <f t="shared" si="398"/>
        <v>Large Order</v>
      </c>
      <c r="Q3198" t="str">
        <f t="shared" si="399"/>
        <v>Weekday</v>
      </c>
    </row>
    <row r="3199" spans="1:17" x14ac:dyDescent="0.35">
      <c r="A3199" t="s">
        <v>3349</v>
      </c>
      <c r="B3199" s="7">
        <v>45417</v>
      </c>
      <c r="C3199" s="13">
        <f t="shared" si="393"/>
        <v>2024</v>
      </c>
      <c r="D3199" s="7" t="str">
        <f t="shared" si="394"/>
        <v>May</v>
      </c>
      <c r="E3199" s="7" t="str">
        <f t="shared" si="395"/>
        <v>Sun</v>
      </c>
      <c r="F3199" t="s">
        <v>230</v>
      </c>
      <c r="G3199" t="s">
        <v>84</v>
      </c>
      <c r="H3199" t="s">
        <v>11</v>
      </c>
      <c r="I3199" s="2" t="str">
        <f t="shared" si="392"/>
        <v>North</v>
      </c>
      <c r="J3199" t="s">
        <v>56</v>
      </c>
      <c r="K3199" t="s">
        <v>28</v>
      </c>
      <c r="L3199">
        <v>15</v>
      </c>
      <c r="M3199">
        <v>120</v>
      </c>
      <c r="N3199">
        <f t="shared" si="396"/>
        <v>1800</v>
      </c>
      <c r="O3199">
        <f t="shared" si="397"/>
        <v>180</v>
      </c>
      <c r="P3199" t="str">
        <f t="shared" si="398"/>
        <v>Large Order</v>
      </c>
      <c r="Q3199" t="str">
        <f t="shared" si="399"/>
        <v>Weekend</v>
      </c>
    </row>
    <row r="3200" spans="1:17" x14ac:dyDescent="0.35">
      <c r="A3200" t="s">
        <v>3350</v>
      </c>
      <c r="B3200" s="7">
        <v>45603</v>
      </c>
      <c r="C3200" s="13">
        <f t="shared" si="393"/>
        <v>2024</v>
      </c>
      <c r="D3200" s="7" t="str">
        <f t="shared" si="394"/>
        <v>Nov</v>
      </c>
      <c r="E3200" s="7" t="str">
        <f t="shared" si="395"/>
        <v>Thu</v>
      </c>
      <c r="F3200" t="s">
        <v>101</v>
      </c>
      <c r="G3200" t="s">
        <v>174</v>
      </c>
      <c r="H3200" t="s">
        <v>17</v>
      </c>
      <c r="I3200" s="2" t="str">
        <f t="shared" si="392"/>
        <v>South</v>
      </c>
      <c r="J3200" t="s">
        <v>12</v>
      </c>
      <c r="K3200" t="s">
        <v>28</v>
      </c>
      <c r="L3200">
        <v>3</v>
      </c>
      <c r="M3200">
        <v>120</v>
      </c>
      <c r="N3200">
        <f t="shared" si="396"/>
        <v>360</v>
      </c>
      <c r="O3200">
        <f t="shared" si="397"/>
        <v>36</v>
      </c>
      <c r="P3200" t="str">
        <f t="shared" si="398"/>
        <v>Standard Order</v>
      </c>
      <c r="Q3200" t="str">
        <f t="shared" si="399"/>
        <v>Weekday</v>
      </c>
    </row>
    <row r="3201" spans="1:17" x14ac:dyDescent="0.35">
      <c r="A3201" t="s">
        <v>3351</v>
      </c>
      <c r="B3201" s="7">
        <v>45359</v>
      </c>
      <c r="C3201" s="13">
        <f t="shared" si="393"/>
        <v>2024</v>
      </c>
      <c r="D3201" s="7" t="str">
        <f t="shared" si="394"/>
        <v>Mar</v>
      </c>
      <c r="E3201" s="7" t="str">
        <f t="shared" si="395"/>
        <v>Fri</v>
      </c>
      <c r="F3201" t="s">
        <v>363</v>
      </c>
      <c r="G3201" t="s">
        <v>74</v>
      </c>
      <c r="H3201" t="s">
        <v>11</v>
      </c>
      <c r="I3201" s="2" t="str">
        <f t="shared" si="392"/>
        <v>Central</v>
      </c>
      <c r="J3201" t="s">
        <v>56</v>
      </c>
      <c r="K3201" t="s">
        <v>28</v>
      </c>
      <c r="L3201">
        <v>8</v>
      </c>
      <c r="M3201">
        <v>120</v>
      </c>
      <c r="N3201">
        <f t="shared" si="396"/>
        <v>960</v>
      </c>
      <c r="O3201">
        <f t="shared" si="397"/>
        <v>96</v>
      </c>
      <c r="P3201" t="str">
        <f t="shared" si="398"/>
        <v>Large Order</v>
      </c>
      <c r="Q3201" t="str">
        <f t="shared" si="399"/>
        <v>Weekday</v>
      </c>
    </row>
    <row r="3202" spans="1:17" x14ac:dyDescent="0.35">
      <c r="A3202" t="s">
        <v>3352</v>
      </c>
      <c r="B3202" s="7">
        <v>45589</v>
      </c>
      <c r="C3202" s="13">
        <f t="shared" si="393"/>
        <v>2024</v>
      </c>
      <c r="D3202" s="7" t="str">
        <f t="shared" si="394"/>
        <v>Oct</v>
      </c>
      <c r="E3202" s="7" t="str">
        <f t="shared" si="395"/>
        <v>Thu</v>
      </c>
      <c r="F3202" t="s">
        <v>517</v>
      </c>
      <c r="G3202" t="s">
        <v>70</v>
      </c>
      <c r="H3202" t="s">
        <v>11</v>
      </c>
      <c r="I3202" s="2" t="str">
        <f t="shared" si="392"/>
        <v>West</v>
      </c>
      <c r="J3202" t="s">
        <v>306</v>
      </c>
      <c r="K3202" t="s">
        <v>13</v>
      </c>
      <c r="L3202">
        <v>11</v>
      </c>
      <c r="M3202">
        <v>120</v>
      </c>
      <c r="N3202">
        <f t="shared" si="396"/>
        <v>1320</v>
      </c>
      <c r="O3202">
        <f t="shared" si="397"/>
        <v>132</v>
      </c>
      <c r="P3202" t="str">
        <f t="shared" si="398"/>
        <v>Large Order</v>
      </c>
      <c r="Q3202" t="str">
        <f t="shared" si="399"/>
        <v>Weekday</v>
      </c>
    </row>
    <row r="3203" spans="1:17" x14ac:dyDescent="0.35">
      <c r="A3203" t="s">
        <v>3353</v>
      </c>
      <c r="B3203" s="7">
        <v>45329</v>
      </c>
      <c r="C3203" s="13">
        <f t="shared" si="393"/>
        <v>2024</v>
      </c>
      <c r="D3203" s="7" t="str">
        <f t="shared" si="394"/>
        <v>Feb</v>
      </c>
      <c r="E3203" s="7" t="str">
        <f t="shared" si="395"/>
        <v>Wed</v>
      </c>
      <c r="F3203" t="s">
        <v>104</v>
      </c>
      <c r="G3203" t="s">
        <v>35</v>
      </c>
      <c r="H3203" t="s">
        <v>11</v>
      </c>
      <c r="I3203" s="2" t="str">
        <f t="shared" ref="I3203:I3266" si="400">TRIM(J3204)</f>
        <v>West</v>
      </c>
      <c r="J3203" t="s">
        <v>27</v>
      </c>
      <c r="K3203" t="s">
        <v>13</v>
      </c>
      <c r="L3203">
        <v>16</v>
      </c>
      <c r="M3203">
        <v>120</v>
      </c>
      <c r="N3203">
        <f t="shared" si="396"/>
        <v>1920</v>
      </c>
      <c r="O3203">
        <f t="shared" si="397"/>
        <v>192</v>
      </c>
      <c r="P3203" t="str">
        <f t="shared" si="398"/>
        <v>Large Order</v>
      </c>
      <c r="Q3203" t="str">
        <f t="shared" si="399"/>
        <v>Weekday</v>
      </c>
    </row>
    <row r="3204" spans="1:17" x14ac:dyDescent="0.35">
      <c r="A3204" t="s">
        <v>3354</v>
      </c>
      <c r="B3204" s="7">
        <v>45569</v>
      </c>
      <c r="C3204" s="13">
        <f t="shared" ref="C3204:C3267" si="401">YEAR(B3204)</f>
        <v>2024</v>
      </c>
      <c r="D3204" s="7" t="str">
        <f t="shared" ref="D3204:D3267" si="402">TEXT(B3204,"mmm")</f>
        <v>Oct</v>
      </c>
      <c r="E3204" s="7" t="str">
        <f t="shared" ref="E3204:E3267" si="403">TEXT(B3204,"ddd")</f>
        <v>Fri</v>
      </c>
      <c r="F3204" t="s">
        <v>449</v>
      </c>
      <c r="G3204" t="s">
        <v>65</v>
      </c>
      <c r="H3204" t="s">
        <v>22</v>
      </c>
      <c r="I3204" s="2" t="str">
        <f t="shared" si="400"/>
        <v>South</v>
      </c>
      <c r="J3204" t="s">
        <v>27</v>
      </c>
      <c r="K3204" t="s">
        <v>32</v>
      </c>
      <c r="L3204">
        <v>19</v>
      </c>
      <c r="M3204">
        <v>120</v>
      </c>
      <c r="N3204">
        <f t="shared" ref="N3204:N3267" si="404">M3204*L3204</f>
        <v>2280</v>
      </c>
      <c r="O3204">
        <f t="shared" ref="O3204:O3267" si="405">N3204*0.1</f>
        <v>228</v>
      </c>
      <c r="P3204" t="str">
        <f t="shared" ref="P3204:P3267" si="406">IF(N3204&gt;500,"Large Order","Standard Order")</f>
        <v>Large Order</v>
      </c>
      <c r="Q3204" t="str">
        <f t="shared" ref="Q3204:Q3267" si="407">IF(OR(TRIM(E3204)="Sat",TRIM(E3204)="Sun"),"Weekend","Weekday")</f>
        <v>Weekday</v>
      </c>
    </row>
    <row r="3205" spans="1:17" x14ac:dyDescent="0.35">
      <c r="A3205" t="s">
        <v>3355</v>
      </c>
      <c r="B3205" s="7">
        <v>45512</v>
      </c>
      <c r="C3205" s="13">
        <f t="shared" si="401"/>
        <v>2024</v>
      </c>
      <c r="D3205" s="7" t="str">
        <f t="shared" si="402"/>
        <v>Aug</v>
      </c>
      <c r="E3205" s="7" t="str">
        <f t="shared" si="403"/>
        <v>Thu</v>
      </c>
      <c r="F3205" t="s">
        <v>40</v>
      </c>
      <c r="G3205" t="s">
        <v>84</v>
      </c>
      <c r="H3205" t="s">
        <v>17</v>
      </c>
      <c r="I3205" s="2" t="str">
        <f t="shared" si="400"/>
        <v>Central</v>
      </c>
      <c r="J3205" t="s">
        <v>56</v>
      </c>
      <c r="K3205" t="s">
        <v>36</v>
      </c>
      <c r="L3205">
        <v>20</v>
      </c>
      <c r="M3205">
        <v>120</v>
      </c>
      <c r="N3205">
        <f t="shared" si="404"/>
        <v>2400</v>
      </c>
      <c r="O3205">
        <f t="shared" si="405"/>
        <v>240</v>
      </c>
      <c r="P3205" t="str">
        <f t="shared" si="406"/>
        <v>Large Order</v>
      </c>
      <c r="Q3205" t="str">
        <f t="shared" si="407"/>
        <v>Weekday</v>
      </c>
    </row>
    <row r="3206" spans="1:17" x14ac:dyDescent="0.35">
      <c r="A3206" t="s">
        <v>3356</v>
      </c>
      <c r="B3206" s="7">
        <v>45292</v>
      </c>
      <c r="C3206" s="13">
        <f t="shared" si="401"/>
        <v>2024</v>
      </c>
      <c r="D3206" s="7" t="str">
        <f t="shared" si="402"/>
        <v>Jan</v>
      </c>
      <c r="E3206" s="7" t="str">
        <f t="shared" si="403"/>
        <v>Mon</v>
      </c>
      <c r="F3206" t="s">
        <v>230</v>
      </c>
      <c r="G3206" t="s">
        <v>119</v>
      </c>
      <c r="H3206" t="s">
        <v>17</v>
      </c>
      <c r="I3206" s="2" t="str">
        <f t="shared" si="400"/>
        <v>East</v>
      </c>
      <c r="J3206" t="s">
        <v>306</v>
      </c>
      <c r="K3206" t="s">
        <v>32</v>
      </c>
      <c r="L3206">
        <v>16</v>
      </c>
      <c r="M3206">
        <v>120</v>
      </c>
      <c r="N3206">
        <f t="shared" si="404"/>
        <v>1920</v>
      </c>
      <c r="O3206">
        <f t="shared" si="405"/>
        <v>192</v>
      </c>
      <c r="P3206" t="str">
        <f t="shared" si="406"/>
        <v>Large Order</v>
      </c>
      <c r="Q3206" t="str">
        <f t="shared" si="407"/>
        <v>Weekday</v>
      </c>
    </row>
    <row r="3207" spans="1:17" x14ac:dyDescent="0.35">
      <c r="A3207" t="s">
        <v>3357</v>
      </c>
      <c r="B3207" s="7">
        <v>45460</v>
      </c>
      <c r="C3207" s="13">
        <f t="shared" si="401"/>
        <v>2024</v>
      </c>
      <c r="D3207" s="7" t="str">
        <f t="shared" si="402"/>
        <v>Jun</v>
      </c>
      <c r="E3207" s="7" t="str">
        <f t="shared" si="403"/>
        <v>Mon</v>
      </c>
      <c r="F3207" t="s">
        <v>358</v>
      </c>
      <c r="G3207" t="s">
        <v>35</v>
      </c>
      <c r="H3207" t="s">
        <v>22</v>
      </c>
      <c r="I3207" s="2" t="str">
        <f t="shared" si="400"/>
        <v>Central</v>
      </c>
      <c r="J3207" t="s">
        <v>42</v>
      </c>
      <c r="K3207" t="s">
        <v>32</v>
      </c>
      <c r="L3207">
        <v>9</v>
      </c>
      <c r="M3207">
        <v>120</v>
      </c>
      <c r="N3207">
        <f t="shared" si="404"/>
        <v>1080</v>
      </c>
      <c r="O3207">
        <f t="shared" si="405"/>
        <v>108</v>
      </c>
      <c r="P3207" t="str">
        <f t="shared" si="406"/>
        <v>Large Order</v>
      </c>
      <c r="Q3207" t="str">
        <f t="shared" si="407"/>
        <v>Weekday</v>
      </c>
    </row>
    <row r="3208" spans="1:17" x14ac:dyDescent="0.35">
      <c r="A3208" t="s">
        <v>3358</v>
      </c>
      <c r="B3208" s="7">
        <v>45419</v>
      </c>
      <c r="C3208" s="13">
        <f t="shared" si="401"/>
        <v>2024</v>
      </c>
      <c r="D3208" s="7" t="str">
        <f t="shared" si="402"/>
        <v>May</v>
      </c>
      <c r="E3208" s="7" t="str">
        <f t="shared" si="403"/>
        <v>Tue</v>
      </c>
      <c r="F3208" t="s">
        <v>47</v>
      </c>
      <c r="G3208" t="s">
        <v>26</v>
      </c>
      <c r="H3208" t="s">
        <v>22</v>
      </c>
      <c r="I3208" s="2" t="str">
        <f t="shared" si="400"/>
        <v>North</v>
      </c>
      <c r="J3208" t="s">
        <v>306</v>
      </c>
      <c r="K3208" t="s">
        <v>36</v>
      </c>
      <c r="L3208">
        <v>10</v>
      </c>
      <c r="M3208">
        <v>120</v>
      </c>
      <c r="N3208">
        <f t="shared" si="404"/>
        <v>1200</v>
      </c>
      <c r="O3208">
        <f t="shared" si="405"/>
        <v>120</v>
      </c>
      <c r="P3208" t="str">
        <f t="shared" si="406"/>
        <v>Large Order</v>
      </c>
      <c r="Q3208" t="str">
        <f t="shared" si="407"/>
        <v>Weekday</v>
      </c>
    </row>
    <row r="3209" spans="1:17" x14ac:dyDescent="0.35">
      <c r="A3209" t="s">
        <v>3359</v>
      </c>
      <c r="B3209" s="7">
        <v>45349</v>
      </c>
      <c r="C3209" s="13">
        <f t="shared" si="401"/>
        <v>2024</v>
      </c>
      <c r="D3209" s="7" t="str">
        <f t="shared" si="402"/>
        <v>Feb</v>
      </c>
      <c r="E3209" s="7" t="str">
        <f t="shared" si="403"/>
        <v>Tue</v>
      </c>
      <c r="F3209" t="s">
        <v>664</v>
      </c>
      <c r="G3209" t="s">
        <v>45</v>
      </c>
      <c r="H3209" t="s">
        <v>17</v>
      </c>
      <c r="I3209" s="2" t="str">
        <f t="shared" si="400"/>
        <v>East</v>
      </c>
      <c r="J3209" t="s">
        <v>12</v>
      </c>
      <c r="K3209" t="s">
        <v>32</v>
      </c>
      <c r="L3209">
        <v>17</v>
      </c>
      <c r="M3209">
        <v>120</v>
      </c>
      <c r="N3209">
        <f t="shared" si="404"/>
        <v>2040</v>
      </c>
      <c r="O3209">
        <f t="shared" si="405"/>
        <v>204</v>
      </c>
      <c r="P3209" t="str">
        <f t="shared" si="406"/>
        <v>Large Order</v>
      </c>
      <c r="Q3209" t="str">
        <f t="shared" si="407"/>
        <v>Weekday</v>
      </c>
    </row>
    <row r="3210" spans="1:17" x14ac:dyDescent="0.35">
      <c r="A3210" t="s">
        <v>3360</v>
      </c>
      <c r="B3210" s="7">
        <v>45375</v>
      </c>
      <c r="C3210" s="13">
        <f t="shared" si="401"/>
        <v>2024</v>
      </c>
      <c r="D3210" s="7" t="str">
        <f t="shared" si="402"/>
        <v>Mar</v>
      </c>
      <c r="E3210" s="7" t="str">
        <f t="shared" si="403"/>
        <v>Sun</v>
      </c>
      <c r="F3210" t="s">
        <v>235</v>
      </c>
      <c r="G3210" t="s">
        <v>10</v>
      </c>
      <c r="H3210" t="s">
        <v>17</v>
      </c>
      <c r="I3210" s="2" t="str">
        <f t="shared" si="400"/>
        <v>North</v>
      </c>
      <c r="J3210" t="s">
        <v>42</v>
      </c>
      <c r="K3210" t="s">
        <v>13</v>
      </c>
      <c r="L3210">
        <v>15</v>
      </c>
      <c r="M3210">
        <v>120</v>
      </c>
      <c r="N3210">
        <f t="shared" si="404"/>
        <v>1800</v>
      </c>
      <c r="O3210">
        <f t="shared" si="405"/>
        <v>180</v>
      </c>
      <c r="P3210" t="str">
        <f t="shared" si="406"/>
        <v>Large Order</v>
      </c>
      <c r="Q3210" t="str">
        <f t="shared" si="407"/>
        <v>Weekend</v>
      </c>
    </row>
    <row r="3211" spans="1:17" x14ac:dyDescent="0.35">
      <c r="A3211" t="s">
        <v>3361</v>
      </c>
      <c r="B3211" s="7">
        <v>45643</v>
      </c>
      <c r="C3211" s="13">
        <f t="shared" si="401"/>
        <v>2024</v>
      </c>
      <c r="D3211" s="7" t="str">
        <f t="shared" si="402"/>
        <v>Dec</v>
      </c>
      <c r="E3211" s="7" t="str">
        <f t="shared" si="403"/>
        <v>Tue</v>
      </c>
      <c r="F3211" t="s">
        <v>312</v>
      </c>
      <c r="G3211" t="s">
        <v>45</v>
      </c>
      <c r="H3211" t="s">
        <v>11</v>
      </c>
      <c r="I3211" s="2" t="str">
        <f t="shared" si="400"/>
        <v>West</v>
      </c>
      <c r="J3211" t="s">
        <v>12</v>
      </c>
      <c r="K3211" t="s">
        <v>28</v>
      </c>
      <c r="L3211">
        <v>7</v>
      </c>
      <c r="M3211">
        <v>120</v>
      </c>
      <c r="N3211">
        <f t="shared" si="404"/>
        <v>840</v>
      </c>
      <c r="O3211">
        <f t="shared" si="405"/>
        <v>84</v>
      </c>
      <c r="P3211" t="str">
        <f t="shared" si="406"/>
        <v>Large Order</v>
      </c>
      <c r="Q3211" t="str">
        <f t="shared" si="407"/>
        <v>Weekday</v>
      </c>
    </row>
    <row r="3212" spans="1:17" x14ac:dyDescent="0.35">
      <c r="A3212" t="s">
        <v>3362</v>
      </c>
      <c r="B3212" s="7">
        <v>45448</v>
      </c>
      <c r="C3212" s="13">
        <f t="shared" si="401"/>
        <v>2024</v>
      </c>
      <c r="D3212" s="7" t="str">
        <f t="shared" si="402"/>
        <v>Jun</v>
      </c>
      <c r="E3212" s="7" t="str">
        <f t="shared" si="403"/>
        <v>Wed</v>
      </c>
      <c r="F3212" t="s">
        <v>38</v>
      </c>
      <c r="G3212" t="s">
        <v>119</v>
      </c>
      <c r="H3212" t="s">
        <v>22</v>
      </c>
      <c r="I3212" s="2" t="str">
        <f t="shared" si="400"/>
        <v>East</v>
      </c>
      <c r="J3212" t="s">
        <v>27</v>
      </c>
      <c r="K3212" t="s">
        <v>13</v>
      </c>
      <c r="L3212">
        <v>10</v>
      </c>
      <c r="M3212">
        <v>120</v>
      </c>
      <c r="N3212">
        <f t="shared" si="404"/>
        <v>1200</v>
      </c>
      <c r="O3212">
        <f t="shared" si="405"/>
        <v>120</v>
      </c>
      <c r="P3212" t="str">
        <f t="shared" si="406"/>
        <v>Large Order</v>
      </c>
      <c r="Q3212" t="str">
        <f t="shared" si="407"/>
        <v>Weekday</v>
      </c>
    </row>
    <row r="3213" spans="1:17" x14ac:dyDescent="0.35">
      <c r="A3213" t="s">
        <v>3363</v>
      </c>
      <c r="B3213" s="7">
        <v>45399</v>
      </c>
      <c r="C3213" s="13">
        <f t="shared" si="401"/>
        <v>2024</v>
      </c>
      <c r="D3213" s="7" t="str">
        <f t="shared" si="402"/>
        <v>Apr</v>
      </c>
      <c r="E3213" s="7" t="str">
        <f t="shared" si="403"/>
        <v>Wed</v>
      </c>
      <c r="F3213" t="s">
        <v>314</v>
      </c>
      <c r="G3213" t="s">
        <v>41</v>
      </c>
      <c r="H3213" t="s">
        <v>11</v>
      </c>
      <c r="I3213" s="2" t="str">
        <f t="shared" si="400"/>
        <v>South</v>
      </c>
      <c r="J3213" t="s">
        <v>42</v>
      </c>
      <c r="K3213" t="s">
        <v>28</v>
      </c>
      <c r="L3213">
        <v>7</v>
      </c>
      <c r="M3213">
        <v>120</v>
      </c>
      <c r="N3213">
        <f t="shared" si="404"/>
        <v>840</v>
      </c>
      <c r="O3213">
        <f t="shared" si="405"/>
        <v>84</v>
      </c>
      <c r="P3213" t="str">
        <f t="shared" si="406"/>
        <v>Large Order</v>
      </c>
      <c r="Q3213" t="str">
        <f t="shared" si="407"/>
        <v>Weekday</v>
      </c>
    </row>
    <row r="3214" spans="1:17" x14ac:dyDescent="0.35">
      <c r="A3214" t="s">
        <v>3364</v>
      </c>
      <c r="B3214" s="7">
        <v>45379</v>
      </c>
      <c r="C3214" s="13">
        <f t="shared" si="401"/>
        <v>2024</v>
      </c>
      <c r="D3214" s="7" t="str">
        <f t="shared" si="402"/>
        <v>Mar</v>
      </c>
      <c r="E3214" s="7" t="str">
        <f t="shared" si="403"/>
        <v>Thu</v>
      </c>
      <c r="F3214" t="s">
        <v>111</v>
      </c>
      <c r="G3214" t="s">
        <v>109</v>
      </c>
      <c r="H3214" t="s">
        <v>22</v>
      </c>
      <c r="I3214" s="2" t="str">
        <f t="shared" si="400"/>
        <v>East</v>
      </c>
      <c r="J3214" t="s">
        <v>56</v>
      </c>
      <c r="K3214" t="s">
        <v>32</v>
      </c>
      <c r="L3214">
        <v>17</v>
      </c>
      <c r="M3214">
        <v>120</v>
      </c>
      <c r="N3214">
        <f t="shared" si="404"/>
        <v>2040</v>
      </c>
      <c r="O3214">
        <f t="shared" si="405"/>
        <v>204</v>
      </c>
      <c r="P3214" t="str">
        <f t="shared" si="406"/>
        <v>Large Order</v>
      </c>
      <c r="Q3214" t="str">
        <f t="shared" si="407"/>
        <v>Weekday</v>
      </c>
    </row>
    <row r="3215" spans="1:17" x14ac:dyDescent="0.35">
      <c r="A3215" t="s">
        <v>3365</v>
      </c>
      <c r="B3215" s="7">
        <v>45626</v>
      </c>
      <c r="C3215" s="13">
        <f t="shared" si="401"/>
        <v>2024</v>
      </c>
      <c r="D3215" s="7" t="str">
        <f t="shared" si="402"/>
        <v>Nov</v>
      </c>
      <c r="E3215" s="7" t="str">
        <f t="shared" si="403"/>
        <v>Sat</v>
      </c>
      <c r="F3215" t="s">
        <v>327</v>
      </c>
      <c r="G3215" t="s">
        <v>87</v>
      </c>
      <c r="H3215" t="s">
        <v>22</v>
      </c>
      <c r="I3215" s="2" t="str">
        <f t="shared" si="400"/>
        <v>East</v>
      </c>
      <c r="J3215" t="s">
        <v>42</v>
      </c>
      <c r="K3215" t="s">
        <v>28</v>
      </c>
      <c r="L3215">
        <v>9</v>
      </c>
      <c r="M3215">
        <v>120</v>
      </c>
      <c r="N3215">
        <f t="shared" si="404"/>
        <v>1080</v>
      </c>
      <c r="O3215">
        <f t="shared" si="405"/>
        <v>108</v>
      </c>
      <c r="P3215" t="str">
        <f t="shared" si="406"/>
        <v>Large Order</v>
      </c>
      <c r="Q3215" t="str">
        <f t="shared" si="407"/>
        <v>Weekend</v>
      </c>
    </row>
    <row r="3216" spans="1:17" x14ac:dyDescent="0.35">
      <c r="A3216" t="s">
        <v>3366</v>
      </c>
      <c r="B3216" s="7">
        <v>45447</v>
      </c>
      <c r="C3216" s="13">
        <f t="shared" si="401"/>
        <v>2024</v>
      </c>
      <c r="D3216" s="7" t="str">
        <f t="shared" si="402"/>
        <v>Jun</v>
      </c>
      <c r="E3216" s="7" t="str">
        <f t="shared" si="403"/>
        <v>Tue</v>
      </c>
      <c r="F3216" t="s">
        <v>200</v>
      </c>
      <c r="G3216" t="s">
        <v>16</v>
      </c>
      <c r="H3216" t="s">
        <v>17</v>
      </c>
      <c r="I3216" s="2" t="str">
        <f t="shared" si="400"/>
        <v>North</v>
      </c>
      <c r="J3216" t="s">
        <v>42</v>
      </c>
      <c r="K3216" t="s">
        <v>32</v>
      </c>
      <c r="L3216">
        <v>11</v>
      </c>
      <c r="M3216">
        <v>120</v>
      </c>
      <c r="N3216">
        <f t="shared" si="404"/>
        <v>1320</v>
      </c>
      <c r="O3216">
        <f t="shared" si="405"/>
        <v>132</v>
      </c>
      <c r="P3216" t="str">
        <f t="shared" si="406"/>
        <v>Large Order</v>
      </c>
      <c r="Q3216" t="str">
        <f t="shared" si="407"/>
        <v>Weekday</v>
      </c>
    </row>
    <row r="3217" spans="1:17" x14ac:dyDescent="0.35">
      <c r="A3217" t="s">
        <v>3367</v>
      </c>
      <c r="B3217" s="7">
        <v>45509</v>
      </c>
      <c r="C3217" s="13">
        <f t="shared" si="401"/>
        <v>2024</v>
      </c>
      <c r="D3217" s="7" t="str">
        <f t="shared" si="402"/>
        <v>Aug</v>
      </c>
      <c r="E3217" s="7" t="str">
        <f t="shared" si="403"/>
        <v>Mon</v>
      </c>
      <c r="F3217" t="s">
        <v>614</v>
      </c>
      <c r="G3217" t="s">
        <v>31</v>
      </c>
      <c r="H3217" t="s">
        <v>17</v>
      </c>
      <c r="I3217" s="2" t="str">
        <f t="shared" si="400"/>
        <v>East</v>
      </c>
      <c r="J3217" t="s">
        <v>12</v>
      </c>
      <c r="K3217" t="s">
        <v>23</v>
      </c>
      <c r="L3217">
        <v>2</v>
      </c>
      <c r="M3217">
        <v>120</v>
      </c>
      <c r="N3217">
        <f t="shared" si="404"/>
        <v>240</v>
      </c>
      <c r="O3217">
        <f t="shared" si="405"/>
        <v>24</v>
      </c>
      <c r="P3217" t="str">
        <f t="shared" si="406"/>
        <v>Standard Order</v>
      </c>
      <c r="Q3217" t="str">
        <f t="shared" si="407"/>
        <v>Weekday</v>
      </c>
    </row>
    <row r="3218" spans="1:17" x14ac:dyDescent="0.35">
      <c r="A3218" t="s">
        <v>3368</v>
      </c>
      <c r="B3218" s="7">
        <v>45473</v>
      </c>
      <c r="C3218" s="13">
        <f t="shared" si="401"/>
        <v>2024</v>
      </c>
      <c r="D3218" s="7" t="str">
        <f t="shared" si="402"/>
        <v>Jun</v>
      </c>
      <c r="E3218" s="7" t="str">
        <f t="shared" si="403"/>
        <v>Sun</v>
      </c>
      <c r="F3218" t="s">
        <v>736</v>
      </c>
      <c r="G3218" t="s">
        <v>16</v>
      </c>
      <c r="H3218" t="s">
        <v>17</v>
      </c>
      <c r="I3218" s="2" t="str">
        <f t="shared" si="400"/>
        <v>East</v>
      </c>
      <c r="J3218" t="s">
        <v>42</v>
      </c>
      <c r="K3218" t="s">
        <v>13</v>
      </c>
      <c r="L3218">
        <v>7</v>
      </c>
      <c r="M3218">
        <v>120</v>
      </c>
      <c r="N3218">
        <f t="shared" si="404"/>
        <v>840</v>
      </c>
      <c r="O3218">
        <f t="shared" si="405"/>
        <v>84</v>
      </c>
      <c r="P3218" t="str">
        <f t="shared" si="406"/>
        <v>Large Order</v>
      </c>
      <c r="Q3218" t="str">
        <f t="shared" si="407"/>
        <v>Weekend</v>
      </c>
    </row>
    <row r="3219" spans="1:17" x14ac:dyDescent="0.35">
      <c r="A3219" t="s">
        <v>3369</v>
      </c>
      <c r="B3219" s="7">
        <v>45423</v>
      </c>
      <c r="C3219" s="13">
        <f t="shared" si="401"/>
        <v>2024</v>
      </c>
      <c r="D3219" s="7" t="str">
        <f t="shared" si="402"/>
        <v>May</v>
      </c>
      <c r="E3219" s="7" t="str">
        <f t="shared" si="403"/>
        <v>Sat</v>
      </c>
      <c r="F3219" t="s">
        <v>61</v>
      </c>
      <c r="G3219" t="s">
        <v>48</v>
      </c>
      <c r="H3219" t="s">
        <v>11</v>
      </c>
      <c r="I3219" s="2" t="str">
        <f t="shared" si="400"/>
        <v>Central</v>
      </c>
      <c r="J3219" t="s">
        <v>42</v>
      </c>
      <c r="K3219" t="s">
        <v>23</v>
      </c>
      <c r="L3219">
        <v>13</v>
      </c>
      <c r="M3219">
        <v>120</v>
      </c>
      <c r="N3219">
        <f t="shared" si="404"/>
        <v>1560</v>
      </c>
      <c r="O3219">
        <f t="shared" si="405"/>
        <v>156</v>
      </c>
      <c r="P3219" t="str">
        <f t="shared" si="406"/>
        <v>Large Order</v>
      </c>
      <c r="Q3219" t="str">
        <f t="shared" si="407"/>
        <v>Weekend</v>
      </c>
    </row>
    <row r="3220" spans="1:17" x14ac:dyDescent="0.35">
      <c r="A3220" t="s">
        <v>3370</v>
      </c>
      <c r="B3220" s="7">
        <v>45578</v>
      </c>
      <c r="C3220" s="13">
        <f t="shared" si="401"/>
        <v>2024</v>
      </c>
      <c r="D3220" s="7" t="str">
        <f t="shared" si="402"/>
        <v>Oct</v>
      </c>
      <c r="E3220" s="7" t="str">
        <f t="shared" si="403"/>
        <v>Sun</v>
      </c>
      <c r="F3220" t="s">
        <v>304</v>
      </c>
      <c r="G3220" t="s">
        <v>65</v>
      </c>
      <c r="H3220" t="s">
        <v>11</v>
      </c>
      <c r="I3220" s="2" t="str">
        <f t="shared" si="400"/>
        <v>East</v>
      </c>
      <c r="J3220" t="s">
        <v>306</v>
      </c>
      <c r="K3220" t="s">
        <v>36</v>
      </c>
      <c r="L3220">
        <v>15</v>
      </c>
      <c r="M3220">
        <v>120</v>
      </c>
      <c r="N3220">
        <f t="shared" si="404"/>
        <v>1800</v>
      </c>
      <c r="O3220">
        <f t="shared" si="405"/>
        <v>180</v>
      </c>
      <c r="P3220" t="str">
        <f t="shared" si="406"/>
        <v>Large Order</v>
      </c>
      <c r="Q3220" t="str">
        <f t="shared" si="407"/>
        <v>Weekend</v>
      </c>
    </row>
    <row r="3221" spans="1:17" x14ac:dyDescent="0.35">
      <c r="A3221" t="s">
        <v>3371</v>
      </c>
      <c r="B3221" s="7">
        <v>45346</v>
      </c>
      <c r="C3221" s="13">
        <f t="shared" si="401"/>
        <v>2024</v>
      </c>
      <c r="D3221" s="7" t="str">
        <f t="shared" si="402"/>
        <v>Feb</v>
      </c>
      <c r="E3221" s="7" t="str">
        <f t="shared" si="403"/>
        <v>Sat</v>
      </c>
      <c r="F3221" t="s">
        <v>208</v>
      </c>
      <c r="G3221" t="s">
        <v>197</v>
      </c>
      <c r="H3221" t="s">
        <v>11</v>
      </c>
      <c r="I3221" s="2" t="str">
        <f t="shared" si="400"/>
        <v>West</v>
      </c>
      <c r="J3221" t="s">
        <v>42</v>
      </c>
      <c r="K3221" t="s">
        <v>23</v>
      </c>
      <c r="L3221">
        <v>19</v>
      </c>
      <c r="M3221">
        <v>120</v>
      </c>
      <c r="N3221">
        <f t="shared" si="404"/>
        <v>2280</v>
      </c>
      <c r="O3221">
        <f t="shared" si="405"/>
        <v>228</v>
      </c>
      <c r="P3221" t="str">
        <f t="shared" si="406"/>
        <v>Large Order</v>
      </c>
      <c r="Q3221" t="str">
        <f t="shared" si="407"/>
        <v>Weekend</v>
      </c>
    </row>
    <row r="3222" spans="1:17" x14ac:dyDescent="0.35">
      <c r="A3222" t="s">
        <v>3372</v>
      </c>
      <c r="B3222" s="7">
        <v>45315</v>
      </c>
      <c r="C3222" s="13">
        <f t="shared" si="401"/>
        <v>2024</v>
      </c>
      <c r="D3222" s="7" t="str">
        <f t="shared" si="402"/>
        <v>Jan</v>
      </c>
      <c r="E3222" s="7" t="str">
        <f t="shared" si="403"/>
        <v>Wed</v>
      </c>
      <c r="F3222" t="s">
        <v>420</v>
      </c>
      <c r="G3222" t="s">
        <v>41</v>
      </c>
      <c r="H3222" t="s">
        <v>17</v>
      </c>
      <c r="I3222" s="2" t="str">
        <f t="shared" si="400"/>
        <v>North</v>
      </c>
      <c r="J3222" t="s">
        <v>27</v>
      </c>
      <c r="K3222" t="s">
        <v>28</v>
      </c>
      <c r="L3222">
        <v>9</v>
      </c>
      <c r="M3222">
        <v>120</v>
      </c>
      <c r="N3222">
        <f t="shared" si="404"/>
        <v>1080</v>
      </c>
      <c r="O3222">
        <f t="shared" si="405"/>
        <v>108</v>
      </c>
      <c r="P3222" t="str">
        <f t="shared" si="406"/>
        <v>Large Order</v>
      </c>
      <c r="Q3222" t="str">
        <f t="shared" si="407"/>
        <v>Weekday</v>
      </c>
    </row>
    <row r="3223" spans="1:17" x14ac:dyDescent="0.35">
      <c r="A3223" t="s">
        <v>3373</v>
      </c>
      <c r="B3223" s="7">
        <v>45592</v>
      </c>
      <c r="C3223" s="13">
        <f t="shared" si="401"/>
        <v>2024</v>
      </c>
      <c r="D3223" s="7" t="str">
        <f t="shared" si="402"/>
        <v>Oct</v>
      </c>
      <c r="E3223" s="7" t="str">
        <f t="shared" si="403"/>
        <v>Sun</v>
      </c>
      <c r="F3223" t="s">
        <v>159</v>
      </c>
      <c r="G3223" t="s">
        <v>79</v>
      </c>
      <c r="H3223" t="s">
        <v>11</v>
      </c>
      <c r="I3223" s="2" t="str">
        <f t="shared" si="400"/>
        <v>South</v>
      </c>
      <c r="J3223" t="s">
        <v>12</v>
      </c>
      <c r="K3223" t="s">
        <v>32</v>
      </c>
      <c r="L3223">
        <v>9</v>
      </c>
      <c r="M3223">
        <v>120</v>
      </c>
      <c r="N3223">
        <f t="shared" si="404"/>
        <v>1080</v>
      </c>
      <c r="O3223">
        <f t="shared" si="405"/>
        <v>108</v>
      </c>
      <c r="P3223" t="str">
        <f t="shared" si="406"/>
        <v>Large Order</v>
      </c>
      <c r="Q3223" t="str">
        <f t="shared" si="407"/>
        <v>Weekend</v>
      </c>
    </row>
    <row r="3224" spans="1:17" x14ac:dyDescent="0.35">
      <c r="A3224" t="s">
        <v>3374</v>
      </c>
      <c r="B3224" s="7">
        <v>45516</v>
      </c>
      <c r="C3224" s="13">
        <f t="shared" si="401"/>
        <v>2024</v>
      </c>
      <c r="D3224" s="7" t="str">
        <f t="shared" si="402"/>
        <v>Aug</v>
      </c>
      <c r="E3224" s="7" t="str">
        <f t="shared" si="403"/>
        <v>Mon</v>
      </c>
      <c r="F3224" t="s">
        <v>55</v>
      </c>
      <c r="G3224" t="s">
        <v>102</v>
      </c>
      <c r="H3224" t="s">
        <v>17</v>
      </c>
      <c r="I3224" s="2" t="str">
        <f t="shared" si="400"/>
        <v>East</v>
      </c>
      <c r="J3224" t="s">
        <v>56</v>
      </c>
      <c r="K3224" t="s">
        <v>13</v>
      </c>
      <c r="L3224">
        <v>11</v>
      </c>
      <c r="M3224">
        <v>120</v>
      </c>
      <c r="N3224">
        <f t="shared" si="404"/>
        <v>1320</v>
      </c>
      <c r="O3224">
        <f t="shared" si="405"/>
        <v>132</v>
      </c>
      <c r="P3224" t="str">
        <f t="shared" si="406"/>
        <v>Large Order</v>
      </c>
      <c r="Q3224" t="str">
        <f t="shared" si="407"/>
        <v>Weekday</v>
      </c>
    </row>
    <row r="3225" spans="1:17" x14ac:dyDescent="0.35">
      <c r="A3225" t="s">
        <v>3375</v>
      </c>
      <c r="B3225" s="7">
        <v>45503</v>
      </c>
      <c r="C3225" s="13">
        <f t="shared" si="401"/>
        <v>2024</v>
      </c>
      <c r="D3225" s="7" t="str">
        <f t="shared" si="402"/>
        <v>Jul</v>
      </c>
      <c r="E3225" s="7" t="str">
        <f t="shared" si="403"/>
        <v>Tue</v>
      </c>
      <c r="F3225" t="s">
        <v>125</v>
      </c>
      <c r="G3225" t="s">
        <v>16</v>
      </c>
      <c r="H3225" t="s">
        <v>22</v>
      </c>
      <c r="I3225" s="2" t="str">
        <f t="shared" si="400"/>
        <v>Central</v>
      </c>
      <c r="J3225" t="s">
        <v>42</v>
      </c>
      <c r="K3225" t="s">
        <v>36</v>
      </c>
      <c r="L3225">
        <v>7</v>
      </c>
      <c r="M3225">
        <v>120</v>
      </c>
      <c r="N3225">
        <f t="shared" si="404"/>
        <v>840</v>
      </c>
      <c r="O3225">
        <f t="shared" si="405"/>
        <v>84</v>
      </c>
      <c r="P3225" t="str">
        <f t="shared" si="406"/>
        <v>Large Order</v>
      </c>
      <c r="Q3225" t="str">
        <f t="shared" si="407"/>
        <v>Weekday</v>
      </c>
    </row>
    <row r="3226" spans="1:17" x14ac:dyDescent="0.35">
      <c r="A3226" t="s">
        <v>3376</v>
      </c>
      <c r="B3226" s="7">
        <v>45516</v>
      </c>
      <c r="C3226" s="13">
        <f t="shared" si="401"/>
        <v>2024</v>
      </c>
      <c r="D3226" s="7" t="str">
        <f t="shared" si="402"/>
        <v>Aug</v>
      </c>
      <c r="E3226" s="7" t="str">
        <f t="shared" si="403"/>
        <v>Mon</v>
      </c>
      <c r="F3226" t="s">
        <v>78</v>
      </c>
      <c r="G3226" t="s">
        <v>72</v>
      </c>
      <c r="H3226" t="s">
        <v>22</v>
      </c>
      <c r="I3226" s="2" t="str">
        <f t="shared" si="400"/>
        <v>North</v>
      </c>
      <c r="J3226" t="s">
        <v>306</v>
      </c>
      <c r="K3226" t="s">
        <v>32</v>
      </c>
      <c r="L3226">
        <v>18</v>
      </c>
      <c r="M3226">
        <v>120</v>
      </c>
      <c r="N3226">
        <f t="shared" si="404"/>
        <v>2160</v>
      </c>
      <c r="O3226">
        <f t="shared" si="405"/>
        <v>216</v>
      </c>
      <c r="P3226" t="str">
        <f t="shared" si="406"/>
        <v>Large Order</v>
      </c>
      <c r="Q3226" t="str">
        <f t="shared" si="407"/>
        <v>Weekday</v>
      </c>
    </row>
    <row r="3227" spans="1:17" x14ac:dyDescent="0.35">
      <c r="A3227" t="s">
        <v>3377</v>
      </c>
      <c r="B3227" s="7">
        <v>45441</v>
      </c>
      <c r="C3227" s="13">
        <f t="shared" si="401"/>
        <v>2024</v>
      </c>
      <c r="D3227" s="7" t="str">
        <f t="shared" si="402"/>
        <v>May</v>
      </c>
      <c r="E3227" s="7" t="str">
        <f t="shared" si="403"/>
        <v>Wed</v>
      </c>
      <c r="F3227" t="s">
        <v>465</v>
      </c>
      <c r="G3227" t="s">
        <v>96</v>
      </c>
      <c r="H3227" t="s">
        <v>11</v>
      </c>
      <c r="I3227" s="2" t="str">
        <f t="shared" si="400"/>
        <v>East</v>
      </c>
      <c r="J3227" t="s">
        <v>12</v>
      </c>
      <c r="K3227" t="s">
        <v>32</v>
      </c>
      <c r="L3227">
        <v>12</v>
      </c>
      <c r="M3227">
        <v>120</v>
      </c>
      <c r="N3227">
        <f t="shared" si="404"/>
        <v>1440</v>
      </c>
      <c r="O3227">
        <f t="shared" si="405"/>
        <v>144</v>
      </c>
      <c r="P3227" t="str">
        <f t="shared" si="406"/>
        <v>Large Order</v>
      </c>
      <c r="Q3227" t="str">
        <f t="shared" si="407"/>
        <v>Weekday</v>
      </c>
    </row>
    <row r="3228" spans="1:17" x14ac:dyDescent="0.35">
      <c r="A3228" t="s">
        <v>3378</v>
      </c>
      <c r="B3228" s="7">
        <v>45520</v>
      </c>
      <c r="C3228" s="13">
        <f t="shared" si="401"/>
        <v>2024</v>
      </c>
      <c r="D3228" s="7" t="str">
        <f t="shared" si="402"/>
        <v>Aug</v>
      </c>
      <c r="E3228" s="7" t="str">
        <f t="shared" si="403"/>
        <v>Fri</v>
      </c>
      <c r="F3228" t="s">
        <v>323</v>
      </c>
      <c r="G3228" t="s">
        <v>65</v>
      </c>
      <c r="H3228" t="s">
        <v>11</v>
      </c>
      <c r="I3228" s="2" t="str">
        <f t="shared" si="400"/>
        <v>East</v>
      </c>
      <c r="J3228" t="s">
        <v>42</v>
      </c>
      <c r="K3228" t="s">
        <v>23</v>
      </c>
      <c r="L3228">
        <v>8</v>
      </c>
      <c r="M3228">
        <v>120</v>
      </c>
      <c r="N3228">
        <f t="shared" si="404"/>
        <v>960</v>
      </c>
      <c r="O3228">
        <f t="shared" si="405"/>
        <v>96</v>
      </c>
      <c r="P3228" t="str">
        <f t="shared" si="406"/>
        <v>Large Order</v>
      </c>
      <c r="Q3228" t="str">
        <f t="shared" si="407"/>
        <v>Weekday</v>
      </c>
    </row>
    <row r="3229" spans="1:17" x14ac:dyDescent="0.35">
      <c r="A3229" t="s">
        <v>3379</v>
      </c>
      <c r="B3229" s="7">
        <v>45462</v>
      </c>
      <c r="C3229" s="13">
        <f t="shared" si="401"/>
        <v>2024</v>
      </c>
      <c r="D3229" s="7" t="str">
        <f t="shared" si="402"/>
        <v>Jun</v>
      </c>
      <c r="E3229" s="7" t="str">
        <f t="shared" si="403"/>
        <v>Wed</v>
      </c>
      <c r="F3229" t="s">
        <v>104</v>
      </c>
      <c r="G3229" t="s">
        <v>41</v>
      </c>
      <c r="H3229" t="s">
        <v>22</v>
      </c>
      <c r="I3229" s="2" t="str">
        <f t="shared" si="400"/>
        <v>West</v>
      </c>
      <c r="J3229" t="s">
        <v>42</v>
      </c>
      <c r="K3229" t="s">
        <v>32</v>
      </c>
      <c r="L3229">
        <v>20</v>
      </c>
      <c r="M3229">
        <v>120</v>
      </c>
      <c r="N3229">
        <f t="shared" si="404"/>
        <v>2400</v>
      </c>
      <c r="O3229">
        <f t="shared" si="405"/>
        <v>240</v>
      </c>
      <c r="P3229" t="str">
        <f t="shared" si="406"/>
        <v>Large Order</v>
      </c>
      <c r="Q3229" t="str">
        <f t="shared" si="407"/>
        <v>Weekday</v>
      </c>
    </row>
    <row r="3230" spans="1:17" x14ac:dyDescent="0.35">
      <c r="A3230" t="s">
        <v>3380</v>
      </c>
      <c r="B3230" s="7">
        <v>45303</v>
      </c>
      <c r="C3230" s="13">
        <f t="shared" si="401"/>
        <v>2024</v>
      </c>
      <c r="D3230" s="7" t="str">
        <f t="shared" si="402"/>
        <v>Jan</v>
      </c>
      <c r="E3230" s="7" t="str">
        <f t="shared" si="403"/>
        <v>Fri</v>
      </c>
      <c r="F3230" t="s">
        <v>99</v>
      </c>
      <c r="G3230" t="s">
        <v>102</v>
      </c>
      <c r="H3230" t="s">
        <v>22</v>
      </c>
      <c r="I3230" s="2" t="str">
        <f t="shared" si="400"/>
        <v>East</v>
      </c>
      <c r="J3230" t="s">
        <v>27</v>
      </c>
      <c r="K3230" t="s">
        <v>23</v>
      </c>
      <c r="L3230">
        <v>13</v>
      </c>
      <c r="M3230">
        <v>120</v>
      </c>
      <c r="N3230">
        <f t="shared" si="404"/>
        <v>1560</v>
      </c>
      <c r="O3230">
        <f t="shared" si="405"/>
        <v>156</v>
      </c>
      <c r="P3230" t="str">
        <f t="shared" si="406"/>
        <v>Large Order</v>
      </c>
      <c r="Q3230" t="str">
        <f t="shared" si="407"/>
        <v>Weekday</v>
      </c>
    </row>
    <row r="3231" spans="1:17" x14ac:dyDescent="0.35">
      <c r="A3231" t="s">
        <v>3381</v>
      </c>
      <c r="B3231" s="7">
        <v>45316</v>
      </c>
      <c r="C3231" s="13">
        <f t="shared" si="401"/>
        <v>2024</v>
      </c>
      <c r="D3231" s="7" t="str">
        <f t="shared" si="402"/>
        <v>Jan</v>
      </c>
      <c r="E3231" s="7" t="str">
        <f t="shared" si="403"/>
        <v>Thu</v>
      </c>
      <c r="F3231" t="s">
        <v>339</v>
      </c>
      <c r="G3231" t="s">
        <v>79</v>
      </c>
      <c r="H3231" t="s">
        <v>22</v>
      </c>
      <c r="I3231" s="2" t="str">
        <f t="shared" si="400"/>
        <v>West</v>
      </c>
      <c r="J3231" t="s">
        <v>42</v>
      </c>
      <c r="K3231" t="s">
        <v>13</v>
      </c>
      <c r="L3231">
        <v>19</v>
      </c>
      <c r="M3231">
        <v>120</v>
      </c>
      <c r="N3231">
        <f t="shared" si="404"/>
        <v>2280</v>
      </c>
      <c r="O3231">
        <f t="shared" si="405"/>
        <v>228</v>
      </c>
      <c r="P3231" t="str">
        <f t="shared" si="406"/>
        <v>Large Order</v>
      </c>
      <c r="Q3231" t="str">
        <f t="shared" si="407"/>
        <v>Weekday</v>
      </c>
    </row>
    <row r="3232" spans="1:17" x14ac:dyDescent="0.35">
      <c r="A3232" t="s">
        <v>3382</v>
      </c>
      <c r="B3232" s="7">
        <v>45308</v>
      </c>
      <c r="C3232" s="13">
        <f t="shared" si="401"/>
        <v>2024</v>
      </c>
      <c r="D3232" s="7" t="str">
        <f t="shared" si="402"/>
        <v>Jan</v>
      </c>
      <c r="E3232" s="7" t="str">
        <f t="shared" si="403"/>
        <v>Wed</v>
      </c>
      <c r="F3232" t="s">
        <v>358</v>
      </c>
      <c r="G3232" t="s">
        <v>72</v>
      </c>
      <c r="H3232" t="s">
        <v>22</v>
      </c>
      <c r="I3232" s="2" t="str">
        <f t="shared" si="400"/>
        <v>North</v>
      </c>
      <c r="J3232" t="s">
        <v>27</v>
      </c>
      <c r="K3232" t="s">
        <v>32</v>
      </c>
      <c r="L3232">
        <v>19</v>
      </c>
      <c r="M3232">
        <v>120</v>
      </c>
      <c r="N3232">
        <f t="shared" si="404"/>
        <v>2280</v>
      </c>
      <c r="O3232">
        <f t="shared" si="405"/>
        <v>228</v>
      </c>
      <c r="P3232" t="str">
        <f t="shared" si="406"/>
        <v>Large Order</v>
      </c>
      <c r="Q3232" t="str">
        <f t="shared" si="407"/>
        <v>Weekday</v>
      </c>
    </row>
    <row r="3233" spans="1:17" x14ac:dyDescent="0.35">
      <c r="A3233" t="s">
        <v>3383</v>
      </c>
      <c r="B3233" s="7">
        <v>45326</v>
      </c>
      <c r="C3233" s="13">
        <f t="shared" si="401"/>
        <v>2024</v>
      </c>
      <c r="D3233" s="7" t="str">
        <f t="shared" si="402"/>
        <v>Feb</v>
      </c>
      <c r="E3233" s="7" t="str">
        <f t="shared" si="403"/>
        <v>Sun</v>
      </c>
      <c r="F3233" t="s">
        <v>304</v>
      </c>
      <c r="G3233" t="s">
        <v>10</v>
      </c>
      <c r="H3233" t="s">
        <v>22</v>
      </c>
      <c r="I3233" s="2" t="str">
        <f t="shared" si="400"/>
        <v>Central</v>
      </c>
      <c r="J3233" t="s">
        <v>12</v>
      </c>
      <c r="K3233" t="s">
        <v>36</v>
      </c>
      <c r="L3233">
        <v>4</v>
      </c>
      <c r="M3233">
        <v>120</v>
      </c>
      <c r="N3233">
        <f t="shared" si="404"/>
        <v>480</v>
      </c>
      <c r="O3233">
        <f t="shared" si="405"/>
        <v>48</v>
      </c>
      <c r="P3233" t="str">
        <f t="shared" si="406"/>
        <v>Standard Order</v>
      </c>
      <c r="Q3233" t="str">
        <f t="shared" si="407"/>
        <v>Weekend</v>
      </c>
    </row>
    <row r="3234" spans="1:17" x14ac:dyDescent="0.35">
      <c r="A3234" t="s">
        <v>3384</v>
      </c>
      <c r="B3234" s="7">
        <v>45554</v>
      </c>
      <c r="C3234" s="13">
        <f t="shared" si="401"/>
        <v>2024</v>
      </c>
      <c r="D3234" s="7" t="str">
        <f t="shared" si="402"/>
        <v>Sep</v>
      </c>
      <c r="E3234" s="7" t="str">
        <f t="shared" si="403"/>
        <v>Thu</v>
      </c>
      <c r="F3234" t="s">
        <v>203</v>
      </c>
      <c r="G3234" t="s">
        <v>59</v>
      </c>
      <c r="H3234" t="s">
        <v>17</v>
      </c>
      <c r="I3234" s="2" t="str">
        <f t="shared" si="400"/>
        <v>South</v>
      </c>
      <c r="J3234" t="s">
        <v>306</v>
      </c>
      <c r="K3234" t="s">
        <v>28</v>
      </c>
      <c r="L3234">
        <v>3</v>
      </c>
      <c r="M3234">
        <v>120</v>
      </c>
      <c r="N3234">
        <f t="shared" si="404"/>
        <v>360</v>
      </c>
      <c r="O3234">
        <f t="shared" si="405"/>
        <v>36</v>
      </c>
      <c r="P3234" t="str">
        <f t="shared" si="406"/>
        <v>Standard Order</v>
      </c>
      <c r="Q3234" t="str">
        <f t="shared" si="407"/>
        <v>Weekday</v>
      </c>
    </row>
    <row r="3235" spans="1:17" x14ac:dyDescent="0.35">
      <c r="A3235" t="s">
        <v>3385</v>
      </c>
      <c r="B3235" s="7">
        <v>45512</v>
      </c>
      <c r="C3235" s="13">
        <f t="shared" si="401"/>
        <v>2024</v>
      </c>
      <c r="D3235" s="7" t="str">
        <f t="shared" si="402"/>
        <v>Aug</v>
      </c>
      <c r="E3235" s="7" t="str">
        <f t="shared" si="403"/>
        <v>Thu</v>
      </c>
      <c r="F3235" t="s">
        <v>89</v>
      </c>
      <c r="G3235" t="s">
        <v>70</v>
      </c>
      <c r="H3235" t="s">
        <v>17</v>
      </c>
      <c r="I3235" s="2" t="str">
        <f t="shared" si="400"/>
        <v>West</v>
      </c>
      <c r="J3235" t="s">
        <v>56</v>
      </c>
      <c r="K3235" t="s">
        <v>32</v>
      </c>
      <c r="L3235">
        <v>3</v>
      </c>
      <c r="M3235">
        <v>120</v>
      </c>
      <c r="N3235">
        <f t="shared" si="404"/>
        <v>360</v>
      </c>
      <c r="O3235">
        <f t="shared" si="405"/>
        <v>36</v>
      </c>
      <c r="P3235" t="str">
        <f t="shared" si="406"/>
        <v>Standard Order</v>
      </c>
      <c r="Q3235" t="str">
        <f t="shared" si="407"/>
        <v>Weekday</v>
      </c>
    </row>
    <row r="3236" spans="1:17" x14ac:dyDescent="0.35">
      <c r="A3236" t="s">
        <v>3386</v>
      </c>
      <c r="B3236" s="7">
        <v>45586</v>
      </c>
      <c r="C3236" s="13">
        <f t="shared" si="401"/>
        <v>2024</v>
      </c>
      <c r="D3236" s="7" t="str">
        <f t="shared" si="402"/>
        <v>Oct</v>
      </c>
      <c r="E3236" s="7" t="str">
        <f t="shared" si="403"/>
        <v>Mon</v>
      </c>
      <c r="F3236" t="s">
        <v>47</v>
      </c>
      <c r="G3236" t="s">
        <v>70</v>
      </c>
      <c r="H3236" t="s">
        <v>22</v>
      </c>
      <c r="I3236" s="2" t="str">
        <f t="shared" si="400"/>
        <v>North</v>
      </c>
      <c r="J3236" t="s">
        <v>27</v>
      </c>
      <c r="K3236" t="s">
        <v>13</v>
      </c>
      <c r="L3236">
        <v>13</v>
      </c>
      <c r="M3236">
        <v>120</v>
      </c>
      <c r="N3236">
        <f t="shared" si="404"/>
        <v>1560</v>
      </c>
      <c r="O3236">
        <f t="shared" si="405"/>
        <v>156</v>
      </c>
      <c r="P3236" t="str">
        <f t="shared" si="406"/>
        <v>Large Order</v>
      </c>
      <c r="Q3236" t="str">
        <f t="shared" si="407"/>
        <v>Weekday</v>
      </c>
    </row>
    <row r="3237" spans="1:17" x14ac:dyDescent="0.35">
      <c r="A3237" t="s">
        <v>3387</v>
      </c>
      <c r="B3237" s="7">
        <v>45295</v>
      </c>
      <c r="C3237" s="13">
        <f t="shared" si="401"/>
        <v>2024</v>
      </c>
      <c r="D3237" s="7" t="str">
        <f t="shared" si="402"/>
        <v>Jan</v>
      </c>
      <c r="E3237" s="7" t="str">
        <f t="shared" si="403"/>
        <v>Thu</v>
      </c>
      <c r="F3237" t="s">
        <v>381</v>
      </c>
      <c r="G3237" t="s">
        <v>31</v>
      </c>
      <c r="H3237" t="s">
        <v>11</v>
      </c>
      <c r="I3237" s="2" t="str">
        <f t="shared" si="400"/>
        <v>East</v>
      </c>
      <c r="J3237" t="s">
        <v>12</v>
      </c>
      <c r="K3237" t="s">
        <v>28</v>
      </c>
      <c r="L3237">
        <v>11</v>
      </c>
      <c r="M3237">
        <v>120</v>
      </c>
      <c r="N3237">
        <f t="shared" si="404"/>
        <v>1320</v>
      </c>
      <c r="O3237">
        <f t="shared" si="405"/>
        <v>132</v>
      </c>
      <c r="P3237" t="str">
        <f t="shared" si="406"/>
        <v>Large Order</v>
      </c>
      <c r="Q3237" t="str">
        <f t="shared" si="407"/>
        <v>Weekday</v>
      </c>
    </row>
    <row r="3238" spans="1:17" x14ac:dyDescent="0.35">
      <c r="A3238" t="s">
        <v>3388</v>
      </c>
      <c r="B3238" s="7">
        <v>45424</v>
      </c>
      <c r="C3238" s="13">
        <f t="shared" si="401"/>
        <v>2024</v>
      </c>
      <c r="D3238" s="7" t="str">
        <f t="shared" si="402"/>
        <v>May</v>
      </c>
      <c r="E3238" s="7" t="str">
        <f t="shared" si="403"/>
        <v>Sun</v>
      </c>
      <c r="F3238" t="s">
        <v>240</v>
      </c>
      <c r="G3238" t="s">
        <v>59</v>
      </c>
      <c r="H3238" t="s">
        <v>22</v>
      </c>
      <c r="I3238" s="2" t="str">
        <f t="shared" si="400"/>
        <v>Central</v>
      </c>
      <c r="J3238" t="s">
        <v>42</v>
      </c>
      <c r="K3238" t="s">
        <v>36</v>
      </c>
      <c r="L3238">
        <v>15</v>
      </c>
      <c r="M3238">
        <v>120</v>
      </c>
      <c r="N3238">
        <f t="shared" si="404"/>
        <v>1800</v>
      </c>
      <c r="O3238">
        <f t="shared" si="405"/>
        <v>180</v>
      </c>
      <c r="P3238" t="str">
        <f t="shared" si="406"/>
        <v>Large Order</v>
      </c>
      <c r="Q3238" t="str">
        <f t="shared" si="407"/>
        <v>Weekend</v>
      </c>
    </row>
    <row r="3239" spans="1:17" x14ac:dyDescent="0.35">
      <c r="A3239" t="s">
        <v>3389</v>
      </c>
      <c r="B3239" s="7">
        <v>45394</v>
      </c>
      <c r="C3239" s="13">
        <f t="shared" si="401"/>
        <v>2024</v>
      </c>
      <c r="D3239" s="7" t="str">
        <f t="shared" si="402"/>
        <v>Apr</v>
      </c>
      <c r="E3239" s="7" t="str">
        <f t="shared" si="403"/>
        <v>Fri</v>
      </c>
      <c r="F3239" t="s">
        <v>337</v>
      </c>
      <c r="G3239" t="s">
        <v>59</v>
      </c>
      <c r="H3239" t="s">
        <v>17</v>
      </c>
      <c r="I3239" s="2" t="str">
        <f t="shared" si="400"/>
        <v>North</v>
      </c>
      <c r="J3239" t="s">
        <v>306</v>
      </c>
      <c r="K3239" t="s">
        <v>28</v>
      </c>
      <c r="L3239">
        <v>7</v>
      </c>
      <c r="M3239">
        <v>120</v>
      </c>
      <c r="N3239">
        <f t="shared" si="404"/>
        <v>840</v>
      </c>
      <c r="O3239">
        <f t="shared" si="405"/>
        <v>84</v>
      </c>
      <c r="P3239" t="str">
        <f t="shared" si="406"/>
        <v>Large Order</v>
      </c>
      <c r="Q3239" t="str">
        <f t="shared" si="407"/>
        <v>Weekday</v>
      </c>
    </row>
    <row r="3240" spans="1:17" x14ac:dyDescent="0.35">
      <c r="A3240" t="s">
        <v>3390</v>
      </c>
      <c r="B3240" s="7">
        <v>45397</v>
      </c>
      <c r="C3240" s="13">
        <f t="shared" si="401"/>
        <v>2024</v>
      </c>
      <c r="D3240" s="7" t="str">
        <f t="shared" si="402"/>
        <v>Apr</v>
      </c>
      <c r="E3240" s="7" t="str">
        <f t="shared" si="403"/>
        <v>Mon</v>
      </c>
      <c r="F3240" t="s">
        <v>147</v>
      </c>
      <c r="G3240" t="s">
        <v>45</v>
      </c>
      <c r="H3240" t="s">
        <v>11</v>
      </c>
      <c r="I3240" s="2" t="str">
        <f t="shared" si="400"/>
        <v>East</v>
      </c>
      <c r="J3240" t="s">
        <v>12</v>
      </c>
      <c r="K3240" t="s">
        <v>36</v>
      </c>
      <c r="L3240">
        <v>20</v>
      </c>
      <c r="M3240">
        <v>120</v>
      </c>
      <c r="N3240">
        <f t="shared" si="404"/>
        <v>2400</v>
      </c>
      <c r="O3240">
        <f t="shared" si="405"/>
        <v>240</v>
      </c>
      <c r="P3240" t="str">
        <f t="shared" si="406"/>
        <v>Large Order</v>
      </c>
      <c r="Q3240" t="str">
        <f t="shared" si="407"/>
        <v>Weekday</v>
      </c>
    </row>
    <row r="3241" spans="1:17" x14ac:dyDescent="0.35">
      <c r="A3241" t="s">
        <v>3391</v>
      </c>
      <c r="B3241" s="7">
        <v>45312</v>
      </c>
      <c r="C3241" s="13">
        <f t="shared" si="401"/>
        <v>2024</v>
      </c>
      <c r="D3241" s="7" t="str">
        <f t="shared" si="402"/>
        <v>Jan</v>
      </c>
      <c r="E3241" s="7" t="str">
        <f t="shared" si="403"/>
        <v>Sun</v>
      </c>
      <c r="F3241" t="s">
        <v>420</v>
      </c>
      <c r="G3241" t="s">
        <v>16</v>
      </c>
      <c r="H3241" t="s">
        <v>22</v>
      </c>
      <c r="I3241" s="2" t="str">
        <f t="shared" si="400"/>
        <v>East</v>
      </c>
      <c r="J3241" t="s">
        <v>42</v>
      </c>
      <c r="K3241" t="s">
        <v>13</v>
      </c>
      <c r="L3241">
        <v>11</v>
      </c>
      <c r="M3241">
        <v>120</v>
      </c>
      <c r="N3241">
        <f t="shared" si="404"/>
        <v>1320</v>
      </c>
      <c r="O3241">
        <f t="shared" si="405"/>
        <v>132</v>
      </c>
      <c r="P3241" t="str">
        <f t="shared" si="406"/>
        <v>Large Order</v>
      </c>
      <c r="Q3241" t="str">
        <f t="shared" si="407"/>
        <v>Weekend</v>
      </c>
    </row>
    <row r="3242" spans="1:17" x14ac:dyDescent="0.35">
      <c r="A3242" t="s">
        <v>3392</v>
      </c>
      <c r="B3242" s="7">
        <v>45409</v>
      </c>
      <c r="C3242" s="13">
        <f t="shared" si="401"/>
        <v>2024</v>
      </c>
      <c r="D3242" s="7" t="str">
        <f t="shared" si="402"/>
        <v>Apr</v>
      </c>
      <c r="E3242" s="7" t="str">
        <f t="shared" si="403"/>
        <v>Sat</v>
      </c>
      <c r="F3242" t="s">
        <v>371</v>
      </c>
      <c r="G3242" t="s">
        <v>65</v>
      </c>
      <c r="H3242" t="s">
        <v>11</v>
      </c>
      <c r="I3242" s="2" t="str">
        <f t="shared" si="400"/>
        <v>North</v>
      </c>
      <c r="J3242" t="s">
        <v>42</v>
      </c>
      <c r="K3242" t="s">
        <v>28</v>
      </c>
      <c r="L3242">
        <v>14</v>
      </c>
      <c r="M3242">
        <v>120</v>
      </c>
      <c r="N3242">
        <f t="shared" si="404"/>
        <v>1680</v>
      </c>
      <c r="O3242">
        <f t="shared" si="405"/>
        <v>168</v>
      </c>
      <c r="P3242" t="str">
        <f t="shared" si="406"/>
        <v>Large Order</v>
      </c>
      <c r="Q3242" t="str">
        <f t="shared" si="407"/>
        <v>Weekend</v>
      </c>
    </row>
    <row r="3243" spans="1:17" x14ac:dyDescent="0.35">
      <c r="A3243" t="s">
        <v>3393</v>
      </c>
      <c r="B3243" s="7">
        <v>45411</v>
      </c>
      <c r="C3243" s="13">
        <f t="shared" si="401"/>
        <v>2024</v>
      </c>
      <c r="D3243" s="7" t="str">
        <f t="shared" si="402"/>
        <v>Apr</v>
      </c>
      <c r="E3243" s="7" t="str">
        <f t="shared" si="403"/>
        <v>Mon</v>
      </c>
      <c r="F3243" t="s">
        <v>133</v>
      </c>
      <c r="G3243" t="s">
        <v>119</v>
      </c>
      <c r="H3243" t="s">
        <v>17</v>
      </c>
      <c r="I3243" s="2" t="str">
        <f t="shared" si="400"/>
        <v>South</v>
      </c>
      <c r="J3243" t="s">
        <v>12</v>
      </c>
      <c r="K3243" t="s">
        <v>28</v>
      </c>
      <c r="L3243">
        <v>15</v>
      </c>
      <c r="M3243">
        <v>120</v>
      </c>
      <c r="N3243">
        <f t="shared" si="404"/>
        <v>1800</v>
      </c>
      <c r="O3243">
        <f t="shared" si="405"/>
        <v>180</v>
      </c>
      <c r="P3243" t="str">
        <f t="shared" si="406"/>
        <v>Large Order</v>
      </c>
      <c r="Q3243" t="str">
        <f t="shared" si="407"/>
        <v>Weekday</v>
      </c>
    </row>
    <row r="3244" spans="1:17" x14ac:dyDescent="0.35">
      <c r="A3244" t="s">
        <v>3394</v>
      </c>
      <c r="B3244" s="7">
        <v>45484</v>
      </c>
      <c r="C3244" s="13">
        <f t="shared" si="401"/>
        <v>2024</v>
      </c>
      <c r="D3244" s="7" t="str">
        <f t="shared" si="402"/>
        <v>Jul</v>
      </c>
      <c r="E3244" s="7" t="str">
        <f t="shared" si="403"/>
        <v>Thu</v>
      </c>
      <c r="F3244" t="s">
        <v>64</v>
      </c>
      <c r="G3244" t="s">
        <v>70</v>
      </c>
      <c r="H3244" t="s">
        <v>22</v>
      </c>
      <c r="I3244" s="2" t="str">
        <f t="shared" si="400"/>
        <v>Central</v>
      </c>
      <c r="J3244" t="s">
        <v>56</v>
      </c>
      <c r="K3244" t="s">
        <v>23</v>
      </c>
      <c r="L3244">
        <v>2</v>
      </c>
      <c r="M3244">
        <v>120</v>
      </c>
      <c r="N3244">
        <f t="shared" si="404"/>
        <v>240</v>
      </c>
      <c r="O3244">
        <f t="shared" si="405"/>
        <v>24</v>
      </c>
      <c r="P3244" t="str">
        <f t="shared" si="406"/>
        <v>Standard Order</v>
      </c>
      <c r="Q3244" t="str">
        <f t="shared" si="407"/>
        <v>Weekday</v>
      </c>
    </row>
    <row r="3245" spans="1:17" x14ac:dyDescent="0.35">
      <c r="A3245" t="s">
        <v>3395</v>
      </c>
      <c r="B3245" s="7">
        <v>45496</v>
      </c>
      <c r="C3245" s="13">
        <f t="shared" si="401"/>
        <v>2024</v>
      </c>
      <c r="D3245" s="7" t="str">
        <f t="shared" si="402"/>
        <v>Jul</v>
      </c>
      <c r="E3245" s="7" t="str">
        <f t="shared" si="403"/>
        <v>Tue</v>
      </c>
      <c r="F3245" t="s">
        <v>104</v>
      </c>
      <c r="G3245" t="s">
        <v>65</v>
      </c>
      <c r="H3245" t="s">
        <v>17</v>
      </c>
      <c r="I3245" s="2" t="str">
        <f t="shared" si="400"/>
        <v>North</v>
      </c>
      <c r="J3245" t="s">
        <v>306</v>
      </c>
      <c r="K3245" t="s">
        <v>13</v>
      </c>
      <c r="L3245">
        <v>3</v>
      </c>
      <c r="M3245">
        <v>120</v>
      </c>
      <c r="N3245">
        <f t="shared" si="404"/>
        <v>360</v>
      </c>
      <c r="O3245">
        <f t="shared" si="405"/>
        <v>36</v>
      </c>
      <c r="P3245" t="str">
        <f t="shared" si="406"/>
        <v>Standard Order</v>
      </c>
      <c r="Q3245" t="str">
        <f t="shared" si="407"/>
        <v>Weekday</v>
      </c>
    </row>
    <row r="3246" spans="1:17" x14ac:dyDescent="0.35">
      <c r="A3246" t="s">
        <v>3396</v>
      </c>
      <c r="B3246" s="7">
        <v>45551</v>
      </c>
      <c r="C3246" s="13">
        <f t="shared" si="401"/>
        <v>2024</v>
      </c>
      <c r="D3246" s="7" t="str">
        <f t="shared" si="402"/>
        <v>Sep</v>
      </c>
      <c r="E3246" s="7" t="str">
        <f t="shared" si="403"/>
        <v>Mon</v>
      </c>
      <c r="F3246" t="s">
        <v>361</v>
      </c>
      <c r="G3246" t="s">
        <v>84</v>
      </c>
      <c r="H3246" t="s">
        <v>22</v>
      </c>
      <c r="I3246" s="2" t="str">
        <f t="shared" si="400"/>
        <v>East</v>
      </c>
      <c r="J3246" t="s">
        <v>12</v>
      </c>
      <c r="K3246" t="s">
        <v>28</v>
      </c>
      <c r="L3246">
        <v>7</v>
      </c>
      <c r="M3246">
        <v>120</v>
      </c>
      <c r="N3246">
        <f t="shared" si="404"/>
        <v>840</v>
      </c>
      <c r="O3246">
        <f t="shared" si="405"/>
        <v>84</v>
      </c>
      <c r="P3246" t="str">
        <f t="shared" si="406"/>
        <v>Large Order</v>
      </c>
      <c r="Q3246" t="str">
        <f t="shared" si="407"/>
        <v>Weekday</v>
      </c>
    </row>
    <row r="3247" spans="1:17" x14ac:dyDescent="0.35">
      <c r="A3247" t="s">
        <v>3397</v>
      </c>
      <c r="B3247" s="7">
        <v>45542</v>
      </c>
      <c r="C3247" s="13">
        <f t="shared" si="401"/>
        <v>2024</v>
      </c>
      <c r="D3247" s="7" t="str">
        <f t="shared" si="402"/>
        <v>Sep</v>
      </c>
      <c r="E3247" s="7" t="str">
        <f t="shared" si="403"/>
        <v>Sat</v>
      </c>
      <c r="F3247" t="s">
        <v>304</v>
      </c>
      <c r="G3247" t="s">
        <v>109</v>
      </c>
      <c r="H3247" t="s">
        <v>17</v>
      </c>
      <c r="I3247" s="2" t="str">
        <f t="shared" si="400"/>
        <v>East</v>
      </c>
      <c r="J3247" t="s">
        <v>42</v>
      </c>
      <c r="K3247" t="s">
        <v>23</v>
      </c>
      <c r="L3247">
        <v>7</v>
      </c>
      <c r="M3247">
        <v>120</v>
      </c>
      <c r="N3247">
        <f t="shared" si="404"/>
        <v>840</v>
      </c>
      <c r="O3247">
        <f t="shared" si="405"/>
        <v>84</v>
      </c>
      <c r="P3247" t="str">
        <f t="shared" si="406"/>
        <v>Large Order</v>
      </c>
      <c r="Q3247" t="str">
        <f t="shared" si="407"/>
        <v>Weekend</v>
      </c>
    </row>
    <row r="3248" spans="1:17" x14ac:dyDescent="0.35">
      <c r="A3248" t="s">
        <v>3398</v>
      </c>
      <c r="B3248" s="7">
        <v>45338</v>
      </c>
      <c r="C3248" s="13">
        <f t="shared" si="401"/>
        <v>2024</v>
      </c>
      <c r="D3248" s="7" t="str">
        <f t="shared" si="402"/>
        <v>Feb</v>
      </c>
      <c r="E3248" s="7" t="str">
        <f t="shared" si="403"/>
        <v>Fri</v>
      </c>
      <c r="F3248" t="s">
        <v>358</v>
      </c>
      <c r="G3248" t="s">
        <v>48</v>
      </c>
      <c r="H3248" t="s">
        <v>17</v>
      </c>
      <c r="I3248" s="2" t="str">
        <f t="shared" si="400"/>
        <v>West</v>
      </c>
      <c r="J3248" t="s">
        <v>42</v>
      </c>
      <c r="K3248" t="s">
        <v>36</v>
      </c>
      <c r="L3248">
        <v>4</v>
      </c>
      <c r="M3248">
        <v>120</v>
      </c>
      <c r="N3248">
        <f t="shared" si="404"/>
        <v>480</v>
      </c>
      <c r="O3248">
        <f t="shared" si="405"/>
        <v>48</v>
      </c>
      <c r="P3248" t="str">
        <f t="shared" si="406"/>
        <v>Standard Order</v>
      </c>
      <c r="Q3248" t="str">
        <f t="shared" si="407"/>
        <v>Weekday</v>
      </c>
    </row>
    <row r="3249" spans="1:17" x14ac:dyDescent="0.35">
      <c r="A3249" t="s">
        <v>3399</v>
      </c>
      <c r="B3249" s="7">
        <v>45300</v>
      </c>
      <c r="C3249" s="13">
        <f t="shared" si="401"/>
        <v>2024</v>
      </c>
      <c r="D3249" s="7" t="str">
        <f t="shared" si="402"/>
        <v>Jan</v>
      </c>
      <c r="E3249" s="7" t="str">
        <f t="shared" si="403"/>
        <v>Tue</v>
      </c>
      <c r="F3249" t="s">
        <v>25</v>
      </c>
      <c r="G3249" t="s">
        <v>31</v>
      </c>
      <c r="H3249" t="s">
        <v>17</v>
      </c>
      <c r="I3249" s="2" t="str">
        <f t="shared" si="400"/>
        <v>East</v>
      </c>
      <c r="J3249" t="s">
        <v>27</v>
      </c>
      <c r="K3249" t="s">
        <v>13</v>
      </c>
      <c r="L3249">
        <v>12</v>
      </c>
      <c r="M3249">
        <v>120</v>
      </c>
      <c r="N3249">
        <f t="shared" si="404"/>
        <v>1440</v>
      </c>
      <c r="O3249">
        <f t="shared" si="405"/>
        <v>144</v>
      </c>
      <c r="P3249" t="str">
        <f t="shared" si="406"/>
        <v>Large Order</v>
      </c>
      <c r="Q3249" t="str">
        <f t="shared" si="407"/>
        <v>Weekday</v>
      </c>
    </row>
    <row r="3250" spans="1:17" x14ac:dyDescent="0.35">
      <c r="A3250" t="s">
        <v>3400</v>
      </c>
      <c r="B3250" s="7">
        <v>45450</v>
      </c>
      <c r="C3250" s="13">
        <f t="shared" si="401"/>
        <v>2024</v>
      </c>
      <c r="D3250" s="7" t="str">
        <f t="shared" si="402"/>
        <v>Jun</v>
      </c>
      <c r="E3250" s="7" t="str">
        <f t="shared" si="403"/>
        <v>Fri</v>
      </c>
      <c r="F3250" t="s">
        <v>58</v>
      </c>
      <c r="G3250" t="s">
        <v>87</v>
      </c>
      <c r="H3250" t="s">
        <v>22</v>
      </c>
      <c r="I3250" s="2" t="str">
        <f t="shared" si="400"/>
        <v>East</v>
      </c>
      <c r="J3250" t="s">
        <v>42</v>
      </c>
      <c r="K3250" t="s">
        <v>28</v>
      </c>
      <c r="L3250">
        <v>3</v>
      </c>
      <c r="M3250">
        <v>120</v>
      </c>
      <c r="N3250">
        <f t="shared" si="404"/>
        <v>360</v>
      </c>
      <c r="O3250">
        <f t="shared" si="405"/>
        <v>36</v>
      </c>
      <c r="P3250" t="str">
        <f t="shared" si="406"/>
        <v>Standard Order</v>
      </c>
      <c r="Q3250" t="str">
        <f t="shared" si="407"/>
        <v>Weekday</v>
      </c>
    </row>
    <row r="3251" spans="1:17" x14ac:dyDescent="0.35">
      <c r="A3251" t="s">
        <v>3401</v>
      </c>
      <c r="B3251" s="7">
        <v>45491</v>
      </c>
      <c r="C3251" s="13">
        <f t="shared" si="401"/>
        <v>2024</v>
      </c>
      <c r="D3251" s="7" t="str">
        <f t="shared" si="402"/>
        <v>Jul</v>
      </c>
      <c r="E3251" s="7" t="str">
        <f t="shared" si="403"/>
        <v>Thu</v>
      </c>
      <c r="F3251" t="s">
        <v>553</v>
      </c>
      <c r="G3251" t="s">
        <v>96</v>
      </c>
      <c r="H3251" t="s">
        <v>17</v>
      </c>
      <c r="I3251" s="2" t="str">
        <f t="shared" si="400"/>
        <v>Central</v>
      </c>
      <c r="J3251" t="s">
        <v>42</v>
      </c>
      <c r="K3251" t="s">
        <v>13</v>
      </c>
      <c r="L3251">
        <v>5</v>
      </c>
      <c r="M3251">
        <v>120</v>
      </c>
      <c r="N3251">
        <f t="shared" si="404"/>
        <v>600</v>
      </c>
      <c r="O3251">
        <f t="shared" si="405"/>
        <v>60</v>
      </c>
      <c r="P3251" t="str">
        <f t="shared" si="406"/>
        <v>Large Order</v>
      </c>
      <c r="Q3251" t="str">
        <f t="shared" si="407"/>
        <v>Weekday</v>
      </c>
    </row>
    <row r="3252" spans="1:17" x14ac:dyDescent="0.35">
      <c r="A3252" t="s">
        <v>3402</v>
      </c>
      <c r="B3252" s="7">
        <v>45382</v>
      </c>
      <c r="C3252" s="13">
        <f t="shared" si="401"/>
        <v>2024</v>
      </c>
      <c r="D3252" s="7" t="str">
        <f t="shared" si="402"/>
        <v>Mar</v>
      </c>
      <c r="E3252" s="7" t="str">
        <f t="shared" si="403"/>
        <v>Sun</v>
      </c>
      <c r="F3252" t="s">
        <v>614</v>
      </c>
      <c r="G3252" t="s">
        <v>96</v>
      </c>
      <c r="H3252" t="s">
        <v>11</v>
      </c>
      <c r="I3252" s="2" t="str">
        <f t="shared" si="400"/>
        <v>East</v>
      </c>
      <c r="J3252" t="s">
        <v>306</v>
      </c>
      <c r="K3252" t="s">
        <v>28</v>
      </c>
      <c r="L3252">
        <v>5</v>
      </c>
      <c r="M3252">
        <v>120</v>
      </c>
      <c r="N3252">
        <f t="shared" si="404"/>
        <v>600</v>
      </c>
      <c r="O3252">
        <f t="shared" si="405"/>
        <v>60</v>
      </c>
      <c r="P3252" t="str">
        <f t="shared" si="406"/>
        <v>Large Order</v>
      </c>
      <c r="Q3252" t="str">
        <f t="shared" si="407"/>
        <v>Weekend</v>
      </c>
    </row>
    <row r="3253" spans="1:17" x14ac:dyDescent="0.35">
      <c r="A3253" t="s">
        <v>3403</v>
      </c>
      <c r="B3253" s="7">
        <v>45311</v>
      </c>
      <c r="C3253" s="13">
        <f t="shared" si="401"/>
        <v>2024</v>
      </c>
      <c r="D3253" s="7" t="str">
        <f t="shared" si="402"/>
        <v>Jan</v>
      </c>
      <c r="E3253" s="7" t="str">
        <f t="shared" si="403"/>
        <v>Sat</v>
      </c>
      <c r="F3253" t="s">
        <v>131</v>
      </c>
      <c r="G3253" t="s">
        <v>109</v>
      </c>
      <c r="H3253" t="s">
        <v>11</v>
      </c>
      <c r="I3253" s="2" t="str">
        <f t="shared" si="400"/>
        <v>Central</v>
      </c>
      <c r="J3253" t="s">
        <v>42</v>
      </c>
      <c r="K3253" t="s">
        <v>32</v>
      </c>
      <c r="L3253">
        <v>20</v>
      </c>
      <c r="M3253">
        <v>120</v>
      </c>
      <c r="N3253">
        <f t="shared" si="404"/>
        <v>2400</v>
      </c>
      <c r="O3253">
        <f t="shared" si="405"/>
        <v>240</v>
      </c>
      <c r="P3253" t="str">
        <f t="shared" si="406"/>
        <v>Large Order</v>
      </c>
      <c r="Q3253" t="str">
        <f t="shared" si="407"/>
        <v>Weekend</v>
      </c>
    </row>
    <row r="3254" spans="1:17" x14ac:dyDescent="0.35">
      <c r="A3254" t="s">
        <v>3404</v>
      </c>
      <c r="B3254" s="7">
        <v>45372</v>
      </c>
      <c r="C3254" s="13">
        <f t="shared" si="401"/>
        <v>2024</v>
      </c>
      <c r="D3254" s="7" t="str">
        <f t="shared" si="402"/>
        <v>Mar</v>
      </c>
      <c r="E3254" s="7" t="str">
        <f t="shared" si="403"/>
        <v>Thu</v>
      </c>
      <c r="F3254" t="s">
        <v>572</v>
      </c>
      <c r="G3254" t="s">
        <v>45</v>
      </c>
      <c r="H3254" t="s">
        <v>11</v>
      </c>
      <c r="I3254" s="2" t="str">
        <f t="shared" si="400"/>
        <v>West</v>
      </c>
      <c r="J3254" t="s">
        <v>306</v>
      </c>
      <c r="K3254" t="s">
        <v>28</v>
      </c>
      <c r="L3254">
        <v>6</v>
      </c>
      <c r="M3254">
        <v>120</v>
      </c>
      <c r="N3254">
        <f t="shared" si="404"/>
        <v>720</v>
      </c>
      <c r="O3254">
        <f t="shared" si="405"/>
        <v>72</v>
      </c>
      <c r="P3254" t="str">
        <f t="shared" si="406"/>
        <v>Large Order</v>
      </c>
      <c r="Q3254" t="str">
        <f t="shared" si="407"/>
        <v>Weekday</v>
      </c>
    </row>
    <row r="3255" spans="1:17" x14ac:dyDescent="0.35">
      <c r="A3255" t="s">
        <v>3405</v>
      </c>
      <c r="B3255" s="7">
        <v>45348</v>
      </c>
      <c r="C3255" s="13">
        <f t="shared" si="401"/>
        <v>2024</v>
      </c>
      <c r="D3255" s="7" t="str">
        <f t="shared" si="402"/>
        <v>Feb</v>
      </c>
      <c r="E3255" s="7" t="str">
        <f t="shared" si="403"/>
        <v>Mon</v>
      </c>
      <c r="F3255" t="s">
        <v>728</v>
      </c>
      <c r="G3255" t="s">
        <v>45</v>
      </c>
      <c r="H3255" t="s">
        <v>11</v>
      </c>
      <c r="I3255" s="2" t="str">
        <f t="shared" si="400"/>
        <v>North</v>
      </c>
      <c r="J3255" t="s">
        <v>27</v>
      </c>
      <c r="K3255" t="s">
        <v>28</v>
      </c>
      <c r="L3255">
        <v>10</v>
      </c>
      <c r="M3255">
        <v>120</v>
      </c>
      <c r="N3255">
        <f t="shared" si="404"/>
        <v>1200</v>
      </c>
      <c r="O3255">
        <f t="shared" si="405"/>
        <v>120</v>
      </c>
      <c r="P3255" t="str">
        <f t="shared" si="406"/>
        <v>Large Order</v>
      </c>
      <c r="Q3255" t="str">
        <f t="shared" si="407"/>
        <v>Weekday</v>
      </c>
    </row>
    <row r="3256" spans="1:17" x14ac:dyDescent="0.35">
      <c r="A3256" t="s">
        <v>3406</v>
      </c>
      <c r="B3256" s="7">
        <v>45483</v>
      </c>
      <c r="C3256" s="13">
        <f t="shared" si="401"/>
        <v>2024</v>
      </c>
      <c r="D3256" s="7" t="str">
        <f t="shared" si="402"/>
        <v>Jul</v>
      </c>
      <c r="E3256" s="7" t="str">
        <f t="shared" si="403"/>
        <v>Wed</v>
      </c>
      <c r="F3256" t="s">
        <v>86</v>
      </c>
      <c r="G3256" t="s">
        <v>109</v>
      </c>
      <c r="H3256" t="s">
        <v>17</v>
      </c>
      <c r="I3256" s="2" t="str">
        <f t="shared" si="400"/>
        <v>West</v>
      </c>
      <c r="J3256" t="s">
        <v>12</v>
      </c>
      <c r="K3256" t="s">
        <v>13</v>
      </c>
      <c r="L3256">
        <v>11</v>
      </c>
      <c r="M3256">
        <v>120</v>
      </c>
      <c r="N3256">
        <f t="shared" si="404"/>
        <v>1320</v>
      </c>
      <c r="O3256">
        <f t="shared" si="405"/>
        <v>132</v>
      </c>
      <c r="P3256" t="str">
        <f t="shared" si="406"/>
        <v>Large Order</v>
      </c>
      <c r="Q3256" t="str">
        <f t="shared" si="407"/>
        <v>Weekday</v>
      </c>
    </row>
    <row r="3257" spans="1:17" x14ac:dyDescent="0.35">
      <c r="A3257" t="s">
        <v>3407</v>
      </c>
      <c r="B3257" s="7">
        <v>45532</v>
      </c>
      <c r="C3257" s="13">
        <f t="shared" si="401"/>
        <v>2024</v>
      </c>
      <c r="D3257" s="7" t="str">
        <f t="shared" si="402"/>
        <v>Aug</v>
      </c>
      <c r="E3257" s="7" t="str">
        <f t="shared" si="403"/>
        <v>Wed</v>
      </c>
      <c r="F3257" t="s">
        <v>122</v>
      </c>
      <c r="G3257" t="s">
        <v>84</v>
      </c>
      <c r="H3257" t="s">
        <v>11</v>
      </c>
      <c r="I3257" s="2" t="str">
        <f t="shared" si="400"/>
        <v>South</v>
      </c>
      <c r="J3257" t="s">
        <v>27</v>
      </c>
      <c r="K3257" t="s">
        <v>13</v>
      </c>
      <c r="L3257">
        <v>18</v>
      </c>
      <c r="M3257">
        <v>120</v>
      </c>
      <c r="N3257">
        <f t="shared" si="404"/>
        <v>2160</v>
      </c>
      <c r="O3257">
        <f t="shared" si="405"/>
        <v>216</v>
      </c>
      <c r="P3257" t="str">
        <f t="shared" si="406"/>
        <v>Large Order</v>
      </c>
      <c r="Q3257" t="str">
        <f t="shared" si="407"/>
        <v>Weekday</v>
      </c>
    </row>
    <row r="3258" spans="1:17" x14ac:dyDescent="0.35">
      <c r="A3258" t="s">
        <v>3408</v>
      </c>
      <c r="B3258" s="7">
        <v>45598</v>
      </c>
      <c r="C3258" s="13">
        <f t="shared" si="401"/>
        <v>2024</v>
      </c>
      <c r="D3258" s="7" t="str">
        <f t="shared" si="402"/>
        <v>Nov</v>
      </c>
      <c r="E3258" s="7" t="str">
        <f t="shared" si="403"/>
        <v>Sat</v>
      </c>
      <c r="F3258" t="s">
        <v>329</v>
      </c>
      <c r="G3258" t="s">
        <v>160</v>
      </c>
      <c r="H3258" t="s">
        <v>11</v>
      </c>
      <c r="I3258" s="2" t="str">
        <f t="shared" si="400"/>
        <v>North</v>
      </c>
      <c r="J3258" t="s">
        <v>56</v>
      </c>
      <c r="K3258" t="s">
        <v>13</v>
      </c>
      <c r="L3258">
        <v>1</v>
      </c>
      <c r="M3258">
        <v>120</v>
      </c>
      <c r="N3258">
        <f t="shared" si="404"/>
        <v>120</v>
      </c>
      <c r="O3258">
        <f t="shared" si="405"/>
        <v>12</v>
      </c>
      <c r="P3258" t="str">
        <f t="shared" si="406"/>
        <v>Standard Order</v>
      </c>
      <c r="Q3258" t="str">
        <f t="shared" si="407"/>
        <v>Weekend</v>
      </c>
    </row>
    <row r="3259" spans="1:17" x14ac:dyDescent="0.35">
      <c r="A3259" t="s">
        <v>3409</v>
      </c>
      <c r="B3259" s="7">
        <v>45406</v>
      </c>
      <c r="C3259" s="13">
        <f t="shared" si="401"/>
        <v>2024</v>
      </c>
      <c r="D3259" s="7" t="str">
        <f t="shared" si="402"/>
        <v>Apr</v>
      </c>
      <c r="E3259" s="7" t="str">
        <f t="shared" si="403"/>
        <v>Wed</v>
      </c>
      <c r="F3259" t="s">
        <v>203</v>
      </c>
      <c r="G3259" t="s">
        <v>87</v>
      </c>
      <c r="H3259" t="s">
        <v>11</v>
      </c>
      <c r="I3259" s="2" t="str">
        <f t="shared" si="400"/>
        <v>North</v>
      </c>
      <c r="J3259" t="s">
        <v>12</v>
      </c>
      <c r="K3259" t="s">
        <v>23</v>
      </c>
      <c r="L3259">
        <v>15</v>
      </c>
      <c r="M3259">
        <v>120</v>
      </c>
      <c r="N3259">
        <f t="shared" si="404"/>
        <v>1800</v>
      </c>
      <c r="O3259">
        <f t="shared" si="405"/>
        <v>180</v>
      </c>
      <c r="P3259" t="str">
        <f t="shared" si="406"/>
        <v>Large Order</v>
      </c>
      <c r="Q3259" t="str">
        <f t="shared" si="407"/>
        <v>Weekday</v>
      </c>
    </row>
    <row r="3260" spans="1:17" x14ac:dyDescent="0.35">
      <c r="A3260" t="s">
        <v>3410</v>
      </c>
      <c r="B3260" s="7">
        <v>45566</v>
      </c>
      <c r="C3260" s="13">
        <f t="shared" si="401"/>
        <v>2024</v>
      </c>
      <c r="D3260" s="7" t="str">
        <f t="shared" si="402"/>
        <v>Oct</v>
      </c>
      <c r="E3260" s="7" t="str">
        <f t="shared" si="403"/>
        <v>Tue</v>
      </c>
      <c r="F3260" t="s">
        <v>396</v>
      </c>
      <c r="G3260" t="s">
        <v>16</v>
      </c>
      <c r="H3260" t="s">
        <v>22</v>
      </c>
      <c r="I3260" s="2" t="str">
        <f t="shared" si="400"/>
        <v>Central</v>
      </c>
      <c r="J3260" t="s">
        <v>12</v>
      </c>
      <c r="K3260" t="s">
        <v>32</v>
      </c>
      <c r="L3260">
        <v>16</v>
      </c>
      <c r="M3260">
        <v>120</v>
      </c>
      <c r="N3260">
        <f t="shared" si="404"/>
        <v>1920</v>
      </c>
      <c r="O3260">
        <f t="shared" si="405"/>
        <v>192</v>
      </c>
      <c r="P3260" t="str">
        <f t="shared" si="406"/>
        <v>Large Order</v>
      </c>
      <c r="Q3260" t="str">
        <f t="shared" si="407"/>
        <v>Weekday</v>
      </c>
    </row>
    <row r="3261" spans="1:17" x14ac:dyDescent="0.35">
      <c r="A3261" t="s">
        <v>3411</v>
      </c>
      <c r="B3261" s="7">
        <v>45423</v>
      </c>
      <c r="C3261" s="13">
        <f t="shared" si="401"/>
        <v>2024</v>
      </c>
      <c r="D3261" s="7" t="str">
        <f t="shared" si="402"/>
        <v>May</v>
      </c>
      <c r="E3261" s="7" t="str">
        <f t="shared" si="403"/>
        <v>Sat</v>
      </c>
      <c r="F3261" t="s">
        <v>34</v>
      </c>
      <c r="G3261" t="s">
        <v>72</v>
      </c>
      <c r="H3261" t="s">
        <v>22</v>
      </c>
      <c r="I3261" s="2" t="str">
        <f t="shared" si="400"/>
        <v>Central</v>
      </c>
      <c r="J3261" t="s">
        <v>306</v>
      </c>
      <c r="K3261" t="s">
        <v>32</v>
      </c>
      <c r="L3261">
        <v>20</v>
      </c>
      <c r="M3261">
        <v>120</v>
      </c>
      <c r="N3261">
        <f t="shared" si="404"/>
        <v>2400</v>
      </c>
      <c r="O3261">
        <f t="shared" si="405"/>
        <v>240</v>
      </c>
      <c r="P3261" t="str">
        <f t="shared" si="406"/>
        <v>Large Order</v>
      </c>
      <c r="Q3261" t="str">
        <f t="shared" si="407"/>
        <v>Weekend</v>
      </c>
    </row>
    <row r="3262" spans="1:17" x14ac:dyDescent="0.35">
      <c r="A3262" t="s">
        <v>3412</v>
      </c>
      <c r="B3262" s="7">
        <v>45341</v>
      </c>
      <c r="C3262" s="13">
        <f t="shared" si="401"/>
        <v>2024</v>
      </c>
      <c r="D3262" s="7" t="str">
        <f t="shared" si="402"/>
        <v>Feb</v>
      </c>
      <c r="E3262" s="7" t="str">
        <f t="shared" si="403"/>
        <v>Mon</v>
      </c>
      <c r="F3262" t="s">
        <v>517</v>
      </c>
      <c r="G3262" t="s">
        <v>35</v>
      </c>
      <c r="H3262" t="s">
        <v>22</v>
      </c>
      <c r="I3262" s="2" t="str">
        <f t="shared" si="400"/>
        <v>North</v>
      </c>
      <c r="J3262" t="s">
        <v>306</v>
      </c>
      <c r="K3262" t="s">
        <v>28</v>
      </c>
      <c r="L3262">
        <v>5</v>
      </c>
      <c r="M3262">
        <v>120</v>
      </c>
      <c r="N3262">
        <f t="shared" si="404"/>
        <v>600</v>
      </c>
      <c r="O3262">
        <f t="shared" si="405"/>
        <v>60</v>
      </c>
      <c r="P3262" t="str">
        <f t="shared" si="406"/>
        <v>Large Order</v>
      </c>
      <c r="Q3262" t="str">
        <f t="shared" si="407"/>
        <v>Weekday</v>
      </c>
    </row>
    <row r="3263" spans="1:17" x14ac:dyDescent="0.35">
      <c r="A3263" t="s">
        <v>3413</v>
      </c>
      <c r="B3263" s="7">
        <v>45358</v>
      </c>
      <c r="C3263" s="13">
        <f t="shared" si="401"/>
        <v>2024</v>
      </c>
      <c r="D3263" s="7" t="str">
        <f t="shared" si="402"/>
        <v>Mar</v>
      </c>
      <c r="E3263" s="7" t="str">
        <f t="shared" si="403"/>
        <v>Thu</v>
      </c>
      <c r="F3263" t="s">
        <v>167</v>
      </c>
      <c r="G3263" t="s">
        <v>197</v>
      </c>
      <c r="H3263" t="s">
        <v>22</v>
      </c>
      <c r="I3263" s="2" t="str">
        <f t="shared" si="400"/>
        <v>East</v>
      </c>
      <c r="J3263" t="s">
        <v>12</v>
      </c>
      <c r="K3263" t="s">
        <v>13</v>
      </c>
      <c r="L3263">
        <v>13</v>
      </c>
      <c r="M3263">
        <v>120</v>
      </c>
      <c r="N3263">
        <f t="shared" si="404"/>
        <v>1560</v>
      </c>
      <c r="O3263">
        <f t="shared" si="405"/>
        <v>156</v>
      </c>
      <c r="P3263" t="str">
        <f t="shared" si="406"/>
        <v>Large Order</v>
      </c>
      <c r="Q3263" t="str">
        <f t="shared" si="407"/>
        <v>Weekday</v>
      </c>
    </row>
    <row r="3264" spans="1:17" x14ac:dyDescent="0.35">
      <c r="A3264" t="s">
        <v>3414</v>
      </c>
      <c r="B3264" s="7">
        <v>45606</v>
      </c>
      <c r="C3264" s="13">
        <f t="shared" si="401"/>
        <v>2024</v>
      </c>
      <c r="D3264" s="7" t="str">
        <f t="shared" si="402"/>
        <v>Nov</v>
      </c>
      <c r="E3264" s="7" t="str">
        <f t="shared" si="403"/>
        <v>Sun</v>
      </c>
      <c r="F3264" t="s">
        <v>15</v>
      </c>
      <c r="G3264" t="s">
        <v>197</v>
      </c>
      <c r="H3264" t="s">
        <v>11</v>
      </c>
      <c r="I3264" s="2" t="str">
        <f t="shared" si="400"/>
        <v>Central</v>
      </c>
      <c r="J3264" t="s">
        <v>42</v>
      </c>
      <c r="K3264" t="s">
        <v>28</v>
      </c>
      <c r="L3264">
        <v>10</v>
      </c>
      <c r="M3264">
        <v>120</v>
      </c>
      <c r="N3264">
        <f t="shared" si="404"/>
        <v>1200</v>
      </c>
      <c r="O3264">
        <f t="shared" si="405"/>
        <v>120</v>
      </c>
      <c r="P3264" t="str">
        <f t="shared" si="406"/>
        <v>Large Order</v>
      </c>
      <c r="Q3264" t="str">
        <f t="shared" si="407"/>
        <v>Weekend</v>
      </c>
    </row>
    <row r="3265" spans="1:17" x14ac:dyDescent="0.35">
      <c r="A3265" t="s">
        <v>3415</v>
      </c>
      <c r="B3265" s="7">
        <v>45528</v>
      </c>
      <c r="C3265" s="13">
        <f t="shared" si="401"/>
        <v>2024</v>
      </c>
      <c r="D3265" s="7" t="str">
        <f t="shared" si="402"/>
        <v>Aug</v>
      </c>
      <c r="E3265" s="7" t="str">
        <f t="shared" si="403"/>
        <v>Sat</v>
      </c>
      <c r="F3265" t="s">
        <v>317</v>
      </c>
      <c r="G3265" t="s">
        <v>59</v>
      </c>
      <c r="H3265" t="s">
        <v>22</v>
      </c>
      <c r="I3265" s="2" t="str">
        <f t="shared" si="400"/>
        <v>South</v>
      </c>
      <c r="J3265" t="s">
        <v>306</v>
      </c>
      <c r="K3265" t="s">
        <v>36</v>
      </c>
      <c r="L3265">
        <v>9</v>
      </c>
      <c r="M3265">
        <v>120</v>
      </c>
      <c r="N3265">
        <f t="shared" si="404"/>
        <v>1080</v>
      </c>
      <c r="O3265">
        <f t="shared" si="405"/>
        <v>108</v>
      </c>
      <c r="P3265" t="str">
        <f t="shared" si="406"/>
        <v>Large Order</v>
      </c>
      <c r="Q3265" t="str">
        <f t="shared" si="407"/>
        <v>Weekend</v>
      </c>
    </row>
    <row r="3266" spans="1:17" x14ac:dyDescent="0.35">
      <c r="A3266" t="s">
        <v>3416</v>
      </c>
      <c r="B3266" s="7">
        <v>45359</v>
      </c>
      <c r="C3266" s="13">
        <f t="shared" si="401"/>
        <v>2024</v>
      </c>
      <c r="D3266" s="7" t="str">
        <f t="shared" si="402"/>
        <v>Mar</v>
      </c>
      <c r="E3266" s="7" t="str">
        <f t="shared" si="403"/>
        <v>Fri</v>
      </c>
      <c r="F3266" t="s">
        <v>187</v>
      </c>
      <c r="G3266" t="s">
        <v>87</v>
      </c>
      <c r="H3266" t="s">
        <v>17</v>
      </c>
      <c r="I3266" s="2" t="str">
        <f t="shared" si="400"/>
        <v>South</v>
      </c>
      <c r="J3266" t="s">
        <v>56</v>
      </c>
      <c r="K3266" t="s">
        <v>36</v>
      </c>
      <c r="L3266">
        <v>2</v>
      </c>
      <c r="M3266">
        <v>120</v>
      </c>
      <c r="N3266">
        <f t="shared" si="404"/>
        <v>240</v>
      </c>
      <c r="O3266">
        <f t="shared" si="405"/>
        <v>24</v>
      </c>
      <c r="P3266" t="str">
        <f t="shared" si="406"/>
        <v>Standard Order</v>
      </c>
      <c r="Q3266" t="str">
        <f t="shared" si="407"/>
        <v>Weekday</v>
      </c>
    </row>
    <row r="3267" spans="1:17" x14ac:dyDescent="0.35">
      <c r="A3267" t="s">
        <v>3417</v>
      </c>
      <c r="B3267" s="7">
        <v>45489</v>
      </c>
      <c r="C3267" s="13">
        <f t="shared" si="401"/>
        <v>2024</v>
      </c>
      <c r="D3267" s="7" t="str">
        <f t="shared" si="402"/>
        <v>Jul</v>
      </c>
      <c r="E3267" s="7" t="str">
        <f t="shared" si="403"/>
        <v>Tue</v>
      </c>
      <c r="F3267" t="s">
        <v>451</v>
      </c>
      <c r="G3267" t="s">
        <v>79</v>
      </c>
      <c r="H3267" t="s">
        <v>11</v>
      </c>
      <c r="I3267" s="2" t="str">
        <f t="shared" ref="I3267:I3302" si="408">TRIM(J3268)</f>
        <v>North</v>
      </c>
      <c r="J3267" t="s">
        <v>56</v>
      </c>
      <c r="K3267" t="s">
        <v>13</v>
      </c>
      <c r="L3267">
        <v>5</v>
      </c>
      <c r="M3267">
        <v>120</v>
      </c>
      <c r="N3267">
        <f t="shared" si="404"/>
        <v>600</v>
      </c>
      <c r="O3267">
        <f t="shared" si="405"/>
        <v>60</v>
      </c>
      <c r="P3267" t="str">
        <f t="shared" si="406"/>
        <v>Large Order</v>
      </c>
      <c r="Q3267" t="str">
        <f t="shared" si="407"/>
        <v>Weekday</v>
      </c>
    </row>
    <row r="3268" spans="1:17" x14ac:dyDescent="0.35">
      <c r="A3268" t="s">
        <v>3418</v>
      </c>
      <c r="B3268" s="7">
        <v>45413</v>
      </c>
      <c r="C3268" s="13">
        <f t="shared" ref="C3268:C3302" si="409">YEAR(B3268)</f>
        <v>2024</v>
      </c>
      <c r="D3268" s="7" t="str">
        <f t="shared" ref="D3268:D3302" si="410">TEXT(B3268,"mmm")</f>
        <v>May</v>
      </c>
      <c r="E3268" s="7" t="str">
        <f t="shared" ref="E3268:E3302" si="411">TEXT(B3268,"ddd")</f>
        <v>Wed</v>
      </c>
      <c r="F3268" t="s">
        <v>111</v>
      </c>
      <c r="G3268" t="s">
        <v>31</v>
      </c>
      <c r="H3268" t="s">
        <v>17</v>
      </c>
      <c r="I3268" s="2" t="str">
        <f t="shared" si="408"/>
        <v>West</v>
      </c>
      <c r="J3268" t="s">
        <v>12</v>
      </c>
      <c r="K3268" t="s">
        <v>36</v>
      </c>
      <c r="L3268">
        <v>16</v>
      </c>
      <c r="M3268">
        <v>120</v>
      </c>
      <c r="N3268">
        <f t="shared" ref="N3268:N3302" si="412">M3268*L3268</f>
        <v>1920</v>
      </c>
      <c r="O3268">
        <f t="shared" ref="O3268:O3302" si="413">N3268*0.1</f>
        <v>192</v>
      </c>
      <c r="P3268" t="str">
        <f t="shared" ref="P3268:P3302" si="414">IF(N3268&gt;500,"Large Order","Standard Order")</f>
        <v>Large Order</v>
      </c>
      <c r="Q3268" t="str">
        <f t="shared" ref="Q3268:Q3302" si="415">IF(OR(TRIM(E3268)="Sat",TRIM(E3268)="Sun"),"Weekend","Weekday")</f>
        <v>Weekday</v>
      </c>
    </row>
    <row r="3269" spans="1:17" x14ac:dyDescent="0.35">
      <c r="A3269" t="s">
        <v>3419</v>
      </c>
      <c r="B3269" s="7">
        <v>45468</v>
      </c>
      <c r="C3269" s="13">
        <f t="shared" si="409"/>
        <v>2024</v>
      </c>
      <c r="D3269" s="7" t="str">
        <f t="shared" si="410"/>
        <v>Jun</v>
      </c>
      <c r="E3269" s="7" t="str">
        <f t="shared" si="411"/>
        <v>Tue</v>
      </c>
      <c r="F3269" t="s">
        <v>150</v>
      </c>
      <c r="G3269" t="s">
        <v>21</v>
      </c>
      <c r="H3269" t="s">
        <v>22</v>
      </c>
      <c r="I3269" s="2" t="str">
        <f t="shared" si="408"/>
        <v>East</v>
      </c>
      <c r="J3269" t="s">
        <v>27</v>
      </c>
      <c r="K3269" t="s">
        <v>23</v>
      </c>
      <c r="L3269">
        <v>7</v>
      </c>
      <c r="M3269">
        <v>120</v>
      </c>
      <c r="N3269">
        <f t="shared" si="412"/>
        <v>840</v>
      </c>
      <c r="O3269">
        <f t="shared" si="413"/>
        <v>84</v>
      </c>
      <c r="P3269" t="str">
        <f t="shared" si="414"/>
        <v>Large Order</v>
      </c>
      <c r="Q3269" t="str">
        <f t="shared" si="415"/>
        <v>Weekday</v>
      </c>
    </row>
    <row r="3270" spans="1:17" x14ac:dyDescent="0.35">
      <c r="A3270" t="s">
        <v>3420</v>
      </c>
      <c r="B3270" s="7">
        <v>45426</v>
      </c>
      <c r="C3270" s="13">
        <f t="shared" si="409"/>
        <v>2024</v>
      </c>
      <c r="D3270" s="7" t="str">
        <f t="shared" si="410"/>
        <v>May</v>
      </c>
      <c r="E3270" s="7" t="str">
        <f t="shared" si="411"/>
        <v>Tue</v>
      </c>
      <c r="F3270" t="s">
        <v>591</v>
      </c>
      <c r="G3270" t="s">
        <v>70</v>
      </c>
      <c r="H3270" t="s">
        <v>11</v>
      </c>
      <c r="I3270" s="2" t="str">
        <f t="shared" si="408"/>
        <v>Central</v>
      </c>
      <c r="J3270" t="s">
        <v>42</v>
      </c>
      <c r="K3270" t="s">
        <v>36</v>
      </c>
      <c r="L3270">
        <v>11</v>
      </c>
      <c r="M3270">
        <v>120</v>
      </c>
      <c r="N3270">
        <f t="shared" si="412"/>
        <v>1320</v>
      </c>
      <c r="O3270">
        <f t="shared" si="413"/>
        <v>132</v>
      </c>
      <c r="P3270" t="str">
        <f t="shared" si="414"/>
        <v>Large Order</v>
      </c>
      <c r="Q3270" t="str">
        <f t="shared" si="415"/>
        <v>Weekday</v>
      </c>
    </row>
    <row r="3271" spans="1:17" x14ac:dyDescent="0.35">
      <c r="A3271" t="s">
        <v>3421</v>
      </c>
      <c r="B3271" s="7">
        <v>45387</v>
      </c>
      <c r="C3271" s="13">
        <f t="shared" si="409"/>
        <v>2024</v>
      </c>
      <c r="D3271" s="7" t="str">
        <f t="shared" si="410"/>
        <v>Apr</v>
      </c>
      <c r="E3271" s="7" t="str">
        <f t="shared" si="411"/>
        <v>Fri</v>
      </c>
      <c r="F3271" t="s">
        <v>230</v>
      </c>
      <c r="G3271" t="s">
        <v>72</v>
      </c>
      <c r="H3271" t="s">
        <v>17</v>
      </c>
      <c r="I3271" s="2" t="str">
        <f t="shared" si="408"/>
        <v>North</v>
      </c>
      <c r="J3271" t="s">
        <v>306</v>
      </c>
      <c r="K3271" t="s">
        <v>23</v>
      </c>
      <c r="L3271">
        <v>4</v>
      </c>
      <c r="M3271">
        <v>120</v>
      </c>
      <c r="N3271">
        <f t="shared" si="412"/>
        <v>480</v>
      </c>
      <c r="O3271">
        <f t="shared" si="413"/>
        <v>48</v>
      </c>
      <c r="P3271" t="str">
        <f t="shared" si="414"/>
        <v>Standard Order</v>
      </c>
      <c r="Q3271" t="str">
        <f t="shared" si="415"/>
        <v>Weekday</v>
      </c>
    </row>
    <row r="3272" spans="1:17" x14ac:dyDescent="0.35">
      <c r="A3272" t="s">
        <v>3422</v>
      </c>
      <c r="B3272" s="7">
        <v>45467</v>
      </c>
      <c r="C3272" s="13">
        <f t="shared" si="409"/>
        <v>2024</v>
      </c>
      <c r="D3272" s="7" t="str">
        <f t="shared" si="410"/>
        <v>Jun</v>
      </c>
      <c r="E3272" s="7" t="str">
        <f t="shared" si="411"/>
        <v>Mon</v>
      </c>
      <c r="F3272" t="s">
        <v>332</v>
      </c>
      <c r="G3272" t="s">
        <v>160</v>
      </c>
      <c r="H3272" t="s">
        <v>17</v>
      </c>
      <c r="I3272" s="2" t="str">
        <f t="shared" si="408"/>
        <v>West</v>
      </c>
      <c r="J3272" t="s">
        <v>12</v>
      </c>
      <c r="K3272" t="s">
        <v>32</v>
      </c>
      <c r="L3272">
        <v>14</v>
      </c>
      <c r="M3272">
        <v>120</v>
      </c>
      <c r="N3272">
        <f t="shared" si="412"/>
        <v>1680</v>
      </c>
      <c r="O3272">
        <f t="shared" si="413"/>
        <v>168</v>
      </c>
      <c r="P3272" t="str">
        <f t="shared" si="414"/>
        <v>Large Order</v>
      </c>
      <c r="Q3272" t="str">
        <f t="shared" si="415"/>
        <v>Weekday</v>
      </c>
    </row>
    <row r="3273" spans="1:17" x14ac:dyDescent="0.35">
      <c r="A3273" t="s">
        <v>3423</v>
      </c>
      <c r="B3273" s="7">
        <v>45570</v>
      </c>
      <c r="C3273" s="13">
        <f t="shared" si="409"/>
        <v>2024</v>
      </c>
      <c r="D3273" s="7" t="str">
        <f t="shared" si="410"/>
        <v>Oct</v>
      </c>
      <c r="E3273" s="7" t="str">
        <f t="shared" si="411"/>
        <v>Sat</v>
      </c>
      <c r="F3273" t="s">
        <v>34</v>
      </c>
      <c r="G3273" t="s">
        <v>102</v>
      </c>
      <c r="H3273" t="s">
        <v>11</v>
      </c>
      <c r="I3273" s="2" t="str">
        <f t="shared" si="408"/>
        <v>West</v>
      </c>
      <c r="J3273" t="s">
        <v>27</v>
      </c>
      <c r="K3273" t="s">
        <v>13</v>
      </c>
      <c r="L3273">
        <v>4</v>
      </c>
      <c r="M3273">
        <v>120</v>
      </c>
      <c r="N3273">
        <f t="shared" si="412"/>
        <v>480</v>
      </c>
      <c r="O3273">
        <f t="shared" si="413"/>
        <v>48</v>
      </c>
      <c r="P3273" t="str">
        <f t="shared" si="414"/>
        <v>Standard Order</v>
      </c>
      <c r="Q3273" t="str">
        <f t="shared" si="415"/>
        <v>Weekend</v>
      </c>
    </row>
    <row r="3274" spans="1:17" x14ac:dyDescent="0.35">
      <c r="A3274" t="s">
        <v>3424</v>
      </c>
      <c r="B3274" s="7">
        <v>45443</v>
      </c>
      <c r="C3274" s="13">
        <f t="shared" si="409"/>
        <v>2024</v>
      </c>
      <c r="D3274" s="7" t="str">
        <f t="shared" si="410"/>
        <v>May</v>
      </c>
      <c r="E3274" s="7" t="str">
        <f t="shared" si="411"/>
        <v>Fri</v>
      </c>
      <c r="F3274" t="s">
        <v>34</v>
      </c>
      <c r="G3274" t="s">
        <v>48</v>
      </c>
      <c r="H3274" t="s">
        <v>17</v>
      </c>
      <c r="I3274" s="2" t="str">
        <f t="shared" si="408"/>
        <v>Central</v>
      </c>
      <c r="J3274" t="s">
        <v>27</v>
      </c>
      <c r="K3274" t="s">
        <v>23</v>
      </c>
      <c r="L3274">
        <v>18</v>
      </c>
      <c r="M3274">
        <v>120</v>
      </c>
      <c r="N3274">
        <f t="shared" si="412"/>
        <v>2160</v>
      </c>
      <c r="O3274">
        <f t="shared" si="413"/>
        <v>216</v>
      </c>
      <c r="P3274" t="str">
        <f t="shared" si="414"/>
        <v>Large Order</v>
      </c>
      <c r="Q3274" t="str">
        <f t="shared" si="415"/>
        <v>Weekday</v>
      </c>
    </row>
    <row r="3275" spans="1:17" x14ac:dyDescent="0.35">
      <c r="A3275" t="s">
        <v>3425</v>
      </c>
      <c r="B3275" s="7">
        <v>45334</v>
      </c>
      <c r="C3275" s="13">
        <f t="shared" si="409"/>
        <v>2024</v>
      </c>
      <c r="D3275" s="7" t="str">
        <f t="shared" si="410"/>
        <v>Feb</v>
      </c>
      <c r="E3275" s="7" t="str">
        <f t="shared" si="411"/>
        <v>Mon</v>
      </c>
      <c r="F3275" t="s">
        <v>358</v>
      </c>
      <c r="G3275" t="s">
        <v>45</v>
      </c>
      <c r="H3275" t="s">
        <v>17</v>
      </c>
      <c r="I3275" s="2" t="str">
        <f t="shared" si="408"/>
        <v>East</v>
      </c>
      <c r="J3275" t="s">
        <v>306</v>
      </c>
      <c r="K3275" t="s">
        <v>28</v>
      </c>
      <c r="L3275">
        <v>5</v>
      </c>
      <c r="M3275">
        <v>120</v>
      </c>
      <c r="N3275">
        <f t="shared" si="412"/>
        <v>600</v>
      </c>
      <c r="O3275">
        <f t="shared" si="413"/>
        <v>60</v>
      </c>
      <c r="P3275" t="str">
        <f t="shared" si="414"/>
        <v>Large Order</v>
      </c>
      <c r="Q3275" t="str">
        <f t="shared" si="415"/>
        <v>Weekday</v>
      </c>
    </row>
    <row r="3276" spans="1:17" x14ac:dyDescent="0.35">
      <c r="A3276" t="s">
        <v>3426</v>
      </c>
      <c r="B3276" s="7">
        <v>45405</v>
      </c>
      <c r="C3276" s="13">
        <f t="shared" si="409"/>
        <v>2024</v>
      </c>
      <c r="D3276" s="7" t="str">
        <f t="shared" si="410"/>
        <v>Apr</v>
      </c>
      <c r="E3276" s="7" t="str">
        <f t="shared" si="411"/>
        <v>Tue</v>
      </c>
      <c r="F3276" t="s">
        <v>420</v>
      </c>
      <c r="G3276" t="s">
        <v>96</v>
      </c>
      <c r="H3276" t="s">
        <v>11</v>
      </c>
      <c r="I3276" s="2" t="str">
        <f t="shared" si="408"/>
        <v>Central</v>
      </c>
      <c r="J3276" t="s">
        <v>42</v>
      </c>
      <c r="K3276" t="s">
        <v>36</v>
      </c>
      <c r="L3276">
        <v>20</v>
      </c>
      <c r="M3276">
        <v>120</v>
      </c>
      <c r="N3276">
        <f t="shared" si="412"/>
        <v>2400</v>
      </c>
      <c r="O3276">
        <f t="shared" si="413"/>
        <v>240</v>
      </c>
      <c r="P3276" t="str">
        <f t="shared" si="414"/>
        <v>Large Order</v>
      </c>
      <c r="Q3276" t="str">
        <f t="shared" si="415"/>
        <v>Weekday</v>
      </c>
    </row>
    <row r="3277" spans="1:17" x14ac:dyDescent="0.35">
      <c r="A3277" t="s">
        <v>3427</v>
      </c>
      <c r="B3277" s="7">
        <v>45580</v>
      </c>
      <c r="C3277" s="13">
        <f t="shared" si="409"/>
        <v>2024</v>
      </c>
      <c r="D3277" s="7" t="str">
        <f t="shared" si="410"/>
        <v>Oct</v>
      </c>
      <c r="E3277" s="7" t="str">
        <f t="shared" si="411"/>
        <v>Tue</v>
      </c>
      <c r="F3277" t="s">
        <v>339</v>
      </c>
      <c r="G3277" t="s">
        <v>160</v>
      </c>
      <c r="H3277" t="s">
        <v>11</v>
      </c>
      <c r="I3277" s="2" t="str">
        <f t="shared" si="408"/>
        <v>North</v>
      </c>
      <c r="J3277" t="s">
        <v>306</v>
      </c>
      <c r="K3277" t="s">
        <v>32</v>
      </c>
      <c r="L3277">
        <v>18</v>
      </c>
      <c r="M3277">
        <v>120</v>
      </c>
      <c r="N3277">
        <f t="shared" si="412"/>
        <v>2160</v>
      </c>
      <c r="O3277">
        <f t="shared" si="413"/>
        <v>216</v>
      </c>
      <c r="P3277" t="str">
        <f t="shared" si="414"/>
        <v>Large Order</v>
      </c>
      <c r="Q3277" t="str">
        <f t="shared" si="415"/>
        <v>Weekday</v>
      </c>
    </row>
    <row r="3278" spans="1:17" x14ac:dyDescent="0.35">
      <c r="A3278" t="s">
        <v>3428</v>
      </c>
      <c r="B3278" s="7">
        <v>45563</v>
      </c>
      <c r="C3278" s="13">
        <f t="shared" si="409"/>
        <v>2024</v>
      </c>
      <c r="D3278" s="7" t="str">
        <f t="shared" si="410"/>
        <v>Sep</v>
      </c>
      <c r="E3278" s="7" t="str">
        <f t="shared" si="411"/>
        <v>Sat</v>
      </c>
      <c r="F3278" t="s">
        <v>30</v>
      </c>
      <c r="G3278" t="s">
        <v>48</v>
      </c>
      <c r="H3278" t="s">
        <v>11</v>
      </c>
      <c r="I3278" s="2" t="str">
        <f t="shared" si="408"/>
        <v>South</v>
      </c>
      <c r="J3278" t="s">
        <v>12</v>
      </c>
      <c r="K3278" t="s">
        <v>28</v>
      </c>
      <c r="L3278">
        <v>20</v>
      </c>
      <c r="M3278">
        <v>120</v>
      </c>
      <c r="N3278">
        <f t="shared" si="412"/>
        <v>2400</v>
      </c>
      <c r="O3278">
        <f t="shared" si="413"/>
        <v>240</v>
      </c>
      <c r="P3278" t="str">
        <f t="shared" si="414"/>
        <v>Large Order</v>
      </c>
      <c r="Q3278" t="str">
        <f t="shared" si="415"/>
        <v>Weekend</v>
      </c>
    </row>
    <row r="3279" spans="1:17" x14ac:dyDescent="0.35">
      <c r="A3279" t="s">
        <v>3429</v>
      </c>
      <c r="B3279" s="7">
        <v>45369</v>
      </c>
      <c r="C3279" s="13">
        <f t="shared" si="409"/>
        <v>2024</v>
      </c>
      <c r="D3279" s="7" t="str">
        <f t="shared" si="410"/>
        <v>Mar</v>
      </c>
      <c r="E3279" s="7" t="str">
        <f t="shared" si="411"/>
        <v>Mon</v>
      </c>
      <c r="F3279" t="s">
        <v>591</v>
      </c>
      <c r="G3279" t="s">
        <v>109</v>
      </c>
      <c r="H3279" t="s">
        <v>17</v>
      </c>
      <c r="I3279" s="2" t="str">
        <f t="shared" si="408"/>
        <v>West</v>
      </c>
      <c r="J3279" t="s">
        <v>56</v>
      </c>
      <c r="K3279" t="s">
        <v>32</v>
      </c>
      <c r="L3279">
        <v>2</v>
      </c>
      <c r="M3279">
        <v>120</v>
      </c>
      <c r="N3279">
        <f t="shared" si="412"/>
        <v>240</v>
      </c>
      <c r="O3279">
        <f t="shared" si="413"/>
        <v>24</v>
      </c>
      <c r="P3279" t="str">
        <f t="shared" si="414"/>
        <v>Standard Order</v>
      </c>
      <c r="Q3279" t="str">
        <f t="shared" si="415"/>
        <v>Weekday</v>
      </c>
    </row>
    <row r="3280" spans="1:17" x14ac:dyDescent="0.35">
      <c r="A3280" t="s">
        <v>3430</v>
      </c>
      <c r="B3280" s="7">
        <v>45497</v>
      </c>
      <c r="C3280" s="13">
        <f t="shared" si="409"/>
        <v>2024</v>
      </c>
      <c r="D3280" s="7" t="str">
        <f t="shared" si="410"/>
        <v>Jul</v>
      </c>
      <c r="E3280" s="7" t="str">
        <f t="shared" si="411"/>
        <v>Wed</v>
      </c>
      <c r="F3280" t="s">
        <v>61</v>
      </c>
      <c r="G3280" t="s">
        <v>31</v>
      </c>
      <c r="H3280" t="s">
        <v>22</v>
      </c>
      <c r="I3280" s="2" t="str">
        <f t="shared" si="408"/>
        <v>Central</v>
      </c>
      <c r="J3280" t="s">
        <v>27</v>
      </c>
      <c r="K3280" t="s">
        <v>23</v>
      </c>
      <c r="L3280">
        <v>15</v>
      </c>
      <c r="M3280">
        <v>120</v>
      </c>
      <c r="N3280">
        <f t="shared" si="412"/>
        <v>1800</v>
      </c>
      <c r="O3280">
        <f t="shared" si="413"/>
        <v>180</v>
      </c>
      <c r="P3280" t="str">
        <f t="shared" si="414"/>
        <v>Large Order</v>
      </c>
      <c r="Q3280" t="str">
        <f t="shared" si="415"/>
        <v>Weekday</v>
      </c>
    </row>
    <row r="3281" spans="1:17" x14ac:dyDescent="0.35">
      <c r="A3281" t="s">
        <v>3431</v>
      </c>
      <c r="B3281" s="7">
        <v>45445</v>
      </c>
      <c r="C3281" s="13">
        <f t="shared" si="409"/>
        <v>2024</v>
      </c>
      <c r="D3281" s="7" t="str">
        <f t="shared" si="410"/>
        <v>Jun</v>
      </c>
      <c r="E3281" s="7" t="str">
        <f t="shared" si="411"/>
        <v>Sun</v>
      </c>
      <c r="F3281" t="s">
        <v>25</v>
      </c>
      <c r="G3281" t="s">
        <v>10</v>
      </c>
      <c r="H3281" t="s">
        <v>17</v>
      </c>
      <c r="I3281" s="2" t="str">
        <f t="shared" si="408"/>
        <v>West</v>
      </c>
      <c r="J3281" t="s">
        <v>306</v>
      </c>
      <c r="K3281" t="s">
        <v>32</v>
      </c>
      <c r="L3281">
        <v>7</v>
      </c>
      <c r="M3281">
        <v>120</v>
      </c>
      <c r="N3281">
        <f t="shared" si="412"/>
        <v>840</v>
      </c>
      <c r="O3281">
        <f t="shared" si="413"/>
        <v>84</v>
      </c>
      <c r="P3281" t="str">
        <f t="shared" si="414"/>
        <v>Large Order</v>
      </c>
      <c r="Q3281" t="str">
        <f t="shared" si="415"/>
        <v>Weekend</v>
      </c>
    </row>
    <row r="3282" spans="1:17" x14ac:dyDescent="0.35">
      <c r="A3282" t="s">
        <v>3432</v>
      </c>
      <c r="B3282" s="7">
        <v>45605</v>
      </c>
      <c r="C3282" s="13">
        <f t="shared" si="409"/>
        <v>2024</v>
      </c>
      <c r="D3282" s="7" t="str">
        <f t="shared" si="410"/>
        <v>Nov</v>
      </c>
      <c r="E3282" s="7" t="str">
        <f t="shared" si="411"/>
        <v>Sat</v>
      </c>
      <c r="F3282" t="s">
        <v>327</v>
      </c>
      <c r="G3282" t="s">
        <v>10</v>
      </c>
      <c r="H3282" t="s">
        <v>11</v>
      </c>
      <c r="I3282" s="2" t="str">
        <f t="shared" si="408"/>
        <v>South</v>
      </c>
      <c r="J3282" t="s">
        <v>27</v>
      </c>
      <c r="K3282" t="s">
        <v>28</v>
      </c>
      <c r="L3282">
        <v>5</v>
      </c>
      <c r="M3282">
        <v>120</v>
      </c>
      <c r="N3282">
        <f t="shared" si="412"/>
        <v>600</v>
      </c>
      <c r="O3282">
        <f t="shared" si="413"/>
        <v>60</v>
      </c>
      <c r="P3282" t="str">
        <f t="shared" si="414"/>
        <v>Large Order</v>
      </c>
      <c r="Q3282" t="str">
        <f t="shared" si="415"/>
        <v>Weekend</v>
      </c>
    </row>
    <row r="3283" spans="1:17" x14ac:dyDescent="0.35">
      <c r="A3283" t="s">
        <v>3433</v>
      </c>
      <c r="B3283" s="7">
        <v>45374</v>
      </c>
      <c r="C3283" s="13">
        <f t="shared" si="409"/>
        <v>2024</v>
      </c>
      <c r="D3283" s="7" t="str">
        <f t="shared" si="410"/>
        <v>Mar</v>
      </c>
      <c r="E3283" s="7" t="str">
        <f t="shared" si="411"/>
        <v>Sat</v>
      </c>
      <c r="F3283" t="s">
        <v>332</v>
      </c>
      <c r="G3283" t="s">
        <v>197</v>
      </c>
      <c r="H3283" t="s">
        <v>17</v>
      </c>
      <c r="I3283" s="2" t="str">
        <f t="shared" si="408"/>
        <v>East</v>
      </c>
      <c r="J3283" t="s">
        <v>56</v>
      </c>
      <c r="K3283" t="s">
        <v>23</v>
      </c>
      <c r="L3283">
        <v>13</v>
      </c>
      <c r="M3283">
        <v>120</v>
      </c>
      <c r="N3283">
        <f t="shared" si="412"/>
        <v>1560</v>
      </c>
      <c r="O3283">
        <f t="shared" si="413"/>
        <v>156</v>
      </c>
      <c r="P3283" t="str">
        <f t="shared" si="414"/>
        <v>Large Order</v>
      </c>
      <c r="Q3283" t="str">
        <f t="shared" si="415"/>
        <v>Weekend</v>
      </c>
    </row>
    <row r="3284" spans="1:17" x14ac:dyDescent="0.35">
      <c r="A3284" t="s">
        <v>3434</v>
      </c>
      <c r="B3284" s="7">
        <v>45419</v>
      </c>
      <c r="C3284" s="13">
        <f t="shared" si="409"/>
        <v>2024</v>
      </c>
      <c r="D3284" s="7" t="str">
        <f t="shared" si="410"/>
        <v>May</v>
      </c>
      <c r="E3284" s="7" t="str">
        <f t="shared" si="411"/>
        <v>Tue</v>
      </c>
      <c r="F3284" t="s">
        <v>20</v>
      </c>
      <c r="G3284" t="s">
        <v>10</v>
      </c>
      <c r="H3284" t="s">
        <v>11</v>
      </c>
      <c r="I3284" s="2" t="str">
        <f t="shared" si="408"/>
        <v>West</v>
      </c>
      <c r="J3284" t="s">
        <v>42</v>
      </c>
      <c r="K3284" t="s">
        <v>28</v>
      </c>
      <c r="L3284">
        <v>13</v>
      </c>
      <c r="M3284">
        <v>120</v>
      </c>
      <c r="N3284">
        <f t="shared" si="412"/>
        <v>1560</v>
      </c>
      <c r="O3284">
        <f t="shared" si="413"/>
        <v>156</v>
      </c>
      <c r="P3284" t="str">
        <f t="shared" si="414"/>
        <v>Large Order</v>
      </c>
      <c r="Q3284" t="str">
        <f t="shared" si="415"/>
        <v>Weekday</v>
      </c>
    </row>
    <row r="3285" spans="1:17" x14ac:dyDescent="0.35">
      <c r="A3285" t="s">
        <v>3435</v>
      </c>
      <c r="B3285" s="7">
        <v>45591</v>
      </c>
      <c r="C3285" s="13">
        <f t="shared" si="409"/>
        <v>2024</v>
      </c>
      <c r="D3285" s="7" t="str">
        <f t="shared" si="410"/>
        <v>Oct</v>
      </c>
      <c r="E3285" s="7" t="str">
        <f t="shared" si="411"/>
        <v>Sat</v>
      </c>
      <c r="F3285" t="s">
        <v>422</v>
      </c>
      <c r="G3285" t="s">
        <v>16</v>
      </c>
      <c r="H3285" t="s">
        <v>11</v>
      </c>
      <c r="I3285" s="2" t="str">
        <f t="shared" si="408"/>
        <v>East</v>
      </c>
      <c r="J3285" t="s">
        <v>27</v>
      </c>
      <c r="K3285" t="s">
        <v>28</v>
      </c>
      <c r="L3285">
        <v>9</v>
      </c>
      <c r="M3285">
        <v>120</v>
      </c>
      <c r="N3285">
        <f t="shared" si="412"/>
        <v>1080</v>
      </c>
      <c r="O3285">
        <f t="shared" si="413"/>
        <v>108</v>
      </c>
      <c r="P3285" t="str">
        <f t="shared" si="414"/>
        <v>Large Order</v>
      </c>
      <c r="Q3285" t="str">
        <f t="shared" si="415"/>
        <v>Weekend</v>
      </c>
    </row>
    <row r="3286" spans="1:17" x14ac:dyDescent="0.35">
      <c r="A3286" t="s">
        <v>3436</v>
      </c>
      <c r="B3286" s="7">
        <v>45297</v>
      </c>
      <c r="C3286" s="13">
        <f t="shared" si="409"/>
        <v>2024</v>
      </c>
      <c r="D3286" s="7" t="str">
        <f t="shared" si="410"/>
        <v>Jan</v>
      </c>
      <c r="E3286" s="7" t="str">
        <f t="shared" si="411"/>
        <v>Sat</v>
      </c>
      <c r="F3286" t="s">
        <v>541</v>
      </c>
      <c r="G3286" t="s">
        <v>102</v>
      </c>
      <c r="H3286" t="s">
        <v>22</v>
      </c>
      <c r="I3286" s="2" t="str">
        <f t="shared" si="408"/>
        <v>West</v>
      </c>
      <c r="J3286" t="s">
        <v>42</v>
      </c>
      <c r="K3286" t="s">
        <v>36</v>
      </c>
      <c r="L3286">
        <v>4</v>
      </c>
      <c r="M3286">
        <v>120</v>
      </c>
      <c r="N3286">
        <f t="shared" si="412"/>
        <v>480</v>
      </c>
      <c r="O3286">
        <f t="shared" si="413"/>
        <v>48</v>
      </c>
      <c r="P3286" t="str">
        <f t="shared" si="414"/>
        <v>Standard Order</v>
      </c>
      <c r="Q3286" t="str">
        <f t="shared" si="415"/>
        <v>Weekend</v>
      </c>
    </row>
    <row r="3287" spans="1:17" x14ac:dyDescent="0.35">
      <c r="A3287" t="s">
        <v>3437</v>
      </c>
      <c r="B3287" s="7">
        <v>45598</v>
      </c>
      <c r="C3287" s="13">
        <f t="shared" si="409"/>
        <v>2024</v>
      </c>
      <c r="D3287" s="7" t="str">
        <f t="shared" si="410"/>
        <v>Nov</v>
      </c>
      <c r="E3287" s="7" t="str">
        <f t="shared" si="411"/>
        <v>Sat</v>
      </c>
      <c r="F3287" t="s">
        <v>553</v>
      </c>
      <c r="G3287" t="s">
        <v>197</v>
      </c>
      <c r="H3287" t="s">
        <v>22</v>
      </c>
      <c r="I3287" s="2" t="str">
        <f t="shared" si="408"/>
        <v>East</v>
      </c>
      <c r="J3287" t="s">
        <v>27</v>
      </c>
      <c r="K3287" t="s">
        <v>32</v>
      </c>
      <c r="L3287">
        <v>4</v>
      </c>
      <c r="M3287">
        <v>120</v>
      </c>
      <c r="N3287">
        <f t="shared" si="412"/>
        <v>480</v>
      </c>
      <c r="O3287">
        <f t="shared" si="413"/>
        <v>48</v>
      </c>
      <c r="P3287" t="str">
        <f t="shared" si="414"/>
        <v>Standard Order</v>
      </c>
      <c r="Q3287" t="str">
        <f t="shared" si="415"/>
        <v>Weekend</v>
      </c>
    </row>
    <row r="3288" spans="1:17" x14ac:dyDescent="0.35">
      <c r="A3288" t="s">
        <v>3438</v>
      </c>
      <c r="B3288" s="7">
        <v>45604</v>
      </c>
      <c r="C3288" s="13">
        <f t="shared" si="409"/>
        <v>2024</v>
      </c>
      <c r="D3288" s="7" t="str">
        <f t="shared" si="410"/>
        <v>Nov</v>
      </c>
      <c r="E3288" s="7" t="str">
        <f t="shared" si="411"/>
        <v>Fri</v>
      </c>
      <c r="F3288" t="s">
        <v>366</v>
      </c>
      <c r="G3288" t="s">
        <v>16</v>
      </c>
      <c r="H3288" t="s">
        <v>11</v>
      </c>
      <c r="I3288" s="2" t="str">
        <f t="shared" si="408"/>
        <v>West</v>
      </c>
      <c r="J3288" t="s">
        <v>42</v>
      </c>
      <c r="K3288" t="s">
        <v>32</v>
      </c>
      <c r="L3288">
        <v>2</v>
      </c>
      <c r="M3288">
        <v>120</v>
      </c>
      <c r="N3288">
        <f t="shared" si="412"/>
        <v>240</v>
      </c>
      <c r="O3288">
        <f t="shared" si="413"/>
        <v>24</v>
      </c>
      <c r="P3288" t="str">
        <f t="shared" si="414"/>
        <v>Standard Order</v>
      </c>
      <c r="Q3288" t="str">
        <f t="shared" si="415"/>
        <v>Weekday</v>
      </c>
    </row>
    <row r="3289" spans="1:17" x14ac:dyDescent="0.35">
      <c r="A3289" t="s">
        <v>3439</v>
      </c>
      <c r="B3289" s="7">
        <v>45422</v>
      </c>
      <c r="C3289" s="13">
        <f t="shared" si="409"/>
        <v>2024</v>
      </c>
      <c r="D3289" s="7" t="str">
        <f t="shared" si="410"/>
        <v>May</v>
      </c>
      <c r="E3289" s="7" t="str">
        <f t="shared" si="411"/>
        <v>Fri</v>
      </c>
      <c r="F3289" t="s">
        <v>40</v>
      </c>
      <c r="G3289" t="s">
        <v>21</v>
      </c>
      <c r="H3289" t="s">
        <v>17</v>
      </c>
      <c r="I3289" s="2" t="str">
        <f t="shared" si="408"/>
        <v>South</v>
      </c>
      <c r="J3289" t="s">
        <v>27</v>
      </c>
      <c r="K3289" t="s">
        <v>36</v>
      </c>
      <c r="L3289">
        <v>6</v>
      </c>
      <c r="M3289">
        <v>120</v>
      </c>
      <c r="N3289">
        <f t="shared" si="412"/>
        <v>720</v>
      </c>
      <c r="O3289">
        <f t="shared" si="413"/>
        <v>72</v>
      </c>
      <c r="P3289" t="str">
        <f t="shared" si="414"/>
        <v>Large Order</v>
      </c>
      <c r="Q3289" t="str">
        <f t="shared" si="415"/>
        <v>Weekday</v>
      </c>
    </row>
    <row r="3290" spans="1:17" x14ac:dyDescent="0.35">
      <c r="A3290" t="s">
        <v>3440</v>
      </c>
      <c r="B3290" s="7">
        <v>45646</v>
      </c>
      <c r="C3290" s="13">
        <f t="shared" si="409"/>
        <v>2024</v>
      </c>
      <c r="D3290" s="7" t="str">
        <f t="shared" si="410"/>
        <v>Dec</v>
      </c>
      <c r="E3290" s="7" t="str">
        <f t="shared" si="411"/>
        <v>Fri</v>
      </c>
      <c r="F3290" t="s">
        <v>374</v>
      </c>
      <c r="G3290" t="s">
        <v>119</v>
      </c>
      <c r="H3290" t="s">
        <v>17</v>
      </c>
      <c r="I3290" s="2" t="str">
        <f t="shared" si="408"/>
        <v>West</v>
      </c>
      <c r="J3290" t="s">
        <v>56</v>
      </c>
      <c r="K3290" t="s">
        <v>36</v>
      </c>
      <c r="L3290">
        <v>4</v>
      </c>
      <c r="M3290">
        <v>120</v>
      </c>
      <c r="N3290">
        <f t="shared" si="412"/>
        <v>480</v>
      </c>
      <c r="O3290">
        <f t="shared" si="413"/>
        <v>48</v>
      </c>
      <c r="P3290" t="str">
        <f t="shared" si="414"/>
        <v>Standard Order</v>
      </c>
      <c r="Q3290" t="str">
        <f t="shared" si="415"/>
        <v>Weekday</v>
      </c>
    </row>
    <row r="3291" spans="1:17" x14ac:dyDescent="0.35">
      <c r="A3291" t="s">
        <v>3441</v>
      </c>
      <c r="B3291" s="7">
        <v>45600</v>
      </c>
      <c r="C3291" s="13">
        <f t="shared" si="409"/>
        <v>2024</v>
      </c>
      <c r="D3291" s="7" t="str">
        <f t="shared" si="410"/>
        <v>Nov</v>
      </c>
      <c r="E3291" s="7" t="str">
        <f t="shared" si="411"/>
        <v>Mon</v>
      </c>
      <c r="F3291" t="s">
        <v>327</v>
      </c>
      <c r="G3291" t="s">
        <v>48</v>
      </c>
      <c r="H3291" t="s">
        <v>11</v>
      </c>
      <c r="I3291" s="2" t="str">
        <f t="shared" si="408"/>
        <v>East</v>
      </c>
      <c r="J3291" t="s">
        <v>27</v>
      </c>
      <c r="K3291" t="s">
        <v>23</v>
      </c>
      <c r="L3291">
        <v>14</v>
      </c>
      <c r="M3291">
        <v>120</v>
      </c>
      <c r="N3291">
        <f t="shared" si="412"/>
        <v>1680</v>
      </c>
      <c r="O3291">
        <f t="shared" si="413"/>
        <v>168</v>
      </c>
      <c r="P3291" t="str">
        <f t="shared" si="414"/>
        <v>Large Order</v>
      </c>
      <c r="Q3291" t="str">
        <f t="shared" si="415"/>
        <v>Weekday</v>
      </c>
    </row>
    <row r="3292" spans="1:17" x14ac:dyDescent="0.35">
      <c r="A3292" t="s">
        <v>3442</v>
      </c>
      <c r="B3292" s="7">
        <v>45345</v>
      </c>
      <c r="C3292" s="13">
        <f t="shared" si="409"/>
        <v>2024</v>
      </c>
      <c r="D3292" s="7" t="str">
        <f t="shared" si="410"/>
        <v>Feb</v>
      </c>
      <c r="E3292" s="7" t="str">
        <f t="shared" si="411"/>
        <v>Fri</v>
      </c>
      <c r="F3292" t="s">
        <v>337</v>
      </c>
      <c r="G3292" t="s">
        <v>26</v>
      </c>
      <c r="H3292" t="s">
        <v>22</v>
      </c>
      <c r="I3292" s="2" t="str">
        <f t="shared" si="408"/>
        <v>North</v>
      </c>
      <c r="J3292" t="s">
        <v>42</v>
      </c>
      <c r="K3292" t="s">
        <v>32</v>
      </c>
      <c r="L3292">
        <v>17</v>
      </c>
      <c r="M3292">
        <v>120</v>
      </c>
      <c r="N3292">
        <f t="shared" si="412"/>
        <v>2040</v>
      </c>
      <c r="O3292">
        <f t="shared" si="413"/>
        <v>204</v>
      </c>
      <c r="P3292" t="str">
        <f t="shared" si="414"/>
        <v>Large Order</v>
      </c>
      <c r="Q3292" t="str">
        <f t="shared" si="415"/>
        <v>Weekday</v>
      </c>
    </row>
    <row r="3293" spans="1:17" x14ac:dyDescent="0.35">
      <c r="A3293" t="s">
        <v>3443</v>
      </c>
      <c r="B3293" s="7">
        <v>45633</v>
      </c>
      <c r="C3293" s="13">
        <f t="shared" si="409"/>
        <v>2024</v>
      </c>
      <c r="D3293" s="7" t="str">
        <f t="shared" si="410"/>
        <v>Dec</v>
      </c>
      <c r="E3293" s="7" t="str">
        <f t="shared" si="411"/>
        <v>Sat</v>
      </c>
      <c r="F3293" t="s">
        <v>230</v>
      </c>
      <c r="G3293" t="s">
        <v>48</v>
      </c>
      <c r="H3293" t="s">
        <v>11</v>
      </c>
      <c r="I3293" s="2" t="str">
        <f t="shared" si="408"/>
        <v>East</v>
      </c>
      <c r="J3293" t="s">
        <v>12</v>
      </c>
      <c r="K3293" t="s">
        <v>13</v>
      </c>
      <c r="L3293">
        <v>16</v>
      </c>
      <c r="M3293">
        <v>120</v>
      </c>
      <c r="N3293">
        <f t="shared" si="412"/>
        <v>1920</v>
      </c>
      <c r="O3293">
        <f t="shared" si="413"/>
        <v>192</v>
      </c>
      <c r="P3293" t="str">
        <f t="shared" si="414"/>
        <v>Large Order</v>
      </c>
      <c r="Q3293" t="str">
        <f t="shared" si="415"/>
        <v>Weekend</v>
      </c>
    </row>
    <row r="3294" spans="1:17" x14ac:dyDescent="0.35">
      <c r="A3294" t="s">
        <v>3444</v>
      </c>
      <c r="B3294" s="7">
        <v>45545</v>
      </c>
      <c r="C3294" s="13">
        <f t="shared" si="409"/>
        <v>2024</v>
      </c>
      <c r="D3294" s="7" t="str">
        <f t="shared" si="410"/>
        <v>Sep</v>
      </c>
      <c r="E3294" s="7" t="str">
        <f t="shared" si="411"/>
        <v>Tue</v>
      </c>
      <c r="F3294" t="s">
        <v>240</v>
      </c>
      <c r="G3294" t="s">
        <v>59</v>
      </c>
      <c r="H3294" t="s">
        <v>17</v>
      </c>
      <c r="I3294" s="2" t="str">
        <f t="shared" si="408"/>
        <v>West</v>
      </c>
      <c r="J3294" t="s">
        <v>42</v>
      </c>
      <c r="K3294" t="s">
        <v>13</v>
      </c>
      <c r="L3294">
        <v>16</v>
      </c>
      <c r="M3294">
        <v>120</v>
      </c>
      <c r="N3294">
        <f t="shared" si="412"/>
        <v>1920</v>
      </c>
      <c r="O3294">
        <f t="shared" si="413"/>
        <v>192</v>
      </c>
      <c r="P3294" t="str">
        <f t="shared" si="414"/>
        <v>Large Order</v>
      </c>
      <c r="Q3294" t="str">
        <f t="shared" si="415"/>
        <v>Weekday</v>
      </c>
    </row>
    <row r="3295" spans="1:17" x14ac:dyDescent="0.35">
      <c r="A3295" t="s">
        <v>3445</v>
      </c>
      <c r="B3295" s="7">
        <v>45581</v>
      </c>
      <c r="C3295" s="13">
        <f t="shared" si="409"/>
        <v>2024</v>
      </c>
      <c r="D3295" s="7" t="str">
        <f t="shared" si="410"/>
        <v>Oct</v>
      </c>
      <c r="E3295" s="7" t="str">
        <f t="shared" si="411"/>
        <v>Wed</v>
      </c>
      <c r="F3295" t="s">
        <v>159</v>
      </c>
      <c r="G3295" t="s">
        <v>109</v>
      </c>
      <c r="H3295" t="s">
        <v>22</v>
      </c>
      <c r="I3295" s="2" t="str">
        <f t="shared" si="408"/>
        <v>North</v>
      </c>
      <c r="J3295" t="s">
        <v>27</v>
      </c>
      <c r="K3295" t="s">
        <v>13</v>
      </c>
      <c r="L3295">
        <v>20</v>
      </c>
      <c r="M3295">
        <v>120</v>
      </c>
      <c r="N3295">
        <f t="shared" si="412"/>
        <v>2400</v>
      </c>
      <c r="O3295">
        <f t="shared" si="413"/>
        <v>240</v>
      </c>
      <c r="P3295" t="str">
        <f t="shared" si="414"/>
        <v>Large Order</v>
      </c>
      <c r="Q3295" t="str">
        <f t="shared" si="415"/>
        <v>Weekday</v>
      </c>
    </row>
    <row r="3296" spans="1:17" x14ac:dyDescent="0.35">
      <c r="A3296" t="s">
        <v>3446</v>
      </c>
      <c r="B3296" s="7">
        <v>45621</v>
      </c>
      <c r="C3296" s="13">
        <f t="shared" si="409"/>
        <v>2024</v>
      </c>
      <c r="D3296" s="7" t="str">
        <f t="shared" si="410"/>
        <v>Nov</v>
      </c>
      <c r="E3296" s="7" t="str">
        <f t="shared" si="411"/>
        <v>Mon</v>
      </c>
      <c r="F3296" t="s">
        <v>108</v>
      </c>
      <c r="G3296" t="s">
        <v>59</v>
      </c>
      <c r="H3296" t="s">
        <v>11</v>
      </c>
      <c r="I3296" s="2" t="str">
        <f t="shared" si="408"/>
        <v>North</v>
      </c>
      <c r="J3296" t="s">
        <v>12</v>
      </c>
      <c r="K3296" t="s">
        <v>28</v>
      </c>
      <c r="L3296">
        <v>12</v>
      </c>
      <c r="M3296">
        <v>120</v>
      </c>
      <c r="N3296">
        <f t="shared" si="412"/>
        <v>1440</v>
      </c>
      <c r="O3296">
        <f t="shared" si="413"/>
        <v>144</v>
      </c>
      <c r="P3296" t="str">
        <f t="shared" si="414"/>
        <v>Large Order</v>
      </c>
      <c r="Q3296" t="str">
        <f t="shared" si="415"/>
        <v>Weekday</v>
      </c>
    </row>
    <row r="3297" spans="1:17" x14ac:dyDescent="0.35">
      <c r="A3297" t="s">
        <v>3447</v>
      </c>
      <c r="B3297" s="7">
        <v>45655</v>
      </c>
      <c r="C3297" s="13">
        <f t="shared" si="409"/>
        <v>2024</v>
      </c>
      <c r="D3297" s="7" t="str">
        <f t="shared" si="410"/>
        <v>Dec</v>
      </c>
      <c r="E3297" s="7" t="str">
        <f t="shared" si="411"/>
        <v>Sun</v>
      </c>
      <c r="F3297" t="s">
        <v>493</v>
      </c>
      <c r="G3297" t="s">
        <v>87</v>
      </c>
      <c r="H3297" t="s">
        <v>17</v>
      </c>
      <c r="I3297" s="2" t="str">
        <f t="shared" si="408"/>
        <v>West</v>
      </c>
      <c r="J3297" t="s">
        <v>12</v>
      </c>
      <c r="K3297" t="s">
        <v>32</v>
      </c>
      <c r="L3297">
        <v>15</v>
      </c>
      <c r="M3297">
        <v>120</v>
      </c>
      <c r="N3297">
        <f t="shared" si="412"/>
        <v>1800</v>
      </c>
      <c r="O3297">
        <f t="shared" si="413"/>
        <v>180</v>
      </c>
      <c r="P3297" t="str">
        <f t="shared" si="414"/>
        <v>Large Order</v>
      </c>
      <c r="Q3297" t="str">
        <f t="shared" si="415"/>
        <v>Weekend</v>
      </c>
    </row>
    <row r="3298" spans="1:17" x14ac:dyDescent="0.35">
      <c r="A3298" t="s">
        <v>3448</v>
      </c>
      <c r="B3298" s="7">
        <v>45585</v>
      </c>
      <c r="C3298" s="13">
        <f t="shared" si="409"/>
        <v>2024</v>
      </c>
      <c r="D3298" s="7" t="str">
        <f t="shared" si="410"/>
        <v>Oct</v>
      </c>
      <c r="E3298" s="7" t="str">
        <f t="shared" si="411"/>
        <v>Sun</v>
      </c>
      <c r="F3298" t="s">
        <v>363</v>
      </c>
      <c r="G3298" t="s">
        <v>79</v>
      </c>
      <c r="H3298" t="s">
        <v>17</v>
      </c>
      <c r="I3298" s="2" t="str">
        <f t="shared" si="408"/>
        <v>East</v>
      </c>
      <c r="J3298" t="s">
        <v>27</v>
      </c>
      <c r="K3298" t="s">
        <v>13</v>
      </c>
      <c r="L3298">
        <v>7</v>
      </c>
      <c r="M3298">
        <v>120</v>
      </c>
      <c r="N3298">
        <f t="shared" si="412"/>
        <v>840</v>
      </c>
      <c r="O3298">
        <f t="shared" si="413"/>
        <v>84</v>
      </c>
      <c r="P3298" t="str">
        <f t="shared" si="414"/>
        <v>Large Order</v>
      </c>
      <c r="Q3298" t="str">
        <f t="shared" si="415"/>
        <v>Weekend</v>
      </c>
    </row>
    <row r="3299" spans="1:17" x14ac:dyDescent="0.35">
      <c r="A3299" t="s">
        <v>3449</v>
      </c>
      <c r="B3299" s="7">
        <v>45304</v>
      </c>
      <c r="C3299" s="13">
        <f t="shared" si="409"/>
        <v>2024</v>
      </c>
      <c r="D3299" s="7" t="str">
        <f t="shared" si="410"/>
        <v>Jan</v>
      </c>
      <c r="E3299" s="7" t="str">
        <f t="shared" si="411"/>
        <v>Sat</v>
      </c>
      <c r="F3299" t="s">
        <v>451</v>
      </c>
      <c r="G3299" t="s">
        <v>72</v>
      </c>
      <c r="H3299" t="s">
        <v>11</v>
      </c>
      <c r="I3299" s="2" t="str">
        <f t="shared" si="408"/>
        <v>East</v>
      </c>
      <c r="J3299" t="s">
        <v>42</v>
      </c>
      <c r="K3299" t="s">
        <v>23</v>
      </c>
      <c r="L3299">
        <v>1</v>
      </c>
      <c r="M3299">
        <v>120</v>
      </c>
      <c r="N3299">
        <f t="shared" si="412"/>
        <v>120</v>
      </c>
      <c r="O3299">
        <f t="shared" si="413"/>
        <v>12</v>
      </c>
      <c r="P3299" t="str">
        <f t="shared" si="414"/>
        <v>Standard Order</v>
      </c>
      <c r="Q3299" t="str">
        <f t="shared" si="415"/>
        <v>Weekend</v>
      </c>
    </row>
    <row r="3300" spans="1:17" x14ac:dyDescent="0.35">
      <c r="A3300" t="s">
        <v>3450</v>
      </c>
      <c r="B3300" s="7">
        <v>45421</v>
      </c>
      <c r="C3300" s="13">
        <f t="shared" si="409"/>
        <v>2024</v>
      </c>
      <c r="D3300" s="7" t="str">
        <f t="shared" si="410"/>
        <v>May</v>
      </c>
      <c r="E3300" s="7" t="str">
        <f t="shared" si="411"/>
        <v>Thu</v>
      </c>
      <c r="F3300" t="s">
        <v>182</v>
      </c>
      <c r="G3300" t="s">
        <v>41</v>
      </c>
      <c r="H3300" t="s">
        <v>17</v>
      </c>
      <c r="I3300" s="2" t="str">
        <f t="shared" si="408"/>
        <v>East</v>
      </c>
      <c r="J3300" t="s">
        <v>42</v>
      </c>
      <c r="K3300" t="s">
        <v>28</v>
      </c>
      <c r="L3300">
        <v>9</v>
      </c>
      <c r="M3300">
        <v>120</v>
      </c>
      <c r="N3300">
        <f t="shared" si="412"/>
        <v>1080</v>
      </c>
      <c r="O3300">
        <f t="shared" si="413"/>
        <v>108</v>
      </c>
      <c r="P3300" t="str">
        <f t="shared" si="414"/>
        <v>Large Order</v>
      </c>
      <c r="Q3300" t="str">
        <f t="shared" si="415"/>
        <v>Weekday</v>
      </c>
    </row>
    <row r="3301" spans="1:17" x14ac:dyDescent="0.35">
      <c r="A3301" t="s">
        <v>3451</v>
      </c>
      <c r="B3301" s="7">
        <v>45316</v>
      </c>
      <c r="C3301" s="13">
        <f t="shared" si="409"/>
        <v>2024</v>
      </c>
      <c r="D3301" s="7" t="str">
        <f t="shared" si="410"/>
        <v>Jan</v>
      </c>
      <c r="E3301" s="7" t="str">
        <f t="shared" si="411"/>
        <v>Thu</v>
      </c>
      <c r="F3301" t="s">
        <v>187</v>
      </c>
      <c r="G3301" t="s">
        <v>70</v>
      </c>
      <c r="H3301" t="s">
        <v>22</v>
      </c>
      <c r="I3301" s="2" t="str">
        <f t="shared" si="408"/>
        <v>West</v>
      </c>
      <c r="J3301" t="s">
        <v>42</v>
      </c>
      <c r="K3301" t="s">
        <v>28</v>
      </c>
      <c r="L3301">
        <v>7</v>
      </c>
      <c r="M3301">
        <v>120</v>
      </c>
      <c r="N3301">
        <f t="shared" si="412"/>
        <v>840</v>
      </c>
      <c r="O3301">
        <f t="shared" si="413"/>
        <v>84</v>
      </c>
      <c r="P3301" t="str">
        <f t="shared" si="414"/>
        <v>Large Order</v>
      </c>
      <c r="Q3301" t="str">
        <f t="shared" si="415"/>
        <v>Weekday</v>
      </c>
    </row>
    <row r="3302" spans="1:17" x14ac:dyDescent="0.35">
      <c r="A3302" t="s">
        <v>3452</v>
      </c>
      <c r="B3302" s="7">
        <v>45572</v>
      </c>
      <c r="C3302" s="13">
        <f t="shared" si="409"/>
        <v>2024</v>
      </c>
      <c r="D3302" s="7" t="str">
        <f t="shared" si="410"/>
        <v>Oct</v>
      </c>
      <c r="E3302" s="7" t="str">
        <f t="shared" si="411"/>
        <v>Mon</v>
      </c>
      <c r="F3302" t="s">
        <v>736</v>
      </c>
      <c r="G3302" t="s">
        <v>72</v>
      </c>
      <c r="H3302" t="s">
        <v>22</v>
      </c>
      <c r="I3302" s="2" t="str">
        <f t="shared" si="408"/>
        <v/>
      </c>
      <c r="J3302" t="s">
        <v>27</v>
      </c>
      <c r="K3302" t="s">
        <v>32</v>
      </c>
      <c r="L3302">
        <v>6</v>
      </c>
      <c r="M3302">
        <v>120</v>
      </c>
      <c r="N3302">
        <f t="shared" si="412"/>
        <v>720</v>
      </c>
      <c r="O3302">
        <f t="shared" si="413"/>
        <v>72</v>
      </c>
      <c r="P3302" t="str">
        <f t="shared" si="414"/>
        <v>Large Order</v>
      </c>
      <c r="Q3302" t="str">
        <f t="shared" si="415"/>
        <v>Weekday</v>
      </c>
    </row>
    <row r="3303" spans="1:17" x14ac:dyDescent="0.35">
      <c r="B3303"/>
      <c r="D3303"/>
      <c r="E3303"/>
    </row>
    <row r="3304" spans="1:17" x14ac:dyDescent="0.35">
      <c r="B3304"/>
      <c r="D3304"/>
      <c r="E3304"/>
    </row>
    <row r="3305" spans="1:17" x14ac:dyDescent="0.35">
      <c r="B3305"/>
      <c r="D3305"/>
      <c r="E3305"/>
    </row>
    <row r="3306" spans="1:17" x14ac:dyDescent="0.35">
      <c r="B3306"/>
      <c r="D3306"/>
      <c r="E3306"/>
    </row>
    <row r="3307" spans="1:17" x14ac:dyDescent="0.35">
      <c r="B3307"/>
      <c r="D3307"/>
      <c r="E3307"/>
    </row>
    <row r="3308" spans="1:17" x14ac:dyDescent="0.35">
      <c r="B3308"/>
      <c r="D3308"/>
      <c r="E3308"/>
    </row>
    <row r="3309" spans="1:17" x14ac:dyDescent="0.35">
      <c r="B3309"/>
      <c r="D3309"/>
      <c r="E3309"/>
    </row>
    <row r="3310" spans="1:17" x14ac:dyDescent="0.35">
      <c r="B3310"/>
      <c r="D3310"/>
      <c r="E3310"/>
    </row>
    <row r="3311" spans="1:17" x14ac:dyDescent="0.35">
      <c r="B3311"/>
      <c r="D3311"/>
      <c r="E3311"/>
    </row>
    <row r="3312" spans="1:17" x14ac:dyDescent="0.35">
      <c r="B3312"/>
      <c r="D3312"/>
      <c r="E3312"/>
    </row>
    <row r="3313" spans="2:5" x14ac:dyDescent="0.35">
      <c r="B3313"/>
      <c r="D3313"/>
      <c r="E3313"/>
    </row>
    <row r="3314" spans="2:5" x14ac:dyDescent="0.35">
      <c r="B3314"/>
      <c r="D3314"/>
      <c r="E3314"/>
    </row>
    <row r="3315" spans="2:5" x14ac:dyDescent="0.35">
      <c r="B3315"/>
      <c r="D3315"/>
      <c r="E3315"/>
    </row>
    <row r="3316" spans="2:5" x14ac:dyDescent="0.35">
      <c r="B3316"/>
      <c r="D3316"/>
      <c r="E3316"/>
    </row>
    <row r="3317" spans="2:5" x14ac:dyDescent="0.35">
      <c r="B3317"/>
      <c r="D3317"/>
      <c r="E3317"/>
    </row>
    <row r="3318" spans="2:5" x14ac:dyDescent="0.35">
      <c r="B3318"/>
      <c r="D3318"/>
      <c r="E3318"/>
    </row>
    <row r="3319" spans="2:5" x14ac:dyDescent="0.35">
      <c r="B3319"/>
      <c r="D3319"/>
      <c r="E3319"/>
    </row>
    <row r="3320" spans="2:5" x14ac:dyDescent="0.35">
      <c r="B3320"/>
      <c r="D3320"/>
      <c r="E3320"/>
    </row>
    <row r="3321" spans="2:5" x14ac:dyDescent="0.35">
      <c r="B3321"/>
      <c r="D3321"/>
      <c r="E3321"/>
    </row>
    <row r="3322" spans="2:5" x14ac:dyDescent="0.35">
      <c r="B3322"/>
      <c r="D3322"/>
      <c r="E3322"/>
    </row>
    <row r="3323" spans="2:5" x14ac:dyDescent="0.35">
      <c r="B3323"/>
      <c r="D3323"/>
      <c r="E3323"/>
    </row>
    <row r="3324" spans="2:5" x14ac:dyDescent="0.35">
      <c r="B3324"/>
      <c r="D3324"/>
      <c r="E3324"/>
    </row>
    <row r="3325" spans="2:5" x14ac:dyDescent="0.35">
      <c r="B3325"/>
      <c r="D3325"/>
      <c r="E3325"/>
    </row>
    <row r="3326" spans="2:5" x14ac:dyDescent="0.35">
      <c r="B3326"/>
      <c r="D3326"/>
      <c r="E3326"/>
    </row>
    <row r="3327" spans="2:5" x14ac:dyDescent="0.35">
      <c r="B3327"/>
      <c r="D3327"/>
      <c r="E3327"/>
    </row>
    <row r="3328" spans="2:5" x14ac:dyDescent="0.35">
      <c r="B3328"/>
      <c r="D3328"/>
      <c r="E3328"/>
    </row>
    <row r="3329" spans="2:5" x14ac:dyDescent="0.35">
      <c r="B3329"/>
      <c r="D3329"/>
      <c r="E3329"/>
    </row>
    <row r="3330" spans="2:5" x14ac:dyDescent="0.35">
      <c r="B3330"/>
      <c r="D3330"/>
      <c r="E3330"/>
    </row>
    <row r="3331" spans="2:5" x14ac:dyDescent="0.35">
      <c r="B3331"/>
      <c r="D3331"/>
      <c r="E3331"/>
    </row>
    <row r="3332" spans="2:5" x14ac:dyDescent="0.35">
      <c r="B3332"/>
      <c r="D3332"/>
      <c r="E3332"/>
    </row>
    <row r="3333" spans="2:5" x14ac:dyDescent="0.35">
      <c r="B3333"/>
      <c r="D3333"/>
      <c r="E3333"/>
    </row>
    <row r="3334" spans="2:5" x14ac:dyDescent="0.35">
      <c r="B3334"/>
      <c r="D3334"/>
      <c r="E3334"/>
    </row>
    <row r="3335" spans="2:5" x14ac:dyDescent="0.35">
      <c r="B3335"/>
      <c r="D3335"/>
      <c r="E3335"/>
    </row>
    <row r="3336" spans="2:5" x14ac:dyDescent="0.35">
      <c r="B3336"/>
      <c r="D3336"/>
      <c r="E3336"/>
    </row>
    <row r="3337" spans="2:5" x14ac:dyDescent="0.35">
      <c r="B3337"/>
      <c r="D3337"/>
      <c r="E3337"/>
    </row>
    <row r="3338" spans="2:5" x14ac:dyDescent="0.35">
      <c r="B3338"/>
      <c r="D3338"/>
      <c r="E3338"/>
    </row>
    <row r="3339" spans="2:5" x14ac:dyDescent="0.35">
      <c r="B3339"/>
      <c r="D3339"/>
      <c r="E3339"/>
    </row>
    <row r="3340" spans="2:5" x14ac:dyDescent="0.35">
      <c r="B3340"/>
      <c r="D3340"/>
      <c r="E3340"/>
    </row>
    <row r="3341" spans="2:5" x14ac:dyDescent="0.35">
      <c r="B3341"/>
      <c r="D3341"/>
      <c r="E3341"/>
    </row>
    <row r="3342" spans="2:5" x14ac:dyDescent="0.35">
      <c r="B3342"/>
      <c r="D3342"/>
      <c r="E3342"/>
    </row>
    <row r="3343" spans="2:5" x14ac:dyDescent="0.35">
      <c r="B3343"/>
      <c r="D3343"/>
      <c r="E3343"/>
    </row>
    <row r="3344" spans="2:5" x14ac:dyDescent="0.35">
      <c r="B3344"/>
      <c r="D3344"/>
      <c r="E3344"/>
    </row>
    <row r="3345" spans="2:5" x14ac:dyDescent="0.35">
      <c r="B3345"/>
      <c r="D3345"/>
      <c r="E3345"/>
    </row>
    <row r="3346" spans="2:5" x14ac:dyDescent="0.35">
      <c r="B3346"/>
      <c r="D3346"/>
      <c r="E3346"/>
    </row>
    <row r="3347" spans="2:5" x14ac:dyDescent="0.35">
      <c r="B3347"/>
      <c r="D3347"/>
      <c r="E3347"/>
    </row>
    <row r="3348" spans="2:5" x14ac:dyDescent="0.35">
      <c r="B3348"/>
      <c r="D3348"/>
      <c r="E3348"/>
    </row>
    <row r="3349" spans="2:5" x14ac:dyDescent="0.35">
      <c r="B3349"/>
      <c r="D3349"/>
      <c r="E3349"/>
    </row>
    <row r="3350" spans="2:5" x14ac:dyDescent="0.35">
      <c r="B3350"/>
      <c r="D3350"/>
      <c r="E3350"/>
    </row>
    <row r="3351" spans="2:5" x14ac:dyDescent="0.35">
      <c r="B3351"/>
      <c r="D3351"/>
      <c r="E3351"/>
    </row>
    <row r="3352" spans="2:5" x14ac:dyDescent="0.35">
      <c r="B3352"/>
      <c r="D3352"/>
      <c r="E3352"/>
    </row>
    <row r="3353" spans="2:5" x14ac:dyDescent="0.35">
      <c r="B3353"/>
      <c r="D3353"/>
      <c r="E3353"/>
    </row>
    <row r="3354" spans="2:5" x14ac:dyDescent="0.35">
      <c r="B3354"/>
      <c r="D3354"/>
      <c r="E3354"/>
    </row>
    <row r="3355" spans="2:5" x14ac:dyDescent="0.35">
      <c r="B3355"/>
      <c r="D3355"/>
      <c r="E3355"/>
    </row>
    <row r="3356" spans="2:5" x14ac:dyDescent="0.35">
      <c r="B3356"/>
      <c r="D3356"/>
      <c r="E3356"/>
    </row>
    <row r="3357" spans="2:5" x14ac:dyDescent="0.35">
      <c r="B3357"/>
      <c r="D3357"/>
      <c r="E3357"/>
    </row>
  </sheetData>
  <conditionalFormatting sqref="N1:N1048576">
    <cfRule type="aboveAverage" dxfId="2" priority="4"/>
  </conditionalFormatting>
  <conditionalFormatting sqref="L1:L1048576">
    <cfRule type="dataBar" priority="3">
      <dataBar>
        <cfvo type="min"/>
        <cfvo type="max"/>
        <color rgb="FFFF555A"/>
      </dataBar>
      <extLst>
        <ext xmlns:x14="http://schemas.microsoft.com/office/spreadsheetml/2009/9/main" uri="{B025F937-C7B1-47D3-B67F-A62EFF666E3E}">
          <x14:id>{D18A2A97-6A95-48B3-A67D-7039F8266A35}</x14:id>
        </ext>
      </extLst>
    </cfRule>
  </conditionalFormatting>
  <conditionalFormatting sqref="A1:A1048576">
    <cfRule type="duplicateValues" dxfId="0" priority="2"/>
    <cfRule type="duplicateValues" dxfId="1" priority="1"/>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18A2A97-6A95-48B3-A67D-7039F8266A35}">
            <x14:dataBar minLength="0" maxLength="100" border="1" negativeBarBorderColorSameAsPositive="0">
              <x14:cfvo type="autoMin"/>
              <x14:cfvo type="autoMax"/>
              <x14:borderColor rgb="FFFF555A"/>
              <x14:negativeFillColor rgb="FFFF0000"/>
              <x14:negativeBorderColor rgb="FFFF0000"/>
              <x14:axisColor rgb="FF000000"/>
            </x14:dataBar>
          </x14:cfRule>
          <xm:sqref>L1:L1048576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F0592-027A-4F68-A799-41038A9A3AAF}">
  <dimension ref="A1:B3"/>
  <sheetViews>
    <sheetView workbookViewId="0">
      <selection activeCell="B3" sqref="B3"/>
    </sheetView>
  </sheetViews>
  <sheetFormatPr defaultRowHeight="14.5" x14ac:dyDescent="0.35"/>
  <cols>
    <col min="1" max="1" width="12.36328125" customWidth="1"/>
  </cols>
  <sheetData>
    <row r="1" spans="1:2" x14ac:dyDescent="0.35">
      <c r="A1" t="s">
        <v>3656</v>
      </c>
      <c r="B1" s="9">
        <v>0.1</v>
      </c>
    </row>
    <row r="2" spans="1:2" x14ac:dyDescent="0.35">
      <c r="A2" t="s">
        <v>3657</v>
      </c>
    </row>
    <row r="3" spans="1:2" x14ac:dyDescent="0.35">
      <c r="A3" t="s">
        <v>5</v>
      </c>
    </row>
  </sheetData>
  <dataValidations count="1">
    <dataValidation type="whole" allowBlank="1" showInputMessage="1" showErrorMessage="1" sqref="B2" xr:uid="{CD83A854-9922-4B8E-9686-F1A93A20F595}">
      <formula1>100</formula1>
      <formula2>10000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E3287B8-4A56-430F-A117-EA7103D4C167}">
          <x14:formula1>
            <xm:f>Clean_Data!$J:$J</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BA66C-443F-4A7C-82CF-F6681E35E4BA}">
  <dimension ref="A1:H8"/>
  <sheetViews>
    <sheetView zoomScale="70" zoomScaleNormal="70" workbookViewId="0">
      <selection activeCell="R26" sqref="R26"/>
    </sheetView>
  </sheetViews>
  <sheetFormatPr defaultRowHeight="14.5" x14ac:dyDescent="0.35"/>
  <cols>
    <col min="1" max="1" width="14.26953125" bestFit="1" customWidth="1"/>
    <col min="2" max="2" width="15.26953125" bestFit="1" customWidth="1"/>
    <col min="3" max="3" width="6.90625" bestFit="1" customWidth="1"/>
    <col min="4" max="7" width="6.81640625" bestFit="1" customWidth="1"/>
    <col min="8" max="8" width="10.7265625" bestFit="1" customWidth="1"/>
  </cols>
  <sheetData>
    <row r="1" spans="1:8" x14ac:dyDescent="0.35">
      <c r="A1" s="14" t="s">
        <v>3667</v>
      </c>
      <c r="B1" s="14" t="s">
        <v>3668</v>
      </c>
    </row>
    <row r="2" spans="1:8" x14ac:dyDescent="0.35">
      <c r="A2" s="14" t="s">
        <v>3665</v>
      </c>
      <c r="B2" t="s">
        <v>18</v>
      </c>
      <c r="C2" t="s">
        <v>306</v>
      </c>
      <c r="D2" t="s">
        <v>42</v>
      </c>
      <c r="E2" t="s">
        <v>12</v>
      </c>
      <c r="F2" t="s">
        <v>56</v>
      </c>
      <c r="G2" t="s">
        <v>27</v>
      </c>
      <c r="H2" t="s">
        <v>3666</v>
      </c>
    </row>
    <row r="3" spans="1:8" x14ac:dyDescent="0.35">
      <c r="A3" s="15" t="s">
        <v>28</v>
      </c>
      <c r="B3" s="13">
        <v>11520</v>
      </c>
      <c r="C3" s="13">
        <v>146880</v>
      </c>
      <c r="D3" s="13">
        <v>173040</v>
      </c>
      <c r="E3" s="13">
        <v>171000</v>
      </c>
      <c r="F3" s="13">
        <v>134040</v>
      </c>
      <c r="G3" s="13">
        <v>160000</v>
      </c>
      <c r="H3" s="13">
        <v>796480</v>
      </c>
    </row>
    <row r="4" spans="1:8" x14ac:dyDescent="0.35">
      <c r="A4" s="15" t="s">
        <v>13</v>
      </c>
      <c r="B4" s="13">
        <v>5600</v>
      </c>
      <c r="C4" s="13">
        <v>132960</v>
      </c>
      <c r="D4" s="13">
        <v>165120</v>
      </c>
      <c r="E4" s="13">
        <v>146080</v>
      </c>
      <c r="F4" s="13">
        <v>159600</v>
      </c>
      <c r="G4" s="13">
        <v>164880</v>
      </c>
      <c r="H4" s="13">
        <v>774240</v>
      </c>
    </row>
    <row r="5" spans="1:8" x14ac:dyDescent="0.35">
      <c r="A5" s="15" t="s">
        <v>32</v>
      </c>
      <c r="B5" s="13">
        <v>4440</v>
      </c>
      <c r="C5" s="13">
        <v>162000</v>
      </c>
      <c r="D5" s="13">
        <v>158640</v>
      </c>
      <c r="E5" s="13">
        <v>165720</v>
      </c>
      <c r="F5" s="13">
        <v>166320</v>
      </c>
      <c r="G5" s="13">
        <v>155160</v>
      </c>
      <c r="H5" s="13">
        <v>812280</v>
      </c>
    </row>
    <row r="6" spans="1:8" x14ac:dyDescent="0.35">
      <c r="A6" s="15" t="s">
        <v>36</v>
      </c>
      <c r="B6" s="13">
        <v>8040</v>
      </c>
      <c r="C6" s="13">
        <v>156960</v>
      </c>
      <c r="D6" s="13">
        <v>186360</v>
      </c>
      <c r="E6" s="13">
        <v>169920</v>
      </c>
      <c r="F6" s="13">
        <v>169920</v>
      </c>
      <c r="G6" s="13">
        <v>157920</v>
      </c>
      <c r="H6" s="13">
        <v>849120</v>
      </c>
    </row>
    <row r="7" spans="1:8" x14ac:dyDescent="0.35">
      <c r="A7" s="15" t="s">
        <v>23</v>
      </c>
      <c r="B7" s="13">
        <v>10920</v>
      </c>
      <c r="C7" s="13">
        <v>159840</v>
      </c>
      <c r="D7" s="13">
        <v>174240</v>
      </c>
      <c r="E7" s="13">
        <v>156000</v>
      </c>
      <c r="F7" s="13">
        <v>153480</v>
      </c>
      <c r="G7" s="13">
        <v>180720</v>
      </c>
      <c r="H7" s="13">
        <v>835200</v>
      </c>
    </row>
    <row r="8" spans="1:8" x14ac:dyDescent="0.35">
      <c r="A8" s="15" t="s">
        <v>3666</v>
      </c>
      <c r="B8" s="13">
        <v>40520</v>
      </c>
      <c r="C8" s="13">
        <v>758640</v>
      </c>
      <c r="D8" s="13">
        <v>857400</v>
      </c>
      <c r="E8" s="13">
        <v>808720</v>
      </c>
      <c r="F8" s="13">
        <v>783360</v>
      </c>
      <c r="G8" s="13">
        <v>818680</v>
      </c>
      <c r="H8" s="13">
        <v>4067320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5E557-1F8E-41AC-AF33-A5AE1F256107}">
  <dimension ref="A1:A6"/>
  <sheetViews>
    <sheetView tabSelected="1" workbookViewId="0">
      <selection activeCell="A3" sqref="A3"/>
    </sheetView>
  </sheetViews>
  <sheetFormatPr defaultRowHeight="14.5" x14ac:dyDescent="0.35"/>
  <cols>
    <col min="1" max="1" width="39.08984375" customWidth="1"/>
  </cols>
  <sheetData>
    <row r="1" spans="1:1" x14ac:dyDescent="0.35">
      <c r="A1" t="s">
        <v>3672</v>
      </c>
    </row>
    <row r="2" spans="1:1" ht="101.5" x14ac:dyDescent="0.35">
      <c r="A2" s="16" t="s">
        <v>3669</v>
      </c>
    </row>
    <row r="3" spans="1:1" x14ac:dyDescent="0.35">
      <c r="A3" s="16"/>
    </row>
    <row r="4" spans="1:1" ht="87" x14ac:dyDescent="0.35">
      <c r="A4" s="16" t="s">
        <v>3670</v>
      </c>
    </row>
    <row r="5" spans="1:1" x14ac:dyDescent="0.35">
      <c r="A5" s="16"/>
    </row>
    <row r="6" spans="1:1" ht="87" x14ac:dyDescent="0.35">
      <c r="A6" s="16" t="s">
        <v>3671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EFF7-2408-4713-8A98-983EAE1C8628}">
  <dimension ref="A1:C27"/>
  <sheetViews>
    <sheetView zoomScaleNormal="100" workbookViewId="0">
      <pane ySplit="1" topLeftCell="A2" activePane="bottomLeft" state="frozen"/>
      <selection pane="bottomLeft" activeCell="F15" sqref="F15"/>
    </sheetView>
  </sheetViews>
  <sheetFormatPr defaultColWidth="9.08984375" defaultRowHeight="15" customHeight="1" x14ac:dyDescent="0.35"/>
  <cols>
    <col min="1" max="1" width="10.453125" bestFit="1" customWidth="1"/>
    <col min="2" max="2" width="14.453125" bestFit="1" customWidth="1"/>
    <col min="3" max="3" width="11.81640625" bestFit="1" customWidth="1"/>
  </cols>
  <sheetData>
    <row r="1" spans="1:3" ht="15" customHeight="1" x14ac:dyDescent="0.35">
      <c r="A1" s="1"/>
      <c r="B1" s="1"/>
    </row>
    <row r="2" spans="1:3" ht="15" customHeight="1" x14ac:dyDescent="0.35">
      <c r="A2" s="2" t="s">
        <v>3</v>
      </c>
      <c r="B2" s="2" t="s">
        <v>3453</v>
      </c>
      <c r="C2" s="2" t="s">
        <v>3454</v>
      </c>
    </row>
    <row r="3" spans="1:3" ht="15" customHeight="1" x14ac:dyDescent="0.35">
      <c r="A3" t="s">
        <v>96</v>
      </c>
      <c r="B3" t="s">
        <v>3455</v>
      </c>
      <c r="C3" t="s">
        <v>3628</v>
      </c>
    </row>
    <row r="4" spans="1:3" ht="15" customHeight="1" x14ac:dyDescent="0.35">
      <c r="A4" t="s">
        <v>79</v>
      </c>
      <c r="B4" t="s">
        <v>3456</v>
      </c>
      <c r="C4" t="s">
        <v>3629</v>
      </c>
    </row>
    <row r="5" spans="1:3" ht="15" customHeight="1" x14ac:dyDescent="0.35">
      <c r="A5" t="s">
        <v>10</v>
      </c>
      <c r="B5" t="s">
        <v>3457</v>
      </c>
      <c r="C5" t="s">
        <v>3630</v>
      </c>
    </row>
    <row r="6" spans="1:3" ht="15" customHeight="1" x14ac:dyDescent="0.35">
      <c r="A6" t="s">
        <v>102</v>
      </c>
      <c r="B6" t="s">
        <v>3458</v>
      </c>
      <c r="C6" t="s">
        <v>3631</v>
      </c>
    </row>
    <row r="7" spans="1:3" ht="15" customHeight="1" x14ac:dyDescent="0.35">
      <c r="A7" t="s">
        <v>16</v>
      </c>
      <c r="B7" t="s">
        <v>3459</v>
      </c>
      <c r="C7" t="s">
        <v>3632</v>
      </c>
    </row>
    <row r="8" spans="1:3" ht="15" customHeight="1" x14ac:dyDescent="0.35">
      <c r="A8" t="s">
        <v>45</v>
      </c>
      <c r="B8" t="s">
        <v>3460</v>
      </c>
      <c r="C8" t="s">
        <v>3633</v>
      </c>
    </row>
    <row r="9" spans="1:3" ht="15" customHeight="1" x14ac:dyDescent="0.35">
      <c r="A9" t="s">
        <v>65</v>
      </c>
      <c r="B9" t="s">
        <v>3461</v>
      </c>
      <c r="C9" t="s">
        <v>3634</v>
      </c>
    </row>
    <row r="10" spans="1:3" ht="15" customHeight="1" x14ac:dyDescent="0.35">
      <c r="A10" t="s">
        <v>197</v>
      </c>
      <c r="B10" t="s">
        <v>3462</v>
      </c>
      <c r="C10" t="s">
        <v>3635</v>
      </c>
    </row>
    <row r="11" spans="1:3" ht="15" customHeight="1" x14ac:dyDescent="0.35">
      <c r="A11" t="s">
        <v>26</v>
      </c>
      <c r="B11" t="s">
        <v>3463</v>
      </c>
      <c r="C11" t="s">
        <v>3636</v>
      </c>
    </row>
    <row r="12" spans="1:3" ht="15" customHeight="1" x14ac:dyDescent="0.35">
      <c r="A12" t="s">
        <v>74</v>
      </c>
      <c r="B12" t="s">
        <v>3464</v>
      </c>
      <c r="C12" t="s">
        <v>3637</v>
      </c>
    </row>
    <row r="13" spans="1:3" ht="15" customHeight="1" x14ac:dyDescent="0.35">
      <c r="A13" t="s">
        <v>72</v>
      </c>
      <c r="B13" t="s">
        <v>3465</v>
      </c>
      <c r="C13" t="s">
        <v>3638</v>
      </c>
    </row>
    <row r="14" spans="1:3" ht="15" customHeight="1" x14ac:dyDescent="0.35">
      <c r="A14" t="s">
        <v>48</v>
      </c>
      <c r="B14" t="s">
        <v>3466</v>
      </c>
      <c r="C14" t="s">
        <v>3639</v>
      </c>
    </row>
    <row r="15" spans="1:3" ht="15" customHeight="1" x14ac:dyDescent="0.35">
      <c r="A15" t="s">
        <v>31</v>
      </c>
      <c r="B15" t="s">
        <v>3467</v>
      </c>
      <c r="C15" t="s">
        <v>3640</v>
      </c>
    </row>
    <row r="16" spans="1:3" ht="15" customHeight="1" x14ac:dyDescent="0.35">
      <c r="A16" t="s">
        <v>87</v>
      </c>
      <c r="B16" t="s">
        <v>3468</v>
      </c>
      <c r="C16" t="s">
        <v>3641</v>
      </c>
    </row>
    <row r="17" spans="1:3" ht="15" customHeight="1" x14ac:dyDescent="0.35">
      <c r="A17" t="s">
        <v>70</v>
      </c>
      <c r="B17" t="s">
        <v>3469</v>
      </c>
      <c r="C17" t="s">
        <v>3642</v>
      </c>
    </row>
    <row r="18" spans="1:3" ht="15" customHeight="1" x14ac:dyDescent="0.35">
      <c r="A18" t="s">
        <v>35</v>
      </c>
      <c r="B18" t="s">
        <v>3470</v>
      </c>
      <c r="C18" t="s">
        <v>3643</v>
      </c>
    </row>
    <row r="19" spans="1:3" ht="15" customHeight="1" x14ac:dyDescent="0.35">
      <c r="A19" t="s">
        <v>160</v>
      </c>
      <c r="B19" t="s">
        <v>3471</v>
      </c>
      <c r="C19" t="s">
        <v>3644</v>
      </c>
    </row>
    <row r="20" spans="1:3" ht="15" customHeight="1" x14ac:dyDescent="0.35">
      <c r="A20" t="s">
        <v>174</v>
      </c>
      <c r="B20" t="s">
        <v>3472</v>
      </c>
      <c r="C20" t="s">
        <v>3645</v>
      </c>
    </row>
    <row r="21" spans="1:3" ht="15" customHeight="1" x14ac:dyDescent="0.35">
      <c r="A21" t="s">
        <v>59</v>
      </c>
      <c r="B21" t="s">
        <v>3473</v>
      </c>
      <c r="C21" t="s">
        <v>3646</v>
      </c>
    </row>
    <row r="22" spans="1:3" ht="15" customHeight="1" x14ac:dyDescent="0.35">
      <c r="A22" t="s">
        <v>109</v>
      </c>
      <c r="B22" t="s">
        <v>3474</v>
      </c>
      <c r="C22" t="s">
        <v>3647</v>
      </c>
    </row>
    <row r="23" spans="1:3" ht="15" customHeight="1" x14ac:dyDescent="0.35">
      <c r="A23" t="s">
        <v>21</v>
      </c>
      <c r="B23" t="s">
        <v>3475</v>
      </c>
      <c r="C23" t="s">
        <v>3648</v>
      </c>
    </row>
    <row r="24" spans="1:3" ht="15" customHeight="1" x14ac:dyDescent="0.35">
      <c r="A24" t="s">
        <v>41</v>
      </c>
      <c r="B24" t="s">
        <v>3476</v>
      </c>
      <c r="C24" t="s">
        <v>3649</v>
      </c>
    </row>
    <row r="25" spans="1:3" ht="15" customHeight="1" x14ac:dyDescent="0.35">
      <c r="A25" t="s">
        <v>62</v>
      </c>
      <c r="B25" t="s">
        <v>3477</v>
      </c>
      <c r="C25" t="s">
        <v>3650</v>
      </c>
    </row>
    <row r="26" spans="1:3" ht="15" customHeight="1" x14ac:dyDescent="0.35">
      <c r="A26" t="s">
        <v>84</v>
      </c>
      <c r="B26" t="s">
        <v>3478</v>
      </c>
      <c r="C26" t="s">
        <v>3651</v>
      </c>
    </row>
    <row r="27" spans="1:3" ht="15" customHeight="1" x14ac:dyDescent="0.35">
      <c r="A27" t="s">
        <v>119</v>
      </c>
      <c r="B27" t="s">
        <v>3479</v>
      </c>
      <c r="C27" t="s">
        <v>3652</v>
      </c>
    </row>
  </sheetData>
  <pageMargins left="0.75" right="0.75" top="1" bottom="1" header="0.5" footer="0.5"/>
  <pageSetup orientation="portrait"/>
  <headerFooter>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A038-1F14-E2B3-FFAB-8EE307766DF2}">
  <dimension ref="A1:E103"/>
  <sheetViews>
    <sheetView workbookViewId="0">
      <pane ySplit="1" topLeftCell="A2" activePane="bottomLeft" state="frozen"/>
      <selection pane="bottomLeft"/>
    </sheetView>
  </sheetViews>
  <sheetFormatPr defaultColWidth="9.08984375" defaultRowHeight="15" customHeight="1" x14ac:dyDescent="0.35"/>
  <cols>
    <col min="1" max="1" width="12.08984375" bestFit="1" customWidth="1"/>
    <col min="2" max="2" width="17.6328125" bestFit="1" customWidth="1"/>
    <col min="3" max="3" width="31.54296875" bestFit="1" customWidth="1"/>
    <col min="4" max="4" width="18.08984375" bestFit="1" customWidth="1"/>
    <col min="5" max="5" width="16.08984375" bestFit="1" customWidth="1"/>
  </cols>
  <sheetData>
    <row r="1" spans="1:5" ht="15" customHeight="1" x14ac:dyDescent="0.35">
      <c r="A1" s="1"/>
      <c r="B1" s="1"/>
      <c r="C1" s="1"/>
      <c r="D1" s="1"/>
      <c r="E1" s="1"/>
    </row>
    <row r="2" spans="1:5" ht="15" customHeight="1" x14ac:dyDescent="0.35">
      <c r="A2" s="2" t="s">
        <v>3480</v>
      </c>
      <c r="B2" s="2" t="s">
        <v>3481</v>
      </c>
      <c r="C2" s="2" t="s">
        <v>3482</v>
      </c>
      <c r="D2" s="2" t="s">
        <v>3483</v>
      </c>
      <c r="E2" s="2" t="s">
        <v>3484</v>
      </c>
    </row>
    <row r="3" spans="1:5" ht="15" customHeight="1" x14ac:dyDescent="0.35">
      <c r="A3" t="s">
        <v>25</v>
      </c>
      <c r="B3" t="s">
        <v>3485</v>
      </c>
      <c r="C3" t="s">
        <v>3486</v>
      </c>
      <c r="D3" s="3">
        <v>26153</v>
      </c>
      <c r="E3" t="s">
        <v>3487</v>
      </c>
    </row>
    <row r="4" spans="1:5" ht="15" customHeight="1" x14ac:dyDescent="0.35">
      <c r="A4" t="s">
        <v>142</v>
      </c>
      <c r="B4" t="s">
        <v>3488</v>
      </c>
      <c r="C4" t="s">
        <v>3489</v>
      </c>
      <c r="D4" s="3">
        <v>28842</v>
      </c>
      <c r="E4" t="s">
        <v>3490</v>
      </c>
    </row>
    <row r="5" spans="1:5" ht="15" customHeight="1" x14ac:dyDescent="0.35">
      <c r="A5" t="s">
        <v>138</v>
      </c>
      <c r="B5" t="s">
        <v>3491</v>
      </c>
      <c r="C5" t="s">
        <v>3492</v>
      </c>
      <c r="D5" s="3">
        <v>23511</v>
      </c>
      <c r="E5" t="s">
        <v>3493</v>
      </c>
    </row>
    <row r="6" spans="1:5" ht="15" customHeight="1" x14ac:dyDescent="0.35">
      <c r="A6" t="s">
        <v>64</v>
      </c>
      <c r="B6" t="s">
        <v>3494</v>
      </c>
      <c r="C6" t="s">
        <v>3495</v>
      </c>
      <c r="D6" s="3">
        <v>31187</v>
      </c>
      <c r="E6" t="s">
        <v>3496</v>
      </c>
    </row>
    <row r="7" spans="1:5" ht="15" customHeight="1" x14ac:dyDescent="0.35">
      <c r="A7" t="s">
        <v>122</v>
      </c>
      <c r="B7" t="s">
        <v>3497</v>
      </c>
      <c r="C7" t="s">
        <v>3498</v>
      </c>
      <c r="D7" s="3">
        <v>32505</v>
      </c>
      <c r="E7" t="s">
        <v>3499</v>
      </c>
    </row>
    <row r="8" spans="1:5" ht="15" customHeight="1" x14ac:dyDescent="0.35">
      <c r="A8" t="s">
        <v>116</v>
      </c>
      <c r="B8" t="s">
        <v>3500</v>
      </c>
      <c r="C8" t="s">
        <v>3501</v>
      </c>
      <c r="D8" s="3">
        <v>23735</v>
      </c>
      <c r="E8" t="s">
        <v>3502</v>
      </c>
    </row>
    <row r="9" spans="1:5" ht="15" customHeight="1" x14ac:dyDescent="0.35">
      <c r="A9" t="s">
        <v>9</v>
      </c>
      <c r="B9" t="s">
        <v>3503</v>
      </c>
      <c r="C9" t="s">
        <v>3504</v>
      </c>
      <c r="D9" s="3">
        <v>24233</v>
      </c>
      <c r="E9" t="s">
        <v>3505</v>
      </c>
    </row>
    <row r="10" spans="1:5" ht="15" customHeight="1" x14ac:dyDescent="0.35">
      <c r="A10" t="s">
        <v>131</v>
      </c>
      <c r="B10" t="s">
        <v>3506</v>
      </c>
      <c r="C10" t="s">
        <v>3507</v>
      </c>
      <c r="D10" s="3">
        <v>34413</v>
      </c>
      <c r="E10" t="s">
        <v>3508</v>
      </c>
    </row>
    <row r="11" spans="1:5" ht="15" customHeight="1" x14ac:dyDescent="0.35">
      <c r="A11" t="s">
        <v>58</v>
      </c>
      <c r="B11" t="s">
        <v>3509</v>
      </c>
      <c r="C11" t="s">
        <v>3510</v>
      </c>
      <c r="D11" s="3">
        <v>24948</v>
      </c>
      <c r="E11" t="s">
        <v>3511</v>
      </c>
    </row>
    <row r="12" spans="1:5" ht="15" customHeight="1" x14ac:dyDescent="0.35">
      <c r="A12" t="s">
        <v>208</v>
      </c>
      <c r="B12" t="s">
        <v>3512</v>
      </c>
      <c r="C12" t="s">
        <v>3513</v>
      </c>
      <c r="D12" s="3">
        <v>34985</v>
      </c>
      <c r="E12" t="s">
        <v>3514</v>
      </c>
    </row>
    <row r="13" spans="1:5" ht="15" customHeight="1" x14ac:dyDescent="0.35">
      <c r="A13" t="s">
        <v>81</v>
      </c>
      <c r="B13" t="s">
        <v>3515</v>
      </c>
      <c r="C13" t="s">
        <v>3516</v>
      </c>
      <c r="D13" s="3">
        <v>30277</v>
      </c>
      <c r="E13" t="s">
        <v>3517</v>
      </c>
    </row>
    <row r="14" spans="1:5" ht="15" customHeight="1" x14ac:dyDescent="0.35">
      <c r="A14" t="s">
        <v>203</v>
      </c>
      <c r="B14" t="s">
        <v>3518</v>
      </c>
      <c r="C14" t="s">
        <v>3519</v>
      </c>
      <c r="D14" s="3">
        <v>27749</v>
      </c>
      <c r="E14" t="s">
        <v>3520</v>
      </c>
    </row>
    <row r="15" spans="1:5" ht="15" customHeight="1" x14ac:dyDescent="0.35">
      <c r="A15" t="s">
        <v>108</v>
      </c>
      <c r="B15" t="s">
        <v>3521</v>
      </c>
      <c r="C15" t="s">
        <v>3522</v>
      </c>
      <c r="D15" s="3">
        <v>29782</v>
      </c>
      <c r="E15" t="s">
        <v>3523</v>
      </c>
    </row>
    <row r="16" spans="1:5" ht="15" customHeight="1" x14ac:dyDescent="0.35">
      <c r="A16" t="s">
        <v>15</v>
      </c>
      <c r="B16" t="s">
        <v>3524</v>
      </c>
      <c r="C16" t="s">
        <v>3525</v>
      </c>
      <c r="D16" s="3">
        <v>34987</v>
      </c>
      <c r="E16" t="s">
        <v>3526</v>
      </c>
    </row>
    <row r="17" spans="1:5" ht="15" customHeight="1" x14ac:dyDescent="0.35">
      <c r="A17" t="s">
        <v>40</v>
      </c>
      <c r="B17" t="s">
        <v>3527</v>
      </c>
      <c r="C17" t="s">
        <v>3528</v>
      </c>
      <c r="D17" s="3">
        <v>24838</v>
      </c>
      <c r="E17" t="s">
        <v>3529</v>
      </c>
    </row>
    <row r="18" spans="1:5" ht="15" customHeight="1" x14ac:dyDescent="0.35">
      <c r="A18" t="s">
        <v>114</v>
      </c>
      <c r="B18" t="s">
        <v>3530</v>
      </c>
      <c r="C18" t="s">
        <v>3531</v>
      </c>
      <c r="D18" s="3">
        <v>22588</v>
      </c>
      <c r="E18" t="s">
        <v>3532</v>
      </c>
    </row>
    <row r="19" spans="1:5" ht="15" customHeight="1" x14ac:dyDescent="0.35">
      <c r="A19" t="s">
        <v>34</v>
      </c>
      <c r="B19" t="s">
        <v>3533</v>
      </c>
      <c r="C19" t="s">
        <v>3534</v>
      </c>
      <c r="D19" s="3">
        <v>28739</v>
      </c>
      <c r="E19" t="s">
        <v>3535</v>
      </c>
    </row>
    <row r="20" spans="1:5" ht="15" customHeight="1" x14ac:dyDescent="0.35">
      <c r="A20" t="s">
        <v>99</v>
      </c>
      <c r="B20" t="s">
        <v>3536</v>
      </c>
      <c r="C20" t="s">
        <v>3537</v>
      </c>
      <c r="D20" s="3">
        <v>27255</v>
      </c>
      <c r="E20" t="s">
        <v>3538</v>
      </c>
    </row>
    <row r="21" spans="1:5" ht="15" customHeight="1" x14ac:dyDescent="0.35">
      <c r="A21" t="s">
        <v>167</v>
      </c>
      <c r="B21" t="s">
        <v>3539</v>
      </c>
      <c r="C21" t="s">
        <v>3540</v>
      </c>
      <c r="D21" s="3">
        <v>34646</v>
      </c>
      <c r="E21" t="s">
        <v>3541</v>
      </c>
    </row>
    <row r="22" spans="1:5" ht="15" customHeight="1" x14ac:dyDescent="0.35">
      <c r="A22" t="s">
        <v>125</v>
      </c>
      <c r="B22" t="s">
        <v>3542</v>
      </c>
      <c r="C22" t="s">
        <v>3543</v>
      </c>
      <c r="D22" s="3">
        <v>35101</v>
      </c>
      <c r="E22" t="s">
        <v>3544</v>
      </c>
    </row>
    <row r="23" spans="1:5" ht="15" customHeight="1" x14ac:dyDescent="0.35">
      <c r="A23" t="s">
        <v>111</v>
      </c>
      <c r="B23" t="s">
        <v>3485</v>
      </c>
      <c r="C23" t="s">
        <v>3545</v>
      </c>
      <c r="D23" s="3">
        <v>31252</v>
      </c>
      <c r="E23" t="s">
        <v>3487</v>
      </c>
    </row>
    <row r="24" spans="1:5" ht="15" customHeight="1" x14ac:dyDescent="0.35">
      <c r="A24" t="s">
        <v>30</v>
      </c>
      <c r="B24" t="s">
        <v>3488</v>
      </c>
      <c r="C24" t="s">
        <v>3546</v>
      </c>
      <c r="D24" s="3">
        <v>26966</v>
      </c>
      <c r="E24" t="s">
        <v>3490</v>
      </c>
    </row>
    <row r="25" spans="1:5" ht="15" customHeight="1" x14ac:dyDescent="0.35">
      <c r="A25" t="s">
        <v>235</v>
      </c>
      <c r="B25" t="s">
        <v>3491</v>
      </c>
      <c r="C25" t="s">
        <v>3547</v>
      </c>
      <c r="D25" s="3">
        <v>25867</v>
      </c>
      <c r="E25" t="s">
        <v>3493</v>
      </c>
    </row>
    <row r="26" spans="1:5" ht="15" customHeight="1" x14ac:dyDescent="0.35">
      <c r="A26" t="s">
        <v>44</v>
      </c>
      <c r="B26" t="s">
        <v>3494</v>
      </c>
      <c r="C26" t="s">
        <v>3548</v>
      </c>
      <c r="D26" s="3">
        <v>31698</v>
      </c>
      <c r="E26" t="s">
        <v>3496</v>
      </c>
    </row>
    <row r="27" spans="1:5" ht="15" customHeight="1" x14ac:dyDescent="0.35">
      <c r="A27" t="s">
        <v>150</v>
      </c>
      <c r="B27" t="s">
        <v>3497</v>
      </c>
      <c r="C27" t="s">
        <v>3549</v>
      </c>
      <c r="D27" s="3">
        <v>38000</v>
      </c>
      <c r="E27" t="s">
        <v>3499</v>
      </c>
    </row>
    <row r="28" spans="1:5" ht="15" customHeight="1" x14ac:dyDescent="0.35">
      <c r="A28" t="s">
        <v>104</v>
      </c>
      <c r="B28" t="s">
        <v>3500</v>
      </c>
      <c r="C28" t="s">
        <v>3550</v>
      </c>
      <c r="D28" s="3">
        <v>36083</v>
      </c>
      <c r="E28" t="s">
        <v>3502</v>
      </c>
    </row>
    <row r="29" spans="1:5" ht="15" customHeight="1" x14ac:dyDescent="0.35">
      <c r="A29" t="s">
        <v>95</v>
      </c>
      <c r="B29" t="s">
        <v>3503</v>
      </c>
      <c r="C29" t="s">
        <v>3551</v>
      </c>
      <c r="D29" s="3">
        <v>32077</v>
      </c>
      <c r="E29" t="s">
        <v>3505</v>
      </c>
    </row>
    <row r="30" spans="1:5" ht="15" customHeight="1" x14ac:dyDescent="0.35">
      <c r="A30" t="s">
        <v>133</v>
      </c>
      <c r="B30" t="s">
        <v>3506</v>
      </c>
      <c r="C30" t="s">
        <v>3552</v>
      </c>
      <c r="D30" s="3">
        <v>26218</v>
      </c>
      <c r="E30" t="s">
        <v>3508</v>
      </c>
    </row>
    <row r="31" spans="1:5" ht="15" customHeight="1" x14ac:dyDescent="0.35">
      <c r="A31" t="s">
        <v>240</v>
      </c>
      <c r="B31" t="s">
        <v>3509</v>
      </c>
      <c r="C31" t="s">
        <v>3553</v>
      </c>
      <c r="D31" s="3">
        <v>33681</v>
      </c>
      <c r="E31" t="s">
        <v>3511</v>
      </c>
    </row>
    <row r="32" spans="1:5" ht="15" customHeight="1" x14ac:dyDescent="0.35">
      <c r="A32" t="s">
        <v>51</v>
      </c>
      <c r="B32" t="s">
        <v>3512</v>
      </c>
      <c r="C32" t="s">
        <v>3554</v>
      </c>
      <c r="D32" s="3">
        <v>25065</v>
      </c>
      <c r="E32" t="s">
        <v>3514</v>
      </c>
    </row>
    <row r="33" spans="1:5" ht="15" customHeight="1" x14ac:dyDescent="0.35">
      <c r="A33" t="s">
        <v>93</v>
      </c>
      <c r="B33" t="s">
        <v>3515</v>
      </c>
      <c r="C33" t="s">
        <v>3555</v>
      </c>
      <c r="D33" s="3">
        <v>33956</v>
      </c>
      <c r="E33" t="s">
        <v>3517</v>
      </c>
    </row>
    <row r="34" spans="1:5" ht="15" customHeight="1" x14ac:dyDescent="0.35">
      <c r="A34" t="s">
        <v>78</v>
      </c>
      <c r="B34" t="s">
        <v>3518</v>
      </c>
      <c r="C34" t="s">
        <v>3556</v>
      </c>
      <c r="D34" s="3">
        <v>28465</v>
      </c>
      <c r="E34" t="s">
        <v>3520</v>
      </c>
    </row>
    <row r="35" spans="1:5" ht="15" customHeight="1" x14ac:dyDescent="0.35">
      <c r="A35" t="s">
        <v>230</v>
      </c>
      <c r="B35" t="s">
        <v>3521</v>
      </c>
      <c r="C35" t="s">
        <v>3557</v>
      </c>
      <c r="D35" s="3">
        <v>37959</v>
      </c>
      <c r="E35" t="s">
        <v>3523</v>
      </c>
    </row>
    <row r="36" spans="1:5" ht="15" customHeight="1" x14ac:dyDescent="0.35">
      <c r="A36" t="s">
        <v>86</v>
      </c>
      <c r="B36" t="s">
        <v>3524</v>
      </c>
      <c r="C36" t="s">
        <v>3558</v>
      </c>
      <c r="D36" s="3">
        <v>36512</v>
      </c>
      <c r="E36" t="s">
        <v>3526</v>
      </c>
    </row>
    <row r="37" spans="1:5" ht="15" customHeight="1" x14ac:dyDescent="0.35">
      <c r="A37" t="s">
        <v>101</v>
      </c>
      <c r="B37" t="s">
        <v>3527</v>
      </c>
      <c r="C37" t="s">
        <v>3559</v>
      </c>
      <c r="D37" s="3">
        <v>34632</v>
      </c>
      <c r="E37" t="s">
        <v>3529</v>
      </c>
    </row>
    <row r="38" spans="1:5" ht="15" customHeight="1" x14ac:dyDescent="0.35">
      <c r="A38" t="s">
        <v>89</v>
      </c>
      <c r="B38" t="s">
        <v>3530</v>
      </c>
      <c r="C38" t="s">
        <v>3560</v>
      </c>
      <c r="D38" s="3">
        <v>37527</v>
      </c>
      <c r="E38" t="s">
        <v>3532</v>
      </c>
    </row>
    <row r="39" spans="1:5" ht="15" customHeight="1" x14ac:dyDescent="0.35">
      <c r="A39" t="s">
        <v>55</v>
      </c>
      <c r="B39" t="s">
        <v>3533</v>
      </c>
      <c r="C39" t="s">
        <v>3561</v>
      </c>
      <c r="D39" s="3">
        <v>30713</v>
      </c>
      <c r="E39" t="s">
        <v>3535</v>
      </c>
    </row>
    <row r="40" spans="1:5" ht="15" customHeight="1" x14ac:dyDescent="0.35">
      <c r="A40" t="s">
        <v>61</v>
      </c>
      <c r="B40" t="s">
        <v>3536</v>
      </c>
      <c r="C40" t="s">
        <v>3562</v>
      </c>
      <c r="D40" s="3">
        <v>35779</v>
      </c>
      <c r="E40" t="s">
        <v>3538</v>
      </c>
    </row>
    <row r="41" spans="1:5" ht="15" customHeight="1" x14ac:dyDescent="0.35">
      <c r="A41" t="s">
        <v>68</v>
      </c>
      <c r="B41" t="s">
        <v>3539</v>
      </c>
      <c r="C41" t="s">
        <v>3563</v>
      </c>
      <c r="D41" s="3">
        <v>24872</v>
      </c>
      <c r="E41" t="s">
        <v>3541</v>
      </c>
    </row>
    <row r="42" spans="1:5" ht="15" customHeight="1" x14ac:dyDescent="0.35">
      <c r="A42" t="s">
        <v>147</v>
      </c>
      <c r="B42" t="s">
        <v>3542</v>
      </c>
      <c r="C42" t="s">
        <v>3564</v>
      </c>
      <c r="D42" s="3">
        <v>35761</v>
      </c>
      <c r="E42" t="s">
        <v>3544</v>
      </c>
    </row>
    <row r="43" spans="1:5" ht="15" customHeight="1" x14ac:dyDescent="0.35">
      <c r="A43" t="s">
        <v>38</v>
      </c>
      <c r="B43" t="s">
        <v>3485</v>
      </c>
      <c r="C43" t="s">
        <v>3565</v>
      </c>
      <c r="D43" s="3">
        <v>33982</v>
      </c>
      <c r="E43" t="s">
        <v>3487</v>
      </c>
    </row>
    <row r="44" spans="1:5" ht="15" customHeight="1" x14ac:dyDescent="0.35">
      <c r="A44" t="s">
        <v>187</v>
      </c>
      <c r="B44" t="s">
        <v>3488</v>
      </c>
      <c r="C44" t="s">
        <v>3566</v>
      </c>
      <c r="D44" s="3">
        <v>28022</v>
      </c>
      <c r="E44" t="s">
        <v>3490</v>
      </c>
    </row>
    <row r="45" spans="1:5" ht="15" customHeight="1" x14ac:dyDescent="0.35">
      <c r="A45" t="s">
        <v>118</v>
      </c>
      <c r="B45" t="s">
        <v>3491</v>
      </c>
      <c r="C45" t="s">
        <v>3567</v>
      </c>
      <c r="D45" s="3">
        <v>36140</v>
      </c>
      <c r="E45" t="s">
        <v>3493</v>
      </c>
    </row>
    <row r="46" spans="1:5" ht="15" customHeight="1" x14ac:dyDescent="0.35">
      <c r="A46" t="s">
        <v>47</v>
      </c>
      <c r="B46" t="s">
        <v>3494</v>
      </c>
      <c r="C46" t="s">
        <v>3568</v>
      </c>
      <c r="D46" s="3">
        <v>35875</v>
      </c>
      <c r="E46" t="s">
        <v>3496</v>
      </c>
    </row>
    <row r="47" spans="1:5" ht="15" customHeight="1" x14ac:dyDescent="0.35">
      <c r="A47" t="s">
        <v>20</v>
      </c>
      <c r="B47" t="s">
        <v>3497</v>
      </c>
      <c r="C47" t="s">
        <v>3569</v>
      </c>
      <c r="D47" s="3">
        <v>24961</v>
      </c>
      <c r="E47" t="s">
        <v>3499</v>
      </c>
    </row>
    <row r="48" spans="1:5" ht="15" customHeight="1" x14ac:dyDescent="0.35">
      <c r="A48" t="s">
        <v>182</v>
      </c>
      <c r="B48" t="s">
        <v>3500</v>
      </c>
      <c r="C48" t="s">
        <v>3570</v>
      </c>
      <c r="D48" s="3">
        <v>23241</v>
      </c>
      <c r="E48" t="s">
        <v>3502</v>
      </c>
    </row>
    <row r="49" spans="1:5" ht="15" customHeight="1" x14ac:dyDescent="0.35">
      <c r="A49" t="s">
        <v>83</v>
      </c>
      <c r="B49" t="s">
        <v>3503</v>
      </c>
      <c r="C49" t="s">
        <v>3571</v>
      </c>
      <c r="D49" s="3">
        <v>33114</v>
      </c>
      <c r="E49" t="s">
        <v>3505</v>
      </c>
    </row>
    <row r="50" spans="1:5" ht="15" customHeight="1" x14ac:dyDescent="0.35">
      <c r="A50" t="s">
        <v>200</v>
      </c>
      <c r="B50" t="s">
        <v>3506</v>
      </c>
      <c r="C50" t="s">
        <v>3572</v>
      </c>
      <c r="D50" s="3">
        <v>37104</v>
      </c>
      <c r="E50" t="s">
        <v>3508</v>
      </c>
    </row>
    <row r="51" spans="1:5" ht="15" customHeight="1" x14ac:dyDescent="0.35">
      <c r="A51" t="s">
        <v>159</v>
      </c>
      <c r="B51" t="s">
        <v>3509</v>
      </c>
      <c r="C51" t="s">
        <v>3573</v>
      </c>
      <c r="D51" s="3">
        <v>29263</v>
      </c>
      <c r="E51" t="s">
        <v>3511</v>
      </c>
    </row>
    <row r="52" spans="1:5" ht="15" customHeight="1" x14ac:dyDescent="0.35">
      <c r="A52" t="s">
        <v>53</v>
      </c>
      <c r="B52" t="s">
        <v>3512</v>
      </c>
      <c r="C52" t="s">
        <v>3574</v>
      </c>
      <c r="D52" s="3">
        <v>26997</v>
      </c>
      <c r="E52" t="s">
        <v>3514</v>
      </c>
    </row>
    <row r="53" spans="1:5" ht="15" customHeight="1" x14ac:dyDescent="0.35">
      <c r="A53" t="s">
        <v>106</v>
      </c>
      <c r="B53" t="s">
        <v>3515</v>
      </c>
      <c r="C53" t="s">
        <v>3575</v>
      </c>
      <c r="D53" s="3">
        <v>38146</v>
      </c>
      <c r="E53" t="s">
        <v>3517</v>
      </c>
    </row>
    <row r="54" spans="1:5" ht="15" customHeight="1" x14ac:dyDescent="0.35">
      <c r="A54" t="s">
        <v>341</v>
      </c>
      <c r="B54" t="s">
        <v>3518</v>
      </c>
      <c r="C54" t="s">
        <v>3576</v>
      </c>
      <c r="D54" s="3">
        <v>24667</v>
      </c>
      <c r="E54" t="s">
        <v>3520</v>
      </c>
    </row>
    <row r="55" spans="1:5" ht="15" customHeight="1" x14ac:dyDescent="0.35">
      <c r="A55" t="s">
        <v>408</v>
      </c>
      <c r="B55" t="s">
        <v>3521</v>
      </c>
      <c r="C55" t="s">
        <v>3577</v>
      </c>
      <c r="D55" s="3">
        <v>31441</v>
      </c>
      <c r="E55" t="s">
        <v>3523</v>
      </c>
    </row>
    <row r="56" spans="1:5" ht="15" customHeight="1" x14ac:dyDescent="0.35">
      <c r="A56" t="s">
        <v>572</v>
      </c>
      <c r="B56" t="s">
        <v>3524</v>
      </c>
      <c r="C56" t="s">
        <v>3578</v>
      </c>
      <c r="D56" s="3">
        <v>37258</v>
      </c>
      <c r="E56" t="s">
        <v>3526</v>
      </c>
    </row>
    <row r="57" spans="1:5" ht="15" customHeight="1" x14ac:dyDescent="0.35">
      <c r="A57" t="s">
        <v>309</v>
      </c>
      <c r="B57" t="s">
        <v>3527</v>
      </c>
      <c r="C57" t="s">
        <v>3579</v>
      </c>
      <c r="D57" s="3">
        <v>36247</v>
      </c>
      <c r="E57" t="s">
        <v>3529</v>
      </c>
    </row>
    <row r="58" spans="1:5" ht="15" customHeight="1" x14ac:dyDescent="0.35">
      <c r="A58" t="s">
        <v>348</v>
      </c>
      <c r="B58" t="s">
        <v>3530</v>
      </c>
      <c r="C58" t="s">
        <v>3580</v>
      </c>
      <c r="D58" s="3">
        <v>24510</v>
      </c>
      <c r="E58" t="s">
        <v>3532</v>
      </c>
    </row>
    <row r="59" spans="1:5" ht="15" customHeight="1" x14ac:dyDescent="0.35">
      <c r="A59" t="s">
        <v>396</v>
      </c>
      <c r="B59" t="s">
        <v>3533</v>
      </c>
      <c r="C59" t="s">
        <v>3581</v>
      </c>
      <c r="D59" s="3">
        <v>37566</v>
      </c>
      <c r="E59" t="s">
        <v>3535</v>
      </c>
    </row>
    <row r="60" spans="1:5" ht="15" customHeight="1" x14ac:dyDescent="0.35">
      <c r="A60" t="s">
        <v>430</v>
      </c>
      <c r="B60" t="s">
        <v>3536</v>
      </c>
      <c r="C60" t="s">
        <v>3582</v>
      </c>
      <c r="D60" s="3">
        <v>31759</v>
      </c>
      <c r="E60" t="s">
        <v>3538</v>
      </c>
    </row>
    <row r="61" spans="1:5" ht="15" customHeight="1" x14ac:dyDescent="0.35">
      <c r="A61" t="s">
        <v>366</v>
      </c>
      <c r="B61" t="s">
        <v>3539</v>
      </c>
      <c r="C61" t="s">
        <v>3583</v>
      </c>
      <c r="D61" s="3">
        <v>26785</v>
      </c>
      <c r="E61" t="s">
        <v>3541</v>
      </c>
    </row>
    <row r="62" spans="1:5" ht="15" customHeight="1" x14ac:dyDescent="0.35">
      <c r="A62" t="s">
        <v>319</v>
      </c>
      <c r="B62" t="s">
        <v>3542</v>
      </c>
      <c r="C62" t="s">
        <v>3584</v>
      </c>
      <c r="D62" s="3">
        <v>26103</v>
      </c>
      <c r="E62" t="s">
        <v>3544</v>
      </c>
    </row>
    <row r="63" spans="1:5" ht="15" customHeight="1" x14ac:dyDescent="0.35">
      <c r="A63" t="s">
        <v>553</v>
      </c>
      <c r="B63" t="s">
        <v>3485</v>
      </c>
      <c r="C63" t="s">
        <v>3585</v>
      </c>
      <c r="D63" s="3">
        <v>31759</v>
      </c>
      <c r="E63" t="s">
        <v>3487</v>
      </c>
    </row>
    <row r="64" spans="1:5" ht="15" customHeight="1" x14ac:dyDescent="0.35">
      <c r="A64" t="s">
        <v>517</v>
      </c>
      <c r="B64" t="s">
        <v>3488</v>
      </c>
      <c r="C64" t="s">
        <v>3586</v>
      </c>
      <c r="D64" s="3">
        <v>30063</v>
      </c>
      <c r="E64" t="s">
        <v>3490</v>
      </c>
    </row>
    <row r="65" spans="1:5" ht="15" customHeight="1" x14ac:dyDescent="0.35">
      <c r="A65" t="s">
        <v>374</v>
      </c>
      <c r="B65" t="s">
        <v>3491</v>
      </c>
      <c r="C65" t="s">
        <v>3587</v>
      </c>
      <c r="D65" s="3">
        <v>35931</v>
      </c>
      <c r="E65" t="s">
        <v>3493</v>
      </c>
    </row>
    <row r="66" spans="1:5" ht="15" customHeight="1" x14ac:dyDescent="0.35">
      <c r="A66" t="s">
        <v>432</v>
      </c>
      <c r="B66" t="s">
        <v>3494</v>
      </c>
      <c r="C66" t="s">
        <v>3588</v>
      </c>
      <c r="D66" s="3">
        <v>31598</v>
      </c>
      <c r="E66" t="s">
        <v>3496</v>
      </c>
    </row>
    <row r="67" spans="1:5" ht="15" customHeight="1" x14ac:dyDescent="0.35">
      <c r="A67" t="s">
        <v>358</v>
      </c>
      <c r="B67" t="s">
        <v>3497</v>
      </c>
      <c r="C67" t="s">
        <v>3589</v>
      </c>
      <c r="D67" s="3">
        <v>23479</v>
      </c>
      <c r="E67" t="s">
        <v>3499</v>
      </c>
    </row>
    <row r="68" spans="1:5" ht="15" customHeight="1" x14ac:dyDescent="0.35">
      <c r="A68" t="s">
        <v>345</v>
      </c>
      <c r="B68" t="s">
        <v>3500</v>
      </c>
      <c r="C68" t="s">
        <v>3590</v>
      </c>
      <c r="D68" s="3">
        <v>24423</v>
      </c>
      <c r="E68" t="s">
        <v>3502</v>
      </c>
    </row>
    <row r="69" spans="1:5" ht="15" customHeight="1" x14ac:dyDescent="0.35">
      <c r="A69" t="s">
        <v>363</v>
      </c>
      <c r="B69" t="s">
        <v>3503</v>
      </c>
      <c r="C69" t="s">
        <v>3591</v>
      </c>
      <c r="D69" s="3">
        <v>23393</v>
      </c>
      <c r="E69" t="s">
        <v>3505</v>
      </c>
    </row>
    <row r="70" spans="1:5" ht="15" customHeight="1" x14ac:dyDescent="0.35">
      <c r="A70" t="s">
        <v>339</v>
      </c>
      <c r="B70" t="s">
        <v>3506</v>
      </c>
      <c r="C70" t="s">
        <v>3592</v>
      </c>
      <c r="D70" s="3">
        <v>25442</v>
      </c>
      <c r="E70" t="s">
        <v>3508</v>
      </c>
    </row>
    <row r="71" spans="1:5" ht="15" customHeight="1" x14ac:dyDescent="0.35">
      <c r="A71" t="s">
        <v>312</v>
      </c>
      <c r="B71" t="s">
        <v>3509</v>
      </c>
      <c r="C71" t="s">
        <v>3593</v>
      </c>
      <c r="D71" s="3">
        <v>35839</v>
      </c>
      <c r="E71" t="s">
        <v>3511</v>
      </c>
    </row>
    <row r="72" spans="1:5" ht="15" customHeight="1" x14ac:dyDescent="0.35">
      <c r="A72" t="s">
        <v>591</v>
      </c>
      <c r="B72" t="s">
        <v>3512</v>
      </c>
      <c r="C72" t="s">
        <v>3594</v>
      </c>
      <c r="D72" s="3">
        <v>35449</v>
      </c>
      <c r="E72" t="s">
        <v>3514</v>
      </c>
    </row>
    <row r="73" spans="1:5" ht="15" customHeight="1" x14ac:dyDescent="0.35">
      <c r="A73" t="s">
        <v>378</v>
      </c>
      <c r="B73" t="s">
        <v>3515</v>
      </c>
      <c r="C73" t="s">
        <v>3595</v>
      </c>
      <c r="D73" s="3">
        <v>25012</v>
      </c>
      <c r="E73" t="s">
        <v>3517</v>
      </c>
    </row>
    <row r="74" spans="1:5" ht="15" customHeight="1" x14ac:dyDescent="0.35">
      <c r="A74" t="s">
        <v>642</v>
      </c>
      <c r="B74" t="s">
        <v>3518</v>
      </c>
      <c r="C74" t="s">
        <v>3596</v>
      </c>
      <c r="D74" s="3">
        <v>37141</v>
      </c>
      <c r="E74" t="s">
        <v>3520</v>
      </c>
    </row>
    <row r="75" spans="1:5" ht="15" customHeight="1" x14ac:dyDescent="0.35">
      <c r="A75" t="s">
        <v>614</v>
      </c>
      <c r="B75" t="s">
        <v>3521</v>
      </c>
      <c r="C75" t="s">
        <v>3597</v>
      </c>
      <c r="D75" s="3">
        <v>30218</v>
      </c>
      <c r="E75" t="s">
        <v>3523</v>
      </c>
    </row>
    <row r="76" spans="1:5" ht="15" customHeight="1" x14ac:dyDescent="0.35">
      <c r="A76" t="s">
        <v>314</v>
      </c>
      <c r="B76" t="s">
        <v>3524</v>
      </c>
      <c r="C76" t="s">
        <v>3598</v>
      </c>
      <c r="D76" s="3">
        <v>33563</v>
      </c>
      <c r="E76" t="s">
        <v>3526</v>
      </c>
    </row>
    <row r="77" spans="1:5" ht="15" customHeight="1" x14ac:dyDescent="0.35">
      <c r="A77" t="s">
        <v>361</v>
      </c>
      <c r="B77" t="s">
        <v>3527</v>
      </c>
      <c r="C77" t="s">
        <v>3599</v>
      </c>
      <c r="D77" s="3">
        <v>30267</v>
      </c>
      <c r="E77" t="s">
        <v>3529</v>
      </c>
    </row>
    <row r="78" spans="1:5" ht="15" customHeight="1" x14ac:dyDescent="0.35">
      <c r="A78" t="s">
        <v>449</v>
      </c>
      <c r="B78" t="s">
        <v>3530</v>
      </c>
      <c r="C78" t="s">
        <v>3600</v>
      </c>
      <c r="D78" s="3">
        <v>24595</v>
      </c>
      <c r="E78" t="s">
        <v>3532</v>
      </c>
    </row>
    <row r="79" spans="1:5" ht="15" customHeight="1" x14ac:dyDescent="0.35">
      <c r="A79" t="s">
        <v>327</v>
      </c>
      <c r="B79" t="s">
        <v>3533</v>
      </c>
      <c r="C79" t="s">
        <v>3601</v>
      </c>
      <c r="D79" s="3">
        <v>38412</v>
      </c>
      <c r="E79" t="s">
        <v>3535</v>
      </c>
    </row>
    <row r="80" spans="1:5" ht="15" customHeight="1" x14ac:dyDescent="0.35">
      <c r="A80" t="s">
        <v>493</v>
      </c>
      <c r="B80" t="s">
        <v>3536</v>
      </c>
      <c r="C80" t="s">
        <v>3602</v>
      </c>
      <c r="D80" s="3">
        <v>22449</v>
      </c>
      <c r="E80" t="s">
        <v>3538</v>
      </c>
    </row>
    <row r="81" spans="1:5" ht="15" customHeight="1" x14ac:dyDescent="0.35">
      <c r="A81" t="s">
        <v>594</v>
      </c>
      <c r="B81" t="s">
        <v>3539</v>
      </c>
      <c r="C81" t="s">
        <v>3603</v>
      </c>
      <c r="D81" s="3">
        <v>25649</v>
      </c>
      <c r="E81" t="s">
        <v>3541</v>
      </c>
    </row>
    <row r="82" spans="1:5" ht="15" customHeight="1" x14ac:dyDescent="0.35">
      <c r="A82" t="s">
        <v>381</v>
      </c>
      <c r="B82" t="s">
        <v>3542</v>
      </c>
      <c r="C82" t="s">
        <v>3604</v>
      </c>
      <c r="D82" s="3">
        <v>37083</v>
      </c>
      <c r="E82" t="s">
        <v>3544</v>
      </c>
    </row>
    <row r="83" spans="1:5" ht="15" customHeight="1" x14ac:dyDescent="0.35">
      <c r="A83" t="s">
        <v>451</v>
      </c>
      <c r="B83" t="s">
        <v>3485</v>
      </c>
      <c r="C83" t="s">
        <v>3605</v>
      </c>
      <c r="D83" s="3">
        <v>27799</v>
      </c>
      <c r="E83" t="s">
        <v>3487</v>
      </c>
    </row>
    <row r="84" spans="1:5" ht="15" customHeight="1" x14ac:dyDescent="0.35">
      <c r="A84" t="s">
        <v>541</v>
      </c>
      <c r="B84" t="s">
        <v>3488</v>
      </c>
      <c r="C84" t="s">
        <v>3606</v>
      </c>
      <c r="D84" s="3">
        <v>27886</v>
      </c>
      <c r="E84" t="s">
        <v>3490</v>
      </c>
    </row>
    <row r="85" spans="1:5" ht="15" customHeight="1" x14ac:dyDescent="0.35">
      <c r="A85" t="s">
        <v>736</v>
      </c>
      <c r="B85" t="s">
        <v>3491</v>
      </c>
      <c r="C85" t="s">
        <v>3607</v>
      </c>
      <c r="D85" s="3">
        <v>34792</v>
      </c>
      <c r="E85" t="s">
        <v>3493</v>
      </c>
    </row>
    <row r="86" spans="1:5" ht="15" customHeight="1" x14ac:dyDescent="0.35">
      <c r="A86" t="s">
        <v>350</v>
      </c>
      <c r="B86" t="s">
        <v>3494</v>
      </c>
      <c r="C86" t="s">
        <v>3608</v>
      </c>
      <c r="D86" s="3">
        <v>23399</v>
      </c>
      <c r="E86" t="s">
        <v>3496</v>
      </c>
    </row>
    <row r="87" spans="1:5" ht="15" customHeight="1" x14ac:dyDescent="0.35">
      <c r="A87" t="s">
        <v>371</v>
      </c>
      <c r="B87" t="s">
        <v>3497</v>
      </c>
      <c r="C87" t="s">
        <v>3609</v>
      </c>
      <c r="D87" s="3">
        <v>24645</v>
      </c>
      <c r="E87" t="s">
        <v>3499</v>
      </c>
    </row>
    <row r="88" spans="1:5" ht="15" customHeight="1" x14ac:dyDescent="0.35">
      <c r="A88" t="s">
        <v>317</v>
      </c>
      <c r="B88" t="s">
        <v>3500</v>
      </c>
      <c r="C88" t="s">
        <v>3610</v>
      </c>
      <c r="D88" s="3">
        <v>35555</v>
      </c>
      <c r="E88" t="s">
        <v>3502</v>
      </c>
    </row>
    <row r="89" spans="1:5" ht="15" customHeight="1" x14ac:dyDescent="0.35">
      <c r="A89" t="s">
        <v>422</v>
      </c>
      <c r="B89" t="s">
        <v>3503</v>
      </c>
      <c r="C89" t="s">
        <v>3611</v>
      </c>
      <c r="D89" s="3">
        <v>31669</v>
      </c>
      <c r="E89" t="s">
        <v>3505</v>
      </c>
    </row>
    <row r="90" spans="1:5" ht="15" customHeight="1" x14ac:dyDescent="0.35">
      <c r="A90" t="s">
        <v>455</v>
      </c>
      <c r="B90" t="s">
        <v>3506</v>
      </c>
      <c r="C90" t="s">
        <v>3612</v>
      </c>
      <c r="D90" s="3">
        <v>32203</v>
      </c>
      <c r="E90" t="s">
        <v>3508</v>
      </c>
    </row>
    <row r="91" spans="1:5" ht="15" customHeight="1" x14ac:dyDescent="0.35">
      <c r="A91" t="s">
        <v>465</v>
      </c>
      <c r="B91" t="s">
        <v>3509</v>
      </c>
      <c r="C91" t="s">
        <v>3613</v>
      </c>
      <c r="D91" s="3">
        <v>36825</v>
      </c>
      <c r="E91" t="s">
        <v>3511</v>
      </c>
    </row>
    <row r="92" spans="1:5" ht="15" customHeight="1" x14ac:dyDescent="0.35">
      <c r="A92" t="s">
        <v>424</v>
      </c>
      <c r="B92" t="s">
        <v>3512</v>
      </c>
      <c r="C92" t="s">
        <v>3614</v>
      </c>
      <c r="D92" s="3">
        <v>36659</v>
      </c>
      <c r="E92" t="s">
        <v>3514</v>
      </c>
    </row>
    <row r="93" spans="1:5" ht="15" customHeight="1" x14ac:dyDescent="0.35">
      <c r="A93" t="s">
        <v>369</v>
      </c>
      <c r="B93" t="s">
        <v>3515</v>
      </c>
      <c r="C93" t="s">
        <v>3615</v>
      </c>
      <c r="D93" s="3">
        <v>30601</v>
      </c>
      <c r="E93" t="s">
        <v>3517</v>
      </c>
    </row>
    <row r="94" spans="1:5" ht="15" customHeight="1" x14ac:dyDescent="0.35">
      <c r="A94" t="s">
        <v>436</v>
      </c>
      <c r="B94" t="s">
        <v>3518</v>
      </c>
      <c r="C94" t="s">
        <v>3616</v>
      </c>
      <c r="D94" s="3">
        <v>33100</v>
      </c>
      <c r="E94" t="s">
        <v>3520</v>
      </c>
    </row>
    <row r="95" spans="1:5" ht="15" customHeight="1" x14ac:dyDescent="0.35">
      <c r="A95" t="s">
        <v>329</v>
      </c>
      <c r="B95" t="s">
        <v>3521</v>
      </c>
      <c r="C95" t="s">
        <v>3617</v>
      </c>
      <c r="D95" s="3">
        <v>28049</v>
      </c>
      <c r="E95" t="s">
        <v>3523</v>
      </c>
    </row>
    <row r="96" spans="1:5" ht="15" customHeight="1" x14ac:dyDescent="0.35">
      <c r="A96" t="s">
        <v>388</v>
      </c>
      <c r="B96" t="s">
        <v>3524</v>
      </c>
      <c r="C96" t="s">
        <v>3618</v>
      </c>
      <c r="D96" s="3">
        <v>28832</v>
      </c>
      <c r="E96" t="s">
        <v>3526</v>
      </c>
    </row>
    <row r="97" spans="1:5" ht="15" customHeight="1" x14ac:dyDescent="0.35">
      <c r="A97" t="s">
        <v>304</v>
      </c>
      <c r="B97" t="s">
        <v>3527</v>
      </c>
      <c r="C97" t="s">
        <v>3619</v>
      </c>
      <c r="D97" s="3">
        <v>27980</v>
      </c>
      <c r="E97" t="s">
        <v>3529</v>
      </c>
    </row>
    <row r="98" spans="1:5" ht="15" customHeight="1" x14ac:dyDescent="0.35">
      <c r="A98" t="s">
        <v>323</v>
      </c>
      <c r="B98" t="s">
        <v>3530</v>
      </c>
      <c r="C98" t="s">
        <v>3620</v>
      </c>
      <c r="D98" s="3">
        <v>24479</v>
      </c>
      <c r="E98" t="s">
        <v>3532</v>
      </c>
    </row>
    <row r="99" spans="1:5" ht="15" customHeight="1" x14ac:dyDescent="0.35">
      <c r="A99" t="s">
        <v>664</v>
      </c>
      <c r="B99" t="s">
        <v>3533</v>
      </c>
      <c r="C99" t="s">
        <v>3621</v>
      </c>
      <c r="D99" s="3">
        <v>30413</v>
      </c>
      <c r="E99" t="s">
        <v>3535</v>
      </c>
    </row>
    <row r="100" spans="1:5" ht="15" customHeight="1" x14ac:dyDescent="0.35">
      <c r="A100" t="s">
        <v>332</v>
      </c>
      <c r="B100" t="s">
        <v>3536</v>
      </c>
      <c r="C100" t="s">
        <v>3622</v>
      </c>
      <c r="D100" s="3">
        <v>25400</v>
      </c>
      <c r="E100" t="s">
        <v>3538</v>
      </c>
    </row>
    <row r="101" spans="1:5" ht="15" customHeight="1" x14ac:dyDescent="0.35">
      <c r="A101" t="s">
        <v>337</v>
      </c>
      <c r="B101" t="s">
        <v>3539</v>
      </c>
      <c r="C101" t="s">
        <v>3623</v>
      </c>
      <c r="D101" s="3">
        <v>36130</v>
      </c>
      <c r="E101" t="s">
        <v>3541</v>
      </c>
    </row>
    <row r="102" spans="1:5" ht="15" customHeight="1" x14ac:dyDescent="0.35">
      <c r="A102" t="s">
        <v>420</v>
      </c>
      <c r="B102" t="s">
        <v>3542</v>
      </c>
      <c r="C102" t="s">
        <v>3624</v>
      </c>
      <c r="D102" s="3">
        <v>22503</v>
      </c>
      <c r="E102" t="s">
        <v>3544</v>
      </c>
    </row>
    <row r="103" spans="1:5" ht="15" customHeight="1" x14ac:dyDescent="0.35">
      <c r="A103" t="s">
        <v>728</v>
      </c>
      <c r="B103" t="s">
        <v>3485</v>
      </c>
      <c r="C103" t="s">
        <v>3625</v>
      </c>
      <c r="D103" s="3">
        <v>22107</v>
      </c>
      <c r="E103" t="s">
        <v>3487</v>
      </c>
    </row>
  </sheetData>
  <pageMargins left="0.75" right="0.75" top="1" bottom="1" header="0.5" footer="0.5"/>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Raw_Sales_Data</vt:lpstr>
      <vt:lpstr>Summary</vt:lpstr>
      <vt:lpstr>Clean_Data</vt:lpstr>
      <vt:lpstr>Input</vt:lpstr>
      <vt:lpstr>Dashboard</vt:lpstr>
      <vt:lpstr>Explanation</vt:lpstr>
      <vt:lpstr>Product_Lookup</vt:lpstr>
      <vt:lpstr>Customer_Lookup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kyenret Manasseh</cp:lastModifiedBy>
  <dcterms:created xsi:type="dcterms:W3CDTF">2026-03-07T14:44:02Z</dcterms:created>
  <dcterms:modified xsi:type="dcterms:W3CDTF">2026-03-31T23:50:19Z</dcterms:modified>
</cp:coreProperties>
</file>